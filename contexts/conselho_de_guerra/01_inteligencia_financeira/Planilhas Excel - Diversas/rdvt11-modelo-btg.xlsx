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9435" windowHeight="5130" tabRatio="812" activeTab="1"/>
  </bookViews>
  <sheets>
    <sheet name="Resumo" sheetId="7" r:id="rId1"/>
    <sheet name="Dados Financeiros" sheetId="1" r:id="rId2"/>
    <sheet name="Tráfego" sheetId="4" r:id="rId3"/>
    <sheet name="Despesas" sheetId="5" r:id="rId4"/>
  </sheets>
  <calcPr calcId="125725"/>
</workbook>
</file>

<file path=xl/calcChain.xml><?xml version="1.0" encoding="utf-8"?>
<calcChain xmlns="http://schemas.openxmlformats.org/spreadsheetml/2006/main">
  <c r="AC130" i="1"/>
  <c r="AD130"/>
  <c r="AE130"/>
  <c r="AF130" s="1"/>
  <c r="AG130" s="1"/>
  <c r="AH130" s="1"/>
  <c r="AI130" s="1"/>
  <c r="AJ130" s="1"/>
  <c r="AK130" s="1"/>
  <c r="AL130" s="1"/>
  <c r="AM130" s="1"/>
  <c r="AN130" s="1"/>
  <c r="AX38" i="4" l="1"/>
  <c r="Z130" i="1"/>
  <c r="Y130"/>
  <c r="X130"/>
  <c r="W130"/>
  <c r="V130"/>
  <c r="U130"/>
  <c r="T130"/>
  <c r="S130"/>
  <c r="R130"/>
  <c r="Q130"/>
  <c r="P130"/>
  <c r="O130"/>
  <c r="N130"/>
  <c r="M130"/>
  <c r="L130"/>
  <c r="Z189" l="1"/>
  <c r="AJ80"/>
  <c r="AK80" s="1"/>
  <c r="AL80" s="1"/>
  <c r="AM80" s="1"/>
  <c r="AN80" s="1"/>
  <c r="AN226"/>
  <c r="U31" i="5"/>
  <c r="AN225" i="1"/>
  <c r="AM225"/>
  <c r="AL225"/>
  <c r="AK225"/>
  <c r="AJ225"/>
  <c r="AI225"/>
  <c r="AH225"/>
  <c r="AG225"/>
  <c r="AF225"/>
  <c r="AE225"/>
  <c r="AD225"/>
  <c r="AC225"/>
  <c r="AB225"/>
  <c r="AA225"/>
  <c r="AS92"/>
  <c r="AR92"/>
  <c r="AQ92"/>
  <c r="AP92"/>
  <c r="AO92"/>
  <c r="AC83"/>
  <c r="AB83"/>
  <c r="AN208"/>
  <c r="AM208"/>
  <c r="AL208"/>
  <c r="AK208"/>
  <c r="AJ208"/>
  <c r="AI208"/>
  <c r="AH208"/>
  <c r="AG208"/>
  <c r="AF208"/>
  <c r="AE208"/>
  <c r="AD208"/>
  <c r="AC208"/>
  <c r="AB208"/>
  <c r="Z208"/>
  <c r="E14" i="4" l="1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J14"/>
  <c r="AK14"/>
  <c r="AL14"/>
  <c r="AM14"/>
  <c r="AN14"/>
  <c r="AO14"/>
  <c r="AP14"/>
  <c r="AQ14"/>
  <c r="AR14"/>
  <c r="AS14"/>
  <c r="AT14"/>
  <c r="AU14"/>
  <c r="AV14"/>
  <c r="AW14"/>
  <c r="AX14"/>
  <c r="AY14"/>
  <c r="AZ14"/>
  <c r="BA14"/>
  <c r="BB14"/>
  <c r="BC14"/>
  <c r="BD14"/>
  <c r="BE14"/>
  <c r="BF14"/>
  <c r="BG14"/>
  <c r="BH14"/>
  <c r="BI14"/>
  <c r="BJ14"/>
  <c r="BK14"/>
  <c r="BL14"/>
  <c r="BM14"/>
  <c r="BN14"/>
  <c r="BO14"/>
  <c r="BP14"/>
  <c r="BQ14"/>
  <c r="BR14"/>
  <c r="BS14"/>
  <c r="BT14"/>
  <c r="BU14"/>
  <c r="BV14"/>
  <c r="BW14"/>
  <c r="BX14"/>
  <c r="BY14"/>
  <c r="BZ14"/>
  <c r="CA14"/>
  <c r="CB14"/>
  <c r="CC14"/>
  <c r="CD14"/>
  <c r="CE14"/>
  <c r="CF14"/>
  <c r="CG14"/>
  <c r="CH14"/>
  <c r="CI14"/>
  <c r="CJ14"/>
  <c r="CK14"/>
  <c r="CL14"/>
  <c r="CM14"/>
  <c r="CN14"/>
  <c r="CO14"/>
  <c r="CP14"/>
  <c r="CQ14"/>
  <c r="CR14"/>
  <c r="CS14"/>
  <c r="CT14"/>
  <c r="CU14"/>
  <c r="CV14"/>
  <c r="X19"/>
  <c r="AB19"/>
  <c r="AF19"/>
  <c r="AJ19"/>
  <c r="AN19"/>
  <c r="AR19"/>
  <c r="AV19"/>
  <c r="AZ19"/>
  <c r="BD19"/>
  <c r="BH19"/>
  <c r="BL19"/>
  <c r="BP19"/>
  <c r="BT19"/>
  <c r="BX19"/>
  <c r="CB19"/>
  <c r="CF19"/>
  <c r="CJ19"/>
  <c r="CN19"/>
  <c r="CR19"/>
  <c r="CV19"/>
  <c r="U20"/>
  <c r="U19" s="1"/>
  <c r="T19" s="1"/>
  <c r="V20"/>
  <c r="V19" s="1"/>
  <c r="W20"/>
  <c r="W19" s="1"/>
  <c r="X20"/>
  <c r="Y20"/>
  <c r="Y19" s="1"/>
  <c r="Z20"/>
  <c r="Z19" s="1"/>
  <c r="AA20"/>
  <c r="AA19" s="1"/>
  <c r="AB20"/>
  <c r="AC20"/>
  <c r="AC19" s="1"/>
  <c r="AD20"/>
  <c r="AD19" s="1"/>
  <c r="AE20"/>
  <c r="AE19" s="1"/>
  <c r="AF20"/>
  <c r="AG20"/>
  <c r="AG19" s="1"/>
  <c r="AH20"/>
  <c r="AH19" s="1"/>
  <c r="AI20"/>
  <c r="AI19" s="1"/>
  <c r="AJ20"/>
  <c r="AK20"/>
  <c r="AK19" s="1"/>
  <c r="AL20"/>
  <c r="AL19" s="1"/>
  <c r="AM20"/>
  <c r="AM19" s="1"/>
  <c r="AN20"/>
  <c r="AO20"/>
  <c r="AO19" s="1"/>
  <c r="AP20"/>
  <c r="AP19" s="1"/>
  <c r="AQ20"/>
  <c r="AQ19" s="1"/>
  <c r="AR20"/>
  <c r="AS20"/>
  <c r="AS19" s="1"/>
  <c r="AT20"/>
  <c r="AT19" s="1"/>
  <c r="AU20"/>
  <c r="AU19" s="1"/>
  <c r="AV20"/>
  <c r="AW20"/>
  <c r="AW19" s="1"/>
  <c r="AX20"/>
  <c r="AX19" s="1"/>
  <c r="AY20"/>
  <c r="AY19" s="1"/>
  <c r="AZ20"/>
  <c r="BA20"/>
  <c r="BA19" s="1"/>
  <c r="BB20"/>
  <c r="BB19" s="1"/>
  <c r="BC20"/>
  <c r="BC19" s="1"/>
  <c r="BD20"/>
  <c r="BE20"/>
  <c r="BE19" s="1"/>
  <c r="BF20"/>
  <c r="BF19" s="1"/>
  <c r="BG20"/>
  <c r="BG19" s="1"/>
  <c r="BH20"/>
  <c r="BI20"/>
  <c r="BI19" s="1"/>
  <c r="BJ20"/>
  <c r="BJ19" s="1"/>
  <c r="BK20"/>
  <c r="BK19" s="1"/>
  <c r="BL20"/>
  <c r="BM20"/>
  <c r="BM19" s="1"/>
  <c r="BN20"/>
  <c r="BN19" s="1"/>
  <c r="BO20"/>
  <c r="BO19" s="1"/>
  <c r="BP20"/>
  <c r="BQ20"/>
  <c r="BQ19" s="1"/>
  <c r="BR20"/>
  <c r="BR19" s="1"/>
  <c r="BS20"/>
  <c r="BS19" s="1"/>
  <c r="BT20"/>
  <c r="BU20"/>
  <c r="BU19" s="1"/>
  <c r="BV20"/>
  <c r="BV19" s="1"/>
  <c r="BW20"/>
  <c r="BW19" s="1"/>
  <c r="BX20"/>
  <c r="BY20"/>
  <c r="BY19" s="1"/>
  <c r="BZ20"/>
  <c r="BZ19" s="1"/>
  <c r="CA20"/>
  <c r="CA19" s="1"/>
  <c r="CB20"/>
  <c r="CC20"/>
  <c r="CC19" s="1"/>
  <c r="CD20"/>
  <c r="CD19" s="1"/>
  <c r="CE20"/>
  <c r="CE19" s="1"/>
  <c r="CF20"/>
  <c r="CG20"/>
  <c r="CG19" s="1"/>
  <c r="CH20"/>
  <c r="CH19" s="1"/>
  <c r="CI20"/>
  <c r="CI19" s="1"/>
  <c r="CJ20"/>
  <c r="CK20"/>
  <c r="CK19" s="1"/>
  <c r="CL20"/>
  <c r="CL19" s="1"/>
  <c r="CM20"/>
  <c r="CM19" s="1"/>
  <c r="CN20"/>
  <c r="CO20"/>
  <c r="CO19" s="1"/>
  <c r="CP20"/>
  <c r="CP19" s="1"/>
  <c r="CQ20"/>
  <c r="CQ19" s="1"/>
  <c r="CR20"/>
  <c r="CS20"/>
  <c r="CS19" s="1"/>
  <c r="CT20"/>
  <c r="CT19" s="1"/>
  <c r="CU20"/>
  <c r="CU19" s="1"/>
  <c r="CV20"/>
  <c r="T20" l="1"/>
  <c r="AJ54" l="1"/>
  <c r="AI54"/>
  <c r="AH54"/>
  <c r="AE55" l="1"/>
  <c r="AN55" l="1"/>
  <c r="AI55"/>
  <c r="AA11" l="1"/>
  <c r="Z11"/>
  <c r="AG38"/>
  <c r="AF38"/>
  <c r="AE38"/>
  <c r="AN183" l="1"/>
  <c r="AI183"/>
  <c r="AN167"/>
  <c r="AI167"/>
  <c r="AN151"/>
  <c r="AI151"/>
  <c r="AN135"/>
  <c r="AI135"/>
  <c r="AD135"/>
  <c r="AN119"/>
  <c r="AI119"/>
  <c r="AD119"/>
  <c r="AN103"/>
  <c r="AI103"/>
  <c r="AN87"/>
  <c r="AI87"/>
  <c r="AN71"/>
  <c r="AI71"/>
  <c r="AR182"/>
  <c r="AW182" s="1"/>
  <c r="BB182" s="1"/>
  <c r="BG182" s="1"/>
  <c r="BL182" s="1"/>
  <c r="BQ182" s="1"/>
  <c r="BV182" s="1"/>
  <c r="CA182" s="1"/>
  <c r="CF182" s="1"/>
  <c r="CK182" s="1"/>
  <c r="CP182" s="1"/>
  <c r="CU182" s="1"/>
  <c r="AQ182"/>
  <c r="AV182" s="1"/>
  <c r="BA182" s="1"/>
  <c r="BF182" s="1"/>
  <c r="BK182" s="1"/>
  <c r="BP182" s="1"/>
  <c r="BU182" s="1"/>
  <c r="BZ182" s="1"/>
  <c r="CE182" s="1"/>
  <c r="CJ182" s="1"/>
  <c r="CO182" s="1"/>
  <c r="CT182" s="1"/>
  <c r="AP182"/>
  <c r="AU182" s="1"/>
  <c r="AZ182" s="1"/>
  <c r="BE182" s="1"/>
  <c r="BJ182" s="1"/>
  <c r="BO182" s="1"/>
  <c r="BT182" s="1"/>
  <c r="BY182" s="1"/>
  <c r="CD182" s="1"/>
  <c r="CI182" s="1"/>
  <c r="CN182" s="1"/>
  <c r="CS182" s="1"/>
  <c r="AO182"/>
  <c r="AT182" s="1"/>
  <c r="AM182"/>
  <c r="AL182"/>
  <c r="AK182"/>
  <c r="AJ182"/>
  <c r="AH182"/>
  <c r="AR166"/>
  <c r="AW166" s="1"/>
  <c r="BB166" s="1"/>
  <c r="BG166" s="1"/>
  <c r="BL166" s="1"/>
  <c r="BQ166" s="1"/>
  <c r="BV166" s="1"/>
  <c r="CA166" s="1"/>
  <c r="CF166" s="1"/>
  <c r="CK166" s="1"/>
  <c r="CP166" s="1"/>
  <c r="CU166" s="1"/>
  <c r="AQ166"/>
  <c r="AV166" s="1"/>
  <c r="BA166" s="1"/>
  <c r="BF166" s="1"/>
  <c r="BK166" s="1"/>
  <c r="BP166" s="1"/>
  <c r="BU166" s="1"/>
  <c r="BZ166" s="1"/>
  <c r="CE166" s="1"/>
  <c r="CJ166" s="1"/>
  <c r="CO166" s="1"/>
  <c r="CT166" s="1"/>
  <c r="AP166"/>
  <c r="AU166" s="1"/>
  <c r="AZ166" s="1"/>
  <c r="BE166" s="1"/>
  <c r="BJ166" s="1"/>
  <c r="BO166" s="1"/>
  <c r="BT166" s="1"/>
  <c r="BY166" s="1"/>
  <c r="CD166" s="1"/>
  <c r="CI166" s="1"/>
  <c r="CN166" s="1"/>
  <c r="CS166" s="1"/>
  <c r="AO166"/>
  <c r="AT166" s="1"/>
  <c r="AY166" s="1"/>
  <c r="BD166" s="1"/>
  <c r="BI166" s="1"/>
  <c r="BN166" s="1"/>
  <c r="BS166" s="1"/>
  <c r="BX166" s="1"/>
  <c r="AM166"/>
  <c r="AL166"/>
  <c r="AK166"/>
  <c r="AJ166"/>
  <c r="AH166"/>
  <c r="AR134"/>
  <c r="AW134" s="1"/>
  <c r="BB134" s="1"/>
  <c r="BG134" s="1"/>
  <c r="BL134" s="1"/>
  <c r="BQ134" s="1"/>
  <c r="BV134" s="1"/>
  <c r="CA134" s="1"/>
  <c r="CF134" s="1"/>
  <c r="CK134" s="1"/>
  <c r="CP134" s="1"/>
  <c r="CU134" s="1"/>
  <c r="AQ134"/>
  <c r="AV134" s="1"/>
  <c r="BA134" s="1"/>
  <c r="BF134" s="1"/>
  <c r="BK134" s="1"/>
  <c r="BP134" s="1"/>
  <c r="BU134" s="1"/>
  <c r="BZ134" s="1"/>
  <c r="CE134" s="1"/>
  <c r="CJ134" s="1"/>
  <c r="CO134" s="1"/>
  <c r="CT134" s="1"/>
  <c r="AP134"/>
  <c r="AU134" s="1"/>
  <c r="AZ134" s="1"/>
  <c r="BE134" s="1"/>
  <c r="BJ134" s="1"/>
  <c r="BO134" s="1"/>
  <c r="BT134" s="1"/>
  <c r="BY134" s="1"/>
  <c r="CD134" s="1"/>
  <c r="CI134" s="1"/>
  <c r="CN134" s="1"/>
  <c r="CS134" s="1"/>
  <c r="AO134"/>
  <c r="AT134" s="1"/>
  <c r="AY134" s="1"/>
  <c r="BD134" s="1"/>
  <c r="BI134" s="1"/>
  <c r="AM134"/>
  <c r="AL134"/>
  <c r="AK134"/>
  <c r="AJ134"/>
  <c r="AH134"/>
  <c r="AW118"/>
  <c r="BB118" s="1"/>
  <c r="BG118" s="1"/>
  <c r="BL118" s="1"/>
  <c r="BQ118" s="1"/>
  <c r="BV118" s="1"/>
  <c r="CA118" s="1"/>
  <c r="CF118" s="1"/>
  <c r="CK118" s="1"/>
  <c r="AR118"/>
  <c r="AQ118"/>
  <c r="AV118" s="1"/>
  <c r="BA118" s="1"/>
  <c r="BF118" s="1"/>
  <c r="BK118" s="1"/>
  <c r="BP118" s="1"/>
  <c r="BU118" s="1"/>
  <c r="BZ118" s="1"/>
  <c r="CE118" s="1"/>
  <c r="CJ118" s="1"/>
  <c r="CO118" s="1"/>
  <c r="CT118" s="1"/>
  <c r="AP118"/>
  <c r="AU118" s="1"/>
  <c r="AZ118" s="1"/>
  <c r="BE118" s="1"/>
  <c r="BJ118" s="1"/>
  <c r="BO118" s="1"/>
  <c r="BT118" s="1"/>
  <c r="BY118" s="1"/>
  <c r="CD118" s="1"/>
  <c r="CI118" s="1"/>
  <c r="CN118" s="1"/>
  <c r="CS118" s="1"/>
  <c r="AO118"/>
  <c r="AT118" s="1"/>
  <c r="AM118"/>
  <c r="AL118"/>
  <c r="AK118"/>
  <c r="AJ118"/>
  <c r="AH118"/>
  <c r="AR102"/>
  <c r="AW102" s="1"/>
  <c r="BB102" s="1"/>
  <c r="BG102" s="1"/>
  <c r="BL102" s="1"/>
  <c r="BQ102" s="1"/>
  <c r="BV102" s="1"/>
  <c r="CA102" s="1"/>
  <c r="CF102" s="1"/>
  <c r="CK102" s="1"/>
  <c r="CP102" s="1"/>
  <c r="CU102" s="1"/>
  <c r="AQ102"/>
  <c r="AV102" s="1"/>
  <c r="BA102" s="1"/>
  <c r="BF102" s="1"/>
  <c r="BK102" s="1"/>
  <c r="BP102" s="1"/>
  <c r="BU102" s="1"/>
  <c r="BZ102" s="1"/>
  <c r="CE102" s="1"/>
  <c r="CJ102" s="1"/>
  <c r="CO102" s="1"/>
  <c r="CT102" s="1"/>
  <c r="AP102"/>
  <c r="AU102" s="1"/>
  <c r="AZ102" s="1"/>
  <c r="BE102" s="1"/>
  <c r="BJ102" s="1"/>
  <c r="BO102" s="1"/>
  <c r="BT102" s="1"/>
  <c r="BY102" s="1"/>
  <c r="CD102" s="1"/>
  <c r="CI102" s="1"/>
  <c r="CN102" s="1"/>
  <c r="CS102" s="1"/>
  <c r="AO102"/>
  <c r="AT102" s="1"/>
  <c r="AM102"/>
  <c r="AL102"/>
  <c r="AK102"/>
  <c r="AJ102"/>
  <c r="AH102"/>
  <c r="AD87"/>
  <c r="AU86"/>
  <c r="AZ86" s="1"/>
  <c r="BE86" s="1"/>
  <c r="BJ86" s="1"/>
  <c r="BO86" s="1"/>
  <c r="BT86" s="1"/>
  <c r="BY86" s="1"/>
  <c r="CD86" s="1"/>
  <c r="CI86" s="1"/>
  <c r="CN86" s="1"/>
  <c r="CS86" s="1"/>
  <c r="AT86"/>
  <c r="AY86" s="1"/>
  <c r="BD86" s="1"/>
  <c r="BI86" s="1"/>
  <c r="BN86" s="1"/>
  <c r="BS86" s="1"/>
  <c r="BX86" s="1"/>
  <c r="CC86" s="1"/>
  <c r="CH86" s="1"/>
  <c r="CM86" s="1"/>
  <c r="CR86" s="1"/>
  <c r="CV86" s="1"/>
  <c r="AR86"/>
  <c r="AW86" s="1"/>
  <c r="BB86" s="1"/>
  <c r="BG86" s="1"/>
  <c r="BL86" s="1"/>
  <c r="BQ86" s="1"/>
  <c r="BV86" s="1"/>
  <c r="CA86" s="1"/>
  <c r="CF86" s="1"/>
  <c r="CK86" s="1"/>
  <c r="CP86" s="1"/>
  <c r="CU86" s="1"/>
  <c r="AQ86"/>
  <c r="AV86" s="1"/>
  <c r="BA86" s="1"/>
  <c r="BF86" s="1"/>
  <c r="BK86" s="1"/>
  <c r="BP86" s="1"/>
  <c r="BU86" s="1"/>
  <c r="BZ86" s="1"/>
  <c r="CE86" s="1"/>
  <c r="CJ86" s="1"/>
  <c r="CO86" s="1"/>
  <c r="CT86" s="1"/>
  <c r="AP86"/>
  <c r="AO86"/>
  <c r="AS86" s="1"/>
  <c r="AS87" s="1"/>
  <c r="AN86"/>
  <c r="AM86"/>
  <c r="AL86"/>
  <c r="AK86"/>
  <c r="AJ86"/>
  <c r="AH86"/>
  <c r="AT70"/>
  <c r="AY70" s="1"/>
  <c r="AR70"/>
  <c r="AW70" s="1"/>
  <c r="BB70" s="1"/>
  <c r="BG70" s="1"/>
  <c r="BL70" s="1"/>
  <c r="BQ70" s="1"/>
  <c r="BV70" s="1"/>
  <c r="CA70" s="1"/>
  <c r="CF70" s="1"/>
  <c r="CK70" s="1"/>
  <c r="CP70" s="1"/>
  <c r="AQ70"/>
  <c r="AV70" s="1"/>
  <c r="AP70"/>
  <c r="AU70" s="1"/>
  <c r="AZ70" s="1"/>
  <c r="BE70" s="1"/>
  <c r="BJ70" s="1"/>
  <c r="AO70"/>
  <c r="AM70"/>
  <c r="AL70"/>
  <c r="AK70"/>
  <c r="AJ70"/>
  <c r="AI70"/>
  <c r="AH70"/>
  <c r="AN70"/>
  <c r="AD54"/>
  <c r="AL54"/>
  <c r="AQ54" s="1"/>
  <c r="AV54" s="1"/>
  <c r="BA54" s="1"/>
  <c r="BF54" s="1"/>
  <c r="BK54" s="1"/>
  <c r="BP54" s="1"/>
  <c r="BU54" s="1"/>
  <c r="BZ54" s="1"/>
  <c r="CE54" s="1"/>
  <c r="CJ54" s="1"/>
  <c r="CO54" s="1"/>
  <c r="CT54" s="1"/>
  <c r="AK54"/>
  <c r="AP54" s="1"/>
  <c r="AU54" s="1"/>
  <c r="AZ54" s="1"/>
  <c r="BE54" s="1"/>
  <c r="BJ54" s="1"/>
  <c r="BO54" s="1"/>
  <c r="BT54" s="1"/>
  <c r="BY54" s="1"/>
  <c r="CD54" s="1"/>
  <c r="CI54" s="1"/>
  <c r="CN54" s="1"/>
  <c r="CS54" s="1"/>
  <c r="AO54"/>
  <c r="AT54" s="1"/>
  <c r="AY54" s="1"/>
  <c r="BD54" s="1"/>
  <c r="BI54" s="1"/>
  <c r="BN54" s="1"/>
  <c r="BS54" s="1"/>
  <c r="BX54" s="1"/>
  <c r="CC54" s="1"/>
  <c r="CH54" s="1"/>
  <c r="CM54" s="1"/>
  <c r="AM54"/>
  <c r="AD55"/>
  <c r="AG55"/>
  <c r="AF55"/>
  <c r="AR150"/>
  <c r="AQ150"/>
  <c r="AV150" s="1"/>
  <c r="BA150" s="1"/>
  <c r="BF150" s="1"/>
  <c r="BK150" s="1"/>
  <c r="BP150" s="1"/>
  <c r="BU150" s="1"/>
  <c r="BZ150" s="1"/>
  <c r="CE150" s="1"/>
  <c r="CJ150" s="1"/>
  <c r="CO150" s="1"/>
  <c r="CT150" s="1"/>
  <c r="AP150"/>
  <c r="AU150" s="1"/>
  <c r="AZ150" s="1"/>
  <c r="BE150" s="1"/>
  <c r="BJ150" s="1"/>
  <c r="BO150" s="1"/>
  <c r="BT150" s="1"/>
  <c r="BY150" s="1"/>
  <c r="CD150" s="1"/>
  <c r="CI150" s="1"/>
  <c r="CN150" s="1"/>
  <c r="CS150" s="1"/>
  <c r="AO150"/>
  <c r="AT150" s="1"/>
  <c r="AN150"/>
  <c r="AM150"/>
  <c r="AL150"/>
  <c r="AK150"/>
  <c r="AJ150"/>
  <c r="AI150"/>
  <c r="AH150"/>
  <c r="AW150"/>
  <c r="BB150" s="1"/>
  <c r="BG150" s="1"/>
  <c r="BL150" s="1"/>
  <c r="BQ150" s="1"/>
  <c r="BV150" s="1"/>
  <c r="CA150" s="1"/>
  <c r="CF150" s="1"/>
  <c r="CK150" s="1"/>
  <c r="CP150" s="1"/>
  <c r="CU150" s="1"/>
  <c r="AD150"/>
  <c r="AG151"/>
  <c r="AF151"/>
  <c r="AE151"/>
  <c r="Y150"/>
  <c r="AD151" s="1"/>
  <c r="Y151"/>
  <c r="T151"/>
  <c r="O151"/>
  <c r="J151"/>
  <c r="AX182" l="1"/>
  <c r="AY182"/>
  <c r="BD182" s="1"/>
  <c r="CC166"/>
  <c r="CH166" s="1"/>
  <c r="CB166"/>
  <c r="AY150"/>
  <c r="AX150"/>
  <c r="AS150"/>
  <c r="AS151" s="1"/>
  <c r="CP118"/>
  <c r="CU118" s="1"/>
  <c r="AY118"/>
  <c r="BD118" s="1"/>
  <c r="BI118" s="1"/>
  <c r="BN118" s="1"/>
  <c r="AX118"/>
  <c r="AX102"/>
  <c r="AY102"/>
  <c r="BD70"/>
  <c r="BI70" s="1"/>
  <c r="BN70" s="1"/>
  <c r="BS70" s="1"/>
  <c r="BX70" s="1"/>
  <c r="CC70" s="1"/>
  <c r="CH70" s="1"/>
  <c r="AX70"/>
  <c r="BA70"/>
  <c r="BF70" s="1"/>
  <c r="BK70" s="1"/>
  <c r="BP70" s="1"/>
  <c r="BU70" s="1"/>
  <c r="BZ70" s="1"/>
  <c r="CE70" s="1"/>
  <c r="CJ70" s="1"/>
  <c r="CO70" s="1"/>
  <c r="AS70"/>
  <c r="AS71" s="1"/>
  <c r="AN54"/>
  <c r="AR54"/>
  <c r="BR166"/>
  <c r="BH166"/>
  <c r="AX166"/>
  <c r="BN134"/>
  <c r="BM134"/>
  <c r="BH134"/>
  <c r="AX134"/>
  <c r="CL86"/>
  <c r="CQ86"/>
  <c r="CQ87" s="1"/>
  <c r="CG86"/>
  <c r="CB86"/>
  <c r="BR86"/>
  <c r="BW86"/>
  <c r="BH86"/>
  <c r="BM86"/>
  <c r="BC86"/>
  <c r="BO70"/>
  <c r="BT70" s="1"/>
  <c r="CR54"/>
  <c r="X235" i="1"/>
  <c r="U235"/>
  <c r="V235"/>
  <c r="N144"/>
  <c r="N140"/>
  <c r="N142"/>
  <c r="BM87" i="4" l="1"/>
  <c r="BR87"/>
  <c r="CB87"/>
  <c r="BI182"/>
  <c r="BN182" s="1"/>
  <c r="BH182"/>
  <c r="CM166"/>
  <c r="CL166"/>
  <c r="AX151"/>
  <c r="BC150"/>
  <c r="BC151" s="1"/>
  <c r="BD150"/>
  <c r="BM135"/>
  <c r="BS118"/>
  <c r="BX118" s="1"/>
  <c r="BR118"/>
  <c r="BH118"/>
  <c r="BC102"/>
  <c r="BC103" s="1"/>
  <c r="BD102"/>
  <c r="CG87"/>
  <c r="CL87"/>
  <c r="CV87"/>
  <c r="BH87"/>
  <c r="BW87"/>
  <c r="BW70"/>
  <c r="BY70"/>
  <c r="AX71"/>
  <c r="BC70"/>
  <c r="BC71" s="1"/>
  <c r="BH70"/>
  <c r="BM70"/>
  <c r="AS54"/>
  <c r="AS55" s="1"/>
  <c r="AW54"/>
  <c r="BS134"/>
  <c r="BX134" s="1"/>
  <c r="BR134"/>
  <c r="BR135" s="1"/>
  <c r="CM70"/>
  <c r="BR70"/>
  <c r="BR71" s="1"/>
  <c r="AN149" i="1"/>
  <c r="AM149"/>
  <c r="AL149"/>
  <c r="AK149"/>
  <c r="AJ149"/>
  <c r="AI149"/>
  <c r="AH149"/>
  <c r="AG149"/>
  <c r="AF149"/>
  <c r="AE149"/>
  <c r="AD149"/>
  <c r="AC149"/>
  <c r="Y146"/>
  <c r="W146"/>
  <c r="X146" s="1"/>
  <c r="R146"/>
  <c r="S146" s="1"/>
  <c r="T146" s="1"/>
  <c r="U146" s="1"/>
  <c r="V146" s="1"/>
  <c r="P146"/>
  <c r="Q146" s="1"/>
  <c r="O146"/>
  <c r="O147"/>
  <c r="P147" s="1"/>
  <c r="Q147" s="1"/>
  <c r="N147"/>
  <c r="R147" l="1"/>
  <c r="Q153"/>
  <c r="BH71" i="4"/>
  <c r="BW71"/>
  <c r="BS182"/>
  <c r="BX182" s="1"/>
  <c r="BR182"/>
  <c r="CR166"/>
  <c r="CQ166"/>
  <c r="CQ167" s="1"/>
  <c r="BH150"/>
  <c r="BH151" s="1"/>
  <c r="BI150"/>
  <c r="CC134"/>
  <c r="CB134"/>
  <c r="CC118"/>
  <c r="CH118" s="1"/>
  <c r="CB118"/>
  <c r="BH102"/>
  <c r="BH103" s="1"/>
  <c r="BI102"/>
  <c r="BM71"/>
  <c r="CD70"/>
  <c r="CB70"/>
  <c r="CB71" s="1"/>
  <c r="BB54"/>
  <c r="AX54"/>
  <c r="AX55" s="1"/>
  <c r="S147" i="1" l="1"/>
  <c r="R153"/>
  <c r="CC182" i="4"/>
  <c r="CH182" s="1"/>
  <c r="CB182"/>
  <c r="BN150"/>
  <c r="BM150"/>
  <c r="BM151" s="1"/>
  <c r="CH134"/>
  <c r="CG134"/>
  <c r="CG135" s="1"/>
  <c r="CM118"/>
  <c r="CR118" s="1"/>
  <c r="CV118" s="1"/>
  <c r="CL118"/>
  <c r="BM102"/>
  <c r="BM103" s="1"/>
  <c r="BN102"/>
  <c r="CI70"/>
  <c r="CG70"/>
  <c r="CG71" s="1"/>
  <c r="BC54"/>
  <c r="BC55" s="1"/>
  <c r="BG54"/>
  <c r="S10" i="5"/>
  <c r="T147" i="1" l="1"/>
  <c r="S153"/>
  <c r="CM182" i="4"/>
  <c r="CR182" s="1"/>
  <c r="CL182"/>
  <c r="BS150"/>
  <c r="BR150"/>
  <c r="BR151" s="1"/>
  <c r="CL134"/>
  <c r="CL135" s="1"/>
  <c r="CM134"/>
  <c r="BR102"/>
  <c r="BR103" s="1"/>
  <c r="BS102"/>
  <c r="CN70"/>
  <c r="CQ70" s="1"/>
  <c r="CL70"/>
  <c r="CL71" s="1"/>
  <c r="BL54"/>
  <c r="BH54"/>
  <c r="BH55" s="1"/>
  <c r="AB101" i="1"/>
  <c r="U147" l="1"/>
  <c r="T153"/>
  <c r="BX150" i="4"/>
  <c r="BW150"/>
  <c r="BW151" s="1"/>
  <c r="CQ134"/>
  <c r="CQ135" s="1"/>
  <c r="CR134"/>
  <c r="CV134" s="1"/>
  <c r="BX102"/>
  <c r="BW102"/>
  <c r="BW103" s="1"/>
  <c r="CQ71"/>
  <c r="BQ54"/>
  <c r="BM54"/>
  <c r="BM55" s="1"/>
  <c r="AB96" i="1"/>
  <c r="AB94"/>
  <c r="AB93"/>
  <c r="AB92"/>
  <c r="AB12"/>
  <c r="AB15"/>
  <c r="AB14" s="1"/>
  <c r="AB16"/>
  <c r="AB25"/>
  <c r="AC25" s="1"/>
  <c r="AD25" s="1"/>
  <c r="AE25" s="1"/>
  <c r="AF25" s="1"/>
  <c r="AB30"/>
  <c r="AB127" s="1"/>
  <c r="AB31"/>
  <c r="AB32"/>
  <c r="AB224"/>
  <c r="AB216"/>
  <c r="AB215"/>
  <c r="AB214"/>
  <c r="AB213"/>
  <c r="AB212"/>
  <c r="AB189"/>
  <c r="Z186"/>
  <c r="AB168"/>
  <c r="AC168"/>
  <c r="AD168"/>
  <c r="AE168"/>
  <c r="AF168"/>
  <c r="AG168"/>
  <c r="AA168"/>
  <c r="AA169"/>
  <c r="AA162"/>
  <c r="AB162" s="1"/>
  <c r="T10" i="5"/>
  <c r="AB149" i="1"/>
  <c r="AA146"/>
  <c r="AB146" s="1"/>
  <c r="AC146" s="1"/>
  <c r="AD146" s="1"/>
  <c r="AE146" s="1"/>
  <c r="AF146" s="1"/>
  <c r="AG146" s="1"/>
  <c r="AH146" s="1"/>
  <c r="AI146" s="1"/>
  <c r="AJ146" s="1"/>
  <c r="AK146" s="1"/>
  <c r="AL146" s="1"/>
  <c r="AM146" s="1"/>
  <c r="AN146" s="1"/>
  <c r="Z146"/>
  <c r="AA136"/>
  <c r="AF102"/>
  <c r="AE102"/>
  <c r="AD102"/>
  <c r="AC102"/>
  <c r="AB102"/>
  <c r="AN101"/>
  <c r="AN55" s="1"/>
  <c r="AN63" s="1"/>
  <c r="AM101"/>
  <c r="AM55" s="1"/>
  <c r="AM63" s="1"/>
  <c r="AL101"/>
  <c r="AL55" s="1"/>
  <c r="AL63" s="1"/>
  <c r="AK101"/>
  <c r="AK55" s="1"/>
  <c r="AK63" s="1"/>
  <c r="AJ101"/>
  <c r="AJ55" s="1"/>
  <c r="AJ63" s="1"/>
  <c r="AB55"/>
  <c r="AB63" s="1"/>
  <c r="AN100"/>
  <c r="AM100"/>
  <c r="AL100"/>
  <c r="AK100"/>
  <c r="AJ100"/>
  <c r="AI100"/>
  <c r="AI101" s="1"/>
  <c r="AI55" s="1"/>
  <c r="AI63" s="1"/>
  <c r="AH100"/>
  <c r="AH101" s="1"/>
  <c r="AH55" s="1"/>
  <c r="AH63" s="1"/>
  <c r="AG100"/>
  <c r="AF101" s="1"/>
  <c r="AF55" s="1"/>
  <c r="AF63" s="1"/>
  <c r="AF100"/>
  <c r="AE100"/>
  <c r="AD100"/>
  <c r="AC100"/>
  <c r="AB100"/>
  <c r="AA101"/>
  <c r="AA100"/>
  <c r="AC96"/>
  <c r="AN94"/>
  <c r="AM94"/>
  <c r="AL94"/>
  <c r="AK94"/>
  <c r="AJ94"/>
  <c r="AI94"/>
  <c r="AH94"/>
  <c r="AG94"/>
  <c r="AF94"/>
  <c r="AE94"/>
  <c r="AD94"/>
  <c r="AC94"/>
  <c r="AN93"/>
  <c r="AM93"/>
  <c r="AL93"/>
  <c r="AK93"/>
  <c r="AJ93"/>
  <c r="AI93"/>
  <c r="AH93"/>
  <c r="AG93"/>
  <c r="AF93"/>
  <c r="AE93"/>
  <c r="AD93"/>
  <c r="AC93"/>
  <c r="AN92"/>
  <c r="AM92"/>
  <c r="AL92"/>
  <c r="AK92"/>
  <c r="AK42" s="1"/>
  <c r="AJ92"/>
  <c r="AJ42" s="1"/>
  <c r="AI92"/>
  <c r="AH92"/>
  <c r="AH42" s="1"/>
  <c r="AH54" s="1"/>
  <c r="AG92"/>
  <c r="AG42" s="1"/>
  <c r="AG54" s="1"/>
  <c r="AF92"/>
  <c r="AE92"/>
  <c r="AD92"/>
  <c r="AC92"/>
  <c r="AC42" s="1"/>
  <c r="AA83"/>
  <c r="Z83"/>
  <c r="AN54"/>
  <c r="AM54"/>
  <c r="AF54"/>
  <c r="AE54"/>
  <c r="AB51"/>
  <c r="AB62" s="1"/>
  <c r="AN42"/>
  <c r="AM42"/>
  <c r="AL42"/>
  <c r="AL54" s="1"/>
  <c r="AI42"/>
  <c r="AI54" s="1"/>
  <c r="AF42"/>
  <c r="AE42"/>
  <c r="AD42"/>
  <c r="AD54" s="1"/>
  <c r="AB42"/>
  <c r="AD41"/>
  <c r="AC12"/>
  <c r="AD12" s="1"/>
  <c r="AE12" s="1"/>
  <c r="AF12" s="1"/>
  <c r="AG12" s="1"/>
  <c r="AH12" s="1"/>
  <c r="AI12" s="1"/>
  <c r="AJ12" s="1"/>
  <c r="AK12" s="1"/>
  <c r="AL12" s="1"/>
  <c r="AM12" s="1"/>
  <c r="AN12" s="1"/>
  <c r="AC15"/>
  <c r="AA31"/>
  <c r="AA32"/>
  <c r="AC32" s="1"/>
  <c r="AD32" s="1"/>
  <c r="AE32" s="1"/>
  <c r="AF32" s="1"/>
  <c r="AG32" s="1"/>
  <c r="AH32" s="1"/>
  <c r="AI32" s="1"/>
  <c r="AJ32" s="1"/>
  <c r="AK32" s="1"/>
  <c r="AL32" s="1"/>
  <c r="AM32" s="1"/>
  <c r="AN32" s="1"/>
  <c r="AA25"/>
  <c r="AA22"/>
  <c r="AA16"/>
  <c r="AA15"/>
  <c r="AA14"/>
  <c r="AA12"/>
  <c r="AN22"/>
  <c r="V147" l="1"/>
  <c r="U153"/>
  <c r="CB150" i="4"/>
  <c r="CB151" s="1"/>
  <c r="CC150"/>
  <c r="CV135"/>
  <c r="CC102"/>
  <c r="CB102"/>
  <c r="CB103" s="1"/>
  <c r="BV54"/>
  <c r="BR54"/>
  <c r="BR55" s="1"/>
  <c r="U10" i="5"/>
  <c r="AB136" i="1"/>
  <c r="AG101"/>
  <c r="AG55" s="1"/>
  <c r="AG63" s="1"/>
  <c r="AD101"/>
  <c r="AD55" s="1"/>
  <c r="AD63" s="1"/>
  <c r="AE101"/>
  <c r="AE55" s="1"/>
  <c r="AE63" s="1"/>
  <c r="AC101"/>
  <c r="AC55" s="1"/>
  <c r="AC63" s="1"/>
  <c r="AJ54"/>
  <c r="AC54"/>
  <c r="AK54"/>
  <c r="AB54"/>
  <c r="AC31"/>
  <c r="AD31" s="1"/>
  <c r="AE31" s="1"/>
  <c r="AF31" s="1"/>
  <c r="AG31" s="1"/>
  <c r="AH31" s="1"/>
  <c r="AI31" s="1"/>
  <c r="AJ31" s="1"/>
  <c r="AK31" s="1"/>
  <c r="AL31" s="1"/>
  <c r="AM31" s="1"/>
  <c r="AN31" s="1"/>
  <c r="AD15"/>
  <c r="AE15" s="1"/>
  <c r="AG25"/>
  <c r="V153" l="1"/>
  <c r="W147"/>
  <c r="CH150" i="4"/>
  <c r="CG150"/>
  <c r="CG151" s="1"/>
  <c r="CG102"/>
  <c r="CG103" s="1"/>
  <c r="CH102"/>
  <c r="CA54"/>
  <c r="BW54"/>
  <c r="BW55" s="1"/>
  <c r="AH25" i="1"/>
  <c r="AF15"/>
  <c r="W153" l="1"/>
  <c r="X147"/>
  <c r="CM150" i="4"/>
  <c r="CL150"/>
  <c r="CL151" s="1"/>
  <c r="CM102"/>
  <c r="CL102"/>
  <c r="CL103" s="1"/>
  <c r="CF54"/>
  <c r="CB54"/>
  <c r="CB55" s="1"/>
  <c r="AG15" i="1"/>
  <c r="AI25"/>
  <c r="AA194"/>
  <c r="Z194"/>
  <c r="Z92"/>
  <c r="Z32"/>
  <c r="Z101"/>
  <c r="Z31"/>
  <c r="R5" i="5"/>
  <c r="X153" i="1" l="1"/>
  <c r="Y147"/>
  <c r="CR150" i="4"/>
  <c r="CV150" s="1"/>
  <c r="CQ150"/>
  <c r="CQ151" s="1"/>
  <c r="CQ102"/>
  <c r="CQ103" s="1"/>
  <c r="CR102"/>
  <c r="CV102" s="1"/>
  <c r="CV103" s="1"/>
  <c r="CK54"/>
  <c r="CG54"/>
  <c r="CG55" s="1"/>
  <c r="AJ25" i="1"/>
  <c r="AH15"/>
  <c r="Y138"/>
  <c r="X138"/>
  <c r="W138"/>
  <c r="V138"/>
  <c r="Y153" l="1"/>
  <c r="Z147"/>
  <c r="Z148" s="1"/>
  <c r="CV151" i="4"/>
  <c r="CP54"/>
  <c r="CL54"/>
  <c r="CL55" s="1"/>
  <c r="AI15" i="1"/>
  <c r="AK25"/>
  <c r="AA149"/>
  <c r="Z136"/>
  <c r="Z125"/>
  <c r="Z122"/>
  <c r="Z119"/>
  <c r="Z113"/>
  <c r="AA92"/>
  <c r="S26" i="5"/>
  <c r="S22"/>
  <c r="V46"/>
  <c r="W46" s="1"/>
  <c r="X46" s="1"/>
  <c r="Y46" s="1"/>
  <c r="Z46" s="1"/>
  <c r="AA46" s="1"/>
  <c r="AB46" s="1"/>
  <c r="AC46" s="1"/>
  <c r="AD46" s="1"/>
  <c r="AE46" s="1"/>
  <c r="AF46" s="1"/>
  <c r="AM21" i="4"/>
  <c r="AN21"/>
  <c r="AI21"/>
  <c r="Y96" i="1"/>
  <c r="X96"/>
  <c r="W96"/>
  <c r="W92"/>
  <c r="X92" s="1"/>
  <c r="Y92" s="1"/>
  <c r="Y83"/>
  <c r="X83"/>
  <c r="W83"/>
  <c r="V83"/>
  <c r="U83"/>
  <c r="Z58"/>
  <c r="Z55"/>
  <c r="Z63" s="1"/>
  <c r="Z38"/>
  <c r="Z82" s="1"/>
  <c r="Z25"/>
  <c r="Z22"/>
  <c r="Z15"/>
  <c r="Z12"/>
  <c r="AA147" l="1"/>
  <c r="Z153"/>
  <c r="AA153" s="1"/>
  <c r="CU54" i="4"/>
  <c r="CV54" s="1"/>
  <c r="CQ54"/>
  <c r="CQ55" s="1"/>
  <c r="AL25" i="1"/>
  <c r="AJ15"/>
  <c r="Z93"/>
  <c r="Z42"/>
  <c r="Z54" s="1"/>
  <c r="Z96"/>
  <c r="Z51" s="1"/>
  <c r="Z62" s="1"/>
  <c r="AB148" l="1"/>
  <c r="AA226" s="1"/>
  <c r="AB147"/>
  <c r="AC148" s="1"/>
  <c r="AA148"/>
  <c r="CV55" i="4"/>
  <c r="AK15" i="1"/>
  <c r="AM25"/>
  <c r="Z16"/>
  <c r="Z14" s="1"/>
  <c r="AA96"/>
  <c r="AA163" l="1"/>
  <c r="Z163"/>
  <c r="AN25"/>
  <c r="AL15"/>
  <c r="AA51"/>
  <c r="AM15" l="1"/>
  <c r="AN15" l="1"/>
  <c r="V43" i="5"/>
  <c r="W43" s="1"/>
  <c r="AA211" i="1" l="1"/>
  <c r="AA242"/>
  <c r="V239" l="1"/>
  <c r="V238"/>
  <c r="V237"/>
  <c r="V240" s="1"/>
  <c r="Y14" l="1"/>
  <c r="Y12"/>
  <c r="Y10"/>
  <c r="Y7"/>
  <c r="AA99" l="1"/>
  <c r="T83"/>
  <c r="S83"/>
  <c r="R83"/>
  <c r="Q83"/>
  <c r="X199"/>
  <c r="Y199"/>
  <c r="Z181"/>
  <c r="Y184"/>
  <c r="Z187"/>
  <c r="Z185" s="1"/>
  <c r="X184"/>
  <c r="W184"/>
  <c r="Y171"/>
  <c r="X171"/>
  <c r="W171"/>
  <c r="Y70"/>
  <c r="X70"/>
  <c r="Z216"/>
  <c r="Z217" s="1"/>
  <c r="Z215"/>
  <c r="Z214"/>
  <c r="Z213"/>
  <c r="Z212"/>
  <c r="Y36"/>
  <c r="Y136"/>
  <c r="Y68"/>
  <c r="X74"/>
  <c r="Y74"/>
  <c r="X7"/>
  <c r="AF26" i="5"/>
  <c r="AE26"/>
  <c r="Z26"/>
  <c r="Y26"/>
  <c r="X26"/>
  <c r="Q22"/>
  <c r="R22" s="1"/>
  <c r="T22" s="1"/>
  <c r="U22" s="1"/>
  <c r="V22" s="1"/>
  <c r="W22" s="1"/>
  <c r="X22" s="1"/>
  <c r="Y22" s="1"/>
  <c r="Z22" s="1"/>
  <c r="AA22" s="1"/>
  <c r="AB22" s="1"/>
  <c r="AC22" s="1"/>
  <c r="AD22" s="1"/>
  <c r="AE22" s="1"/>
  <c r="AF22" s="1"/>
  <c r="P22"/>
  <c r="O22"/>
  <c r="Z184" i="1" l="1"/>
  <c r="AA184" s="1"/>
  <c r="Z175"/>
  <c r="Z69" s="1"/>
  <c r="Z190" s="1"/>
  <c r="Z191" s="1"/>
  <c r="AA69"/>
  <c r="AA97"/>
  <c r="Y101" l="1"/>
  <c r="X101"/>
  <c r="W101"/>
  <c r="AD97"/>
  <c r="AE97" s="1"/>
  <c r="AF97" s="1"/>
  <c r="AG97" s="1"/>
  <c r="AH97" s="1"/>
  <c r="AI97" s="1"/>
  <c r="AJ97" s="1"/>
  <c r="AK97" s="1"/>
  <c r="AL97" s="1"/>
  <c r="AM97" s="1"/>
  <c r="AN97" s="1"/>
  <c r="AC97"/>
  <c r="Z102"/>
  <c r="Z30" s="1"/>
  <c r="Z127" s="1"/>
  <c r="Y102"/>
  <c r="X102"/>
  <c r="W102"/>
  <c r="X198"/>
  <c r="AA221"/>
  <c r="V184"/>
  <c r="AG183" i="4"/>
  <c r="AG167"/>
  <c r="AG135"/>
  <c r="AG119"/>
  <c r="AG103"/>
  <c r="AG87"/>
  <c r="AG71"/>
  <c r="AA102" i="1" l="1"/>
  <c r="AA30" s="1"/>
  <c r="Y105"/>
  <c r="V92"/>
  <c r="T92"/>
  <c r="S92"/>
  <c r="Y42"/>
  <c r="X42"/>
  <c r="AA42"/>
  <c r="AA54" s="1"/>
  <c r="Z221"/>
  <c r="Y132"/>
  <c r="Y129"/>
  <c r="Y127"/>
  <c r="Y122"/>
  <c r="X122"/>
  <c r="W122"/>
  <c r="X127"/>
  <c r="W127"/>
  <c r="AA62"/>
  <c r="V96"/>
  <c r="Z97"/>
  <c r="D16" i="5"/>
  <c r="C16"/>
  <c r="D15"/>
  <c r="C15"/>
  <c r="D14"/>
  <c r="D34" s="1"/>
  <c r="C14"/>
  <c r="C46" s="1"/>
  <c r="D13"/>
  <c r="C13"/>
  <c r="B16"/>
  <c r="B15"/>
  <c r="B14"/>
  <c r="B46" s="1"/>
  <c r="B13"/>
  <c r="Q30"/>
  <c r="P30"/>
  <c r="O30"/>
  <c r="N30"/>
  <c r="Q21"/>
  <c r="Q27" s="1"/>
  <c r="P21"/>
  <c r="P27" s="1"/>
  <c r="O21"/>
  <c r="AI52" i="4"/>
  <c r="AI49"/>
  <c r="AG35"/>
  <c r="AF35"/>
  <c r="AE35"/>
  <c r="Y44" i="1"/>
  <c r="T31" i="4"/>
  <c r="AA155"/>
  <c r="Z155"/>
  <c r="Y155"/>
  <c r="AA171"/>
  <c r="Z171"/>
  <c r="Y171"/>
  <c r="W187"/>
  <c r="V187"/>
  <c r="U187"/>
  <c r="AF183"/>
  <c r="AF167"/>
  <c r="AF135"/>
  <c r="AF119"/>
  <c r="AF103"/>
  <c r="AF87"/>
  <c r="AF71"/>
  <c r="AE16" l="1"/>
  <c r="AG16"/>
  <c r="AF16"/>
  <c r="O27" i="5"/>
  <c r="D31"/>
  <c r="B43"/>
  <c r="C43"/>
  <c r="D43"/>
  <c r="D46"/>
  <c r="B34"/>
  <c r="B31"/>
  <c r="C34"/>
  <c r="C31"/>
  <c r="AC30" i="1" l="1"/>
  <c r="Z209"/>
  <c r="AA209" s="1"/>
  <c r="AE31" i="4"/>
  <c r="AD31"/>
  <c r="AC31"/>
  <c r="AB31"/>
  <c r="AA31"/>
  <c r="Z31"/>
  <c r="H5" i="5"/>
  <c r="G5"/>
  <c r="F5"/>
  <c r="E5"/>
  <c r="AD49" i="4" l="1"/>
  <c r="AC49"/>
  <c r="AB49"/>
  <c r="AA49"/>
  <c r="Z49"/>
  <c r="AA46"/>
  <c r="Z46"/>
  <c r="AG39"/>
  <c r="AF39"/>
  <c r="AE39"/>
  <c r="AG41"/>
  <c r="AG42" s="1"/>
  <c r="AF41"/>
  <c r="AF42" s="1"/>
  <c r="AE41"/>
  <c r="AE42" s="1"/>
  <c r="Y46"/>
  <c r="Y39" i="1"/>
  <c r="X236"/>
  <c r="X108"/>
  <c r="W108"/>
  <c r="Y219"/>
  <c r="Y217"/>
  <c r="Y209"/>
  <c r="Y206"/>
  <c r="X206"/>
  <c r="X217"/>
  <c r="X209"/>
  <c r="W219"/>
  <c r="X219"/>
  <c r="X197"/>
  <c r="Y197"/>
  <c r="O45" i="5"/>
  <c r="P45"/>
  <c r="Q45"/>
  <c r="O42"/>
  <c r="P42"/>
  <c r="Q42"/>
  <c r="O39"/>
  <c r="P39"/>
  <c r="Q39"/>
  <c r="O36"/>
  <c r="P36"/>
  <c r="Q36"/>
  <c r="O33"/>
  <c r="P33"/>
  <c r="Q33"/>
  <c r="S3"/>
  <c r="S12" s="1"/>
  <c r="R3"/>
  <c r="R12" s="1"/>
  <c r="R16" s="1"/>
  <c r="O3"/>
  <c r="O12" s="1"/>
  <c r="V102" i="1"/>
  <c r="U92"/>
  <c r="R92"/>
  <c r="Y75"/>
  <c r="Y69"/>
  <c r="Y63"/>
  <c r="Y62"/>
  <c r="Y58"/>
  <c r="Y57"/>
  <c r="Y56"/>
  <c r="Y55"/>
  <c r="Y54"/>
  <c r="Y53"/>
  <c r="Y52"/>
  <c r="Y51"/>
  <c r="Y50"/>
  <c r="Y49"/>
  <c r="Y46"/>
  <c r="Y60" s="1"/>
  <c r="Y72" s="1"/>
  <c r="Y198" s="1"/>
  <c r="Y41"/>
  <c r="Y40"/>
  <c r="Y29"/>
  <c r="Y26"/>
  <c r="Y22"/>
  <c r="Y24"/>
  <c r="Y124"/>
  <c r="X12"/>
  <c r="X234"/>
  <c r="X224"/>
  <c r="X201"/>
  <c r="X179"/>
  <c r="X97"/>
  <c r="X135"/>
  <c r="X136"/>
  <c r="X137"/>
  <c r="X111"/>
  <c r="X112"/>
  <c r="Y112"/>
  <c r="X113"/>
  <c r="Y113"/>
  <c r="X115"/>
  <c r="X116" s="1"/>
  <c r="Y115"/>
  <c r="X118"/>
  <c r="Y118"/>
  <c r="Y119" s="1"/>
  <c r="X119"/>
  <c r="X121"/>
  <c r="Y121"/>
  <c r="X124"/>
  <c r="X125"/>
  <c r="X129"/>
  <c r="X132"/>
  <c r="X133" s="1"/>
  <c r="W109"/>
  <c r="X104"/>
  <c r="Z104"/>
  <c r="Z111" s="1"/>
  <c r="Z135" s="1"/>
  <c r="Z201" s="1"/>
  <c r="Z224" s="1"/>
  <c r="Z234" s="1"/>
  <c r="X105"/>
  <c r="X106" s="1"/>
  <c r="X82"/>
  <c r="X58"/>
  <c r="X57"/>
  <c r="X56"/>
  <c r="X55"/>
  <c r="X54"/>
  <c r="X53"/>
  <c r="X52"/>
  <c r="X51"/>
  <c r="X50"/>
  <c r="X49"/>
  <c r="V48"/>
  <c r="Q48"/>
  <c r="P48"/>
  <c r="O48"/>
  <c r="N48"/>
  <c r="M48"/>
  <c r="X68"/>
  <c r="W78"/>
  <c r="X75"/>
  <c r="X69"/>
  <c r="X63"/>
  <c r="X62"/>
  <c r="W63"/>
  <c r="W62"/>
  <c r="X46"/>
  <c r="X44"/>
  <c r="X41"/>
  <c r="X40"/>
  <c r="X39"/>
  <c r="W39"/>
  <c r="X10"/>
  <c r="V10"/>
  <c r="X26"/>
  <c r="X22"/>
  <c r="X24"/>
  <c r="X20" s="1"/>
  <c r="X21"/>
  <c r="X28"/>
  <c r="Y28"/>
  <c r="X14"/>
  <c r="Y6"/>
  <c r="Y4" s="1"/>
  <c r="Y38"/>
  <c r="Y82" s="1"/>
  <c r="Y104" s="1"/>
  <c r="Y111" s="1"/>
  <c r="Y135" s="1"/>
  <c r="X38"/>
  <c r="S45" i="5" l="1"/>
  <c r="O14"/>
  <c r="O34" s="1"/>
  <c r="O16"/>
  <c r="O13"/>
  <c r="O15"/>
  <c r="Z179" i="1"/>
  <c r="Y78"/>
  <c r="Y65"/>
  <c r="Y108" s="1"/>
  <c r="Y201"/>
  <c r="Y224" s="1"/>
  <c r="Y234" s="1"/>
  <c r="Y179"/>
  <c r="P18" i="5"/>
  <c r="Q18"/>
  <c r="O18"/>
  <c r="Y97" i="1"/>
  <c r="Y48"/>
  <c r="Y125"/>
  <c r="Y116"/>
  <c r="Y20"/>
  <c r="Y18" s="1"/>
  <c r="Y133"/>
  <c r="Y107"/>
  <c r="X107"/>
  <c r="Y106"/>
  <c r="X48"/>
  <c r="X60" s="1"/>
  <c r="X72" s="1"/>
  <c r="X78" s="1"/>
  <c r="X65"/>
  <c r="X6"/>
  <c r="X4" s="1"/>
  <c r="X18"/>
  <c r="O43" i="5" l="1"/>
  <c r="O31"/>
  <c r="O46"/>
  <c r="Y66" i="1"/>
  <c r="X66"/>
  <c r="X109"/>
  <c r="Y109"/>
  <c r="Y137"/>
  <c r="X36"/>
  <c r="AD179" i="4"/>
  <c r="AD178"/>
  <c r="AC55" l="1"/>
  <c r="AC56" s="1"/>
  <c r="AB55"/>
  <c r="AB56" s="1"/>
  <c r="AA55"/>
  <c r="AA56" s="1"/>
  <c r="Z55"/>
  <c r="Z56" s="1"/>
  <c r="AE71"/>
  <c r="AC71"/>
  <c r="AC72" s="1"/>
  <c r="AB71"/>
  <c r="AB72" s="1"/>
  <c r="AA71"/>
  <c r="AA72" s="1"/>
  <c r="Z71"/>
  <c r="Z72" s="1"/>
  <c r="AE87"/>
  <c r="AC87"/>
  <c r="AC88" s="1"/>
  <c r="AB87"/>
  <c r="AB88" s="1"/>
  <c r="AA87"/>
  <c r="AA88" s="1"/>
  <c r="Z87"/>
  <c r="Z88" s="1"/>
  <c r="AE103"/>
  <c r="AC103"/>
  <c r="AC104" s="1"/>
  <c r="AB103"/>
  <c r="AB104" s="1"/>
  <c r="AA103"/>
  <c r="AA104" s="1"/>
  <c r="Z103"/>
  <c r="Z104" s="1"/>
  <c r="AE119"/>
  <c r="AC119"/>
  <c r="AC120" s="1"/>
  <c r="AB119"/>
  <c r="AB120" s="1"/>
  <c r="AA119"/>
  <c r="AA120" s="1"/>
  <c r="Z119"/>
  <c r="Z120" s="1"/>
  <c r="AE135"/>
  <c r="AC135"/>
  <c r="AC136" s="1"/>
  <c r="AB135"/>
  <c r="AB136" s="1"/>
  <c r="AA135"/>
  <c r="AA136" s="1"/>
  <c r="Z135"/>
  <c r="Z136" s="1"/>
  <c r="Z152"/>
  <c r="Z151"/>
  <c r="AC168"/>
  <c r="AB168"/>
  <c r="AA168"/>
  <c r="Z168"/>
  <c r="AE167"/>
  <c r="Z167"/>
  <c r="AE183"/>
  <c r="AC184"/>
  <c r="AB184"/>
  <c r="AA184"/>
  <c r="Z184"/>
  <c r="AC183"/>
  <c r="AB183"/>
  <c r="AA183"/>
  <c r="Z183"/>
  <c r="Z1"/>
  <c r="W26" i="1" l="1"/>
  <c r="W12"/>
  <c r="W10"/>
  <c r="W118" s="1"/>
  <c r="W7"/>
  <c r="W199"/>
  <c r="W121"/>
  <c r="W115"/>
  <c r="W116" s="1"/>
  <c r="W112"/>
  <c r="W48"/>
  <c r="W46"/>
  <c r="W38"/>
  <c r="W82" s="1"/>
  <c r="W104" s="1"/>
  <c r="W111" s="1"/>
  <c r="W135" s="1"/>
  <c r="W28"/>
  <c r="W129"/>
  <c r="W124"/>
  <c r="W125" s="1"/>
  <c r="W105"/>
  <c r="W20"/>
  <c r="W14"/>
  <c r="W97" l="1"/>
  <c r="W6"/>
  <c r="W18"/>
  <c r="W4"/>
  <c r="W136"/>
  <c r="W106"/>
  <c r="W107"/>
  <c r="W201"/>
  <c r="W224" s="1"/>
  <c r="W234" s="1"/>
  <c r="W179"/>
  <c r="W132"/>
  <c r="W60"/>
  <c r="W119"/>
  <c r="W113"/>
  <c r="W36" l="1"/>
  <c r="W65"/>
  <c r="W137"/>
  <c r="W66" l="1"/>
  <c r="V227"/>
  <c r="Q228"/>
  <c r="Q227"/>
  <c r="Q226"/>
  <c r="Q225"/>
  <c r="V137"/>
  <c r="V136"/>
  <c r="V115"/>
  <c r="V112"/>
  <c r="U112"/>
  <c r="T112"/>
  <c r="S112"/>
  <c r="R112"/>
  <c r="Q112"/>
  <c r="W8" i="5"/>
  <c r="W7"/>
  <c r="W6"/>
  <c r="U137" i="1" l="1"/>
  <c r="U136"/>
  <c r="U138" s="1"/>
  <c r="V132"/>
  <c r="W133" s="1"/>
  <c r="V129"/>
  <c r="V127"/>
  <c r="V125"/>
  <c r="V124"/>
  <c r="V121"/>
  <c r="V122" s="1"/>
  <c r="V118"/>
  <c r="V119" s="1"/>
  <c r="V116"/>
  <c r="V113"/>
  <c r="V105"/>
  <c r="AR100"/>
  <c r="AQ100"/>
  <c r="AP100"/>
  <c r="AO100"/>
  <c r="U102"/>
  <c r="V199"/>
  <c r="U199"/>
  <c r="V180"/>
  <c r="U184"/>
  <c r="AE186"/>
  <c r="AE185" s="1"/>
  <c r="AD186"/>
  <c r="AD185" s="1"/>
  <c r="AC186"/>
  <c r="AC185" s="1"/>
  <c r="AB186"/>
  <c r="AB185" s="1"/>
  <c r="M184"/>
  <c r="T184"/>
  <c r="S184"/>
  <c r="R184"/>
  <c r="Q184"/>
  <c r="P184"/>
  <c r="O184"/>
  <c r="N184"/>
  <c r="AC155"/>
  <c r="AA38"/>
  <c r="AB175" l="1"/>
  <c r="AB184"/>
  <c r="S16" i="5"/>
  <c r="V107" i="1"/>
  <c r="V106"/>
  <c r="Q163"/>
  <c r="Q162"/>
  <c r="Q177"/>
  <c r="V97"/>
  <c r="U96"/>
  <c r="U97" s="1"/>
  <c r="V86"/>
  <c r="V100"/>
  <c r="V101"/>
  <c r="T102"/>
  <c r="S102"/>
  <c r="R102"/>
  <c r="V222"/>
  <c r="V221"/>
  <c r="T199"/>
  <c r="S199"/>
  <c r="R199"/>
  <c r="U129"/>
  <c r="T129"/>
  <c r="S129"/>
  <c r="R129"/>
  <c r="AD41" i="4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AD38"/>
  <c r="AC38"/>
  <c r="AB38"/>
  <c r="AA38"/>
  <c r="Z38"/>
  <c r="Y38"/>
  <c r="X38"/>
  <c r="W38"/>
  <c r="V38"/>
  <c r="U38"/>
  <c r="T38"/>
  <c r="S38"/>
  <c r="S39" s="1"/>
  <c r="R38"/>
  <c r="Q38"/>
  <c r="P38"/>
  <c r="O38"/>
  <c r="N38"/>
  <c r="M38"/>
  <c r="L38"/>
  <c r="K38"/>
  <c r="J38"/>
  <c r="AD35"/>
  <c r="AC35"/>
  <c r="AC16" s="1"/>
  <c r="AC17" s="1"/>
  <c r="AB35"/>
  <c r="AA35"/>
  <c r="Z35"/>
  <c r="Y35"/>
  <c r="Y16" s="1"/>
  <c r="Y17" s="1"/>
  <c r="X35"/>
  <c r="X16" s="1"/>
  <c r="W35"/>
  <c r="W16" s="1"/>
  <c r="V35"/>
  <c r="V16" s="1"/>
  <c r="U35"/>
  <c r="U16" s="1"/>
  <c r="U17" s="1"/>
  <c r="T35"/>
  <c r="T16" s="1"/>
  <c r="S35"/>
  <c r="S16" s="1"/>
  <c r="R35"/>
  <c r="R16" s="1"/>
  <c r="Q35"/>
  <c r="Q16" s="1"/>
  <c r="Q17" s="1"/>
  <c r="P35"/>
  <c r="P16" s="1"/>
  <c r="O35"/>
  <c r="O16" s="1"/>
  <c r="N35"/>
  <c r="N16" s="1"/>
  <c r="M35"/>
  <c r="M16" s="1"/>
  <c r="L35"/>
  <c r="L16" s="1"/>
  <c r="K35"/>
  <c r="K16" s="1"/>
  <c r="J35"/>
  <c r="J16" s="1"/>
  <c r="W33"/>
  <c r="R33"/>
  <c r="L33"/>
  <c r="X32"/>
  <c r="X33" s="1"/>
  <c r="W32"/>
  <c r="R32"/>
  <c r="P32"/>
  <c r="P33" s="1"/>
  <c r="M32"/>
  <c r="M33" s="1"/>
  <c r="X31"/>
  <c r="W31"/>
  <c r="V31"/>
  <c r="U31"/>
  <c r="U32" s="1"/>
  <c r="U33" s="1"/>
  <c r="S31"/>
  <c r="R31"/>
  <c r="Q31"/>
  <c r="Q32" s="1"/>
  <c r="Q33" s="1"/>
  <c r="P31"/>
  <c r="N31"/>
  <c r="N32" s="1"/>
  <c r="N33" s="1"/>
  <c r="M31"/>
  <c r="L31"/>
  <c r="L32" s="1"/>
  <c r="K31"/>
  <c r="K32" s="1"/>
  <c r="K33" s="1"/>
  <c r="I31"/>
  <c r="H31"/>
  <c r="G31"/>
  <c r="F31"/>
  <c r="E31"/>
  <c r="T29"/>
  <c r="AD28"/>
  <c r="AC28"/>
  <c r="AC29" s="1"/>
  <c r="AB28"/>
  <c r="AB29" s="1"/>
  <c r="AA28"/>
  <c r="AA29" s="1"/>
  <c r="Z28"/>
  <c r="Z29" s="1"/>
  <c r="Y28"/>
  <c r="X28"/>
  <c r="X29" s="1"/>
  <c r="W28"/>
  <c r="W29" s="1"/>
  <c r="V28"/>
  <c r="V29" s="1"/>
  <c r="U28"/>
  <c r="U29" s="1"/>
  <c r="T28"/>
  <c r="S28"/>
  <c r="S29" s="1"/>
  <c r="R28"/>
  <c r="R29" s="1"/>
  <c r="Q28"/>
  <c r="Q29" s="1"/>
  <c r="P28"/>
  <c r="P29" s="1"/>
  <c r="O28"/>
  <c r="O29" s="1"/>
  <c r="N28"/>
  <c r="N29" s="1"/>
  <c r="M28"/>
  <c r="M29" s="1"/>
  <c r="L28"/>
  <c r="L29" s="1"/>
  <c r="K28"/>
  <c r="K29" s="1"/>
  <c r="J28"/>
  <c r="J29" s="1"/>
  <c r="BN22"/>
  <c r="CV21"/>
  <c r="CU21"/>
  <c r="CT21"/>
  <c r="CS21"/>
  <c r="CR21"/>
  <c r="CQ21"/>
  <c r="CP21"/>
  <c r="CO21"/>
  <c r="CN21"/>
  <c r="CM21"/>
  <c r="CL21"/>
  <c r="CK21"/>
  <c r="CJ21"/>
  <c r="CI21"/>
  <c r="CH21"/>
  <c r="CG21"/>
  <c r="CF21"/>
  <c r="CE21"/>
  <c r="CD21"/>
  <c r="CC21"/>
  <c r="CB21"/>
  <c r="CA21"/>
  <c r="BZ21"/>
  <c r="BY21"/>
  <c r="BX21"/>
  <c r="BW21"/>
  <c r="BV21"/>
  <c r="BU21"/>
  <c r="BT21"/>
  <c r="BS21"/>
  <c r="BR21"/>
  <c r="BQ21"/>
  <c r="BP21"/>
  <c r="BO21"/>
  <c r="BN21"/>
  <c r="BM21"/>
  <c r="BL21"/>
  <c r="BK21"/>
  <c r="BJ21"/>
  <c r="BI21"/>
  <c r="BH21"/>
  <c r="BG21"/>
  <c r="BF21"/>
  <c r="BE21"/>
  <c r="BD21"/>
  <c r="BC21"/>
  <c r="BB21"/>
  <c r="BA21"/>
  <c r="AZ21"/>
  <c r="AY21"/>
  <c r="AX21"/>
  <c r="AW21"/>
  <c r="AV21"/>
  <c r="AU21"/>
  <c r="AT21"/>
  <c r="AS21"/>
  <c r="AR21"/>
  <c r="AQ21"/>
  <c r="AP21"/>
  <c r="AO21"/>
  <c r="AL21"/>
  <c r="AK21"/>
  <c r="AJ21"/>
  <c r="T26" i="5" s="1"/>
  <c r="AH21" i="4"/>
  <c r="AG21"/>
  <c r="AF21"/>
  <c r="AE21"/>
  <c r="AD21"/>
  <c r="AC21"/>
  <c r="AB21"/>
  <c r="AA21"/>
  <c r="Z21"/>
  <c r="Y21"/>
  <c r="X21"/>
  <c r="W21"/>
  <c r="V21"/>
  <c r="U21"/>
  <c r="T21"/>
  <c r="CS22"/>
  <c r="CK22"/>
  <c r="CC22"/>
  <c r="BX22"/>
  <c r="BW22"/>
  <c r="BU22"/>
  <c r="BP22"/>
  <c r="BM22"/>
  <c r="BE22"/>
  <c r="AZ22"/>
  <c r="AY22"/>
  <c r="AW22"/>
  <c r="AO22"/>
  <c r="W26" i="5"/>
  <c r="V26"/>
  <c r="U26"/>
  <c r="CV22" i="4"/>
  <c r="CQ22"/>
  <c r="CI22"/>
  <c r="CA22"/>
  <c r="BS22"/>
  <c r="BK22"/>
  <c r="BH22"/>
  <c r="BC22"/>
  <c r="AU22"/>
  <c r="AD26" i="5"/>
  <c r="AC26"/>
  <c r="AM22" i="4"/>
  <c r="W22"/>
  <c r="D40" i="5"/>
  <c r="N45"/>
  <c r="M45"/>
  <c r="L45"/>
  <c r="K45"/>
  <c r="J45"/>
  <c r="I45"/>
  <c r="G45"/>
  <c r="F45"/>
  <c r="D45"/>
  <c r="C45"/>
  <c r="N42"/>
  <c r="M42"/>
  <c r="L42"/>
  <c r="K42"/>
  <c r="J42"/>
  <c r="G42"/>
  <c r="F42"/>
  <c r="E42"/>
  <c r="E40"/>
  <c r="N39"/>
  <c r="M39"/>
  <c r="L39"/>
  <c r="K39"/>
  <c r="J39"/>
  <c r="I39"/>
  <c r="H39"/>
  <c r="G39"/>
  <c r="G40" s="1"/>
  <c r="F39"/>
  <c r="N36"/>
  <c r="M36"/>
  <c r="L36"/>
  <c r="K36"/>
  <c r="J36"/>
  <c r="G36"/>
  <c r="F36"/>
  <c r="N33"/>
  <c r="M33"/>
  <c r="L33"/>
  <c r="K33"/>
  <c r="J33"/>
  <c r="G33"/>
  <c r="F33"/>
  <c r="M30"/>
  <c r="L30"/>
  <c r="K30"/>
  <c r="J30"/>
  <c r="G30"/>
  <c r="F30"/>
  <c r="E26"/>
  <c r="G24"/>
  <c r="H24" s="1"/>
  <c r="E23"/>
  <c r="D23"/>
  <c r="C23"/>
  <c r="B23"/>
  <c r="F22"/>
  <c r="F26" s="1"/>
  <c r="J21"/>
  <c r="I21"/>
  <c r="I23" s="1"/>
  <c r="H21"/>
  <c r="G21"/>
  <c r="F21"/>
  <c r="D18"/>
  <c r="X8"/>
  <c r="G8"/>
  <c r="F8"/>
  <c r="X7"/>
  <c r="Y7" s="1"/>
  <c r="Z7" s="1"/>
  <c r="AA7" s="1"/>
  <c r="AB7" s="1"/>
  <c r="AC7" s="1"/>
  <c r="AD7" s="1"/>
  <c r="AE7" s="1"/>
  <c r="AF7" s="1"/>
  <c r="H7"/>
  <c r="H8" s="1"/>
  <c r="G7"/>
  <c r="F7"/>
  <c r="E7"/>
  <c r="E8" s="1"/>
  <c r="X6"/>
  <c r="Y6" s="1"/>
  <c r="Z6" s="1"/>
  <c r="AA6" s="1"/>
  <c r="AB6" s="1"/>
  <c r="AC6" s="1"/>
  <c r="AD6" s="1"/>
  <c r="AE6" s="1"/>
  <c r="AF6" s="1"/>
  <c r="CV6" i="4" s="1"/>
  <c r="H6" i="5"/>
  <c r="G6"/>
  <c r="F6"/>
  <c r="E6"/>
  <c r="X5"/>
  <c r="Y5" s="1"/>
  <c r="G10"/>
  <c r="H10" s="1"/>
  <c r="I10" s="1"/>
  <c r="X4"/>
  <c r="Y4" s="1"/>
  <c r="Z4" s="1"/>
  <c r="AA4" s="1"/>
  <c r="AB4" s="1"/>
  <c r="AC4" s="1"/>
  <c r="AD4" s="1"/>
  <c r="AE4" s="1"/>
  <c r="AF4" s="1"/>
  <c r="CV4" i="4" s="1"/>
  <c r="H4" i="5"/>
  <c r="G4"/>
  <c r="F4"/>
  <c r="E4"/>
  <c r="S49" i="1"/>
  <c r="K21" i="5" s="1"/>
  <c r="P53" i="1"/>
  <c r="H36" i="5" s="1"/>
  <c r="V49" i="1"/>
  <c r="P58"/>
  <c r="H45" i="5" s="1"/>
  <c r="L58" i="1"/>
  <c r="Q57"/>
  <c r="I42" i="5" s="1"/>
  <c r="P57" i="1"/>
  <c r="H42" i="5" s="1"/>
  <c r="Q52" i="1"/>
  <c r="I33" i="5" s="1"/>
  <c r="P52" i="1"/>
  <c r="H33" i="5" s="1"/>
  <c r="P50" i="1"/>
  <c r="Q50" s="1"/>
  <c r="I30" i="5" s="1"/>
  <c r="U40" i="1"/>
  <c r="Q40"/>
  <c r="P40"/>
  <c r="O40"/>
  <c r="W11" i="4"/>
  <c r="X11" s="1"/>
  <c r="V11"/>
  <c r="Y54"/>
  <c r="AH49"/>
  <c r="AG49"/>
  <c r="AF49"/>
  <c r="AE49"/>
  <c r="AE52" s="1"/>
  <c r="Y49"/>
  <c r="BH8"/>
  <c r="BC8"/>
  <c r="AX8"/>
  <c r="AL172" i="1" s="1"/>
  <c r="AS8" i="4"/>
  <c r="AG172" i="1" s="1"/>
  <c r="AG169" s="1"/>
  <c r="AN8" i="4"/>
  <c r="AB172" i="1" s="1"/>
  <c r="AB169" s="1"/>
  <c r="AI8" i="4"/>
  <c r="AD8"/>
  <c r="W8"/>
  <c r="CV7"/>
  <c r="CT7" s="1"/>
  <c r="CL7"/>
  <c r="CH7" s="1"/>
  <c r="BR7"/>
  <c r="BQ7" s="1"/>
  <c r="BC7"/>
  <c r="BB7" s="1"/>
  <c r="AX7"/>
  <c r="AV7" s="1"/>
  <c r="AS7"/>
  <c r="AN7"/>
  <c r="AI7"/>
  <c r="AE7" s="1"/>
  <c r="AD7"/>
  <c r="AC7" s="1"/>
  <c r="X7"/>
  <c r="W7"/>
  <c r="V7"/>
  <c r="U7"/>
  <c r="V8" s="1"/>
  <c r="CL6"/>
  <c r="CK6" s="1"/>
  <c r="BR6"/>
  <c r="BP6" s="1"/>
  <c r="BM6"/>
  <c r="BL6" s="1"/>
  <c r="BC6"/>
  <c r="AY6" s="1"/>
  <c r="AX6"/>
  <c r="AW6" s="1"/>
  <c r="AS6"/>
  <c r="AN6"/>
  <c r="AL6" s="1"/>
  <c r="AI6"/>
  <c r="AF6" s="1"/>
  <c r="AD6"/>
  <c r="AC6" s="1"/>
  <c r="X6"/>
  <c r="W6"/>
  <c r="V6"/>
  <c r="U6"/>
  <c r="BC5"/>
  <c r="BB5" s="1"/>
  <c r="AX5"/>
  <c r="AV5" s="1"/>
  <c r="AS5"/>
  <c r="AR5" s="1"/>
  <c r="AN5"/>
  <c r="AK5" s="1"/>
  <c r="AK38" s="1"/>
  <c r="AI5"/>
  <c r="AD5"/>
  <c r="Z5" s="1"/>
  <c r="X5"/>
  <c r="V5"/>
  <c r="U5"/>
  <c r="BC4"/>
  <c r="AY4" s="1"/>
  <c r="AX4"/>
  <c r="AX28" s="1"/>
  <c r="AS4"/>
  <c r="AS28" s="1"/>
  <c r="AN4"/>
  <c r="AM4" s="1"/>
  <c r="AI4"/>
  <c r="AD4"/>
  <c r="T54"/>
  <c r="T32" s="1"/>
  <c r="T33" s="1"/>
  <c r="O54"/>
  <c r="O31" s="1"/>
  <c r="J54"/>
  <c r="J31" s="1"/>
  <c r="J32" s="1"/>
  <c r="J33" s="1"/>
  <c r="U49"/>
  <c r="U52" s="1"/>
  <c r="AD10"/>
  <c r="N3" i="5" s="1"/>
  <c r="N12" s="1"/>
  <c r="T10" i="4"/>
  <c r="O10"/>
  <c r="J10"/>
  <c r="E10"/>
  <c r="CV10"/>
  <c r="CU10"/>
  <c r="CT10"/>
  <c r="CS10"/>
  <c r="CR10"/>
  <c r="CQ10"/>
  <c r="CP10"/>
  <c r="CO10"/>
  <c r="CN10"/>
  <c r="CM10"/>
  <c r="CL10"/>
  <c r="CK10"/>
  <c r="CJ10"/>
  <c r="CI10"/>
  <c r="CH10"/>
  <c r="CG10"/>
  <c r="CF10"/>
  <c r="CE10"/>
  <c r="CD10"/>
  <c r="CC10"/>
  <c r="CB10"/>
  <c r="CA10"/>
  <c r="BZ10"/>
  <c r="BY10"/>
  <c r="BX10"/>
  <c r="BW10"/>
  <c r="BV10"/>
  <c r="BU10"/>
  <c r="BT10"/>
  <c r="BS10"/>
  <c r="BR10"/>
  <c r="BQ10"/>
  <c r="BP10"/>
  <c r="BO10"/>
  <c r="BN10"/>
  <c r="BM10"/>
  <c r="BL10"/>
  <c r="BK10"/>
  <c r="BJ10"/>
  <c r="BI10"/>
  <c r="BH10"/>
  <c r="BG10"/>
  <c r="BF10"/>
  <c r="BE10"/>
  <c r="BD10"/>
  <c r="BC10"/>
  <c r="BB10"/>
  <c r="BA10"/>
  <c r="AZ10"/>
  <c r="AY10"/>
  <c r="AX10"/>
  <c r="AW10"/>
  <c r="AV10"/>
  <c r="AU10"/>
  <c r="AT10"/>
  <c r="AS10"/>
  <c r="AR10"/>
  <c r="AQ10"/>
  <c r="AP10"/>
  <c r="AO10"/>
  <c r="AN10"/>
  <c r="AM10"/>
  <c r="AL10"/>
  <c r="AK10"/>
  <c r="AJ10"/>
  <c r="AI10"/>
  <c r="AH10"/>
  <c r="AG10"/>
  <c r="Q3" i="5" s="1"/>
  <c r="Q12" s="1"/>
  <c r="AF10" i="4"/>
  <c r="P3" i="5" s="1"/>
  <c r="P12" s="1"/>
  <c r="AE10" i="4"/>
  <c r="AC10"/>
  <c r="M3" i="5" s="1"/>
  <c r="M12" s="1"/>
  <c r="AB10" i="4"/>
  <c r="L3" i="5" s="1"/>
  <c r="L12" s="1"/>
  <c r="AA10" i="4"/>
  <c r="K3" i="5" s="1"/>
  <c r="K12" s="1"/>
  <c r="Z10" i="4"/>
  <c r="J3" i="5" s="1"/>
  <c r="J12" s="1"/>
  <c r="Y10" i="4"/>
  <c r="I3" i="5" s="1"/>
  <c r="I12" s="1"/>
  <c r="X10" i="4"/>
  <c r="H3" i="5" s="1"/>
  <c r="H12" s="1"/>
  <c r="W10" i="4"/>
  <c r="G3" i="5" s="1"/>
  <c r="G12" s="1"/>
  <c r="V10" i="4"/>
  <c r="F3" i="5" s="1"/>
  <c r="F12" s="1"/>
  <c r="U10" i="4"/>
  <c r="E3" i="5" s="1"/>
  <c r="E12" s="1"/>
  <c r="S10" i="4"/>
  <c r="R10"/>
  <c r="Q10"/>
  <c r="P10"/>
  <c r="N10"/>
  <c r="M10"/>
  <c r="L10"/>
  <c r="K10"/>
  <c r="I10"/>
  <c r="H10"/>
  <c r="G10"/>
  <c r="F10"/>
  <c r="Q219" i="1"/>
  <c r="Q217"/>
  <c r="V219"/>
  <c r="U219"/>
  <c r="U217"/>
  <c r="U209"/>
  <c r="T209"/>
  <c r="S209"/>
  <c r="U206"/>
  <c r="T206"/>
  <c r="T219"/>
  <c r="T217"/>
  <c r="S219"/>
  <c r="P217"/>
  <c r="O217"/>
  <c r="N217"/>
  <c r="M217"/>
  <c r="S217"/>
  <c r="P219"/>
  <c r="O219"/>
  <c r="N219"/>
  <c r="M219"/>
  <c r="O206"/>
  <c r="N206"/>
  <c r="P206"/>
  <c r="P209"/>
  <c r="O209"/>
  <c r="N209"/>
  <c r="S204"/>
  <c r="S203"/>
  <c r="AC158"/>
  <c r="U236"/>
  <c r="V197"/>
  <c r="U197"/>
  <c r="T197"/>
  <c r="AE158"/>
  <c r="AD22" s="1"/>
  <c r="AD158"/>
  <c r="AC22" s="1"/>
  <c r="AM155"/>
  <c r="AL155"/>
  <c r="AK155"/>
  <c r="AJ155"/>
  <c r="AI155"/>
  <c r="AH155"/>
  <c r="AG155"/>
  <c r="AF155"/>
  <c r="AE155"/>
  <c r="AD155"/>
  <c r="H15" i="5" l="1"/>
  <c r="H14"/>
  <c r="H43" s="1"/>
  <c r="H16"/>
  <c r="H13"/>
  <c r="L15"/>
  <c r="L14"/>
  <c r="L34" s="1"/>
  <c r="L16"/>
  <c r="L13"/>
  <c r="Q15"/>
  <c r="Q14"/>
  <c r="Q16"/>
  <c r="Q13"/>
  <c r="N16"/>
  <c r="N13"/>
  <c r="N15"/>
  <c r="N14"/>
  <c r="AA16" i="4"/>
  <c r="AF36"/>
  <c r="L46" i="5"/>
  <c r="O17" i="4"/>
  <c r="S17"/>
  <c r="W17"/>
  <c r="U36"/>
  <c r="U39"/>
  <c r="G14" i="5"/>
  <c r="G43" s="1"/>
  <c r="G16"/>
  <c r="G13"/>
  <c r="G15"/>
  <c r="K14"/>
  <c r="K46" s="1"/>
  <c r="K16"/>
  <c r="K13"/>
  <c r="K15"/>
  <c r="P15"/>
  <c r="P14"/>
  <c r="P16"/>
  <c r="P13"/>
  <c r="AM152" i="4"/>
  <c r="AM88"/>
  <c r="AM104"/>
  <c r="AM72"/>
  <c r="AM56"/>
  <c r="AM184"/>
  <c r="AM136"/>
  <c r="AM120"/>
  <c r="Z16"/>
  <c r="AE36"/>
  <c r="AD16"/>
  <c r="AD17" s="1"/>
  <c r="AD36"/>
  <c r="L31" i="5"/>
  <c r="N34"/>
  <c r="R17" i="4"/>
  <c r="V17"/>
  <c r="AD42"/>
  <c r="F16" i="5"/>
  <c r="F13"/>
  <c r="F15"/>
  <c r="F14"/>
  <c r="F34" s="1"/>
  <c r="J16"/>
  <c r="J13"/>
  <c r="J15"/>
  <c r="J14"/>
  <c r="J46" s="1"/>
  <c r="AI56" i="4"/>
  <c r="AI152"/>
  <c r="AY184"/>
  <c r="AY136"/>
  <c r="AY120"/>
  <c r="AY168"/>
  <c r="AY152"/>
  <c r="AY88"/>
  <c r="AY104"/>
  <c r="AY72"/>
  <c r="AY56"/>
  <c r="CV88"/>
  <c r="CV136"/>
  <c r="CV152"/>
  <c r="AU7"/>
  <c r="H46" i="5"/>
  <c r="K31"/>
  <c r="G34"/>
  <c r="F43"/>
  <c r="L43"/>
  <c r="N46"/>
  <c r="K39" i="4"/>
  <c r="AC39"/>
  <c r="AC42"/>
  <c r="E15" i="5"/>
  <c r="E14"/>
  <c r="E16"/>
  <c r="E13"/>
  <c r="I15"/>
  <c r="I14"/>
  <c r="I43" s="1"/>
  <c r="I16"/>
  <c r="I13"/>
  <c r="M15"/>
  <c r="M14"/>
  <c r="M43" s="1"/>
  <c r="M16"/>
  <c r="M13"/>
  <c r="AB16" i="4"/>
  <c r="AG36"/>
  <c r="AT7"/>
  <c r="H34" i="5"/>
  <c r="J31"/>
  <c r="K43"/>
  <c r="I46"/>
  <c r="P17" i="4"/>
  <c r="T17"/>
  <c r="X17"/>
  <c r="AD39"/>
  <c r="AB22" i="1"/>
  <c r="AC162"/>
  <c r="AD162" s="1"/>
  <c r="AE162" s="1"/>
  <c r="AC136"/>
  <c r="AD136" s="1"/>
  <c r="AE136" s="1"/>
  <c r="V10" i="5"/>
  <c r="W10" s="1"/>
  <c r="X10" s="1"/>
  <c r="Y10" s="1"/>
  <c r="Z10" s="1"/>
  <c r="AA10" s="1"/>
  <c r="AB10" s="1"/>
  <c r="AC10" s="1"/>
  <c r="Y22" i="4"/>
  <c r="I26" i="5"/>
  <c r="AR22" i="4"/>
  <c r="AB26" i="5"/>
  <c r="AA26"/>
  <c r="AJ22" i="4"/>
  <c r="N26" i="5"/>
  <c r="N37"/>
  <c r="P26"/>
  <c r="P37"/>
  <c r="P40"/>
  <c r="AE22" i="4"/>
  <c r="AA55" i="1"/>
  <c r="AA63" s="1"/>
  <c r="AK6" i="4"/>
  <c r="AT6"/>
  <c r="AQ5"/>
  <c r="G23" i="5"/>
  <c r="Y8"/>
  <c r="AF186" i="1"/>
  <c r="AF185" s="1"/>
  <c r="BW7" i="4"/>
  <c r="BS7" s="1"/>
  <c r="BS8" s="1"/>
  <c r="BH7"/>
  <c r="BG7" s="1"/>
  <c r="AE6"/>
  <c r="AH6"/>
  <c r="AG4"/>
  <c r="AH4"/>
  <c r="AE4"/>
  <c r="AF4"/>
  <c r="AF152" s="1"/>
  <c r="H23" i="5"/>
  <c r="BA6" i="4"/>
  <c r="AJ5"/>
  <c r="AJ38" s="1"/>
  <c r="AL5"/>
  <c r="AL38" s="1"/>
  <c r="AW5"/>
  <c r="AB6"/>
  <c r="AT8"/>
  <c r="AH172" i="1" s="1"/>
  <c r="AM6" i="4"/>
  <c r="AR4"/>
  <c r="AB5"/>
  <c r="AB11" s="1"/>
  <c r="AC11" s="1"/>
  <c r="AE11" s="1"/>
  <c r="AF11" s="1"/>
  <c r="AU5"/>
  <c r="K37" i="5"/>
  <c r="AT5" i="4"/>
  <c r="AJ6"/>
  <c r="AZ6"/>
  <c r="CI7"/>
  <c r="CI8" s="1"/>
  <c r="BB6"/>
  <c r="CU7"/>
  <c r="CU8" s="1"/>
  <c r="AK4"/>
  <c r="E18" i="5"/>
  <c r="V36" i="4"/>
  <c r="Y61"/>
  <c r="Y45"/>
  <c r="Z42"/>
  <c r="Z36"/>
  <c r="L39"/>
  <c r="N42"/>
  <c r="V42"/>
  <c r="F40" i="5"/>
  <c r="M39" i="4"/>
  <c r="U61"/>
  <c r="U45"/>
  <c r="O42"/>
  <c r="W42"/>
  <c r="G18" i="5"/>
  <c r="P39" i="4"/>
  <c r="X39"/>
  <c r="W39"/>
  <c r="P42"/>
  <c r="X42"/>
  <c r="J37" i="5"/>
  <c r="I40"/>
  <c r="Z22" i="4"/>
  <c r="BF22"/>
  <c r="BV22"/>
  <c r="CL22"/>
  <c r="Z5" i="5"/>
  <c r="AA5" s="1"/>
  <c r="AB5" s="1"/>
  <c r="AC5" s="1"/>
  <c r="BM5" i="4"/>
  <c r="BI5" s="1"/>
  <c r="BH5"/>
  <c r="BG5" s="1"/>
  <c r="BH4"/>
  <c r="BG4" s="1"/>
  <c r="CG4"/>
  <c r="CG28" s="1"/>
  <c r="CL4"/>
  <c r="CL28" s="1"/>
  <c r="CB4"/>
  <c r="BX4" s="1"/>
  <c r="BM4"/>
  <c r="BM28" s="1"/>
  <c r="BR4"/>
  <c r="BR28" s="1"/>
  <c r="BW4"/>
  <c r="BV4" s="1"/>
  <c r="Y29"/>
  <c r="AG6"/>
  <c r="AJ4"/>
  <c r="AL4"/>
  <c r="AN28"/>
  <c r="AE88"/>
  <c r="AE136"/>
  <c r="AB22"/>
  <c r="Y36"/>
  <c r="AC36"/>
  <c r="J42"/>
  <c r="O39"/>
  <c r="AA39"/>
  <c r="M42"/>
  <c r="U42"/>
  <c r="N39"/>
  <c r="F18" i="5"/>
  <c r="F23"/>
  <c r="Q36" i="4"/>
  <c r="P36"/>
  <c r="X36"/>
  <c r="S36"/>
  <c r="V39"/>
  <c r="AA22"/>
  <c r="AQ22"/>
  <c r="BO22"/>
  <c r="CE22"/>
  <c r="CM22"/>
  <c r="M37" i="5"/>
  <c r="K40"/>
  <c r="N40"/>
  <c r="AT22" i="4"/>
  <c r="BZ22"/>
  <c r="CD22"/>
  <c r="AI22"/>
  <c r="CU22"/>
  <c r="J40" i="5"/>
  <c r="CN22" i="4"/>
  <c r="M40" i="5"/>
  <c r="BR5" i="4"/>
  <c r="BQ6"/>
  <c r="CJ7"/>
  <c r="CR4"/>
  <c r="CV28"/>
  <c r="V236" i="1"/>
  <c r="AV8" i="4"/>
  <c r="AJ172" i="1" s="1"/>
  <c r="BB4" i="4"/>
  <c r="BC28"/>
  <c r="CQ4"/>
  <c r="AA5"/>
  <c r="AM5"/>
  <c r="BH6"/>
  <c r="BG6" s="1"/>
  <c r="CB6"/>
  <c r="CQ6"/>
  <c r="CQ7"/>
  <c r="CM7" s="1"/>
  <c r="AJ7"/>
  <c r="AJ8" s="1"/>
  <c r="AM7"/>
  <c r="BW5"/>
  <c r="BV5" s="1"/>
  <c r="AO4"/>
  <c r="CS4"/>
  <c r="AY5"/>
  <c r="BI6"/>
  <c r="CB7"/>
  <c r="CR7"/>
  <c r="O32"/>
  <c r="O33" s="1"/>
  <c r="AP4"/>
  <c r="CT4"/>
  <c r="AC5"/>
  <c r="AZ5"/>
  <c r="CB5"/>
  <c r="BJ6"/>
  <c r="CG6"/>
  <c r="CF6" s="1"/>
  <c r="AK7"/>
  <c r="BM7"/>
  <c r="CG7"/>
  <c r="CH8" s="1"/>
  <c r="CS7"/>
  <c r="CT8" s="1"/>
  <c r="K18" i="5"/>
  <c r="AI28" i="4"/>
  <c r="AQ4"/>
  <c r="CU4"/>
  <c r="BA5"/>
  <c r="BK6"/>
  <c r="BW6"/>
  <c r="CH6"/>
  <c r="AL7"/>
  <c r="X8"/>
  <c r="X22"/>
  <c r="AF22"/>
  <c r="AN22"/>
  <c r="AV22"/>
  <c r="BD22"/>
  <c r="BL22"/>
  <c r="BT22"/>
  <c r="CB22"/>
  <c r="CJ22"/>
  <c r="CR22"/>
  <c r="AP22"/>
  <c r="L42"/>
  <c r="T42"/>
  <c r="AB42"/>
  <c r="J18" i="5"/>
  <c r="T39" i="4"/>
  <c r="T36"/>
  <c r="AB39"/>
  <c r="Q53" i="1"/>
  <c r="I36" i="5" s="1"/>
  <c r="I18" s="1"/>
  <c r="N21"/>
  <c r="N27" s="1"/>
  <c r="G22"/>
  <c r="CT22" i="4"/>
  <c r="BG22"/>
  <c r="T49" i="1"/>
  <c r="L21" i="5" s="1"/>
  <c r="CF22" i="4"/>
  <c r="AX22"/>
  <c r="AD29"/>
  <c r="H30" i="5"/>
  <c r="Q39" i="4"/>
  <c r="Q42"/>
  <c r="Y39"/>
  <c r="Y42"/>
  <c r="V22"/>
  <c r="AD22"/>
  <c r="AL22"/>
  <c r="BB22"/>
  <c r="BJ22"/>
  <c r="BR22"/>
  <c r="CH22"/>
  <c r="CP22"/>
  <c r="AB36"/>
  <c r="R42"/>
  <c r="S32"/>
  <c r="S33" s="1"/>
  <c r="R36"/>
  <c r="J39"/>
  <c r="R39"/>
  <c r="Z39"/>
  <c r="U22"/>
  <c r="T22" s="1"/>
  <c r="AC22"/>
  <c r="AK22"/>
  <c r="AS22"/>
  <c r="BA22"/>
  <c r="BI22"/>
  <c r="BQ22"/>
  <c r="BY22"/>
  <c r="CG22"/>
  <c r="CO22"/>
  <c r="V32"/>
  <c r="V33" s="1"/>
  <c r="O36"/>
  <c r="W36"/>
  <c r="AA36"/>
  <c r="K42"/>
  <c r="S42"/>
  <c r="AA42"/>
  <c r="AQ6"/>
  <c r="AP6"/>
  <c r="AO6"/>
  <c r="CU6"/>
  <c r="CT6"/>
  <c r="CS6"/>
  <c r="CR6"/>
  <c r="BP7"/>
  <c r="BQ8" s="1"/>
  <c r="BO7"/>
  <c r="BN7"/>
  <c r="AE8"/>
  <c r="AU8"/>
  <c r="AI172" i="1" s="1"/>
  <c r="BA7" i="4"/>
  <c r="BB8" s="1"/>
  <c r="AA6"/>
  <c r="Z6"/>
  <c r="AH5"/>
  <c r="AH38" s="1"/>
  <c r="AG5"/>
  <c r="AF5"/>
  <c r="AE5"/>
  <c r="AZ7"/>
  <c r="AY7"/>
  <c r="U8"/>
  <c r="BO6"/>
  <c r="BN6"/>
  <c r="AR7"/>
  <c r="AQ7"/>
  <c r="AP7"/>
  <c r="AO7"/>
  <c r="AV4"/>
  <c r="AU4"/>
  <c r="AT4"/>
  <c r="AW4"/>
  <c r="AP5"/>
  <c r="AP38" s="1"/>
  <c r="AO5"/>
  <c r="AR6"/>
  <c r="AB7"/>
  <c r="AC8" s="1"/>
  <c r="AA7"/>
  <c r="Z7"/>
  <c r="AZ4"/>
  <c r="AU6"/>
  <c r="CI6"/>
  <c r="BA4"/>
  <c r="AV6"/>
  <c r="CJ6"/>
  <c r="AG7"/>
  <c r="AW7"/>
  <c r="AW8" s="1"/>
  <c r="AK172" i="1" s="1"/>
  <c r="CK7" i="4"/>
  <c r="AF7"/>
  <c r="AH7"/>
  <c r="AM38" l="1"/>
  <c r="AI38"/>
  <c r="Z41" i="1"/>
  <c r="AV152" i="4"/>
  <c r="AV88"/>
  <c r="AV104"/>
  <c r="AV72"/>
  <c r="AV56"/>
  <c r="AV184"/>
  <c r="AV136"/>
  <c r="AV120"/>
  <c r="AV168"/>
  <c r="AQ152"/>
  <c r="AQ88"/>
  <c r="AQ104"/>
  <c r="AQ72"/>
  <c r="AQ56"/>
  <c r="AQ184"/>
  <c r="AQ136"/>
  <c r="AQ120"/>
  <c r="AQ168"/>
  <c r="CT184"/>
  <c r="CT88"/>
  <c r="CT72"/>
  <c r="CT56"/>
  <c r="CT120"/>
  <c r="CT136"/>
  <c r="CT168"/>
  <c r="AO184"/>
  <c r="AO136"/>
  <c r="AO120"/>
  <c r="AO168"/>
  <c r="AO152"/>
  <c r="AO88"/>
  <c r="AO104"/>
  <c r="AO72"/>
  <c r="AO56"/>
  <c r="BB168"/>
  <c r="BB88"/>
  <c r="BB104"/>
  <c r="BB72"/>
  <c r="BB56"/>
  <c r="BB184"/>
  <c r="BB152"/>
  <c r="BB136"/>
  <c r="BB120"/>
  <c r="CR136"/>
  <c r="CR168"/>
  <c r="CR184"/>
  <c r="CR88"/>
  <c r="CR72"/>
  <c r="CR56"/>
  <c r="CR120"/>
  <c r="AJ152"/>
  <c r="AJ184"/>
  <c r="AJ136"/>
  <c r="AJ120"/>
  <c r="AJ168"/>
  <c r="AJ88"/>
  <c r="AJ104"/>
  <c r="AJ72"/>
  <c r="AJ56"/>
  <c r="AK152"/>
  <c r="AK104"/>
  <c r="AK72"/>
  <c r="AK56"/>
  <c r="AK184"/>
  <c r="AK136"/>
  <c r="AK120"/>
  <c r="AK168"/>
  <c r="AK88"/>
  <c r="AO38"/>
  <c r="AN38"/>
  <c r="AE56"/>
  <c r="AE152"/>
  <c r="E43" i="5"/>
  <c r="E31"/>
  <c r="E46"/>
  <c r="E34"/>
  <c r="M34"/>
  <c r="I34"/>
  <c r="J43"/>
  <c r="I31"/>
  <c r="BA152" i="4"/>
  <c r="BA88"/>
  <c r="BA104"/>
  <c r="BA72"/>
  <c r="BA56"/>
  <c r="BA184"/>
  <c r="BA136"/>
  <c r="BA120"/>
  <c r="BA168"/>
  <c r="CU168"/>
  <c r="CU184"/>
  <c r="CU88"/>
  <c r="CU72"/>
  <c r="CU56"/>
  <c r="CU120"/>
  <c r="CU136"/>
  <c r="CS120"/>
  <c r="CS136"/>
  <c r="CS168"/>
  <c r="CS184"/>
  <c r="CS88"/>
  <c r="CS72"/>
  <c r="CS56"/>
  <c r="AL152"/>
  <c r="AL168"/>
  <c r="AL88"/>
  <c r="AL104"/>
  <c r="AL72"/>
  <c r="AL56"/>
  <c r="AL184"/>
  <c r="AL136"/>
  <c r="AL120"/>
  <c r="BV168"/>
  <c r="BV88"/>
  <c r="BV104"/>
  <c r="BV72"/>
  <c r="BV56"/>
  <c r="BV184"/>
  <c r="BV152"/>
  <c r="BV136"/>
  <c r="BV120"/>
  <c r="AQ38"/>
  <c r="Z17"/>
  <c r="AE17"/>
  <c r="Q43" i="5"/>
  <c r="Q31"/>
  <c r="Q46"/>
  <c r="Q34"/>
  <c r="F46"/>
  <c r="F31"/>
  <c r="G46"/>
  <c r="G31"/>
  <c r="AU104" i="4"/>
  <c r="AU72"/>
  <c r="AU56"/>
  <c r="AU184"/>
  <c r="AU136"/>
  <c r="AU120"/>
  <c r="AU168"/>
  <c r="AU152"/>
  <c r="AU88"/>
  <c r="AZ104"/>
  <c r="AZ72"/>
  <c r="AZ56"/>
  <c r="AZ184"/>
  <c r="AZ136"/>
  <c r="AZ120"/>
  <c r="AZ168"/>
  <c r="AZ152"/>
  <c r="AZ88"/>
  <c r="AT184"/>
  <c r="AT136"/>
  <c r="AT120"/>
  <c r="AT168"/>
  <c r="AT152"/>
  <c r="AT88"/>
  <c r="AT104"/>
  <c r="AT72"/>
  <c r="AT56"/>
  <c r="CO4"/>
  <c r="CQ88"/>
  <c r="CQ72"/>
  <c r="BX184"/>
  <c r="BX136"/>
  <c r="BX120"/>
  <c r="BX168"/>
  <c r="BX152"/>
  <c r="BX88"/>
  <c r="BX104"/>
  <c r="BX72"/>
  <c r="BX56"/>
  <c r="AR168"/>
  <c r="AR88"/>
  <c r="AR104"/>
  <c r="AR72"/>
  <c r="AR56"/>
  <c r="AR184"/>
  <c r="AR152"/>
  <c r="AR136"/>
  <c r="AR120"/>
  <c r="AG152"/>
  <c r="AG168"/>
  <c r="AG88"/>
  <c r="AG120"/>
  <c r="AG136"/>
  <c r="AG72"/>
  <c r="AG184"/>
  <c r="AG104"/>
  <c r="AG56"/>
  <c r="P46" i="5"/>
  <c r="P31"/>
  <c r="P34"/>
  <c r="P43"/>
  <c r="AA17" i="4"/>
  <c r="AF17"/>
  <c r="M46" i="5"/>
  <c r="M31"/>
  <c r="AW168" i="4"/>
  <c r="AW88"/>
  <c r="AW104"/>
  <c r="AW72"/>
  <c r="AW56"/>
  <c r="AW184"/>
  <c r="AW152"/>
  <c r="AW136"/>
  <c r="AW120"/>
  <c r="H18" i="5"/>
  <c r="H31"/>
  <c r="AP104" i="4"/>
  <c r="AP72"/>
  <c r="AP56"/>
  <c r="AP184"/>
  <c r="AP136"/>
  <c r="AP120"/>
  <c r="AP168"/>
  <c r="AP152"/>
  <c r="AP88"/>
  <c r="BG168"/>
  <c r="BG88"/>
  <c r="BG104"/>
  <c r="BG72"/>
  <c r="BG56"/>
  <c r="BG184"/>
  <c r="BG152"/>
  <c r="BG136"/>
  <c r="BG120"/>
  <c r="AH152"/>
  <c r="AH56"/>
  <c r="AH72"/>
  <c r="AH88"/>
  <c r="AH104"/>
  <c r="AH184"/>
  <c r="AH136"/>
  <c r="AH120"/>
  <c r="AB17"/>
  <c r="AG17"/>
  <c r="N43" i="5"/>
  <c r="N31"/>
  <c r="AG11" i="4"/>
  <c r="J34" i="5"/>
  <c r="K34"/>
  <c r="AH22" i="4"/>
  <c r="R26" i="5"/>
  <c r="R36"/>
  <c r="S36" s="1"/>
  <c r="Q26"/>
  <c r="Q37"/>
  <c r="Q40"/>
  <c r="R40" s="1"/>
  <c r="AG22" i="4"/>
  <c r="O26" i="5"/>
  <c r="O37"/>
  <c r="O40"/>
  <c r="AE184" i="4"/>
  <c r="AE104"/>
  <c r="AE72"/>
  <c r="AE120"/>
  <c r="BT7"/>
  <c r="BT8" s="1"/>
  <c r="AE168"/>
  <c r="BE7"/>
  <c r="BS4"/>
  <c r="BV7"/>
  <c r="AF136"/>
  <c r="AF56"/>
  <c r="AF88"/>
  <c r="AF184"/>
  <c r="AF104"/>
  <c r="AF72"/>
  <c r="AF120"/>
  <c r="AF168"/>
  <c r="BK5"/>
  <c r="BJ5"/>
  <c r="BD7"/>
  <c r="BD8" s="1"/>
  <c r="BF7"/>
  <c r="BG8" s="1"/>
  <c r="R15" i="5"/>
  <c r="BU7" i="4"/>
  <c r="Z8" i="5"/>
  <c r="AG186" i="1"/>
  <c r="AG185" s="1"/>
  <c r="BM8" i="4"/>
  <c r="BO8"/>
  <c r="BF4"/>
  <c r="AL8"/>
  <c r="BD6"/>
  <c r="BL5"/>
  <c r="BE6"/>
  <c r="BF6"/>
  <c r="BQ4"/>
  <c r="BF5"/>
  <c r="BS5"/>
  <c r="CJ8"/>
  <c r="AK8"/>
  <c r="CC6"/>
  <c r="BT4"/>
  <c r="BA38"/>
  <c r="BF38" s="1"/>
  <c r="BT5"/>
  <c r="AP8"/>
  <c r="AD172" i="1" s="1"/>
  <c r="AD169" s="1"/>
  <c r="BB38" i="4"/>
  <c r="BG38" s="1"/>
  <c r="CK8"/>
  <c r="CN7"/>
  <c r="CN8" s="1"/>
  <c r="AZ8"/>
  <c r="AN172" i="1" s="1"/>
  <c r="AH42" i="4"/>
  <c r="CH4"/>
  <c r="BH28"/>
  <c r="BE4"/>
  <c r="BD4"/>
  <c r="CC4"/>
  <c r="BU4"/>
  <c r="CE4"/>
  <c r="CN4"/>
  <c r="BW28"/>
  <c r="BE5"/>
  <c r="BD5"/>
  <c r="AD5" i="5"/>
  <c r="CG5" i="4"/>
  <c r="BL4"/>
  <c r="CF4"/>
  <c r="CD4"/>
  <c r="BP4"/>
  <c r="BO4"/>
  <c r="BN4"/>
  <c r="CB28"/>
  <c r="CA4"/>
  <c r="BZ4"/>
  <c r="BY4"/>
  <c r="BI4"/>
  <c r="BJ4"/>
  <c r="CI4"/>
  <c r="BK4"/>
  <c r="CJ4"/>
  <c r="CK4"/>
  <c r="AI24"/>
  <c r="AN24" s="1"/>
  <c r="AH8"/>
  <c r="Z172" i="1" s="1"/>
  <c r="Z171" s="1"/>
  <c r="AZ38" i="4"/>
  <c r="L37" i="5"/>
  <c r="L40"/>
  <c r="H40"/>
  <c r="BX7" i="4"/>
  <c r="CA7"/>
  <c r="BZ7"/>
  <c r="BY7"/>
  <c r="CC7"/>
  <c r="CC8" s="1"/>
  <c r="CA5"/>
  <c r="BZ5"/>
  <c r="BY5"/>
  <c r="BX5"/>
  <c r="BZ6"/>
  <c r="CA6"/>
  <c r="BX6"/>
  <c r="BY6"/>
  <c r="BN5"/>
  <c r="BP5"/>
  <c r="BO5"/>
  <c r="BQ5"/>
  <c r="AO8"/>
  <c r="AC172" i="1" s="1"/>
  <c r="AC169" s="1"/>
  <c r="CD6" i="4"/>
  <c r="CE6"/>
  <c r="AM8"/>
  <c r="CS8"/>
  <c r="G26" i="5"/>
  <c r="H22"/>
  <c r="H26" s="1"/>
  <c r="N18"/>
  <c r="AB8" i="4"/>
  <c r="CD7"/>
  <c r="AQ8"/>
  <c r="AE172" i="1" s="1"/>
  <c r="AE169" s="1"/>
  <c r="BU5" i="4"/>
  <c r="BP8"/>
  <c r="U49" i="1"/>
  <c r="M21" i="5" s="1"/>
  <c r="CP4" i="4"/>
  <c r="CQ28"/>
  <c r="CM4"/>
  <c r="BV6"/>
  <c r="BU6"/>
  <c r="BT6"/>
  <c r="BS6"/>
  <c r="CP7"/>
  <c r="CR8"/>
  <c r="CO7"/>
  <c r="BL7"/>
  <c r="BK7"/>
  <c r="BJ7"/>
  <c r="BI7"/>
  <c r="CE7"/>
  <c r="BV8"/>
  <c r="CF7"/>
  <c r="BA8"/>
  <c r="L18" i="5"/>
  <c r="CM6" i="4"/>
  <c r="CO6"/>
  <c r="CP6"/>
  <c r="CN6"/>
  <c r="AY8"/>
  <c r="AM172" i="1" s="1"/>
  <c r="AG8" i="4"/>
  <c r="BN8"/>
  <c r="AA8"/>
  <c r="Z8"/>
  <c r="CM8"/>
  <c r="AR8"/>
  <c r="AF172" i="1" s="1"/>
  <c r="AF169" s="1"/>
  <c r="AF8" i="4"/>
  <c r="CJ152" l="1"/>
  <c r="CJ88"/>
  <c r="CJ104"/>
  <c r="CJ72"/>
  <c r="CJ56"/>
  <c r="CJ184"/>
  <c r="CJ136"/>
  <c r="CJ120"/>
  <c r="CJ168"/>
  <c r="BI184"/>
  <c r="BI136"/>
  <c r="BI120"/>
  <c r="BI168"/>
  <c r="BI152"/>
  <c r="BI88"/>
  <c r="BI104"/>
  <c r="BI72"/>
  <c r="BI56"/>
  <c r="CD184"/>
  <c r="CD104"/>
  <c r="CD72"/>
  <c r="CD56"/>
  <c r="CD136"/>
  <c r="CD120"/>
  <c r="CD168"/>
  <c r="CD152"/>
  <c r="CD88"/>
  <c r="CN56"/>
  <c r="CN88"/>
  <c r="CN72"/>
  <c r="CN104"/>
  <c r="CN184"/>
  <c r="CN136"/>
  <c r="CN120"/>
  <c r="CN168"/>
  <c r="CN152"/>
  <c r="BD184"/>
  <c r="BD136"/>
  <c r="BD120"/>
  <c r="BD168"/>
  <c r="BD152"/>
  <c r="BD88"/>
  <c r="BD104"/>
  <c r="BD72"/>
  <c r="BD56"/>
  <c r="BT104"/>
  <c r="BT72"/>
  <c r="BT56"/>
  <c r="BT184"/>
  <c r="BT136"/>
  <c r="BT120"/>
  <c r="BT168"/>
  <c r="BT152"/>
  <c r="BT88"/>
  <c r="BF152"/>
  <c r="BF88"/>
  <c r="BF104"/>
  <c r="BF72"/>
  <c r="BF56"/>
  <c r="BF184"/>
  <c r="BF136"/>
  <c r="BF120"/>
  <c r="BF168"/>
  <c r="BS184"/>
  <c r="BS136"/>
  <c r="BS120"/>
  <c r="BS168"/>
  <c r="BS152"/>
  <c r="BS88"/>
  <c r="BS104"/>
  <c r="BS72"/>
  <c r="BS56"/>
  <c r="AH11"/>
  <c r="AJ11" s="1"/>
  <c r="AK11" s="1"/>
  <c r="AR38"/>
  <c r="AS38" s="1"/>
  <c r="CK168"/>
  <c r="CK88"/>
  <c r="CK104"/>
  <c r="CK72"/>
  <c r="CK56"/>
  <c r="CK184"/>
  <c r="CK152"/>
  <c r="CK136"/>
  <c r="CK120"/>
  <c r="BJ104"/>
  <c r="BJ72"/>
  <c r="BJ56"/>
  <c r="BJ184"/>
  <c r="BJ136"/>
  <c r="BJ120"/>
  <c r="BJ168"/>
  <c r="BJ152"/>
  <c r="BJ88"/>
  <c r="CA168"/>
  <c r="CA88"/>
  <c r="CA104"/>
  <c r="CA72"/>
  <c r="CA56"/>
  <c r="CA184"/>
  <c r="CA152"/>
  <c r="CA136"/>
  <c r="CA120"/>
  <c r="BP152"/>
  <c r="BP88"/>
  <c r="BP104"/>
  <c r="BP72"/>
  <c r="BP56"/>
  <c r="BP184"/>
  <c r="BP136"/>
  <c r="BP120"/>
  <c r="BP168"/>
  <c r="CC136"/>
  <c r="CC120"/>
  <c r="CC168"/>
  <c r="CC152"/>
  <c r="CC88"/>
  <c r="CC184"/>
  <c r="CC104"/>
  <c r="CC72"/>
  <c r="CC56"/>
  <c r="CH184"/>
  <c r="CH136"/>
  <c r="CH120"/>
  <c r="CH168"/>
  <c r="CH152"/>
  <c r="CH88"/>
  <c r="CH104"/>
  <c r="CH72"/>
  <c r="CH56"/>
  <c r="CO88"/>
  <c r="CO72"/>
  <c r="CO56"/>
  <c r="CO152"/>
  <c r="CO104"/>
  <c r="CO184"/>
  <c r="CO136"/>
  <c r="CO120"/>
  <c r="CO168"/>
  <c r="CI104"/>
  <c r="CI72"/>
  <c r="CI56"/>
  <c r="CI184"/>
  <c r="CI136"/>
  <c r="CI120"/>
  <c r="CI168"/>
  <c r="CI152"/>
  <c r="CI88"/>
  <c r="BZ152"/>
  <c r="BZ88"/>
  <c r="BZ104"/>
  <c r="BZ72"/>
  <c r="BZ56"/>
  <c r="BZ184"/>
  <c r="BZ136"/>
  <c r="BZ120"/>
  <c r="BZ168"/>
  <c r="BO104"/>
  <c r="BO72"/>
  <c r="BO56"/>
  <c r="BO184"/>
  <c r="BO136"/>
  <c r="BO120"/>
  <c r="BO168"/>
  <c r="BO152"/>
  <c r="BO88"/>
  <c r="BL168"/>
  <c r="BL88"/>
  <c r="BL104"/>
  <c r="BL72"/>
  <c r="BL56"/>
  <c r="BL184"/>
  <c r="BL152"/>
  <c r="BL136"/>
  <c r="BL120"/>
  <c r="BU152"/>
  <c r="BU88"/>
  <c r="BU104"/>
  <c r="BU72"/>
  <c r="BU56"/>
  <c r="BU184"/>
  <c r="BU136"/>
  <c r="BU120"/>
  <c r="BU168"/>
  <c r="BQ168"/>
  <c r="BQ88"/>
  <c r="BQ104"/>
  <c r="BQ72"/>
  <c r="BQ56"/>
  <c r="BQ184"/>
  <c r="BQ152"/>
  <c r="BQ136"/>
  <c r="BQ120"/>
  <c r="CM56"/>
  <c r="CM88"/>
  <c r="CM72"/>
  <c r="CM184"/>
  <c r="CM136"/>
  <c r="CM120"/>
  <c r="CM168"/>
  <c r="CM152"/>
  <c r="CM104"/>
  <c r="CP72"/>
  <c r="CP88"/>
  <c r="CP120"/>
  <c r="CP168"/>
  <c r="CP104"/>
  <c r="CP184"/>
  <c r="CP152"/>
  <c r="CP136"/>
  <c r="CP56"/>
  <c r="AA171" i="1"/>
  <c r="Z174"/>
  <c r="Z203" s="1"/>
  <c r="Z70"/>
  <c r="Z68" s="1"/>
  <c r="Z176" s="1"/>
  <c r="Z177" s="1"/>
  <c r="BK152" i="4"/>
  <c r="BK88"/>
  <c r="BK104"/>
  <c r="BK72"/>
  <c r="BK56"/>
  <c r="BK184"/>
  <c r="BK136"/>
  <c r="BK120"/>
  <c r="BK168"/>
  <c r="BY104"/>
  <c r="BY72"/>
  <c r="BY56"/>
  <c r="BY184"/>
  <c r="BY136"/>
  <c r="BY120"/>
  <c r="BY168"/>
  <c r="BY152"/>
  <c r="BY88"/>
  <c r="BN184"/>
  <c r="BN136"/>
  <c r="BN120"/>
  <c r="BN168"/>
  <c r="BN152"/>
  <c r="BN88"/>
  <c r="BN104"/>
  <c r="BN72"/>
  <c r="BN56"/>
  <c r="CF168"/>
  <c r="CF88"/>
  <c r="CF184"/>
  <c r="CF104"/>
  <c r="CF72"/>
  <c r="CF56"/>
  <c r="CF152"/>
  <c r="CF136"/>
  <c r="CF120"/>
  <c r="CE152"/>
  <c r="CE88"/>
  <c r="CE184"/>
  <c r="CE104"/>
  <c r="CE72"/>
  <c r="CE56"/>
  <c r="CE136"/>
  <c r="CE120"/>
  <c r="CE168"/>
  <c r="BE104"/>
  <c r="BE72"/>
  <c r="BE56"/>
  <c r="BE184"/>
  <c r="BE136"/>
  <c r="BE120"/>
  <c r="BE168"/>
  <c r="BE152"/>
  <c r="BE88"/>
  <c r="BE8"/>
  <c r="AA41" i="1"/>
  <c r="S15" i="5" s="1"/>
  <c r="AC51" i="1"/>
  <c r="AC62" s="1"/>
  <c r="AD96"/>
  <c r="AD83" s="1"/>
  <c r="R39" i="5"/>
  <c r="T40"/>
  <c r="Z53" i="1"/>
  <c r="BU8" i="4"/>
  <c r="BK8"/>
  <c r="BE38"/>
  <c r="BJ38" s="1"/>
  <c r="BK38"/>
  <c r="BP38" s="1"/>
  <c r="BU38" s="1"/>
  <c r="BZ38" s="1"/>
  <c r="BF8"/>
  <c r="CA8"/>
  <c r="AA8" i="5"/>
  <c r="AH186" i="1"/>
  <c r="AH185" s="1"/>
  <c r="BR8" i="4"/>
  <c r="BL8"/>
  <c r="BL38"/>
  <c r="BQ38" s="1"/>
  <c r="BV38" s="1"/>
  <c r="CA38" s="1"/>
  <c r="BZ8"/>
  <c r="CF8"/>
  <c r="BO38"/>
  <c r="BT38" s="1"/>
  <c r="BY38" s="1"/>
  <c r="CP8"/>
  <c r="CD8"/>
  <c r="AE5" i="5"/>
  <c r="CL5" i="4"/>
  <c r="CE5"/>
  <c r="CD5"/>
  <c r="CC5"/>
  <c r="CF5"/>
  <c r="AD10" i="5"/>
  <c r="V226" i="1"/>
  <c r="AS24" i="4"/>
  <c r="BY8"/>
  <c r="BX8"/>
  <c r="BJ8"/>
  <c r="BI8"/>
  <c r="CE8"/>
  <c r="CO8"/>
  <c r="M18" i="5"/>
  <c r="Z29" i="1" l="1"/>
  <c r="AA177"/>
  <c r="AA29" s="1"/>
  <c r="AA28" s="1"/>
  <c r="AB41"/>
  <c r="AC41"/>
  <c r="AC16"/>
  <c r="AC14" s="1"/>
  <c r="Z56"/>
  <c r="S39" i="5"/>
  <c r="AA56" i="1" s="1"/>
  <c r="S37" i="5"/>
  <c r="AA53" i="1"/>
  <c r="CD38" i="4"/>
  <c r="AB8" i="5"/>
  <c r="AI186" i="1"/>
  <c r="AI185" s="1"/>
  <c r="BW8" i="4"/>
  <c r="CF38"/>
  <c r="CE38"/>
  <c r="CK5"/>
  <c r="CH5"/>
  <c r="CI5"/>
  <c r="CI38" s="1"/>
  <c r="CJ5"/>
  <c r="AF5" i="5"/>
  <c r="CV5" i="4" s="1"/>
  <c r="CQ5"/>
  <c r="AE10" i="5"/>
  <c r="AY38" i="4"/>
  <c r="BC38" s="1"/>
  <c r="AE41" i="1" s="1"/>
  <c r="AX24" i="4"/>
  <c r="S40" i="5" l="1"/>
  <c r="T39"/>
  <c r="AB56" i="1" s="1"/>
  <c r="U40" i="5"/>
  <c r="U37"/>
  <c r="T36"/>
  <c r="AB53" i="1" s="1"/>
  <c r="CK38" i="4"/>
  <c r="R27" i="5"/>
  <c r="R21" s="1"/>
  <c r="AJ186" i="1"/>
  <c r="AJ185" s="1"/>
  <c r="AC8" i="5"/>
  <c r="CB8" i="4"/>
  <c r="CJ38"/>
  <c r="CU5"/>
  <c r="CT5"/>
  <c r="CS5"/>
  <c r="CR5"/>
  <c r="AF10" i="5"/>
  <c r="CM5" i="4"/>
  <c r="CO5"/>
  <c r="CO38" s="1"/>
  <c r="CP5"/>
  <c r="CN5"/>
  <c r="CN38" s="1"/>
  <c r="BD38"/>
  <c r="BH38" s="1"/>
  <c r="AF41" i="1" s="1"/>
  <c r="BC24" i="4"/>
  <c r="Z49" i="1" l="1"/>
  <c r="S21" i="5"/>
  <c r="CP38" i="4"/>
  <c r="V37" i="5"/>
  <c r="U36"/>
  <c r="AC53" i="1" s="1"/>
  <c r="U39" i="5"/>
  <c r="AC56" i="1" s="1"/>
  <c r="V40" i="5"/>
  <c r="AK186" i="1"/>
  <c r="AK185" s="1"/>
  <c r="AD8" i="5"/>
  <c r="CG8" i="4"/>
  <c r="CS38"/>
  <c r="CT38"/>
  <c r="CU38"/>
  <c r="BI38"/>
  <c r="BM38" s="1"/>
  <c r="AG41" i="1" s="1"/>
  <c r="BH24" i="4"/>
  <c r="S27" i="5" l="1"/>
  <c r="AA49" i="1"/>
  <c r="V39" i="5"/>
  <c r="AD56" i="1" s="1"/>
  <c r="W40" i="5"/>
  <c r="W37"/>
  <c r="V36"/>
  <c r="AD53" i="1" s="1"/>
  <c r="AL186"/>
  <c r="AL185" s="1"/>
  <c r="AE8" i="5"/>
  <c r="CL8" i="4"/>
  <c r="BN38"/>
  <c r="BR38" s="1"/>
  <c r="AH41" i="1" s="1"/>
  <c r="BM24" i="4"/>
  <c r="X37" i="5" l="1"/>
  <c r="W36"/>
  <c r="AE53" i="1" s="1"/>
  <c r="W39" i="5"/>
  <c r="AE56" i="1" s="1"/>
  <c r="X40" i="5"/>
  <c r="AM186" i="1"/>
  <c r="AM185" s="1"/>
  <c r="CQ8" i="4"/>
  <c r="AF8" i="5"/>
  <c r="BS38" i="4"/>
  <c r="BR24"/>
  <c r="Y40" i="5" l="1"/>
  <c r="X39"/>
  <c r="AF56" i="1" s="1"/>
  <c r="Y37" i="5"/>
  <c r="X36"/>
  <c r="AF53" i="1" s="1"/>
  <c r="CV8" i="4"/>
  <c r="AN186" i="1"/>
  <c r="AN185" s="1"/>
  <c r="BX38" i="4"/>
  <c r="BW38"/>
  <c r="AI41" i="1" s="1"/>
  <c r="BW24" i="4"/>
  <c r="Z37" i="5" l="1"/>
  <c r="Y36"/>
  <c r="AG53" i="1" s="1"/>
  <c r="Z40" i="5"/>
  <c r="Y39"/>
  <c r="AG56" i="1" s="1"/>
  <c r="CC38" i="4"/>
  <c r="CB38"/>
  <c r="AJ41" i="1" s="1"/>
  <c r="CB24" i="4"/>
  <c r="Z39" i="5" l="1"/>
  <c r="AH56" i="1" s="1"/>
  <c r="AA40" i="5"/>
  <c r="AA37"/>
  <c r="Z36"/>
  <c r="AH53" i="1" s="1"/>
  <c r="CH38" i="4"/>
  <c r="CG38"/>
  <c r="AK41" i="1" s="1"/>
  <c r="CG24" i="4"/>
  <c r="AB37" i="5" l="1"/>
  <c r="AA36"/>
  <c r="AI53" i="1" s="1"/>
  <c r="AB40" i="5"/>
  <c r="AA39"/>
  <c r="AI56" i="1" s="1"/>
  <c r="CL38" i="4"/>
  <c r="AL41" i="1" s="1"/>
  <c r="CM38" i="4"/>
  <c r="CL24"/>
  <c r="AC40" i="5" l="1"/>
  <c r="AB39"/>
  <c r="AJ56" i="1" s="1"/>
  <c r="AC37" i="5"/>
  <c r="AB36"/>
  <c r="AJ53" i="1" s="1"/>
  <c r="CR38" i="4"/>
  <c r="CV38" s="1"/>
  <c r="AN41" i="1" s="1"/>
  <c r="CQ38" i="4"/>
  <c r="AM41" i="1" s="1"/>
  <c r="CQ24" i="4"/>
  <c r="AD37" i="5" l="1"/>
  <c r="AC36"/>
  <c r="AK53" i="1" s="1"/>
  <c r="AC39" i="5"/>
  <c r="AK56" i="1" s="1"/>
  <c r="AD40" i="5"/>
  <c r="CV24" i="4"/>
  <c r="AD39" i="5" l="1"/>
  <c r="AL56" i="1" s="1"/>
  <c r="AE40" i="5"/>
  <c r="AE37"/>
  <c r="AD36"/>
  <c r="AL53" i="1" s="1"/>
  <c r="AE36" i="5" l="1"/>
  <c r="AM53" i="1" s="1"/>
  <c r="AF37" i="5"/>
  <c r="AF36" s="1"/>
  <c r="AN53" i="1" s="1"/>
  <c r="AE39" i="5"/>
  <c r="AM56" i="1" s="1"/>
  <c r="AF40" i="5"/>
  <c r="AF39" s="1"/>
  <c r="AN56" i="1" s="1"/>
  <c r="U105"/>
  <c r="T107"/>
  <c r="T106"/>
  <c r="T105"/>
  <c r="Q102"/>
  <c r="Q101"/>
  <c r="Q92"/>
  <c r="P92"/>
  <c r="N92"/>
  <c r="U101"/>
  <c r="R101"/>
  <c r="L101"/>
  <c r="L102"/>
  <c r="S101"/>
  <c r="P101"/>
  <c r="O101"/>
  <c r="N101"/>
  <c r="M101"/>
  <c r="V63"/>
  <c r="V62"/>
  <c r="V60"/>
  <c r="V58"/>
  <c r="V74"/>
  <c r="U76"/>
  <c r="U75"/>
  <c r="U70"/>
  <c r="U69"/>
  <c r="V68"/>
  <c r="U63"/>
  <c r="U62"/>
  <c r="U58"/>
  <c r="U57"/>
  <c r="U56"/>
  <c r="U55"/>
  <c r="U54"/>
  <c r="U52"/>
  <c r="U51"/>
  <c r="U50"/>
  <c r="U53"/>
  <c r="U48"/>
  <c r="U44"/>
  <c r="U42"/>
  <c r="U41"/>
  <c r="V39"/>
  <c r="V26"/>
  <c r="V24"/>
  <c r="V22"/>
  <c r="U28"/>
  <c r="U26"/>
  <c r="U24"/>
  <c r="U20" s="1"/>
  <c r="U22"/>
  <c r="U106" l="1"/>
  <c r="U107"/>
  <c r="V72"/>
  <c r="V78" s="1"/>
  <c r="V65"/>
  <c r="V12"/>
  <c r="U12"/>
  <c r="U10"/>
  <c r="V7"/>
  <c r="U7"/>
  <c r="T7"/>
  <c r="S7"/>
  <c r="R7"/>
  <c r="V20"/>
  <c r="V28"/>
  <c r="V6"/>
  <c r="V14"/>
  <c r="U113"/>
  <c r="U115"/>
  <c r="U116" s="1"/>
  <c r="U118"/>
  <c r="U121"/>
  <c r="U122"/>
  <c r="U124"/>
  <c r="U125" s="1"/>
  <c r="U127"/>
  <c r="U74"/>
  <c r="U68"/>
  <c r="U39"/>
  <c r="U46" s="1"/>
  <c r="U60" s="1"/>
  <c r="U72" s="1"/>
  <c r="U198" s="1"/>
  <c r="U38"/>
  <c r="U82" s="1"/>
  <c r="U104" s="1"/>
  <c r="U111" s="1"/>
  <c r="U135" s="1"/>
  <c r="U18"/>
  <c r="U14"/>
  <c r="U4" s="1"/>
  <c r="U6"/>
  <c r="V66" l="1"/>
  <c r="V108"/>
  <c r="V109"/>
  <c r="U119"/>
  <c r="U132"/>
  <c r="U179"/>
  <c r="U201"/>
  <c r="U224" s="1"/>
  <c r="U234" s="1"/>
  <c r="U78"/>
  <c r="U65"/>
  <c r="U36"/>
  <c r="T127"/>
  <c r="T124"/>
  <c r="T125" s="1"/>
  <c r="T121"/>
  <c r="T122" s="1"/>
  <c r="T118"/>
  <c r="T115"/>
  <c r="T116" s="1"/>
  <c r="T113"/>
  <c r="T137"/>
  <c r="T101"/>
  <c r="T75"/>
  <c r="T74"/>
  <c r="T70"/>
  <c r="T69"/>
  <c r="T68"/>
  <c r="T63"/>
  <c r="T62"/>
  <c r="T96" s="1"/>
  <c r="T97" s="1"/>
  <c r="T58"/>
  <c r="T57"/>
  <c r="T56"/>
  <c r="T55"/>
  <c r="T54"/>
  <c r="T53"/>
  <c r="T52"/>
  <c r="T51"/>
  <c r="T50"/>
  <c r="T39"/>
  <c r="T46" s="1"/>
  <c r="T38"/>
  <c r="T82" s="1"/>
  <c r="T104" s="1"/>
  <c r="T111" s="1"/>
  <c r="T135" s="1"/>
  <c r="T32"/>
  <c r="T28" s="1"/>
  <c r="T26"/>
  <c r="T24"/>
  <c r="T20"/>
  <c r="T14"/>
  <c r="T12"/>
  <c r="T10"/>
  <c r="T6"/>
  <c r="T4" s="1"/>
  <c r="T119" l="1"/>
  <c r="T132"/>
  <c r="U133" s="1"/>
  <c r="T201"/>
  <c r="T179"/>
  <c r="U66"/>
  <c r="T224"/>
  <c r="T48"/>
  <c r="T60" s="1"/>
  <c r="T18"/>
  <c r="T36" s="1"/>
  <c r="S197"/>
  <c r="S136"/>
  <c r="S235" s="1"/>
  <c r="S236" s="1"/>
  <c r="S127"/>
  <c r="S124"/>
  <c r="S125" s="1"/>
  <c r="S121"/>
  <c r="S122" s="1"/>
  <c r="S118"/>
  <c r="S115"/>
  <c r="S116" s="1"/>
  <c r="S113"/>
  <c r="S107"/>
  <c r="R105"/>
  <c r="S106"/>
  <c r="S105"/>
  <c r="S97"/>
  <c r="S75"/>
  <c r="S74"/>
  <c r="S70"/>
  <c r="S69"/>
  <c r="S68"/>
  <c r="S63"/>
  <c r="S62"/>
  <c r="S96" s="1"/>
  <c r="S58"/>
  <c r="S57"/>
  <c r="S56"/>
  <c r="S55"/>
  <c r="S54"/>
  <c r="S53"/>
  <c r="S52"/>
  <c r="S51"/>
  <c r="S50"/>
  <c r="S39"/>
  <c r="S38"/>
  <c r="S82" s="1"/>
  <c r="S104" s="1"/>
  <c r="S111" s="1"/>
  <c r="S135" s="1"/>
  <c r="S32"/>
  <c r="S28"/>
  <c r="S26"/>
  <c r="S20" s="1"/>
  <c r="S24"/>
  <c r="S14"/>
  <c r="S12"/>
  <c r="S10"/>
  <c r="S6"/>
  <c r="S18" l="1"/>
  <c r="S132"/>
  <c r="S179"/>
  <c r="S201"/>
  <c r="S224" s="1"/>
  <c r="S234" s="1"/>
  <c r="T65"/>
  <c r="T72"/>
  <c r="S137"/>
  <c r="S138" s="1"/>
  <c r="T133"/>
  <c r="S119"/>
  <c r="S48"/>
  <c r="S60" s="1"/>
  <c r="S72" s="1"/>
  <c r="S4"/>
  <c r="S36" s="1"/>
  <c r="T136"/>
  <c r="T234"/>
  <c r="T138" l="1"/>
  <c r="T198"/>
  <c r="T78"/>
  <c r="T66"/>
  <c r="S198"/>
  <c r="S78"/>
  <c r="S65"/>
  <c r="R136"/>
  <c r="R204"/>
  <c r="R203"/>
  <c r="R219"/>
  <c r="R197"/>
  <c r="R127"/>
  <c r="R124"/>
  <c r="R125" s="1"/>
  <c r="R121"/>
  <c r="R122" s="1"/>
  <c r="R118"/>
  <c r="R115"/>
  <c r="R116" s="1"/>
  <c r="R113"/>
  <c r="R107"/>
  <c r="R106"/>
  <c r="R137" s="1"/>
  <c r="R74"/>
  <c r="R68"/>
  <c r="R63"/>
  <c r="R62"/>
  <c r="R96" s="1"/>
  <c r="R48"/>
  <c r="R39"/>
  <c r="R46" s="1"/>
  <c r="R60" s="1"/>
  <c r="R38"/>
  <c r="R82" s="1"/>
  <c r="R104" s="1"/>
  <c r="R111" s="1"/>
  <c r="R135" s="1"/>
  <c r="R28"/>
  <c r="R24"/>
  <c r="R20"/>
  <c r="R14"/>
  <c r="R6"/>
  <c r="S202" l="1"/>
  <c r="R132"/>
  <c r="S133" s="1"/>
  <c r="S205" s="1"/>
  <c r="S66"/>
  <c r="R138"/>
  <c r="R97"/>
  <c r="R18"/>
  <c r="R72"/>
  <c r="R65"/>
  <c r="U109" s="1"/>
  <c r="R179"/>
  <c r="R201"/>
  <c r="R224" s="1"/>
  <c r="R234" s="1"/>
  <c r="R119"/>
  <c r="R4"/>
  <c r="P199"/>
  <c r="P197"/>
  <c r="Q34"/>
  <c r="Q32"/>
  <c r="Q31"/>
  <c r="Q30"/>
  <c r="Q127" s="1"/>
  <c r="Q29"/>
  <c r="Q28"/>
  <c r="Q26"/>
  <c r="Q25"/>
  <c r="Q24"/>
  <c r="Q23"/>
  <c r="Q22"/>
  <c r="Q21"/>
  <c r="Q20"/>
  <c r="Q18"/>
  <c r="Q16"/>
  <c r="Q15"/>
  <c r="Q14"/>
  <c r="Q12"/>
  <c r="Q10"/>
  <c r="Q9"/>
  <c r="Q8"/>
  <c r="Q7"/>
  <c r="Q6" s="1"/>
  <c r="Q129"/>
  <c r="Q124"/>
  <c r="Q125" s="1"/>
  <c r="P129"/>
  <c r="P127"/>
  <c r="P124"/>
  <c r="P125" s="1"/>
  <c r="P121"/>
  <c r="P122" s="1"/>
  <c r="P118"/>
  <c r="P115"/>
  <c r="P116" s="1"/>
  <c r="P112"/>
  <c r="P113" s="1"/>
  <c r="P105"/>
  <c r="P136" s="1"/>
  <c r="P102"/>
  <c r="P83"/>
  <c r="Q75"/>
  <c r="Q76"/>
  <c r="R36" l="1"/>
  <c r="U108"/>
  <c r="R78"/>
  <c r="R198"/>
  <c r="P132"/>
  <c r="R66"/>
  <c r="R202"/>
  <c r="P235"/>
  <c r="P119"/>
  <c r="P106"/>
  <c r="P107"/>
  <c r="P75"/>
  <c r="P74"/>
  <c r="P70"/>
  <c r="P69"/>
  <c r="P68"/>
  <c r="P63"/>
  <c r="P62"/>
  <c r="P96" s="1"/>
  <c r="P97" s="1"/>
  <c r="P56"/>
  <c r="P55"/>
  <c r="P54"/>
  <c r="P51"/>
  <c r="P49"/>
  <c r="P44"/>
  <c r="P42"/>
  <c r="P39" s="1"/>
  <c r="P46" s="1"/>
  <c r="P41"/>
  <c r="P38"/>
  <c r="P82" s="1"/>
  <c r="P104" s="1"/>
  <c r="P111" s="1"/>
  <c r="P135" s="1"/>
  <c r="P28"/>
  <c r="P24"/>
  <c r="P22"/>
  <c r="P20"/>
  <c r="P14"/>
  <c r="P12"/>
  <c r="P10"/>
  <c r="P7"/>
  <c r="P6"/>
  <c r="X183" i="4"/>
  <c r="X184" s="1"/>
  <c r="X167"/>
  <c r="X168" s="1"/>
  <c r="X152"/>
  <c r="X151"/>
  <c r="X135"/>
  <c r="X136" s="1"/>
  <c r="X119"/>
  <c r="X120" s="1"/>
  <c r="X103"/>
  <c r="X104" s="1"/>
  <c r="X88"/>
  <c r="X87"/>
  <c r="X71"/>
  <c r="X72" s="1"/>
  <c r="X55"/>
  <c r="X56" s="1"/>
  <c r="P60" i="1" l="1"/>
  <c r="P72" s="1"/>
  <c r="P198"/>
  <c r="P78"/>
  <c r="P65"/>
  <c r="P137"/>
  <c r="P138" s="1"/>
  <c r="P201"/>
  <c r="P224" s="1"/>
  <c r="P234" s="1"/>
  <c r="P179"/>
  <c r="P18"/>
  <c r="P4"/>
  <c r="T108" l="1"/>
  <c r="T109"/>
  <c r="P66"/>
  <c r="P36"/>
  <c r="K80" l="1"/>
  <c r="O80"/>
  <c r="O199" l="1"/>
  <c r="N199"/>
  <c r="M199"/>
  <c r="J199"/>
  <c r="I199"/>
  <c r="H199"/>
  <c r="A199"/>
  <c r="O197"/>
  <c r="N197"/>
  <c r="M197"/>
  <c r="J197"/>
  <c r="I197"/>
  <c r="H197"/>
  <c r="W183" i="4"/>
  <c r="W184" s="1"/>
  <c r="W177"/>
  <c r="W180" s="1"/>
  <c r="W167"/>
  <c r="W168" s="1"/>
  <c r="W161"/>
  <c r="W164" s="1"/>
  <c r="W151"/>
  <c r="W152" s="1"/>
  <c r="W145"/>
  <c r="W148" s="1"/>
  <c r="W136"/>
  <c r="W135"/>
  <c r="W129"/>
  <c r="W132" s="1"/>
  <c r="W119"/>
  <c r="W120" s="1"/>
  <c r="W113"/>
  <c r="W116" s="1"/>
  <c r="W103"/>
  <c r="W104" s="1"/>
  <c r="W97"/>
  <c r="W100" s="1"/>
  <c r="W87"/>
  <c r="W88" s="1"/>
  <c r="W81"/>
  <c r="W84" s="1"/>
  <c r="W71"/>
  <c r="W72" s="1"/>
  <c r="W65"/>
  <c r="W68" s="1"/>
  <c r="W56"/>
  <c r="W55"/>
  <c r="W49"/>
  <c r="W52" s="1"/>
  <c r="Q197" i="1" l="1"/>
  <c r="O129"/>
  <c r="O127"/>
  <c r="O124"/>
  <c r="O125" s="1"/>
  <c r="O121"/>
  <c r="O122" s="1"/>
  <c r="O118"/>
  <c r="O119" s="1"/>
  <c r="O115"/>
  <c r="O116" s="1"/>
  <c r="O112"/>
  <c r="O105"/>
  <c r="O136" s="1"/>
  <c r="O102"/>
  <c r="O83"/>
  <c r="O74"/>
  <c r="O68"/>
  <c r="O63"/>
  <c r="O62"/>
  <c r="O96" s="1"/>
  <c r="O44"/>
  <c r="O42"/>
  <c r="O41"/>
  <c r="O39"/>
  <c r="O46" s="1"/>
  <c r="O38"/>
  <c r="O82" s="1"/>
  <c r="O104" s="1"/>
  <c r="O111" s="1"/>
  <c r="O135" s="1"/>
  <c r="O28"/>
  <c r="O22"/>
  <c r="O20" s="1"/>
  <c r="O12"/>
  <c r="O14"/>
  <c r="O7"/>
  <c r="O6"/>
  <c r="O97" l="1"/>
  <c r="O201"/>
  <c r="O224" s="1"/>
  <c r="O234" s="1"/>
  <c r="O179"/>
  <c r="O235"/>
  <c r="O60"/>
  <c r="O72" s="1"/>
  <c r="O132"/>
  <c r="O113"/>
  <c r="O106"/>
  <c r="O107"/>
  <c r="O18"/>
  <c r="O4"/>
  <c r="P133" l="1"/>
  <c r="O198"/>
  <c r="O78"/>
  <c r="O36"/>
  <c r="O65"/>
  <c r="O137"/>
  <c r="O138" s="1"/>
  <c r="AX101"/>
  <c r="AX102" s="1"/>
  <c r="S109" l="1"/>
  <c r="S108"/>
  <c r="O66"/>
  <c r="V183" i="4"/>
  <c r="V184" s="1"/>
  <c r="V167"/>
  <c r="V168" s="1"/>
  <c r="V151"/>
  <c r="V152" s="1"/>
  <c r="V135"/>
  <c r="V136" s="1"/>
  <c r="V119"/>
  <c r="V120" s="1"/>
  <c r="V103"/>
  <c r="V104" s="1"/>
  <c r="V87"/>
  <c r="V88" s="1"/>
  <c r="V71"/>
  <c r="V55"/>
  <c r="N129" i="1" l="1"/>
  <c r="N127"/>
  <c r="N124"/>
  <c r="N125" s="1"/>
  <c r="N121"/>
  <c r="N122" s="1"/>
  <c r="N118"/>
  <c r="N119" s="1"/>
  <c r="N115"/>
  <c r="N116" s="1"/>
  <c r="N112"/>
  <c r="N105"/>
  <c r="N106" s="1"/>
  <c r="N102"/>
  <c r="N83"/>
  <c r="N74"/>
  <c r="N68"/>
  <c r="N63"/>
  <c r="N62"/>
  <c r="N96" s="1"/>
  <c r="N39"/>
  <c r="N46" s="1"/>
  <c r="N38"/>
  <c r="N82" s="1"/>
  <c r="N104" s="1"/>
  <c r="N111" s="1"/>
  <c r="N135" s="1"/>
  <c r="N28"/>
  <c r="N20"/>
  <c r="N14"/>
  <c r="N6"/>
  <c r="N97" l="1"/>
  <c r="N137"/>
  <c r="N132"/>
  <c r="O133" s="1"/>
  <c r="N60"/>
  <c r="N65" s="1"/>
  <c r="N179"/>
  <c r="N201"/>
  <c r="N224" s="1"/>
  <c r="N234" s="1"/>
  <c r="N136"/>
  <c r="N113"/>
  <c r="N107"/>
  <c r="N18"/>
  <c r="N4"/>
  <c r="R108" l="1"/>
  <c r="R109"/>
  <c r="N72"/>
  <c r="N36"/>
  <c r="N138"/>
  <c r="N235"/>
  <c r="N66"/>
  <c r="N78" l="1"/>
  <c r="N198"/>
  <c r="R38" i="7"/>
  <c r="Q38"/>
  <c r="P38"/>
  <c r="O38"/>
  <c r="N38"/>
  <c r="M38"/>
  <c r="L38"/>
  <c r="K38"/>
  <c r="J38"/>
  <c r="I38"/>
  <c r="H38"/>
  <c r="G38"/>
  <c r="A38"/>
  <c r="A37"/>
  <c r="A36"/>
  <c r="A35"/>
  <c r="C2"/>
  <c r="D2" s="1"/>
  <c r="E2" s="1"/>
  <c r="F2" s="1"/>
  <c r="R3"/>
  <c r="Q3"/>
  <c r="Q14" s="1"/>
  <c r="Q34" s="1"/>
  <c r="P3"/>
  <c r="O3"/>
  <c r="O14" s="1"/>
  <c r="O34" s="1"/>
  <c r="N3"/>
  <c r="M3"/>
  <c r="M14" s="1"/>
  <c r="M34" s="1"/>
  <c r="L3"/>
  <c r="K3"/>
  <c r="K14" s="1"/>
  <c r="K34" s="1"/>
  <c r="J3"/>
  <c r="I3"/>
  <c r="I14" s="1"/>
  <c r="I34" s="1"/>
  <c r="H3"/>
  <c r="G3"/>
  <c r="G14" s="1"/>
  <c r="G34" s="1"/>
  <c r="F3"/>
  <c r="E3"/>
  <c r="E14" s="1"/>
  <c r="E34" s="1"/>
  <c r="D3"/>
  <c r="D4" s="1"/>
  <c r="C3"/>
  <c r="B3"/>
  <c r="B4" s="1"/>
  <c r="AN155" i="1"/>
  <c r="AM150"/>
  <c r="AL150"/>
  <c r="AL158" s="1"/>
  <c r="AK22" s="1"/>
  <c r="AK150"/>
  <c r="AK158" s="1"/>
  <c r="AJ22" s="1"/>
  <c r="AJ150"/>
  <c r="AJ158" s="1"/>
  <c r="AI22" s="1"/>
  <c r="AI150"/>
  <c r="AI158" s="1"/>
  <c r="AH22" s="1"/>
  <c r="AH150"/>
  <c r="AH158" s="1"/>
  <c r="AG22" s="1"/>
  <c r="AG150"/>
  <c r="AG158" s="1"/>
  <c r="AF22" s="1"/>
  <c r="AF150"/>
  <c r="AF158" s="1"/>
  <c r="AE150"/>
  <c r="AD150"/>
  <c r="AE22" l="1"/>
  <c r="AF136"/>
  <c r="AG136" s="1"/>
  <c r="AH136" s="1"/>
  <c r="AI136" s="1"/>
  <c r="AJ136" s="1"/>
  <c r="AK136" s="1"/>
  <c r="AL136" s="1"/>
  <c r="AM136" s="1"/>
  <c r="AF162"/>
  <c r="C14" i="7"/>
  <c r="AM158" i="1"/>
  <c r="AL22" s="1"/>
  <c r="B14" i="7"/>
  <c r="B15" s="1"/>
  <c r="D14"/>
  <c r="D15" s="1"/>
  <c r="F14"/>
  <c r="H14"/>
  <c r="J14"/>
  <c r="L14"/>
  <c r="N14"/>
  <c r="P14"/>
  <c r="R14"/>
  <c r="G2"/>
  <c r="H2" s="1"/>
  <c r="I2" s="1"/>
  <c r="J2" s="1"/>
  <c r="K2" s="1"/>
  <c r="L2" s="1"/>
  <c r="M2" s="1"/>
  <c r="N2" s="1"/>
  <c r="O2" s="1"/>
  <c r="P2" s="1"/>
  <c r="Q2" s="1"/>
  <c r="R2" s="1"/>
  <c r="R36"/>
  <c r="AN242" i="1"/>
  <c r="AM242"/>
  <c r="AL242"/>
  <c r="AK242"/>
  <c r="AJ242"/>
  <c r="AI242"/>
  <c r="AH242"/>
  <c r="AG242"/>
  <c r="AF242"/>
  <c r="AE242"/>
  <c r="AD242"/>
  <c r="AN187"/>
  <c r="AM187"/>
  <c r="AL187"/>
  <c r="AK187"/>
  <c r="AJ187"/>
  <c r="AI187"/>
  <c r="AH187"/>
  <c r="AG187"/>
  <c r="AF187"/>
  <c r="AE187"/>
  <c r="AD187"/>
  <c r="AC187"/>
  <c r="AB187"/>
  <c r="C34" i="7" l="1"/>
  <c r="C15"/>
  <c r="P34"/>
  <c r="R34"/>
  <c r="N34"/>
  <c r="J34"/>
  <c r="F34"/>
  <c r="B34"/>
  <c r="L34"/>
  <c r="H34"/>
  <c r="D34"/>
  <c r="AN158" i="1" l="1"/>
  <c r="AM22" l="1"/>
  <c r="AN136"/>
  <c r="AH168"/>
  <c r="AJ168" s="1"/>
  <c r="AL168" s="1"/>
  <c r="AN168" s="1"/>
  <c r="AS94"/>
  <c r="AR94"/>
  <c r="AQ94"/>
  <c r="AP94"/>
  <c r="AO94"/>
  <c r="AS93"/>
  <c r="AR93"/>
  <c r="AQ93"/>
  <c r="AP93"/>
  <c r="AO93"/>
  <c r="F127"/>
  <c r="E127"/>
  <c r="D127"/>
  <c r="C127"/>
  <c r="K127"/>
  <c r="J127"/>
  <c r="I127"/>
  <c r="H127"/>
  <c r="M127"/>
  <c r="B127"/>
  <c r="A127"/>
  <c r="P35" i="7"/>
  <c r="V225" i="1"/>
  <c r="K102"/>
  <c r="J102"/>
  <c r="I102"/>
  <c r="H102"/>
  <c r="F102"/>
  <c r="E102"/>
  <c r="D102"/>
  <c r="C102"/>
  <c r="B102"/>
  <c r="AS100"/>
  <c r="M102"/>
  <c r="Q100"/>
  <c r="V99"/>
  <c r="AN215"/>
  <c r="AM215"/>
  <c r="AL215"/>
  <c r="AK215"/>
  <c r="AJ215"/>
  <c r="AI215"/>
  <c r="AH215"/>
  <c r="AG215"/>
  <c r="AF215"/>
  <c r="AE215"/>
  <c r="AD215"/>
  <c r="AC215"/>
  <c r="AN213"/>
  <c r="AM213"/>
  <c r="AL213"/>
  <c r="AK213"/>
  <c r="AJ213"/>
  <c r="AI213"/>
  <c r="AH213"/>
  <c r="AG213"/>
  <c r="AF213"/>
  <c r="AE213"/>
  <c r="AD213"/>
  <c r="AC213"/>
  <c r="AN212"/>
  <c r="AM212"/>
  <c r="AL212"/>
  <c r="AK212"/>
  <c r="AJ212"/>
  <c r="AI212"/>
  <c r="AH212"/>
  <c r="AG212"/>
  <c r="AF212"/>
  <c r="AE212"/>
  <c r="AD212"/>
  <c r="AC212"/>
  <c r="A137"/>
  <c r="A136"/>
  <c r="I129"/>
  <c r="H129"/>
  <c r="H130" s="1"/>
  <c r="E129"/>
  <c r="E130" s="1"/>
  <c r="D129"/>
  <c r="C129"/>
  <c r="C130" s="1"/>
  <c r="B129"/>
  <c r="B130" s="1"/>
  <c r="M124"/>
  <c r="M125" s="1"/>
  <c r="K124"/>
  <c r="J124"/>
  <c r="I124"/>
  <c r="H124"/>
  <c r="H125" s="1"/>
  <c r="F124"/>
  <c r="E124"/>
  <c r="E125" s="1"/>
  <c r="D124"/>
  <c r="C124"/>
  <c r="C125" s="1"/>
  <c r="B124"/>
  <c r="B125" s="1"/>
  <c r="M121"/>
  <c r="M122" s="1"/>
  <c r="K121"/>
  <c r="J121"/>
  <c r="I121"/>
  <c r="H121"/>
  <c r="H122" s="1"/>
  <c r="F121"/>
  <c r="E121"/>
  <c r="E122" s="1"/>
  <c r="D121"/>
  <c r="C121"/>
  <c r="C122" s="1"/>
  <c r="B121"/>
  <c r="B122" s="1"/>
  <c r="A129"/>
  <c r="A124"/>
  <c r="M105"/>
  <c r="M136" s="1"/>
  <c r="M235" s="1"/>
  <c r="K105"/>
  <c r="K136" s="1"/>
  <c r="K235" s="1"/>
  <c r="J105"/>
  <c r="J136" s="1"/>
  <c r="J235" s="1"/>
  <c r="I105"/>
  <c r="I136" s="1"/>
  <c r="I235" s="1"/>
  <c r="H105"/>
  <c r="H136" s="1"/>
  <c r="H235" s="1"/>
  <c r="F105"/>
  <c r="F136" s="1"/>
  <c r="F235" s="1"/>
  <c r="E105"/>
  <c r="E136" s="1"/>
  <c r="E235" s="1"/>
  <c r="D105"/>
  <c r="D136" s="1"/>
  <c r="D235" s="1"/>
  <c r="C105"/>
  <c r="C136" s="1"/>
  <c r="C235" s="1"/>
  <c r="B105"/>
  <c r="B136" s="1"/>
  <c r="B235" s="1"/>
  <c r="A121"/>
  <c r="I118"/>
  <c r="H118"/>
  <c r="H119" s="1"/>
  <c r="E118"/>
  <c r="E119" s="1"/>
  <c r="D118"/>
  <c r="C118"/>
  <c r="C119" s="1"/>
  <c r="B118"/>
  <c r="B119" s="1"/>
  <c r="M115"/>
  <c r="M116" s="1"/>
  <c r="K115"/>
  <c r="J115"/>
  <c r="I115"/>
  <c r="H115"/>
  <c r="H116" s="1"/>
  <c r="F115"/>
  <c r="E115"/>
  <c r="E116" s="1"/>
  <c r="D115"/>
  <c r="C115"/>
  <c r="C116" s="1"/>
  <c r="B115"/>
  <c r="B116" s="1"/>
  <c r="M112"/>
  <c r="K112"/>
  <c r="J112"/>
  <c r="I112"/>
  <c r="H112"/>
  <c r="F112"/>
  <c r="E112"/>
  <c r="D112"/>
  <c r="C112"/>
  <c r="B112"/>
  <c r="A118"/>
  <c r="A115"/>
  <c r="A112"/>
  <c r="L63"/>
  <c r="J63"/>
  <c r="H63"/>
  <c r="G63"/>
  <c r="E63"/>
  <c r="C63"/>
  <c r="B63"/>
  <c r="M63"/>
  <c r="D132" l="1"/>
  <c r="C132"/>
  <c r="E132"/>
  <c r="J107"/>
  <c r="H113"/>
  <c r="H132"/>
  <c r="I132"/>
  <c r="I133" s="1"/>
  <c r="C35" i="7"/>
  <c r="D35"/>
  <c r="F35"/>
  <c r="H35"/>
  <c r="J35"/>
  <c r="L35"/>
  <c r="N35"/>
  <c r="Q35"/>
  <c r="R35"/>
  <c r="C106" i="1"/>
  <c r="Q168"/>
  <c r="AI168" s="1"/>
  <c r="AK168" s="1"/>
  <c r="AM168" s="1"/>
  <c r="AN169"/>
  <c r="M106"/>
  <c r="H106"/>
  <c r="E107"/>
  <c r="E35" i="7"/>
  <c r="G35"/>
  <c r="I35"/>
  <c r="K35"/>
  <c r="M35"/>
  <c r="O35"/>
  <c r="B132" i="1"/>
  <c r="AB209"/>
  <c r="AD209"/>
  <c r="AF209"/>
  <c r="AH209"/>
  <c r="AJ209"/>
  <c r="AL209"/>
  <c r="AN209"/>
  <c r="E106"/>
  <c r="J106"/>
  <c r="C107"/>
  <c r="H107"/>
  <c r="AC209"/>
  <c r="AE209"/>
  <c r="AG209"/>
  <c r="AI209"/>
  <c r="AK209"/>
  <c r="AM209"/>
  <c r="B106"/>
  <c r="D106"/>
  <c r="F106"/>
  <c r="I106"/>
  <c r="K106"/>
  <c r="B107"/>
  <c r="D107"/>
  <c r="F107"/>
  <c r="I107"/>
  <c r="K107"/>
  <c r="M107"/>
  <c r="AB99"/>
  <c r="C133"/>
  <c r="D133"/>
  <c r="C113"/>
  <c r="E113"/>
  <c r="M113"/>
  <c r="B113"/>
  <c r="AN38"/>
  <c r="AM38"/>
  <c r="AL38"/>
  <c r="AK38"/>
  <c r="AJ38"/>
  <c r="AI38"/>
  <c r="AH38"/>
  <c r="AG38"/>
  <c r="AF38"/>
  <c r="AE38"/>
  <c r="AD38"/>
  <c r="AC38"/>
  <c r="AB38"/>
  <c r="V38"/>
  <c r="Q38"/>
  <c r="AD30" l="1"/>
  <c r="AD16" i="5"/>
  <c r="T16"/>
  <c r="Y16"/>
  <c r="X16"/>
  <c r="W16"/>
  <c r="AC16"/>
  <c r="AE16"/>
  <c r="AB16"/>
  <c r="AA16"/>
  <c r="Z16"/>
  <c r="AF16"/>
  <c r="Z15"/>
  <c r="AA15"/>
  <c r="AB15"/>
  <c r="AC15"/>
  <c r="AD15"/>
  <c r="AE15"/>
  <c r="AF15"/>
  <c r="T15"/>
  <c r="W15"/>
  <c r="U15"/>
  <c r="X15"/>
  <c r="V15"/>
  <c r="Y15"/>
  <c r="F137" i="1"/>
  <c r="F138" s="1"/>
  <c r="I137"/>
  <c r="I138" s="1"/>
  <c r="H137"/>
  <c r="H138" s="1"/>
  <c r="B137"/>
  <c r="B138" s="1"/>
  <c r="J137"/>
  <c r="J138" s="1"/>
  <c r="C137"/>
  <c r="C138" s="1"/>
  <c r="D137"/>
  <c r="D138" s="1"/>
  <c r="E137"/>
  <c r="E138" s="1"/>
  <c r="M137"/>
  <c r="M138" s="1"/>
  <c r="K137"/>
  <c r="K138" s="1"/>
  <c r="AI169"/>
  <c r="AC99"/>
  <c r="E133"/>
  <c r="V82"/>
  <c r="V104" s="1"/>
  <c r="V111" s="1"/>
  <c r="V135" s="1"/>
  <c r="V179" s="1"/>
  <c r="AB82"/>
  <c r="AB104" s="1"/>
  <c r="AB111" s="1"/>
  <c r="AB135" s="1"/>
  <c r="AD82"/>
  <c r="AD104" s="1"/>
  <c r="AD111" s="1"/>
  <c r="AD135" s="1"/>
  <c r="AF82"/>
  <c r="AF104" s="1"/>
  <c r="AF111" s="1"/>
  <c r="AF135" s="1"/>
  <c r="AH82"/>
  <c r="AH104" s="1"/>
  <c r="AH111" s="1"/>
  <c r="AH135" s="1"/>
  <c r="AJ82"/>
  <c r="AJ104" s="1"/>
  <c r="AJ111" s="1"/>
  <c r="AJ135" s="1"/>
  <c r="AL82"/>
  <c r="AL104" s="1"/>
  <c r="AL111" s="1"/>
  <c r="AL135" s="1"/>
  <c r="AN82"/>
  <c r="AN104" s="1"/>
  <c r="AN111" s="1"/>
  <c r="AN135" s="1"/>
  <c r="Q82"/>
  <c r="Q104" s="1"/>
  <c r="Q111" s="1"/>
  <c r="Q135" s="1"/>
  <c r="AA82"/>
  <c r="AA104" s="1"/>
  <c r="AA111" s="1"/>
  <c r="AA135" s="1"/>
  <c r="AC82"/>
  <c r="AC104" s="1"/>
  <c r="AC111" s="1"/>
  <c r="AC135" s="1"/>
  <c r="AE82"/>
  <c r="AE104" s="1"/>
  <c r="AE111" s="1"/>
  <c r="AE135" s="1"/>
  <c r="AG82"/>
  <c r="AG104" s="1"/>
  <c r="AG111" s="1"/>
  <c r="AG135" s="1"/>
  <c r="AI82"/>
  <c r="AI104" s="1"/>
  <c r="AI111" s="1"/>
  <c r="AI135" s="1"/>
  <c r="AK82"/>
  <c r="AK104" s="1"/>
  <c r="AK111" s="1"/>
  <c r="AK135" s="1"/>
  <c r="AM82"/>
  <c r="AM104" s="1"/>
  <c r="AM111" s="1"/>
  <c r="AM135" s="1"/>
  <c r="U154" i="4"/>
  <c r="CV177"/>
  <c r="CV180" s="1"/>
  <c r="CU177"/>
  <c r="CU180" s="1"/>
  <c r="CT177"/>
  <c r="CT180" s="1"/>
  <c r="CS177"/>
  <c r="CS180" s="1"/>
  <c r="CR177"/>
  <c r="CR180" s="1"/>
  <c r="CQ177"/>
  <c r="CQ180" s="1"/>
  <c r="CP177"/>
  <c r="CP180" s="1"/>
  <c r="CO177"/>
  <c r="CO180" s="1"/>
  <c r="CN177"/>
  <c r="CN180" s="1"/>
  <c r="CM177"/>
  <c r="CM180" s="1"/>
  <c r="CL177"/>
  <c r="CL180" s="1"/>
  <c r="CK177"/>
  <c r="CK180" s="1"/>
  <c r="CJ177"/>
  <c r="CJ180" s="1"/>
  <c r="CI177"/>
  <c r="CI180" s="1"/>
  <c r="CH177"/>
  <c r="CH180" s="1"/>
  <c r="CG177"/>
  <c r="CG180" s="1"/>
  <c r="CF177"/>
  <c r="CF180" s="1"/>
  <c r="CE177"/>
  <c r="CE180" s="1"/>
  <c r="CD177"/>
  <c r="CD180" s="1"/>
  <c r="CC177"/>
  <c r="CC180" s="1"/>
  <c r="CB177"/>
  <c r="CB180" s="1"/>
  <c r="CA177"/>
  <c r="CA180" s="1"/>
  <c r="BZ177"/>
  <c r="BZ180" s="1"/>
  <c r="BY177"/>
  <c r="BY180" s="1"/>
  <c r="BX177"/>
  <c r="BX180" s="1"/>
  <c r="BW177"/>
  <c r="BW180" s="1"/>
  <c r="BV177"/>
  <c r="BV180" s="1"/>
  <c r="BU177"/>
  <c r="BU180" s="1"/>
  <c r="BT177"/>
  <c r="BT180" s="1"/>
  <c r="BS177"/>
  <c r="BS180" s="1"/>
  <c r="BR177"/>
  <c r="BR180" s="1"/>
  <c r="BQ177"/>
  <c r="BQ180" s="1"/>
  <c r="BP177"/>
  <c r="BP180" s="1"/>
  <c r="BO177"/>
  <c r="BO180" s="1"/>
  <c r="BN177"/>
  <c r="BN180" s="1"/>
  <c r="BM177"/>
  <c r="BM180" s="1"/>
  <c r="BL177"/>
  <c r="BL180" s="1"/>
  <c r="BK177"/>
  <c r="BK180" s="1"/>
  <c r="BJ177"/>
  <c r="BJ180" s="1"/>
  <c r="BI177"/>
  <c r="BI180" s="1"/>
  <c r="BH177"/>
  <c r="BH180" s="1"/>
  <c r="BG177"/>
  <c r="BG180" s="1"/>
  <c r="BF177"/>
  <c r="BF180" s="1"/>
  <c r="BE177"/>
  <c r="BE180" s="1"/>
  <c r="BD177"/>
  <c r="BD180" s="1"/>
  <c r="BC177"/>
  <c r="BC180" s="1"/>
  <c r="BB177"/>
  <c r="BB180" s="1"/>
  <c r="BA177"/>
  <c r="BA180" s="1"/>
  <c r="AZ177"/>
  <c r="AZ180" s="1"/>
  <c r="AY177"/>
  <c r="AY180" s="1"/>
  <c r="AX177"/>
  <c r="AX180" s="1"/>
  <c r="AW177"/>
  <c r="AW180" s="1"/>
  <c r="AV177"/>
  <c r="AV180" s="1"/>
  <c r="AU177"/>
  <c r="AU180" s="1"/>
  <c r="AT177"/>
  <c r="AT180" s="1"/>
  <c r="AS177"/>
  <c r="AS180" s="1"/>
  <c r="AR177"/>
  <c r="AR180" s="1"/>
  <c r="AQ177"/>
  <c r="AQ180" s="1"/>
  <c r="AP177"/>
  <c r="AP180" s="1"/>
  <c r="AO177"/>
  <c r="AO180" s="1"/>
  <c r="AN177"/>
  <c r="AN180" s="1"/>
  <c r="AM177"/>
  <c r="AM180" s="1"/>
  <c r="AL177"/>
  <c r="AL180" s="1"/>
  <c r="AK177"/>
  <c r="AK180" s="1"/>
  <c r="AJ177"/>
  <c r="AJ180" s="1"/>
  <c r="AI177"/>
  <c r="AI180" s="1"/>
  <c r="AH177"/>
  <c r="AH180" s="1"/>
  <c r="AG177"/>
  <c r="AG180" s="1"/>
  <c r="AF177"/>
  <c r="AF180" s="1"/>
  <c r="AE177"/>
  <c r="AE180" s="1"/>
  <c r="AD177"/>
  <c r="AD180" s="1"/>
  <c r="AC177"/>
  <c r="AC180" s="1"/>
  <c r="AB177"/>
  <c r="AB180" s="1"/>
  <c r="AA177"/>
  <c r="AA180" s="1"/>
  <c r="Z177"/>
  <c r="Z180" s="1"/>
  <c r="Y177"/>
  <c r="Y180" s="1"/>
  <c r="X177"/>
  <c r="X180" s="1"/>
  <c r="V177"/>
  <c r="V180" s="1"/>
  <c r="CV161"/>
  <c r="CV164" s="1"/>
  <c r="CU161"/>
  <c r="CU164" s="1"/>
  <c r="CT161"/>
  <c r="CT164" s="1"/>
  <c r="CS161"/>
  <c r="CS164" s="1"/>
  <c r="CR161"/>
  <c r="CR164" s="1"/>
  <c r="CQ161"/>
  <c r="CQ164" s="1"/>
  <c r="CP161"/>
  <c r="CP164" s="1"/>
  <c r="CO161"/>
  <c r="CO164" s="1"/>
  <c r="CN161"/>
  <c r="CN164" s="1"/>
  <c r="CM161"/>
  <c r="CM164" s="1"/>
  <c r="CL161"/>
  <c r="CL164" s="1"/>
  <c r="CK161"/>
  <c r="CK164" s="1"/>
  <c r="CJ161"/>
  <c r="CJ164" s="1"/>
  <c r="CI161"/>
  <c r="CI164" s="1"/>
  <c r="CH161"/>
  <c r="CH164" s="1"/>
  <c r="CG161"/>
  <c r="CG164" s="1"/>
  <c r="CF161"/>
  <c r="CF164" s="1"/>
  <c r="CE161"/>
  <c r="CE164" s="1"/>
  <c r="CD161"/>
  <c r="CD164" s="1"/>
  <c r="CC161"/>
  <c r="CC164" s="1"/>
  <c r="CB161"/>
  <c r="CB164" s="1"/>
  <c r="CA161"/>
  <c r="CA164" s="1"/>
  <c r="BZ161"/>
  <c r="BZ164" s="1"/>
  <c r="BY161"/>
  <c r="BY164" s="1"/>
  <c r="BX161"/>
  <c r="BX164" s="1"/>
  <c r="BW161"/>
  <c r="BW164" s="1"/>
  <c r="BV161"/>
  <c r="BV164" s="1"/>
  <c r="BU161"/>
  <c r="BU164" s="1"/>
  <c r="BT161"/>
  <c r="BT164" s="1"/>
  <c r="BS161"/>
  <c r="BS164" s="1"/>
  <c r="BR161"/>
  <c r="BR164" s="1"/>
  <c r="BQ161"/>
  <c r="BQ164" s="1"/>
  <c r="BP161"/>
  <c r="BP164" s="1"/>
  <c r="BO161"/>
  <c r="BO164" s="1"/>
  <c r="BN161"/>
  <c r="BN164" s="1"/>
  <c r="BM161"/>
  <c r="BM164" s="1"/>
  <c r="BL161"/>
  <c r="BL164" s="1"/>
  <c r="BK161"/>
  <c r="BK164" s="1"/>
  <c r="BJ161"/>
  <c r="BJ164" s="1"/>
  <c r="BI161"/>
  <c r="BI164" s="1"/>
  <c r="BH161"/>
  <c r="BH164" s="1"/>
  <c r="BG161"/>
  <c r="BG164" s="1"/>
  <c r="BF161"/>
  <c r="BF164" s="1"/>
  <c r="BE161"/>
  <c r="BE164" s="1"/>
  <c r="BD161"/>
  <c r="BD164" s="1"/>
  <c r="BC161"/>
  <c r="BC164" s="1"/>
  <c r="BB161"/>
  <c r="BB164" s="1"/>
  <c r="BA161"/>
  <c r="BA164" s="1"/>
  <c r="AZ161"/>
  <c r="AZ164" s="1"/>
  <c r="AY161"/>
  <c r="AY164" s="1"/>
  <c r="AX161"/>
  <c r="AX164" s="1"/>
  <c r="AW161"/>
  <c r="AW164" s="1"/>
  <c r="AV161"/>
  <c r="AV164" s="1"/>
  <c r="AU161"/>
  <c r="AU164" s="1"/>
  <c r="AT161"/>
  <c r="AT164" s="1"/>
  <c r="AS161"/>
  <c r="AS164" s="1"/>
  <c r="AR161"/>
  <c r="AR164" s="1"/>
  <c r="AQ161"/>
  <c r="AQ164" s="1"/>
  <c r="AP161"/>
  <c r="AP164" s="1"/>
  <c r="AO161"/>
  <c r="AO164" s="1"/>
  <c r="AN161"/>
  <c r="AN164" s="1"/>
  <c r="AM161"/>
  <c r="AM164" s="1"/>
  <c r="AL161"/>
  <c r="AL164" s="1"/>
  <c r="AK161"/>
  <c r="AK164" s="1"/>
  <c r="AJ161"/>
  <c r="AJ164" s="1"/>
  <c r="AI161"/>
  <c r="AI164" s="1"/>
  <c r="AH161"/>
  <c r="AH164" s="1"/>
  <c r="AG161"/>
  <c r="AG164" s="1"/>
  <c r="AF161"/>
  <c r="AF164" s="1"/>
  <c r="AE161"/>
  <c r="AE164" s="1"/>
  <c r="AD161"/>
  <c r="AD164" s="1"/>
  <c r="AC161"/>
  <c r="AC164" s="1"/>
  <c r="AB161"/>
  <c r="AB164" s="1"/>
  <c r="AA161"/>
  <c r="AA164" s="1"/>
  <c r="Z161"/>
  <c r="Z164" s="1"/>
  <c r="Y161"/>
  <c r="Y164" s="1"/>
  <c r="X161"/>
  <c r="X164" s="1"/>
  <c r="V161"/>
  <c r="V164" s="1"/>
  <c r="CV145"/>
  <c r="CV148" s="1"/>
  <c r="CU145"/>
  <c r="CU148" s="1"/>
  <c r="CT145"/>
  <c r="CT148" s="1"/>
  <c r="CS145"/>
  <c r="CS148" s="1"/>
  <c r="CR145"/>
  <c r="CR148" s="1"/>
  <c r="CQ145"/>
  <c r="CQ148" s="1"/>
  <c r="CP145"/>
  <c r="CP148" s="1"/>
  <c r="CO145"/>
  <c r="CO148" s="1"/>
  <c r="CN145"/>
  <c r="CN148" s="1"/>
  <c r="CM145"/>
  <c r="CM148" s="1"/>
  <c r="CL145"/>
  <c r="CL148" s="1"/>
  <c r="CK145"/>
  <c r="CK148" s="1"/>
  <c r="CJ145"/>
  <c r="CJ148" s="1"/>
  <c r="CI145"/>
  <c r="CI148" s="1"/>
  <c r="CH145"/>
  <c r="CH148" s="1"/>
  <c r="CG145"/>
  <c r="CG148" s="1"/>
  <c r="CF145"/>
  <c r="CF148" s="1"/>
  <c r="CE145"/>
  <c r="CE148" s="1"/>
  <c r="CD145"/>
  <c r="CD148" s="1"/>
  <c r="CC145"/>
  <c r="CC148" s="1"/>
  <c r="CB145"/>
  <c r="CB148" s="1"/>
  <c r="CA145"/>
  <c r="CA148" s="1"/>
  <c r="BZ145"/>
  <c r="BZ148" s="1"/>
  <c r="BY145"/>
  <c r="BY148" s="1"/>
  <c r="BX145"/>
  <c r="BX148" s="1"/>
  <c r="BW145"/>
  <c r="BW148" s="1"/>
  <c r="BV145"/>
  <c r="BV148" s="1"/>
  <c r="BU145"/>
  <c r="BU148" s="1"/>
  <c r="BT145"/>
  <c r="BT148" s="1"/>
  <c r="BS145"/>
  <c r="BS148" s="1"/>
  <c r="BR145"/>
  <c r="BR148" s="1"/>
  <c r="BQ145"/>
  <c r="BQ148" s="1"/>
  <c r="BP145"/>
  <c r="BP148" s="1"/>
  <c r="BO145"/>
  <c r="BO148" s="1"/>
  <c r="BN145"/>
  <c r="BN148" s="1"/>
  <c r="BM145"/>
  <c r="BM148" s="1"/>
  <c r="BL145"/>
  <c r="BL148" s="1"/>
  <c r="BK145"/>
  <c r="BK148" s="1"/>
  <c r="BJ145"/>
  <c r="BJ148" s="1"/>
  <c r="BI145"/>
  <c r="BI148" s="1"/>
  <c r="BH145"/>
  <c r="BH148" s="1"/>
  <c r="BG145"/>
  <c r="BG148" s="1"/>
  <c r="BF145"/>
  <c r="BF148" s="1"/>
  <c r="BE145"/>
  <c r="BE148" s="1"/>
  <c r="BD145"/>
  <c r="BD148" s="1"/>
  <c r="BC145"/>
  <c r="BC148" s="1"/>
  <c r="BB145"/>
  <c r="BB148" s="1"/>
  <c r="BA145"/>
  <c r="BA148" s="1"/>
  <c r="AZ145"/>
  <c r="AZ148" s="1"/>
  <c r="AY145"/>
  <c r="AY148" s="1"/>
  <c r="AX145"/>
  <c r="AX148" s="1"/>
  <c r="AW145"/>
  <c r="AW148" s="1"/>
  <c r="AV145"/>
  <c r="AV148" s="1"/>
  <c r="AU145"/>
  <c r="AU148" s="1"/>
  <c r="AT145"/>
  <c r="AT148" s="1"/>
  <c r="AS145"/>
  <c r="AS148" s="1"/>
  <c r="AR145"/>
  <c r="AR148" s="1"/>
  <c r="AQ145"/>
  <c r="AQ148" s="1"/>
  <c r="AP145"/>
  <c r="AP148" s="1"/>
  <c r="AO145"/>
  <c r="AO148" s="1"/>
  <c r="AN145"/>
  <c r="AN148" s="1"/>
  <c r="AM145"/>
  <c r="AM148" s="1"/>
  <c r="AL145"/>
  <c r="AL148" s="1"/>
  <c r="AK145"/>
  <c r="AK148" s="1"/>
  <c r="AJ145"/>
  <c r="AJ148" s="1"/>
  <c r="AI145"/>
  <c r="AI148" s="1"/>
  <c r="AH145"/>
  <c r="AH148" s="1"/>
  <c r="AG145"/>
  <c r="AG148" s="1"/>
  <c r="AF145"/>
  <c r="AF148" s="1"/>
  <c r="AE145"/>
  <c r="AE148" s="1"/>
  <c r="AD145"/>
  <c r="AD148" s="1"/>
  <c r="AC145"/>
  <c r="AC148" s="1"/>
  <c r="AB145"/>
  <c r="AB148" s="1"/>
  <c r="AA145"/>
  <c r="AA148" s="1"/>
  <c r="Z145"/>
  <c r="Z148" s="1"/>
  <c r="Y145"/>
  <c r="Y148" s="1"/>
  <c r="X145"/>
  <c r="X148" s="1"/>
  <c r="V145"/>
  <c r="V148" s="1"/>
  <c r="CV129"/>
  <c r="CV132" s="1"/>
  <c r="CU129"/>
  <c r="CU132" s="1"/>
  <c r="CT129"/>
  <c r="CT132" s="1"/>
  <c r="CS129"/>
  <c r="CS132" s="1"/>
  <c r="CR129"/>
  <c r="CR132" s="1"/>
  <c r="CQ129"/>
  <c r="CQ132" s="1"/>
  <c r="CP129"/>
  <c r="CP132" s="1"/>
  <c r="CO129"/>
  <c r="CO132" s="1"/>
  <c r="CN129"/>
  <c r="CN132" s="1"/>
  <c r="CM129"/>
  <c r="CM132" s="1"/>
  <c r="CL129"/>
  <c r="CL132" s="1"/>
  <c r="CK129"/>
  <c r="CK132" s="1"/>
  <c r="CJ129"/>
  <c r="CJ132" s="1"/>
  <c r="CI129"/>
  <c r="CI132" s="1"/>
  <c r="CH129"/>
  <c r="CH132" s="1"/>
  <c r="CG129"/>
  <c r="CG132" s="1"/>
  <c r="CF129"/>
  <c r="CF132" s="1"/>
  <c r="CE129"/>
  <c r="CE132" s="1"/>
  <c r="CD129"/>
  <c r="CD132" s="1"/>
  <c r="CC129"/>
  <c r="CC132" s="1"/>
  <c r="CB129"/>
  <c r="CB132" s="1"/>
  <c r="CA129"/>
  <c r="CA132" s="1"/>
  <c r="BZ129"/>
  <c r="BZ132" s="1"/>
  <c r="BY129"/>
  <c r="BY132" s="1"/>
  <c r="BX129"/>
  <c r="BX132" s="1"/>
  <c r="BW129"/>
  <c r="BW132" s="1"/>
  <c r="BV129"/>
  <c r="BV132" s="1"/>
  <c r="BU129"/>
  <c r="BU132" s="1"/>
  <c r="BT129"/>
  <c r="BT132" s="1"/>
  <c r="BS129"/>
  <c r="BS132" s="1"/>
  <c r="BR129"/>
  <c r="BR132" s="1"/>
  <c r="BQ129"/>
  <c r="BQ132" s="1"/>
  <c r="BP129"/>
  <c r="BP132" s="1"/>
  <c r="BO129"/>
  <c r="BO132" s="1"/>
  <c r="BN129"/>
  <c r="BN132" s="1"/>
  <c r="BM129"/>
  <c r="BM132" s="1"/>
  <c r="BL129"/>
  <c r="BL132" s="1"/>
  <c r="BK129"/>
  <c r="BK132" s="1"/>
  <c r="BJ129"/>
  <c r="BJ132" s="1"/>
  <c r="BI129"/>
  <c r="BI132" s="1"/>
  <c r="BH129"/>
  <c r="BH132" s="1"/>
  <c r="BG129"/>
  <c r="BG132" s="1"/>
  <c r="BF129"/>
  <c r="BF132" s="1"/>
  <c r="BE129"/>
  <c r="BE132" s="1"/>
  <c r="BD129"/>
  <c r="BD132" s="1"/>
  <c r="BC129"/>
  <c r="BC132" s="1"/>
  <c r="BB129"/>
  <c r="BB132" s="1"/>
  <c r="BA129"/>
  <c r="BA132" s="1"/>
  <c r="AZ129"/>
  <c r="AZ132" s="1"/>
  <c r="AY129"/>
  <c r="AY132" s="1"/>
  <c r="AX129"/>
  <c r="AX132" s="1"/>
  <c r="AW129"/>
  <c r="AW132" s="1"/>
  <c r="AV129"/>
  <c r="AV132" s="1"/>
  <c r="AU129"/>
  <c r="AU132" s="1"/>
  <c r="AT129"/>
  <c r="AT132" s="1"/>
  <c r="AS129"/>
  <c r="AS132" s="1"/>
  <c r="AR129"/>
  <c r="AR132" s="1"/>
  <c r="AQ129"/>
  <c r="AQ132" s="1"/>
  <c r="AP129"/>
  <c r="AP132" s="1"/>
  <c r="AO129"/>
  <c r="AO132" s="1"/>
  <c r="AN129"/>
  <c r="AN132" s="1"/>
  <c r="AM129"/>
  <c r="AM132" s="1"/>
  <c r="AL129"/>
  <c r="AL132" s="1"/>
  <c r="AK129"/>
  <c r="AK132" s="1"/>
  <c r="AJ129"/>
  <c r="AJ132" s="1"/>
  <c r="AI129"/>
  <c r="AI132" s="1"/>
  <c r="AH129"/>
  <c r="AH132" s="1"/>
  <c r="AG129"/>
  <c r="AG132" s="1"/>
  <c r="AF129"/>
  <c r="AF132" s="1"/>
  <c r="AE129"/>
  <c r="AE132" s="1"/>
  <c r="AD129"/>
  <c r="AD132" s="1"/>
  <c r="AC129"/>
  <c r="AC132" s="1"/>
  <c r="AB129"/>
  <c r="AB132" s="1"/>
  <c r="AA129"/>
  <c r="AA132" s="1"/>
  <c r="Z129"/>
  <c r="Z132" s="1"/>
  <c r="Y129"/>
  <c r="Y132" s="1"/>
  <c r="X129"/>
  <c r="X132" s="1"/>
  <c r="V129"/>
  <c r="V132" s="1"/>
  <c r="CV113"/>
  <c r="CV116" s="1"/>
  <c r="CU113"/>
  <c r="CU116" s="1"/>
  <c r="CT113"/>
  <c r="CT116" s="1"/>
  <c r="CS113"/>
  <c r="CS116" s="1"/>
  <c r="CR113"/>
  <c r="CR116" s="1"/>
  <c r="CQ113"/>
  <c r="CQ116" s="1"/>
  <c r="CP113"/>
  <c r="CP116" s="1"/>
  <c r="CO113"/>
  <c r="CO116" s="1"/>
  <c r="CN113"/>
  <c r="CN116" s="1"/>
  <c r="CM113"/>
  <c r="CM116" s="1"/>
  <c r="CL113"/>
  <c r="CL116" s="1"/>
  <c r="CK113"/>
  <c r="CK116" s="1"/>
  <c r="CJ113"/>
  <c r="CJ116" s="1"/>
  <c r="CI113"/>
  <c r="CI116" s="1"/>
  <c r="CH113"/>
  <c r="CH116" s="1"/>
  <c r="CG113"/>
  <c r="CG116" s="1"/>
  <c r="CF113"/>
  <c r="CF116" s="1"/>
  <c r="CE113"/>
  <c r="CE116" s="1"/>
  <c r="CD113"/>
  <c r="CD116" s="1"/>
  <c r="CC113"/>
  <c r="CC116" s="1"/>
  <c r="CB113"/>
  <c r="CB116" s="1"/>
  <c r="CA113"/>
  <c r="CA116" s="1"/>
  <c r="BZ113"/>
  <c r="BZ116" s="1"/>
  <c r="BY113"/>
  <c r="BY116" s="1"/>
  <c r="BX113"/>
  <c r="BX116" s="1"/>
  <c r="BW113"/>
  <c r="BW116" s="1"/>
  <c r="BV113"/>
  <c r="BV116" s="1"/>
  <c r="BU113"/>
  <c r="BU116" s="1"/>
  <c r="BT113"/>
  <c r="BT116" s="1"/>
  <c r="BS113"/>
  <c r="BS116" s="1"/>
  <c r="BR113"/>
  <c r="BR116" s="1"/>
  <c r="BQ113"/>
  <c r="BQ116" s="1"/>
  <c r="BP113"/>
  <c r="BP116" s="1"/>
  <c r="BO113"/>
  <c r="BO116" s="1"/>
  <c r="BN113"/>
  <c r="BN116" s="1"/>
  <c r="BM113"/>
  <c r="BM116" s="1"/>
  <c r="BL113"/>
  <c r="BL116" s="1"/>
  <c r="BK113"/>
  <c r="BK116" s="1"/>
  <c r="BJ113"/>
  <c r="BJ116" s="1"/>
  <c r="BI113"/>
  <c r="BI116" s="1"/>
  <c r="BH113"/>
  <c r="BH116" s="1"/>
  <c r="BG113"/>
  <c r="BG116" s="1"/>
  <c r="BF113"/>
  <c r="BF116" s="1"/>
  <c r="BE113"/>
  <c r="BE116" s="1"/>
  <c r="BD113"/>
  <c r="BD116" s="1"/>
  <c r="BC113"/>
  <c r="BC116" s="1"/>
  <c r="BB113"/>
  <c r="BB116" s="1"/>
  <c r="BA113"/>
  <c r="BA116" s="1"/>
  <c r="AZ113"/>
  <c r="AZ116" s="1"/>
  <c r="AY113"/>
  <c r="AY116" s="1"/>
  <c r="AX113"/>
  <c r="AX116" s="1"/>
  <c r="AW113"/>
  <c r="AW116" s="1"/>
  <c r="AV113"/>
  <c r="AV116" s="1"/>
  <c r="AU113"/>
  <c r="AU116" s="1"/>
  <c r="AT113"/>
  <c r="AT116" s="1"/>
  <c r="AS113"/>
  <c r="AS116" s="1"/>
  <c r="AR113"/>
  <c r="AR116" s="1"/>
  <c r="AQ113"/>
  <c r="AQ116" s="1"/>
  <c r="AP113"/>
  <c r="AP116" s="1"/>
  <c r="AO113"/>
  <c r="AO116" s="1"/>
  <c r="AN113"/>
  <c r="AN116" s="1"/>
  <c r="AM113"/>
  <c r="AM116" s="1"/>
  <c r="AL113"/>
  <c r="AL116" s="1"/>
  <c r="AK113"/>
  <c r="AK116" s="1"/>
  <c r="AJ113"/>
  <c r="AJ116" s="1"/>
  <c r="AI113"/>
  <c r="AI116" s="1"/>
  <c r="AH113"/>
  <c r="AH116" s="1"/>
  <c r="AG113"/>
  <c r="AG116" s="1"/>
  <c r="AF113"/>
  <c r="AF116" s="1"/>
  <c r="AE113"/>
  <c r="AE116" s="1"/>
  <c r="AD113"/>
  <c r="AD116" s="1"/>
  <c r="AC113"/>
  <c r="AC116" s="1"/>
  <c r="AB113"/>
  <c r="AB116" s="1"/>
  <c r="AA113"/>
  <c r="AA116" s="1"/>
  <c r="Z113"/>
  <c r="Z116" s="1"/>
  <c r="Y113"/>
  <c r="Y116" s="1"/>
  <c r="X113"/>
  <c r="X116" s="1"/>
  <c r="V113"/>
  <c r="V116" s="1"/>
  <c r="CV97"/>
  <c r="CV100" s="1"/>
  <c r="CU97"/>
  <c r="CU100" s="1"/>
  <c r="CT97"/>
  <c r="CT100" s="1"/>
  <c r="CS97"/>
  <c r="CS100" s="1"/>
  <c r="CR97"/>
  <c r="CR100" s="1"/>
  <c r="CQ97"/>
  <c r="CQ100" s="1"/>
  <c r="CP97"/>
  <c r="CP100" s="1"/>
  <c r="CO97"/>
  <c r="CO100" s="1"/>
  <c r="CN97"/>
  <c r="CN100" s="1"/>
  <c r="CM97"/>
  <c r="CM100" s="1"/>
  <c r="CL97"/>
  <c r="CL100" s="1"/>
  <c r="CK97"/>
  <c r="CK100" s="1"/>
  <c r="CJ97"/>
  <c r="CJ100" s="1"/>
  <c r="CI97"/>
  <c r="CI100" s="1"/>
  <c r="CH97"/>
  <c r="CH100" s="1"/>
  <c r="CG97"/>
  <c r="CG100" s="1"/>
  <c r="CF97"/>
  <c r="CF100" s="1"/>
  <c r="CE97"/>
  <c r="CE100" s="1"/>
  <c r="CD97"/>
  <c r="CD100" s="1"/>
  <c r="CC97"/>
  <c r="CC100" s="1"/>
  <c r="CB97"/>
  <c r="CB100" s="1"/>
  <c r="CA97"/>
  <c r="CA100" s="1"/>
  <c r="BZ97"/>
  <c r="BZ100" s="1"/>
  <c r="BY97"/>
  <c r="BY100" s="1"/>
  <c r="BX97"/>
  <c r="BX100" s="1"/>
  <c r="BW97"/>
  <c r="BW100" s="1"/>
  <c r="BV97"/>
  <c r="BV100" s="1"/>
  <c r="BU97"/>
  <c r="BU100" s="1"/>
  <c r="BT97"/>
  <c r="BT100" s="1"/>
  <c r="BS97"/>
  <c r="BS100" s="1"/>
  <c r="BR97"/>
  <c r="BR100" s="1"/>
  <c r="BQ97"/>
  <c r="BQ100" s="1"/>
  <c r="BP97"/>
  <c r="BP100" s="1"/>
  <c r="BO97"/>
  <c r="BO100" s="1"/>
  <c r="BN97"/>
  <c r="BN100" s="1"/>
  <c r="BM97"/>
  <c r="BM100" s="1"/>
  <c r="BL97"/>
  <c r="BL100" s="1"/>
  <c r="BK97"/>
  <c r="BK100" s="1"/>
  <c r="BJ97"/>
  <c r="BJ100" s="1"/>
  <c r="BI97"/>
  <c r="BI100" s="1"/>
  <c r="BH97"/>
  <c r="BH100" s="1"/>
  <c r="BG97"/>
  <c r="BG100" s="1"/>
  <c r="BF97"/>
  <c r="BF100" s="1"/>
  <c r="BE97"/>
  <c r="BE100" s="1"/>
  <c r="BD97"/>
  <c r="BD100" s="1"/>
  <c r="BC97"/>
  <c r="BC100" s="1"/>
  <c r="BB97"/>
  <c r="BB100" s="1"/>
  <c r="BA97"/>
  <c r="BA100" s="1"/>
  <c r="AZ97"/>
  <c r="AZ100" s="1"/>
  <c r="AY97"/>
  <c r="AY100" s="1"/>
  <c r="AX97"/>
  <c r="AX100" s="1"/>
  <c r="AW97"/>
  <c r="AW100" s="1"/>
  <c r="AV97"/>
  <c r="AV100" s="1"/>
  <c r="AU97"/>
  <c r="AU100" s="1"/>
  <c r="AT97"/>
  <c r="AT100" s="1"/>
  <c r="AS97"/>
  <c r="AS100" s="1"/>
  <c r="AR97"/>
  <c r="AR100" s="1"/>
  <c r="AQ97"/>
  <c r="AQ100" s="1"/>
  <c r="AP97"/>
  <c r="AP100" s="1"/>
  <c r="AO97"/>
  <c r="AO100" s="1"/>
  <c r="AN97"/>
  <c r="AN100" s="1"/>
  <c r="AM97"/>
  <c r="AM100" s="1"/>
  <c r="AL97"/>
  <c r="AL100" s="1"/>
  <c r="AK97"/>
  <c r="AK100" s="1"/>
  <c r="AJ97"/>
  <c r="AJ100" s="1"/>
  <c r="AI97"/>
  <c r="AI100" s="1"/>
  <c r="AH97"/>
  <c r="AH100" s="1"/>
  <c r="AG97"/>
  <c r="AG100" s="1"/>
  <c r="AF97"/>
  <c r="AF100" s="1"/>
  <c r="AE97"/>
  <c r="AE100" s="1"/>
  <c r="AD97"/>
  <c r="AD100" s="1"/>
  <c r="AC97"/>
  <c r="AC100" s="1"/>
  <c r="AB97"/>
  <c r="AB100" s="1"/>
  <c r="AA97"/>
  <c r="AA100" s="1"/>
  <c r="Z97"/>
  <c r="Z100" s="1"/>
  <c r="Y97"/>
  <c r="Y100" s="1"/>
  <c r="X97"/>
  <c r="X100" s="1"/>
  <c r="V97"/>
  <c r="V100" s="1"/>
  <c r="CV81"/>
  <c r="CV84" s="1"/>
  <c r="CU81"/>
  <c r="CU84" s="1"/>
  <c r="CT81"/>
  <c r="CT84" s="1"/>
  <c r="CS81"/>
  <c r="CS84" s="1"/>
  <c r="CR81"/>
  <c r="CR84" s="1"/>
  <c r="CQ81"/>
  <c r="CQ84" s="1"/>
  <c r="CP81"/>
  <c r="CP84" s="1"/>
  <c r="CO81"/>
  <c r="CO84" s="1"/>
  <c r="CN81"/>
  <c r="CN84" s="1"/>
  <c r="CM81"/>
  <c r="CM84" s="1"/>
  <c r="CL81"/>
  <c r="CL84" s="1"/>
  <c r="CK81"/>
  <c r="CK84" s="1"/>
  <c r="CJ81"/>
  <c r="CJ84" s="1"/>
  <c r="CI81"/>
  <c r="CI84" s="1"/>
  <c r="CH81"/>
  <c r="CH84" s="1"/>
  <c r="CG81"/>
  <c r="CG84" s="1"/>
  <c r="CF81"/>
  <c r="CF84" s="1"/>
  <c r="CE81"/>
  <c r="CE84" s="1"/>
  <c r="CD81"/>
  <c r="CD84" s="1"/>
  <c r="CC81"/>
  <c r="CC84" s="1"/>
  <c r="CB81"/>
  <c r="CB84" s="1"/>
  <c r="CA81"/>
  <c r="CA84" s="1"/>
  <c r="BZ81"/>
  <c r="BZ84" s="1"/>
  <c r="BY81"/>
  <c r="BY84" s="1"/>
  <c r="BX81"/>
  <c r="BX84" s="1"/>
  <c r="BW81"/>
  <c r="BW84" s="1"/>
  <c r="BV81"/>
  <c r="BV84" s="1"/>
  <c r="BU81"/>
  <c r="BU84" s="1"/>
  <c r="BT81"/>
  <c r="BT84" s="1"/>
  <c r="BS81"/>
  <c r="BS84" s="1"/>
  <c r="BR81"/>
  <c r="BR84" s="1"/>
  <c r="BQ81"/>
  <c r="BQ84" s="1"/>
  <c r="BP81"/>
  <c r="BP84" s="1"/>
  <c r="BO81"/>
  <c r="BO84" s="1"/>
  <c r="BN81"/>
  <c r="BN84" s="1"/>
  <c r="BM81"/>
  <c r="BM84" s="1"/>
  <c r="BL81"/>
  <c r="BL84" s="1"/>
  <c r="BK81"/>
  <c r="BK84" s="1"/>
  <c r="BJ81"/>
  <c r="BJ84" s="1"/>
  <c r="BI81"/>
  <c r="BI84" s="1"/>
  <c r="BH81"/>
  <c r="BH84" s="1"/>
  <c r="BG81"/>
  <c r="BG84" s="1"/>
  <c r="BF81"/>
  <c r="BF84" s="1"/>
  <c r="BE81"/>
  <c r="BE84" s="1"/>
  <c r="BD81"/>
  <c r="BD84" s="1"/>
  <c r="BC81"/>
  <c r="BC84" s="1"/>
  <c r="BB81"/>
  <c r="BB84" s="1"/>
  <c r="BA81"/>
  <c r="BA84" s="1"/>
  <c r="AZ81"/>
  <c r="AZ84" s="1"/>
  <c r="AY81"/>
  <c r="AY84" s="1"/>
  <c r="AX81"/>
  <c r="AX84" s="1"/>
  <c r="AW81"/>
  <c r="AW84" s="1"/>
  <c r="AV81"/>
  <c r="AV84" s="1"/>
  <c r="AU81"/>
  <c r="AU84" s="1"/>
  <c r="AT81"/>
  <c r="AT84" s="1"/>
  <c r="AS81"/>
  <c r="AS84" s="1"/>
  <c r="AR81"/>
  <c r="AR84" s="1"/>
  <c r="AQ81"/>
  <c r="AQ84" s="1"/>
  <c r="AP81"/>
  <c r="AP84" s="1"/>
  <c r="AO81"/>
  <c r="AO84" s="1"/>
  <c r="AN81"/>
  <c r="AN84" s="1"/>
  <c r="AM81"/>
  <c r="AM84" s="1"/>
  <c r="AL81"/>
  <c r="AL84" s="1"/>
  <c r="AK81"/>
  <c r="AK84" s="1"/>
  <c r="AJ81"/>
  <c r="AJ84" s="1"/>
  <c r="AI81"/>
  <c r="AI84" s="1"/>
  <c r="AH81"/>
  <c r="AH84" s="1"/>
  <c r="AG81"/>
  <c r="AG84" s="1"/>
  <c r="AF81"/>
  <c r="AF84" s="1"/>
  <c r="AE81"/>
  <c r="AE84" s="1"/>
  <c r="AD81"/>
  <c r="AD84" s="1"/>
  <c r="AC81"/>
  <c r="AC84" s="1"/>
  <c r="AB81"/>
  <c r="AB84" s="1"/>
  <c r="AA81"/>
  <c r="AA84" s="1"/>
  <c r="Z81"/>
  <c r="Z84" s="1"/>
  <c r="Y81"/>
  <c r="Y84" s="1"/>
  <c r="X81"/>
  <c r="X84" s="1"/>
  <c r="V81"/>
  <c r="V84" s="1"/>
  <c r="CV65"/>
  <c r="CV68" s="1"/>
  <c r="CU65"/>
  <c r="CU68" s="1"/>
  <c r="CT65"/>
  <c r="CT68" s="1"/>
  <c r="CS65"/>
  <c r="CS68" s="1"/>
  <c r="CR65"/>
  <c r="CR68" s="1"/>
  <c r="CQ65"/>
  <c r="CQ68" s="1"/>
  <c r="CP65"/>
  <c r="CP68" s="1"/>
  <c r="CO65"/>
  <c r="CO68" s="1"/>
  <c r="CN65"/>
  <c r="CN68" s="1"/>
  <c r="CM65"/>
  <c r="CM68" s="1"/>
  <c r="CL65"/>
  <c r="CL68" s="1"/>
  <c r="CK65"/>
  <c r="CK68" s="1"/>
  <c r="CJ65"/>
  <c r="CJ68" s="1"/>
  <c r="CI65"/>
  <c r="CI68" s="1"/>
  <c r="CH65"/>
  <c r="CH68" s="1"/>
  <c r="CG65"/>
  <c r="CG68" s="1"/>
  <c r="CF65"/>
  <c r="CF68" s="1"/>
  <c r="CE65"/>
  <c r="CE68" s="1"/>
  <c r="CD65"/>
  <c r="CD68" s="1"/>
  <c r="CC65"/>
  <c r="CC68" s="1"/>
  <c r="CB65"/>
  <c r="CB68" s="1"/>
  <c r="CA65"/>
  <c r="CA68" s="1"/>
  <c r="BZ65"/>
  <c r="BZ68" s="1"/>
  <c r="BY65"/>
  <c r="BY68" s="1"/>
  <c r="BX65"/>
  <c r="BX68" s="1"/>
  <c r="BW65"/>
  <c r="BW68" s="1"/>
  <c r="BV65"/>
  <c r="BV68" s="1"/>
  <c r="BU65"/>
  <c r="BU68" s="1"/>
  <c r="BT65"/>
  <c r="BT68" s="1"/>
  <c r="BS65"/>
  <c r="BS68" s="1"/>
  <c r="BR65"/>
  <c r="BR68" s="1"/>
  <c r="BQ65"/>
  <c r="BQ68" s="1"/>
  <c r="BP65"/>
  <c r="BP68" s="1"/>
  <c r="BO65"/>
  <c r="BO68" s="1"/>
  <c r="BN65"/>
  <c r="BN68" s="1"/>
  <c r="BM65"/>
  <c r="BM68" s="1"/>
  <c r="BL65"/>
  <c r="BL68" s="1"/>
  <c r="BK65"/>
  <c r="BK68" s="1"/>
  <c r="BJ65"/>
  <c r="BJ68" s="1"/>
  <c r="BI65"/>
  <c r="BI68" s="1"/>
  <c r="BH65"/>
  <c r="BH68" s="1"/>
  <c r="BG65"/>
  <c r="BG68" s="1"/>
  <c r="BF65"/>
  <c r="BF68" s="1"/>
  <c r="BE65"/>
  <c r="BE68" s="1"/>
  <c r="BD65"/>
  <c r="BD68" s="1"/>
  <c r="BC65"/>
  <c r="BC68" s="1"/>
  <c r="BB65"/>
  <c r="BB68" s="1"/>
  <c r="BA65"/>
  <c r="BA68" s="1"/>
  <c r="AZ65"/>
  <c r="AZ68" s="1"/>
  <c r="AY65"/>
  <c r="AY68" s="1"/>
  <c r="AX65"/>
  <c r="AX68" s="1"/>
  <c r="AW65"/>
  <c r="AW68" s="1"/>
  <c r="AV65"/>
  <c r="AV68" s="1"/>
  <c r="AU65"/>
  <c r="AU68" s="1"/>
  <c r="AT65"/>
  <c r="AT68" s="1"/>
  <c r="AS65"/>
  <c r="AS68" s="1"/>
  <c r="AR65"/>
  <c r="AR68" s="1"/>
  <c r="AQ65"/>
  <c r="AQ68" s="1"/>
  <c r="AP65"/>
  <c r="AP68" s="1"/>
  <c r="AO65"/>
  <c r="AO68" s="1"/>
  <c r="AN65"/>
  <c r="AN68" s="1"/>
  <c r="AM65"/>
  <c r="AM68" s="1"/>
  <c r="AL65"/>
  <c r="AL68" s="1"/>
  <c r="AK65"/>
  <c r="AK68" s="1"/>
  <c r="AJ65"/>
  <c r="AJ68" s="1"/>
  <c r="AI65"/>
  <c r="AI68" s="1"/>
  <c r="AH65"/>
  <c r="AH68" s="1"/>
  <c r="AG65"/>
  <c r="AG68" s="1"/>
  <c r="AF65"/>
  <c r="AF68" s="1"/>
  <c r="AE65"/>
  <c r="AE68" s="1"/>
  <c r="AD65"/>
  <c r="AD68" s="1"/>
  <c r="AC65"/>
  <c r="AC68" s="1"/>
  <c r="AB65"/>
  <c r="AB68" s="1"/>
  <c r="AA65"/>
  <c r="AA68" s="1"/>
  <c r="Z65"/>
  <c r="Z68" s="1"/>
  <c r="Y65"/>
  <c r="Y68" s="1"/>
  <c r="X65"/>
  <c r="X68" s="1"/>
  <c r="V65"/>
  <c r="V68" s="1"/>
  <c r="CV49"/>
  <c r="CV52" s="1"/>
  <c r="CU49"/>
  <c r="CU52" s="1"/>
  <c r="CT49"/>
  <c r="CT52" s="1"/>
  <c r="CS49"/>
  <c r="CS52" s="1"/>
  <c r="CR49"/>
  <c r="CR52" s="1"/>
  <c r="CQ49"/>
  <c r="CQ52" s="1"/>
  <c r="CP49"/>
  <c r="CP52" s="1"/>
  <c r="CO49"/>
  <c r="CO52" s="1"/>
  <c r="CN49"/>
  <c r="CN52" s="1"/>
  <c r="CM49"/>
  <c r="CM52" s="1"/>
  <c r="CL49"/>
  <c r="CL52" s="1"/>
  <c r="CK49"/>
  <c r="CK52" s="1"/>
  <c r="CJ49"/>
  <c r="CJ52" s="1"/>
  <c r="CI49"/>
  <c r="CI52" s="1"/>
  <c r="CH49"/>
  <c r="CH52" s="1"/>
  <c r="CG49"/>
  <c r="CG52" s="1"/>
  <c r="CF49"/>
  <c r="CF52" s="1"/>
  <c r="CE49"/>
  <c r="CE52" s="1"/>
  <c r="CD49"/>
  <c r="CD52" s="1"/>
  <c r="CC49"/>
  <c r="CC52" s="1"/>
  <c r="CB49"/>
  <c r="CB52" s="1"/>
  <c r="CA49"/>
  <c r="CA52" s="1"/>
  <c r="BZ49"/>
  <c r="BZ52" s="1"/>
  <c r="BY49"/>
  <c r="BY52" s="1"/>
  <c r="BX49"/>
  <c r="BX52" s="1"/>
  <c r="BW49"/>
  <c r="BW52" s="1"/>
  <c r="BV49"/>
  <c r="BV52" s="1"/>
  <c r="BU49"/>
  <c r="BU52" s="1"/>
  <c r="BT49"/>
  <c r="BT52" s="1"/>
  <c r="BS49"/>
  <c r="BS52" s="1"/>
  <c r="BR49"/>
  <c r="BR52" s="1"/>
  <c r="BQ49"/>
  <c r="BQ52" s="1"/>
  <c r="BP49"/>
  <c r="BP52" s="1"/>
  <c r="BO49"/>
  <c r="BO52" s="1"/>
  <c r="BN49"/>
  <c r="BN52" s="1"/>
  <c r="BM49"/>
  <c r="BM52" s="1"/>
  <c r="BL49"/>
  <c r="BL52" s="1"/>
  <c r="BK49"/>
  <c r="BK52" s="1"/>
  <c r="BJ49"/>
  <c r="BJ52" s="1"/>
  <c r="BI49"/>
  <c r="BI52" s="1"/>
  <c r="BH49"/>
  <c r="BH52" s="1"/>
  <c r="BG49"/>
  <c r="BG52" s="1"/>
  <c r="BF49"/>
  <c r="BF52" s="1"/>
  <c r="BE49"/>
  <c r="BE52" s="1"/>
  <c r="BD49"/>
  <c r="BD52" s="1"/>
  <c r="BC49"/>
  <c r="BC52" s="1"/>
  <c r="BB49"/>
  <c r="BB52" s="1"/>
  <c r="BA49"/>
  <c r="BA52" s="1"/>
  <c r="AZ49"/>
  <c r="AZ52" s="1"/>
  <c r="AY49"/>
  <c r="AY52" s="1"/>
  <c r="AX49"/>
  <c r="AX52" s="1"/>
  <c r="AW49"/>
  <c r="AW52" s="1"/>
  <c r="AV49"/>
  <c r="AV52" s="1"/>
  <c r="AU49"/>
  <c r="AU52" s="1"/>
  <c r="AT49"/>
  <c r="AT52" s="1"/>
  <c r="AS49"/>
  <c r="AS52" s="1"/>
  <c r="AR49"/>
  <c r="AR52" s="1"/>
  <c r="AQ49"/>
  <c r="AQ52" s="1"/>
  <c r="AP49"/>
  <c r="AP52" s="1"/>
  <c r="AO49"/>
  <c r="AO52" s="1"/>
  <c r="AN49"/>
  <c r="AN52" s="1"/>
  <c r="AM49"/>
  <c r="AM52" s="1"/>
  <c r="AL49"/>
  <c r="AL52" s="1"/>
  <c r="AK49"/>
  <c r="AK52" s="1"/>
  <c r="AJ49"/>
  <c r="AJ52" s="1"/>
  <c r="AH52"/>
  <c r="AG52"/>
  <c r="AF52"/>
  <c r="AD52"/>
  <c r="AC52"/>
  <c r="AB52"/>
  <c r="AA52"/>
  <c r="Z52"/>
  <c r="Y52"/>
  <c r="X49"/>
  <c r="X52" s="1"/>
  <c r="V49"/>
  <c r="V52" s="1"/>
  <c r="V12"/>
  <c r="V110"/>
  <c r="M83" i="1"/>
  <c r="K83"/>
  <c r="J83"/>
  <c r="I83"/>
  <c r="H83"/>
  <c r="F83"/>
  <c r="E83"/>
  <c r="D83"/>
  <c r="C83"/>
  <c r="B83"/>
  <c r="A83"/>
  <c r="D31" i="4"/>
  <c r="I32" s="1"/>
  <c r="U58"/>
  <c r="U55"/>
  <c r="U56" s="1"/>
  <c r="U74"/>
  <c r="U71"/>
  <c r="U72" s="1"/>
  <c r="U90"/>
  <c r="U87"/>
  <c r="U88" s="1"/>
  <c r="U106"/>
  <c r="U103"/>
  <c r="U104" s="1"/>
  <c r="U138"/>
  <c r="U122"/>
  <c r="U119"/>
  <c r="U120" s="1"/>
  <c r="U135"/>
  <c r="U136" s="1"/>
  <c r="U151"/>
  <c r="U152" s="1"/>
  <c r="U170"/>
  <c r="U167"/>
  <c r="U168" s="1"/>
  <c r="U186"/>
  <c r="U183"/>
  <c r="U184" s="1"/>
  <c r="T186"/>
  <c r="S186"/>
  <c r="R186"/>
  <c r="T170"/>
  <c r="S170"/>
  <c r="R170"/>
  <c r="T154"/>
  <c r="S154"/>
  <c r="R154"/>
  <c r="T138"/>
  <c r="S138"/>
  <c r="R138"/>
  <c r="T122"/>
  <c r="S122"/>
  <c r="R122"/>
  <c r="T106"/>
  <c r="S106"/>
  <c r="R106"/>
  <c r="T90"/>
  <c r="S90"/>
  <c r="R90"/>
  <c r="T74"/>
  <c r="S74"/>
  <c r="R74"/>
  <c r="S58"/>
  <c r="R58"/>
  <c r="T183"/>
  <c r="T184" s="1"/>
  <c r="S183"/>
  <c r="S184" s="1"/>
  <c r="R183"/>
  <c r="R184" s="1"/>
  <c r="Q183"/>
  <c r="Q184" s="1"/>
  <c r="P183"/>
  <c r="P184" s="1"/>
  <c r="O183"/>
  <c r="O184" s="1"/>
  <c r="N183"/>
  <c r="N184" s="1"/>
  <c r="M183"/>
  <c r="M184" s="1"/>
  <c r="L183"/>
  <c r="L184" s="1"/>
  <c r="K183"/>
  <c r="K184" s="1"/>
  <c r="J183"/>
  <c r="J184" s="1"/>
  <c r="I183"/>
  <c r="T167"/>
  <c r="T168" s="1"/>
  <c r="S167"/>
  <c r="S168" s="1"/>
  <c r="R167"/>
  <c r="R168" s="1"/>
  <c r="Q167"/>
  <c r="Q168" s="1"/>
  <c r="P167"/>
  <c r="P168" s="1"/>
  <c r="O167"/>
  <c r="O168" s="1"/>
  <c r="N167"/>
  <c r="N168" s="1"/>
  <c r="M167"/>
  <c r="M168" s="1"/>
  <c r="L167"/>
  <c r="L168" s="1"/>
  <c r="K167"/>
  <c r="K168" s="1"/>
  <c r="J167"/>
  <c r="J168" s="1"/>
  <c r="I167"/>
  <c r="U161"/>
  <c r="U164" s="1"/>
  <c r="T152"/>
  <c r="S151"/>
  <c r="S152" s="1"/>
  <c r="R151"/>
  <c r="R152" s="1"/>
  <c r="Q151"/>
  <c r="Q152" s="1"/>
  <c r="P151"/>
  <c r="P152" s="1"/>
  <c r="O152"/>
  <c r="N151"/>
  <c r="N152" s="1"/>
  <c r="M151"/>
  <c r="M152" s="1"/>
  <c r="L151"/>
  <c r="L152" s="1"/>
  <c r="K151"/>
  <c r="K152" s="1"/>
  <c r="J152"/>
  <c r="I151"/>
  <c r="T135"/>
  <c r="T136" s="1"/>
  <c r="S135"/>
  <c r="S136" s="1"/>
  <c r="R135"/>
  <c r="R136" s="1"/>
  <c r="Q135"/>
  <c r="Q136" s="1"/>
  <c r="P135"/>
  <c r="P136" s="1"/>
  <c r="O135"/>
  <c r="O136" s="1"/>
  <c r="N135"/>
  <c r="N136" s="1"/>
  <c r="M135"/>
  <c r="M136" s="1"/>
  <c r="L135"/>
  <c r="L136" s="1"/>
  <c r="K135"/>
  <c r="K136" s="1"/>
  <c r="J135"/>
  <c r="J136" s="1"/>
  <c r="I135"/>
  <c r="U145"/>
  <c r="U148" s="1"/>
  <c r="U129"/>
  <c r="U132" s="1"/>
  <c r="T119"/>
  <c r="T120" s="1"/>
  <c r="S119"/>
  <c r="S120" s="1"/>
  <c r="R119"/>
  <c r="R120" s="1"/>
  <c r="Q119"/>
  <c r="Q120" s="1"/>
  <c r="P119"/>
  <c r="P120" s="1"/>
  <c r="O119"/>
  <c r="O120" s="1"/>
  <c r="N119"/>
  <c r="N120" s="1"/>
  <c r="M119"/>
  <c r="M120" s="1"/>
  <c r="L119"/>
  <c r="L120" s="1"/>
  <c r="K119"/>
  <c r="K120" s="1"/>
  <c r="J119"/>
  <c r="J120" s="1"/>
  <c r="I119"/>
  <c r="U113"/>
  <c r="U116" s="1"/>
  <c r="T103"/>
  <c r="T104" s="1"/>
  <c r="S103"/>
  <c r="S104" s="1"/>
  <c r="R103"/>
  <c r="R104" s="1"/>
  <c r="Q103"/>
  <c r="Q104" s="1"/>
  <c r="P103"/>
  <c r="P104" s="1"/>
  <c r="O103"/>
  <c r="O104" s="1"/>
  <c r="N103"/>
  <c r="N104" s="1"/>
  <c r="M103"/>
  <c r="M104" s="1"/>
  <c r="L103"/>
  <c r="L104" s="1"/>
  <c r="K103"/>
  <c r="K104" s="1"/>
  <c r="J103"/>
  <c r="J104" s="1"/>
  <c r="I103"/>
  <c r="U97"/>
  <c r="U100" s="1"/>
  <c r="T87"/>
  <c r="T88" s="1"/>
  <c r="S87"/>
  <c r="S88" s="1"/>
  <c r="R87"/>
  <c r="R88" s="1"/>
  <c r="Q87"/>
  <c r="Q88" s="1"/>
  <c r="P87"/>
  <c r="P88" s="1"/>
  <c r="O87"/>
  <c r="O88" s="1"/>
  <c r="N87"/>
  <c r="N88" s="1"/>
  <c r="M87"/>
  <c r="M88" s="1"/>
  <c r="L87"/>
  <c r="L88" s="1"/>
  <c r="K87"/>
  <c r="K88" s="1"/>
  <c r="J87"/>
  <c r="J88" s="1"/>
  <c r="I87"/>
  <c r="U81"/>
  <c r="U84" s="1"/>
  <c r="T71"/>
  <c r="T72" s="1"/>
  <c r="S71"/>
  <c r="S72" s="1"/>
  <c r="R71"/>
  <c r="R72" s="1"/>
  <c r="Q71"/>
  <c r="Q72" s="1"/>
  <c r="P71"/>
  <c r="P72" s="1"/>
  <c r="O71"/>
  <c r="O72" s="1"/>
  <c r="N71"/>
  <c r="N72" s="1"/>
  <c r="M71"/>
  <c r="M72" s="1"/>
  <c r="L71"/>
  <c r="L72" s="1"/>
  <c r="K71"/>
  <c r="K72" s="1"/>
  <c r="J71"/>
  <c r="J72" s="1"/>
  <c r="I71"/>
  <c r="U65"/>
  <c r="U68" s="1"/>
  <c r="S55"/>
  <c r="S56" s="1"/>
  <c r="R55"/>
  <c r="R56" s="1"/>
  <c r="Q55"/>
  <c r="Q56" s="1"/>
  <c r="P55"/>
  <c r="P56" s="1"/>
  <c r="N55"/>
  <c r="N56" s="1"/>
  <c r="M55"/>
  <c r="M56" s="1"/>
  <c r="L55"/>
  <c r="L56" s="1"/>
  <c r="K55"/>
  <c r="K56" s="1"/>
  <c r="I55"/>
  <c r="T58"/>
  <c r="J55"/>
  <c r="J56" s="1"/>
  <c r="F76" i="1"/>
  <c r="F75"/>
  <c r="F70"/>
  <c r="F69"/>
  <c r="F57"/>
  <c r="F56"/>
  <c r="D42"/>
  <c r="F42" s="1"/>
  <c r="K76"/>
  <c r="K75"/>
  <c r="K70"/>
  <c r="K69"/>
  <c r="K68" s="1"/>
  <c r="K57"/>
  <c r="K56"/>
  <c r="D58"/>
  <c r="D55"/>
  <c r="D54"/>
  <c r="F54" s="1"/>
  <c r="D53"/>
  <c r="F53" s="1"/>
  <c r="D52"/>
  <c r="F52" s="1"/>
  <c r="D51"/>
  <c r="F51" s="1"/>
  <c r="F62" s="1"/>
  <c r="F96" s="1"/>
  <c r="D50"/>
  <c r="F50" s="1"/>
  <c r="D49"/>
  <c r="F49" s="1"/>
  <c r="I58"/>
  <c r="I55"/>
  <c r="I54"/>
  <c r="K54" s="1"/>
  <c r="I53"/>
  <c r="K53" s="1"/>
  <c r="I52"/>
  <c r="K52" s="1"/>
  <c r="I51"/>
  <c r="K51" s="1"/>
  <c r="K62" s="1"/>
  <c r="K96" s="1"/>
  <c r="I50"/>
  <c r="K50" s="1"/>
  <c r="I49"/>
  <c r="K49" s="1"/>
  <c r="D44"/>
  <c r="D41"/>
  <c r="D40"/>
  <c r="D39" s="1"/>
  <c r="D46" s="1"/>
  <c r="I44"/>
  <c r="I42"/>
  <c r="I41"/>
  <c r="I40"/>
  <c r="J32"/>
  <c r="J28" s="1"/>
  <c r="J26"/>
  <c r="J129" s="1"/>
  <c r="J10"/>
  <c r="J118" s="1"/>
  <c r="M62"/>
  <c r="M96" s="1"/>
  <c r="M32"/>
  <c r="M26"/>
  <c r="M129" s="1"/>
  <c r="M10"/>
  <c r="M118" s="1"/>
  <c r="G34"/>
  <c r="G32"/>
  <c r="G31"/>
  <c r="G30"/>
  <c r="G127" s="1"/>
  <c r="G29"/>
  <c r="G25"/>
  <c r="G24"/>
  <c r="G124" s="1"/>
  <c r="G125" s="1"/>
  <c r="G23"/>
  <c r="G22"/>
  <c r="G21"/>
  <c r="G121" s="1"/>
  <c r="G122" s="1"/>
  <c r="G16"/>
  <c r="G83" s="1"/>
  <c r="G15"/>
  <c r="G12"/>
  <c r="G9"/>
  <c r="G115" s="1"/>
  <c r="G116" s="1"/>
  <c r="G8"/>
  <c r="G112" s="1"/>
  <c r="G7"/>
  <c r="L34"/>
  <c r="L32"/>
  <c r="L31"/>
  <c r="L30"/>
  <c r="L127" s="1"/>
  <c r="L29"/>
  <c r="L25"/>
  <c r="L24"/>
  <c r="L124" s="1"/>
  <c r="L125" s="1"/>
  <c r="L23"/>
  <c r="L22"/>
  <c r="L21"/>
  <c r="L121" s="1"/>
  <c r="L122" s="1"/>
  <c r="L16"/>
  <c r="L83" s="1"/>
  <c r="L15"/>
  <c r="L14" s="1"/>
  <c r="L12"/>
  <c r="L9"/>
  <c r="L115" s="1"/>
  <c r="L116" s="1"/>
  <c r="L8"/>
  <c r="L112" s="1"/>
  <c r="L7"/>
  <c r="M74"/>
  <c r="L74"/>
  <c r="J74"/>
  <c r="I74"/>
  <c r="H74"/>
  <c r="G74"/>
  <c r="E74"/>
  <c r="D74"/>
  <c r="C74"/>
  <c r="B74"/>
  <c r="M68"/>
  <c r="L68"/>
  <c r="J68"/>
  <c r="I68"/>
  <c r="H68"/>
  <c r="G68"/>
  <c r="E68"/>
  <c r="D68"/>
  <c r="C68"/>
  <c r="B68"/>
  <c r="L62"/>
  <c r="L96" s="1"/>
  <c r="J62"/>
  <c r="J96" s="1"/>
  <c r="H62"/>
  <c r="H96" s="1"/>
  <c r="G62"/>
  <c r="G96" s="1"/>
  <c r="E62"/>
  <c r="E96" s="1"/>
  <c r="C62"/>
  <c r="C96" s="1"/>
  <c r="B62"/>
  <c r="B96" s="1"/>
  <c r="A63"/>
  <c r="G58"/>
  <c r="F58" s="1"/>
  <c r="A62"/>
  <c r="K58"/>
  <c r="J48"/>
  <c r="H48"/>
  <c r="G48"/>
  <c r="E48"/>
  <c r="C48"/>
  <c r="B48"/>
  <c r="M39"/>
  <c r="M46" s="1"/>
  <c r="L39"/>
  <c r="L46" s="1"/>
  <c r="H39"/>
  <c r="H46" s="1"/>
  <c r="G39"/>
  <c r="G46" s="1"/>
  <c r="E39"/>
  <c r="E46" s="1"/>
  <c r="C39"/>
  <c r="C46" s="1"/>
  <c r="B39"/>
  <c r="B46" s="1"/>
  <c r="B60" s="1"/>
  <c r="M38"/>
  <c r="M82" s="1"/>
  <c r="M104" s="1"/>
  <c r="M111" s="1"/>
  <c r="M135" s="1"/>
  <c r="L38"/>
  <c r="L82" s="1"/>
  <c r="L104" s="1"/>
  <c r="L111" s="1"/>
  <c r="L135" s="1"/>
  <c r="K38"/>
  <c r="K82" s="1"/>
  <c r="K104" s="1"/>
  <c r="K111" s="1"/>
  <c r="K135" s="1"/>
  <c r="J38"/>
  <c r="J82" s="1"/>
  <c r="J104" s="1"/>
  <c r="J111" s="1"/>
  <c r="J135" s="1"/>
  <c r="I38"/>
  <c r="I82" s="1"/>
  <c r="I104" s="1"/>
  <c r="I111" s="1"/>
  <c r="I135" s="1"/>
  <c r="H38"/>
  <c r="H82" s="1"/>
  <c r="H104" s="1"/>
  <c r="H111" s="1"/>
  <c r="H135" s="1"/>
  <c r="G38"/>
  <c r="G82" s="1"/>
  <c r="G104" s="1"/>
  <c r="G111" s="1"/>
  <c r="G135" s="1"/>
  <c r="F38"/>
  <c r="F82" s="1"/>
  <c r="F104" s="1"/>
  <c r="F111" s="1"/>
  <c r="F135" s="1"/>
  <c r="E38"/>
  <c r="E82" s="1"/>
  <c r="E104" s="1"/>
  <c r="E111" s="1"/>
  <c r="E135" s="1"/>
  <c r="D38"/>
  <c r="D82" s="1"/>
  <c r="D104" s="1"/>
  <c r="D111" s="1"/>
  <c r="D135" s="1"/>
  <c r="C38"/>
  <c r="C82" s="1"/>
  <c r="C104" s="1"/>
  <c r="C111" s="1"/>
  <c r="C135" s="1"/>
  <c r="B38"/>
  <c r="B82" s="1"/>
  <c r="B104" s="1"/>
  <c r="B111" s="1"/>
  <c r="B135" s="1"/>
  <c r="K10"/>
  <c r="M28"/>
  <c r="K28"/>
  <c r="I28"/>
  <c r="H28"/>
  <c r="F28"/>
  <c r="E28"/>
  <c r="D28"/>
  <c r="C28"/>
  <c r="M20"/>
  <c r="J20"/>
  <c r="I20"/>
  <c r="H20"/>
  <c r="E20"/>
  <c r="D20"/>
  <c r="C20"/>
  <c r="K26"/>
  <c r="F26"/>
  <c r="M14"/>
  <c r="K14"/>
  <c r="J14"/>
  <c r="I14"/>
  <c r="H14"/>
  <c r="F14"/>
  <c r="E14"/>
  <c r="D14"/>
  <c r="C14"/>
  <c r="K6"/>
  <c r="I6"/>
  <c r="H6"/>
  <c r="E6"/>
  <c r="D6"/>
  <c r="C6"/>
  <c r="F10"/>
  <c r="V16" i="5" l="1"/>
  <c r="U16"/>
  <c r="M18" i="1"/>
  <c r="K97"/>
  <c r="W12" i="4"/>
  <c r="V46"/>
  <c r="C97" i="1"/>
  <c r="J132"/>
  <c r="J133" s="1"/>
  <c r="L97"/>
  <c r="C4"/>
  <c r="H97"/>
  <c r="C18"/>
  <c r="H60"/>
  <c r="H65" s="1"/>
  <c r="K4"/>
  <c r="E4"/>
  <c r="B16" i="7"/>
  <c r="G97" i="1"/>
  <c r="M132"/>
  <c r="N133" s="1"/>
  <c r="F97"/>
  <c r="D48"/>
  <c r="D60" s="1"/>
  <c r="D72" s="1"/>
  <c r="D78" s="1"/>
  <c r="J97"/>
  <c r="D4"/>
  <c r="K74"/>
  <c r="I4"/>
  <c r="I48"/>
  <c r="B97"/>
  <c r="E97"/>
  <c r="B72"/>
  <c r="B78" s="1"/>
  <c r="J6"/>
  <c r="J4" s="1"/>
  <c r="M6"/>
  <c r="M4" s="1"/>
  <c r="L28"/>
  <c r="D62"/>
  <c r="D96" s="1"/>
  <c r="D97" s="1"/>
  <c r="I62"/>
  <c r="I96" s="1"/>
  <c r="I97" s="1"/>
  <c r="AH169"/>
  <c r="AJ169"/>
  <c r="AM169"/>
  <c r="M60"/>
  <c r="M72" s="1"/>
  <c r="L48"/>
  <c r="U157" i="4"/>
  <c r="U125"/>
  <c r="U93"/>
  <c r="U173"/>
  <c r="U141"/>
  <c r="U109"/>
  <c r="U77"/>
  <c r="G102" i="1"/>
  <c r="AD99"/>
  <c r="B179"/>
  <c r="B201"/>
  <c r="B224" s="1"/>
  <c r="B234" s="1"/>
  <c r="D179"/>
  <c r="D201"/>
  <c r="D224" s="1"/>
  <c r="D234" s="1"/>
  <c r="F179"/>
  <c r="F201"/>
  <c r="F224" s="1"/>
  <c r="F234" s="1"/>
  <c r="H179"/>
  <c r="H201"/>
  <c r="H224" s="1"/>
  <c r="H234" s="1"/>
  <c r="J179"/>
  <c r="J201"/>
  <c r="J224" s="1"/>
  <c r="J234" s="1"/>
  <c r="L179"/>
  <c r="L201"/>
  <c r="L224" s="1"/>
  <c r="L234" s="1"/>
  <c r="AM179"/>
  <c r="AM201"/>
  <c r="AM224" s="1"/>
  <c r="AM234" s="1"/>
  <c r="AI179"/>
  <c r="AI201"/>
  <c r="AI224" s="1"/>
  <c r="AI234" s="1"/>
  <c r="AE179"/>
  <c r="AE201"/>
  <c r="AE224" s="1"/>
  <c r="AE234" s="1"/>
  <c r="AA179"/>
  <c r="AA201"/>
  <c r="AA224" s="1"/>
  <c r="AA234" s="1"/>
  <c r="AL179"/>
  <c r="AL201"/>
  <c r="AL224" s="1"/>
  <c r="AL234" s="1"/>
  <c r="AH179"/>
  <c r="AH201"/>
  <c r="AH224" s="1"/>
  <c r="AH234" s="1"/>
  <c r="AD179"/>
  <c r="AD201"/>
  <c r="AD224" s="1"/>
  <c r="AD234" s="1"/>
  <c r="V201"/>
  <c r="V224" s="1"/>
  <c r="V234" s="1"/>
  <c r="C179"/>
  <c r="C201"/>
  <c r="C224" s="1"/>
  <c r="C234" s="1"/>
  <c r="E179"/>
  <c r="E201"/>
  <c r="E224" s="1"/>
  <c r="E234" s="1"/>
  <c r="G179"/>
  <c r="G201"/>
  <c r="G224" s="1"/>
  <c r="G234" s="1"/>
  <c r="I179"/>
  <c r="I201"/>
  <c r="I224" s="1"/>
  <c r="I234" s="1"/>
  <c r="K179"/>
  <c r="K201"/>
  <c r="K224" s="1"/>
  <c r="K234" s="1"/>
  <c r="M179"/>
  <c r="M201"/>
  <c r="M224" s="1"/>
  <c r="M234" s="1"/>
  <c r="AK179"/>
  <c r="AK201"/>
  <c r="AK224" s="1"/>
  <c r="AK234" s="1"/>
  <c r="AG179"/>
  <c r="AG201"/>
  <c r="AG224" s="1"/>
  <c r="AG234" s="1"/>
  <c r="AC179"/>
  <c r="AC201"/>
  <c r="AC224" s="1"/>
  <c r="AC234" s="1"/>
  <c r="Q179"/>
  <c r="Q201"/>
  <c r="Q224" s="1"/>
  <c r="Q234" s="1"/>
  <c r="AN179"/>
  <c r="AN201"/>
  <c r="AN224" s="1"/>
  <c r="AN234" s="1"/>
  <c r="AJ179"/>
  <c r="AJ201"/>
  <c r="AJ224" s="1"/>
  <c r="AJ234" s="1"/>
  <c r="AF179"/>
  <c r="AF201"/>
  <c r="AF224" s="1"/>
  <c r="AF234" s="1"/>
  <c r="AB179"/>
  <c r="AB201"/>
  <c r="AB234" s="1"/>
  <c r="V78" i="4"/>
  <c r="V90" s="1"/>
  <c r="Y86"/>
  <c r="Y87" s="1"/>
  <c r="Y88" s="1"/>
  <c r="Y166"/>
  <c r="Y167" s="1"/>
  <c r="Y168" s="1"/>
  <c r="V174"/>
  <c r="V142"/>
  <c r="V154" s="1"/>
  <c r="V158"/>
  <c r="V170" s="1"/>
  <c r="V126"/>
  <c r="V138" s="1"/>
  <c r="V62"/>
  <c r="V94"/>
  <c r="L113" i="1"/>
  <c r="G113"/>
  <c r="I119"/>
  <c r="I113"/>
  <c r="I116"/>
  <c r="I130"/>
  <c r="I122"/>
  <c r="I125"/>
  <c r="F40"/>
  <c r="D113"/>
  <c r="D116"/>
  <c r="D119"/>
  <c r="D122"/>
  <c r="D125"/>
  <c r="D130"/>
  <c r="L105"/>
  <c r="G105"/>
  <c r="G136" s="1"/>
  <c r="G235" s="1"/>
  <c r="G28"/>
  <c r="M119"/>
  <c r="F20"/>
  <c r="F18" s="1"/>
  <c r="F129"/>
  <c r="F41"/>
  <c r="K55"/>
  <c r="K63" s="1"/>
  <c r="I63"/>
  <c r="F55"/>
  <c r="F63" s="1"/>
  <c r="D63"/>
  <c r="E18"/>
  <c r="E36" s="1"/>
  <c r="F6"/>
  <c r="F4" s="1"/>
  <c r="F118"/>
  <c r="K20"/>
  <c r="K18" s="1"/>
  <c r="K129"/>
  <c r="L10"/>
  <c r="K118"/>
  <c r="M97"/>
  <c r="F44"/>
  <c r="F74"/>
  <c r="V186" i="4"/>
  <c r="V122"/>
  <c r="V106"/>
  <c r="Y102"/>
  <c r="Y103" s="1"/>
  <c r="Y104" s="1"/>
  <c r="V74"/>
  <c r="AA70" i="1"/>
  <c r="H4"/>
  <c r="D18"/>
  <c r="F68"/>
  <c r="T55" i="4"/>
  <c r="T56" s="1"/>
  <c r="B65" i="1"/>
  <c r="K48"/>
  <c r="L26"/>
  <c r="G26"/>
  <c r="G129" s="1"/>
  <c r="G130" s="1"/>
  <c r="J40"/>
  <c r="J42"/>
  <c r="K42" s="1"/>
  <c r="G60"/>
  <c r="G72" s="1"/>
  <c r="G78" s="1"/>
  <c r="G10"/>
  <c r="G14"/>
  <c r="I39"/>
  <c r="I46" s="1"/>
  <c r="J41"/>
  <c r="J44"/>
  <c r="O55" i="4"/>
  <c r="O56" s="1"/>
  <c r="C60" i="1"/>
  <c r="C72" s="1"/>
  <c r="C78" s="1"/>
  <c r="H18"/>
  <c r="E60"/>
  <c r="E72" s="1"/>
  <c r="E78" s="1"/>
  <c r="I18"/>
  <c r="J18"/>
  <c r="B36"/>
  <c r="Z32" i="4" l="1"/>
  <c r="Z33" s="1"/>
  <c r="X12"/>
  <c r="W46"/>
  <c r="W58" s="1"/>
  <c r="W142"/>
  <c r="W154" s="1"/>
  <c r="W62"/>
  <c r="W74" s="1"/>
  <c r="W110"/>
  <c r="W122" s="1"/>
  <c r="W158"/>
  <c r="W170" s="1"/>
  <c r="W94"/>
  <c r="W106" s="1"/>
  <c r="W174"/>
  <c r="W186" s="1"/>
  <c r="W126"/>
  <c r="W138" s="1"/>
  <c r="W78"/>
  <c r="W90" s="1"/>
  <c r="K36" i="1"/>
  <c r="F132"/>
  <c r="C36"/>
  <c r="D36"/>
  <c r="H72"/>
  <c r="H198" s="1"/>
  <c r="M78"/>
  <c r="M198"/>
  <c r="K132"/>
  <c r="K133" s="1"/>
  <c r="M36"/>
  <c r="I36"/>
  <c r="I60"/>
  <c r="I65" s="1"/>
  <c r="M65"/>
  <c r="M66" s="1"/>
  <c r="F48"/>
  <c r="Y134" i="4"/>
  <c r="AD86"/>
  <c r="AD88" s="1"/>
  <c r="AD182"/>
  <c r="F39" i="1"/>
  <c r="F46" s="1"/>
  <c r="Y152" i="4"/>
  <c r="Y70"/>
  <c r="Y182"/>
  <c r="Y183" s="1"/>
  <c r="Y184" s="1"/>
  <c r="AL169" i="1"/>
  <c r="AK169"/>
  <c r="G107"/>
  <c r="F130"/>
  <c r="Q69"/>
  <c r="F36"/>
  <c r="Y118" i="4"/>
  <c r="L136" i="1"/>
  <c r="L235" s="1"/>
  <c r="B22" i="7"/>
  <c r="L60" i="1"/>
  <c r="L72" s="1"/>
  <c r="L78" s="1"/>
  <c r="H36"/>
  <c r="L106"/>
  <c r="J36"/>
  <c r="L107"/>
  <c r="G106"/>
  <c r="G20"/>
  <c r="G18" s="1"/>
  <c r="Q63"/>
  <c r="Q55"/>
  <c r="Q42"/>
  <c r="AE99"/>
  <c r="V58" i="4"/>
  <c r="Q56" i="1"/>
  <c r="J122"/>
  <c r="J125"/>
  <c r="J113"/>
  <c r="J116"/>
  <c r="F119"/>
  <c r="F133"/>
  <c r="F113"/>
  <c r="F116"/>
  <c r="F122"/>
  <c r="F125"/>
  <c r="J119"/>
  <c r="J130"/>
  <c r="G6"/>
  <c r="G4" s="1"/>
  <c r="G118"/>
  <c r="G132" s="1"/>
  <c r="L20"/>
  <c r="L18" s="1"/>
  <c r="L129"/>
  <c r="B66"/>
  <c r="B108"/>
  <c r="B109"/>
  <c r="L6"/>
  <c r="L4" s="1"/>
  <c r="L118"/>
  <c r="K41"/>
  <c r="H66"/>
  <c r="K44"/>
  <c r="AD102" i="4"/>
  <c r="AD103" s="1"/>
  <c r="AD104" s="1"/>
  <c r="E65" i="1"/>
  <c r="J39"/>
  <c r="J46" s="1"/>
  <c r="G65"/>
  <c r="K40"/>
  <c r="C65"/>
  <c r="D65"/>
  <c r="H78" l="1"/>
  <c r="AD183" i="4"/>
  <c r="AD184" s="1"/>
  <c r="Z12"/>
  <c r="X46"/>
  <c r="X58" s="1"/>
  <c r="Y58" s="1"/>
  <c r="Y71"/>
  <c r="Y72" s="1"/>
  <c r="Y31"/>
  <c r="I66" i="1"/>
  <c r="D66"/>
  <c r="P108"/>
  <c r="P109"/>
  <c r="C66"/>
  <c r="G137"/>
  <c r="G138" s="1"/>
  <c r="J60"/>
  <c r="J65" s="1"/>
  <c r="E66"/>
  <c r="I72"/>
  <c r="F60"/>
  <c r="F72" s="1"/>
  <c r="F78" s="1"/>
  <c r="Y135" i="4"/>
  <c r="Y136" s="1"/>
  <c r="AD118"/>
  <c r="AD120" s="1"/>
  <c r="AD70"/>
  <c r="AD71" s="1"/>
  <c r="AD72" s="1"/>
  <c r="AD134"/>
  <c r="G36" i="1"/>
  <c r="B7" i="7"/>
  <c r="L65" i="1"/>
  <c r="Y119" i="4"/>
  <c r="Y120" s="1"/>
  <c r="L137" i="1"/>
  <c r="L138" s="1"/>
  <c r="B23" i="7"/>
  <c r="L132" i="1"/>
  <c r="Q54"/>
  <c r="AF99"/>
  <c r="X174" i="4"/>
  <c r="X186" s="1"/>
  <c r="X142"/>
  <c r="X154" s="1"/>
  <c r="Y154" s="1"/>
  <c r="Y142" s="1"/>
  <c r="X158"/>
  <c r="X170" s="1"/>
  <c r="Y170" s="1"/>
  <c r="Y158" s="1"/>
  <c r="X126"/>
  <c r="X138" s="1"/>
  <c r="Y138" s="1"/>
  <c r="Y126" s="1"/>
  <c r="X94"/>
  <c r="X106" s="1"/>
  <c r="Y106" s="1"/>
  <c r="Y94" s="1"/>
  <c r="X62"/>
  <c r="X74" s="1"/>
  <c r="Y74" s="1"/>
  <c r="Y62" s="1"/>
  <c r="X110"/>
  <c r="X122" s="1"/>
  <c r="Y122" s="1"/>
  <c r="Y110" s="1"/>
  <c r="X78"/>
  <c r="X90" s="1"/>
  <c r="Y90" s="1"/>
  <c r="Y78" s="1"/>
  <c r="Y55"/>
  <c r="Y56" s="1"/>
  <c r="K116" i="1"/>
  <c r="K122"/>
  <c r="K125"/>
  <c r="K113"/>
  <c r="L119"/>
  <c r="G119"/>
  <c r="K130"/>
  <c r="K119"/>
  <c r="G66"/>
  <c r="G108"/>
  <c r="G109"/>
  <c r="L36"/>
  <c r="AI102" i="4"/>
  <c r="AI104" s="1"/>
  <c r="AI86"/>
  <c r="AI88" s="1"/>
  <c r="K39" i="1"/>
  <c r="K46" s="1"/>
  <c r="Y32" i="4" l="1"/>
  <c r="Y33" s="1"/>
  <c r="C4" i="7"/>
  <c r="Y186" i="4"/>
  <c r="X187"/>
  <c r="F65" i="1"/>
  <c r="AA12" i="4"/>
  <c r="AI182"/>
  <c r="AI184" s="1"/>
  <c r="J72" i="1"/>
  <c r="J78" s="1"/>
  <c r="L66"/>
  <c r="I78"/>
  <c r="I198"/>
  <c r="K60"/>
  <c r="K65" s="1"/>
  <c r="O109" s="1"/>
  <c r="B17" i="7"/>
  <c r="AI134" i="4"/>
  <c r="AI136" s="1"/>
  <c r="AI118"/>
  <c r="AI120" s="1"/>
  <c r="AD136"/>
  <c r="AI72"/>
  <c r="L108" i="1"/>
  <c r="L109"/>
  <c r="AG99"/>
  <c r="AD56" i="4"/>
  <c r="Z158"/>
  <c r="Z170" s="1"/>
  <c r="Z126"/>
  <c r="Z138" s="1"/>
  <c r="Z174"/>
  <c r="Z186" s="1"/>
  <c r="Z187" s="1"/>
  <c r="Z142"/>
  <c r="Z154" s="1"/>
  <c r="Z110"/>
  <c r="Z122" s="1"/>
  <c r="Z78"/>
  <c r="Z90" s="1"/>
  <c r="Z94"/>
  <c r="Z106" s="1"/>
  <c r="Z62"/>
  <c r="Z74" s="1"/>
  <c r="Z58"/>
  <c r="G133" i="1"/>
  <c r="H133"/>
  <c r="L133"/>
  <c r="M133"/>
  <c r="J66"/>
  <c r="J108"/>
  <c r="J109"/>
  <c r="F66"/>
  <c r="H108"/>
  <c r="I109"/>
  <c r="H109"/>
  <c r="I108"/>
  <c r="AN182" i="4"/>
  <c r="AN118"/>
  <c r="AN102"/>
  <c r="AN104" s="1"/>
  <c r="AN88"/>
  <c r="AN72"/>
  <c r="C5" i="7" l="1"/>
  <c r="C6" s="1"/>
  <c r="D5"/>
  <c r="Y174" i="4"/>
  <c r="Y187"/>
  <c r="J198" i="1"/>
  <c r="AN184" i="4"/>
  <c r="AB12"/>
  <c r="K66" i="1"/>
  <c r="M109"/>
  <c r="N108"/>
  <c r="K109"/>
  <c r="K108"/>
  <c r="N109"/>
  <c r="O108"/>
  <c r="K72"/>
  <c r="K78" s="1"/>
  <c r="M108"/>
  <c r="B26" i="7"/>
  <c r="B18"/>
  <c r="AN134" i="4"/>
  <c r="AN136" s="1"/>
  <c r="AN120"/>
  <c r="C7" i="7"/>
  <c r="AH99" i="1"/>
  <c r="AA174" i="4"/>
  <c r="AA186" s="1"/>
  <c r="AA187" s="1"/>
  <c r="AA142"/>
  <c r="AA158"/>
  <c r="AA126"/>
  <c r="AA138" s="1"/>
  <c r="AA94"/>
  <c r="AA106" s="1"/>
  <c r="AA62"/>
  <c r="AA74" s="1"/>
  <c r="AA58"/>
  <c r="AA110"/>
  <c r="AA122" s="1"/>
  <c r="AA78"/>
  <c r="AA90" s="1"/>
  <c r="Q51" i="1"/>
  <c r="Q96"/>
  <c r="AS182" i="4"/>
  <c r="AS118"/>
  <c r="AS102"/>
  <c r="AS88"/>
  <c r="AS72"/>
  <c r="AS183" l="1"/>
  <c r="AS184" s="1"/>
  <c r="AX183"/>
  <c r="AS119"/>
  <c r="AX119"/>
  <c r="AS103"/>
  <c r="AS104" s="1"/>
  <c r="AX103"/>
  <c r="AC12"/>
  <c r="AB46"/>
  <c r="AS134"/>
  <c r="AN56"/>
  <c r="AA239" i="1"/>
  <c r="AS120" i="4"/>
  <c r="D7" i="7"/>
  <c r="D6"/>
  <c r="AI99" i="1"/>
  <c r="Q58"/>
  <c r="Q44"/>
  <c r="AB158" i="4"/>
  <c r="AB126"/>
  <c r="AB138" s="1"/>
  <c r="AB174"/>
  <c r="AB186" s="1"/>
  <c r="AB187" s="1"/>
  <c r="AB142"/>
  <c r="AB110"/>
  <c r="AB122" s="1"/>
  <c r="AB78"/>
  <c r="AB90" s="1"/>
  <c r="AB94"/>
  <c r="AB106" s="1"/>
  <c r="AB62"/>
  <c r="AB74" s="1"/>
  <c r="AB58"/>
  <c r="Q62" i="1"/>
  <c r="Q97"/>
  <c r="AX184" i="4"/>
  <c r="AX104"/>
  <c r="AX86"/>
  <c r="AX72"/>
  <c r="AS135" l="1"/>
  <c r="AS136" s="1"/>
  <c r="AX135"/>
  <c r="AX136" s="1"/>
  <c r="AX87"/>
  <c r="AX88" s="1"/>
  <c r="BC87"/>
  <c r="AE12"/>
  <c r="AF12" s="1"/>
  <c r="AC46"/>
  <c r="AC58" s="1"/>
  <c r="AS56"/>
  <c r="AX120"/>
  <c r="Q41" i="1"/>
  <c r="AC174" i="4"/>
  <c r="AC186" s="1"/>
  <c r="AC142"/>
  <c r="AC158"/>
  <c r="AC126"/>
  <c r="AC138" s="1"/>
  <c r="AD138" s="1"/>
  <c r="AD126" s="1"/>
  <c r="AC94"/>
  <c r="AC106" s="1"/>
  <c r="AD106" s="1"/>
  <c r="AD94" s="1"/>
  <c r="AC62"/>
  <c r="AC74" s="1"/>
  <c r="AD74" s="1"/>
  <c r="AD61" s="1"/>
  <c r="AE46"/>
  <c r="AE58" s="1"/>
  <c r="AC110"/>
  <c r="AC122" s="1"/>
  <c r="AD122" s="1"/>
  <c r="AD110" s="1"/>
  <c r="AC78"/>
  <c r="AC90" s="1"/>
  <c r="AD90" s="1"/>
  <c r="AD78" s="1"/>
  <c r="BC182"/>
  <c r="BC134"/>
  <c r="BC118"/>
  <c r="BC104"/>
  <c r="BC88"/>
  <c r="BC72"/>
  <c r="AG12" l="1"/>
  <c r="AG78" s="1"/>
  <c r="BC183"/>
  <c r="BC184" s="1"/>
  <c r="BH183"/>
  <c r="BH184" s="1"/>
  <c r="BC135"/>
  <c r="BH135"/>
  <c r="BC119"/>
  <c r="BH119"/>
  <c r="AD186"/>
  <c r="AC187"/>
  <c r="AD62"/>
  <c r="AX56"/>
  <c r="BC136"/>
  <c r="BC120"/>
  <c r="Q39" i="1"/>
  <c r="Q46" s="1"/>
  <c r="C16" i="7" s="1"/>
  <c r="BH104" i="4"/>
  <c r="AD58"/>
  <c r="AD46" s="1"/>
  <c r="AF46"/>
  <c r="AF58" s="1"/>
  <c r="AE158"/>
  <c r="AE170" s="1"/>
  <c r="AE171" s="1"/>
  <c r="AE126"/>
  <c r="AE138" s="1"/>
  <c r="AE174"/>
  <c r="AE186" s="1"/>
  <c r="AE187" s="1"/>
  <c r="AE142"/>
  <c r="AE110"/>
  <c r="AE122" s="1"/>
  <c r="AE78"/>
  <c r="AE90" s="1"/>
  <c r="AE94"/>
  <c r="AE106" s="1"/>
  <c r="AE62"/>
  <c r="AE74" s="1"/>
  <c r="BH88"/>
  <c r="BH72"/>
  <c r="AH12" l="1"/>
  <c r="AD174"/>
  <c r="AD187"/>
  <c r="AD45"/>
  <c r="BC56"/>
  <c r="BH136"/>
  <c r="BH120"/>
  <c r="AC127" i="1"/>
  <c r="AF174" i="4"/>
  <c r="AF186" s="1"/>
  <c r="AF187" s="1"/>
  <c r="AF142"/>
  <c r="AF158"/>
  <c r="AF126"/>
  <c r="AF138" s="1"/>
  <c r="AF94"/>
  <c r="AF106" s="1"/>
  <c r="AF62"/>
  <c r="AF74" s="1"/>
  <c r="AF110"/>
  <c r="AF122" s="1"/>
  <c r="AF78"/>
  <c r="AF90" s="1"/>
  <c r="BM182"/>
  <c r="BM118"/>
  <c r="BM104"/>
  <c r="BM88"/>
  <c r="BM72"/>
  <c r="AH46" l="1"/>
  <c r="AJ12"/>
  <c r="AK12" s="1"/>
  <c r="AL12" s="1"/>
  <c r="AM12" s="1"/>
  <c r="AO12" s="1"/>
  <c r="AP12" s="1"/>
  <c r="AQ12" s="1"/>
  <c r="AR12" s="1"/>
  <c r="AT12" s="1"/>
  <c r="AU12" s="1"/>
  <c r="AV12" s="1"/>
  <c r="AW12" s="1"/>
  <c r="AY12" s="1"/>
  <c r="AZ12" s="1"/>
  <c r="BA12" s="1"/>
  <c r="BB12" s="1"/>
  <c r="BD12" s="1"/>
  <c r="BE12" s="1"/>
  <c r="BF12" s="1"/>
  <c r="BG12" s="1"/>
  <c r="BI12" s="1"/>
  <c r="BJ12" s="1"/>
  <c r="BK12" s="1"/>
  <c r="BL12" s="1"/>
  <c r="BN12" s="1"/>
  <c r="BO12" s="1"/>
  <c r="BP12" s="1"/>
  <c r="BQ12" s="1"/>
  <c r="BS12" s="1"/>
  <c r="BT12" s="1"/>
  <c r="BU12" s="1"/>
  <c r="BV12" s="1"/>
  <c r="BX12" s="1"/>
  <c r="BY12" s="1"/>
  <c r="BZ12" s="1"/>
  <c r="CA12" s="1"/>
  <c r="CC12" s="1"/>
  <c r="CD12" s="1"/>
  <c r="CE12" s="1"/>
  <c r="CF12" s="1"/>
  <c r="CH12" s="1"/>
  <c r="CI12" s="1"/>
  <c r="CJ12" s="1"/>
  <c r="CK12" s="1"/>
  <c r="CM12" s="1"/>
  <c r="CN12" s="1"/>
  <c r="CO12" s="1"/>
  <c r="CP12" s="1"/>
  <c r="CR12" s="1"/>
  <c r="CS12" s="1"/>
  <c r="CT12" s="1"/>
  <c r="CU12" s="1"/>
  <c r="BM183"/>
  <c r="BM184" s="1"/>
  <c r="BR183"/>
  <c r="BM119"/>
  <c r="BM120" s="1"/>
  <c r="BR119"/>
  <c r="AD51" i="1"/>
  <c r="AD62" s="1"/>
  <c r="AE96"/>
  <c r="AE83" s="1"/>
  <c r="AG46" i="4"/>
  <c r="AG58" s="1"/>
  <c r="BM136"/>
  <c r="BR104"/>
  <c r="BH56"/>
  <c r="BR184"/>
  <c r="AE30" i="1"/>
  <c r="AD127"/>
  <c r="AG158" i="4"/>
  <c r="AG126"/>
  <c r="AG138" s="1"/>
  <c r="AG174"/>
  <c r="AG186" s="1"/>
  <c r="AG187" s="1"/>
  <c r="AG142"/>
  <c r="AG110"/>
  <c r="AG122" s="1"/>
  <c r="AG90"/>
  <c r="AG94"/>
  <c r="AG106" s="1"/>
  <c r="AG62"/>
  <c r="AG74" s="1"/>
  <c r="BR88"/>
  <c r="BR72"/>
  <c r="AD16" i="1" l="1"/>
  <c r="AD14" s="1"/>
  <c r="BM56" i="4"/>
  <c r="BR136"/>
  <c r="BR120"/>
  <c r="AF30" i="1"/>
  <c r="AE127"/>
  <c r="AE51"/>
  <c r="AE62" s="1"/>
  <c r="AH174" i="4"/>
  <c r="AH186" s="1"/>
  <c r="AH142"/>
  <c r="AH158"/>
  <c r="AH126"/>
  <c r="AH138" s="1"/>
  <c r="AI138" s="1"/>
  <c r="AI126" s="1"/>
  <c r="AH94"/>
  <c r="AH106" s="1"/>
  <c r="AI106" s="1"/>
  <c r="AI94" s="1"/>
  <c r="AH62"/>
  <c r="AH74" s="1"/>
  <c r="AH58"/>
  <c r="AJ46"/>
  <c r="AJ58" s="1"/>
  <c r="AH110"/>
  <c r="AH122" s="1"/>
  <c r="AI122" s="1"/>
  <c r="AI110" s="1"/>
  <c r="AH78"/>
  <c r="AH90" s="1"/>
  <c r="AI90" s="1"/>
  <c r="AI78" s="1"/>
  <c r="BW182"/>
  <c r="BW134"/>
  <c r="BW118"/>
  <c r="BW104"/>
  <c r="BW88"/>
  <c r="BW72"/>
  <c r="BW183" l="1"/>
  <c r="BW184" s="1"/>
  <c r="CB183"/>
  <c r="CB184" s="1"/>
  <c r="BW135"/>
  <c r="CB135"/>
  <c r="BW119"/>
  <c r="CB119"/>
  <c r="AF96" i="1"/>
  <c r="AF83" s="1"/>
  <c r="AI74" i="4"/>
  <c r="AI62" s="1"/>
  <c r="AI186"/>
  <c r="AH187"/>
  <c r="AI58"/>
  <c r="AI46" s="1"/>
  <c r="BW136"/>
  <c r="BW120"/>
  <c r="D16" i="7"/>
  <c r="CB104" i="4"/>
  <c r="AG102" i="1"/>
  <c r="AG30" s="1"/>
  <c r="AF127"/>
  <c r="AF51"/>
  <c r="AF62" s="1"/>
  <c r="AK46" i="4"/>
  <c r="AK58" s="1"/>
  <c r="AJ158"/>
  <c r="AJ170" s="1"/>
  <c r="AJ171" s="1"/>
  <c r="AJ126"/>
  <c r="AJ138" s="1"/>
  <c r="AJ174"/>
  <c r="AJ186" s="1"/>
  <c r="AJ187" s="1"/>
  <c r="AJ142"/>
  <c r="AJ110"/>
  <c r="AJ122" s="1"/>
  <c r="AJ78"/>
  <c r="AJ90" s="1"/>
  <c r="AJ94"/>
  <c r="AJ106" s="1"/>
  <c r="AJ62"/>
  <c r="AJ74" s="1"/>
  <c r="BR56"/>
  <c r="CB88"/>
  <c r="CB72"/>
  <c r="AE16" i="1" l="1"/>
  <c r="AE14" s="1"/>
  <c r="AG96"/>
  <c r="AG51" s="1"/>
  <c r="AG62" s="1"/>
  <c r="AI174" i="4"/>
  <c r="AI187"/>
  <c r="BW56"/>
  <c r="CB136"/>
  <c r="CB120"/>
  <c r="AH102" i="1"/>
  <c r="AH30" s="1"/>
  <c r="AG127"/>
  <c r="AL11" i="4"/>
  <c r="AL46" s="1"/>
  <c r="AL58" s="1"/>
  <c r="AK174"/>
  <c r="AK186" s="1"/>
  <c r="AK187" s="1"/>
  <c r="AK142"/>
  <c r="AK158"/>
  <c r="AK126"/>
  <c r="AK138" s="1"/>
  <c r="AK94"/>
  <c r="AK106" s="1"/>
  <c r="AK62"/>
  <c r="AK74" s="1"/>
  <c r="AK110"/>
  <c r="AK122" s="1"/>
  <c r="AK78"/>
  <c r="AK90" s="1"/>
  <c r="CG182"/>
  <c r="CG118"/>
  <c r="CG104"/>
  <c r="CG88"/>
  <c r="CG72"/>
  <c r="CG183" l="1"/>
  <c r="CG184" s="1"/>
  <c r="CL183"/>
  <c r="CG119"/>
  <c r="CG120" s="1"/>
  <c r="CL119"/>
  <c r="AG83" i="1"/>
  <c r="AH96"/>
  <c r="AH51" s="1"/>
  <c r="AH62" s="1"/>
  <c r="AF16"/>
  <c r="AF14" s="1"/>
  <c r="CG136" i="4"/>
  <c r="CL104"/>
  <c r="AI102" i="1"/>
  <c r="AI30" s="1"/>
  <c r="AH127"/>
  <c r="CL184" i="4"/>
  <c r="CB56"/>
  <c r="AM11"/>
  <c r="AL158"/>
  <c r="AL126"/>
  <c r="AL138" s="1"/>
  <c r="AL174"/>
  <c r="AL186" s="1"/>
  <c r="AL187" s="1"/>
  <c r="AL142"/>
  <c r="AL110"/>
  <c r="AL122" s="1"/>
  <c r="AL78"/>
  <c r="AL90" s="1"/>
  <c r="AL94"/>
  <c r="AL106" s="1"/>
  <c r="AL62"/>
  <c r="AL74" s="1"/>
  <c r="CL88"/>
  <c r="CR70"/>
  <c r="CL72"/>
  <c r="AH83" i="1" l="1"/>
  <c r="AM46" i="4"/>
  <c r="AM58" s="1"/>
  <c r="AN58" s="1"/>
  <c r="AM62"/>
  <c r="AI96" i="1"/>
  <c r="AI51" s="1"/>
  <c r="AI62" s="1"/>
  <c r="AG16"/>
  <c r="AG14" s="1"/>
  <c r="CG56" i="4"/>
  <c r="CL136"/>
  <c r="CL120"/>
  <c r="AJ102" i="1"/>
  <c r="AJ30" s="1"/>
  <c r="AI127"/>
  <c r="AM174" i="4"/>
  <c r="AM186" s="1"/>
  <c r="AM142"/>
  <c r="AM158"/>
  <c r="AM126"/>
  <c r="AM138" s="1"/>
  <c r="AN138" s="1"/>
  <c r="AN126" s="1"/>
  <c r="AM94"/>
  <c r="AM106" s="1"/>
  <c r="AN106" s="1"/>
  <c r="AN94" s="1"/>
  <c r="AM74"/>
  <c r="AN74" s="1"/>
  <c r="AN62" s="1"/>
  <c r="AO11"/>
  <c r="AM110"/>
  <c r="AM122" s="1"/>
  <c r="AN122" s="1"/>
  <c r="AN110" s="1"/>
  <c r="AM78"/>
  <c r="AM90" s="1"/>
  <c r="AN90" s="1"/>
  <c r="AN78" s="1"/>
  <c r="CQ182"/>
  <c r="CQ118"/>
  <c r="CQ104"/>
  <c r="CU70"/>
  <c r="CT70"/>
  <c r="CS70"/>
  <c r="CQ183" l="1"/>
  <c r="CQ184" s="1"/>
  <c r="CQ119"/>
  <c r="CQ120" s="1"/>
  <c r="CV119"/>
  <c r="CV120" s="1"/>
  <c r="AI83" i="1"/>
  <c r="AH16"/>
  <c r="AH14" s="1"/>
  <c r="AJ96"/>
  <c r="AJ51" s="1"/>
  <c r="AJ62" s="1"/>
  <c r="AN186" i="4"/>
  <c r="AM187"/>
  <c r="AN46"/>
  <c r="CQ136"/>
  <c r="CV104"/>
  <c r="AK102" i="1"/>
  <c r="AK30" s="1"/>
  <c r="AJ127"/>
  <c r="CV182" i="4"/>
  <c r="CL56"/>
  <c r="AP11"/>
  <c r="AO158"/>
  <c r="AO170" s="1"/>
  <c r="AO171" s="1"/>
  <c r="AO126"/>
  <c r="AO138" s="1"/>
  <c r="AO174"/>
  <c r="AO186" s="1"/>
  <c r="AO187" s="1"/>
  <c r="AO142"/>
  <c r="AO110"/>
  <c r="AO122" s="1"/>
  <c r="AO78"/>
  <c r="AO90" s="1"/>
  <c r="AO94"/>
  <c r="AO106" s="1"/>
  <c r="AO62"/>
  <c r="AO74" s="1"/>
  <c r="AO46"/>
  <c r="AO58" s="1"/>
  <c r="CV70"/>
  <c r="CV183" l="1"/>
  <c r="CV184" s="1"/>
  <c r="CV71"/>
  <c r="CV72" s="1"/>
  <c r="AJ83" i="1"/>
  <c r="AI16"/>
  <c r="AI14" s="1"/>
  <c r="AK96"/>
  <c r="AK51" s="1"/>
  <c r="AK62" s="1"/>
  <c r="AN174" i="4"/>
  <c r="AN187"/>
  <c r="CQ56"/>
  <c r="AL102" i="1"/>
  <c r="AL30" s="1"/>
  <c r="AK127"/>
  <c r="AQ11" i="4"/>
  <c r="AP174"/>
  <c r="AP186" s="1"/>
  <c r="AP187" s="1"/>
  <c r="AP142"/>
  <c r="AP158"/>
  <c r="AP126"/>
  <c r="AP138" s="1"/>
  <c r="AP94"/>
  <c r="AP106" s="1"/>
  <c r="AP62"/>
  <c r="AP74" s="1"/>
  <c r="AP46"/>
  <c r="AP58" s="1"/>
  <c r="AP110"/>
  <c r="AP122" s="1"/>
  <c r="AP78"/>
  <c r="AP90" s="1"/>
  <c r="AK83" i="1" l="1"/>
  <c r="AL96"/>
  <c r="AJ16"/>
  <c r="AJ14" s="1"/>
  <c r="AM102"/>
  <c r="AM30" s="1"/>
  <c r="AL127"/>
  <c r="AR11" i="4"/>
  <c r="AQ158"/>
  <c r="AQ126"/>
  <c r="AQ138" s="1"/>
  <c r="AQ174"/>
  <c r="AQ186" s="1"/>
  <c r="AQ187" s="1"/>
  <c r="AQ142"/>
  <c r="AQ110"/>
  <c r="AQ122" s="1"/>
  <c r="AQ78"/>
  <c r="AQ90" s="1"/>
  <c r="AQ94"/>
  <c r="AQ106" s="1"/>
  <c r="AQ62"/>
  <c r="AQ74" s="1"/>
  <c r="AQ46"/>
  <c r="AQ58" s="1"/>
  <c r="CV56"/>
  <c r="AL83" i="1" l="1"/>
  <c r="AK16"/>
  <c r="AK14" s="1"/>
  <c r="AL51"/>
  <c r="AL62" s="1"/>
  <c r="AN102"/>
  <c r="AM127"/>
  <c r="AR174" i="4"/>
  <c r="AR186" s="1"/>
  <c r="AR142"/>
  <c r="AR158"/>
  <c r="AR126"/>
  <c r="AR138" s="1"/>
  <c r="AS138" s="1"/>
  <c r="AS126" s="1"/>
  <c r="AR94"/>
  <c r="AR106" s="1"/>
  <c r="AS106" s="1"/>
  <c r="AS94" s="1"/>
  <c r="AR62"/>
  <c r="AR74" s="1"/>
  <c r="AS74" s="1"/>
  <c r="AS62" s="1"/>
  <c r="AR46"/>
  <c r="AR58" s="1"/>
  <c r="AT11"/>
  <c r="AR110"/>
  <c r="AR122" s="1"/>
  <c r="AS122" s="1"/>
  <c r="AS110" s="1"/>
  <c r="AR78"/>
  <c r="AR90" s="1"/>
  <c r="AS90" s="1"/>
  <c r="AS78" s="1"/>
  <c r="AN30" i="1" l="1"/>
  <c r="AN127" s="1"/>
  <c r="AS186" i="4"/>
  <c r="AR187"/>
  <c r="AS58"/>
  <c r="AU11"/>
  <c r="AT158"/>
  <c r="AT170" s="1"/>
  <c r="AT171" s="1"/>
  <c r="AT126"/>
  <c r="AT138" s="1"/>
  <c r="AT174"/>
  <c r="AT186" s="1"/>
  <c r="AT187" s="1"/>
  <c r="AT142"/>
  <c r="AT110"/>
  <c r="AT122" s="1"/>
  <c r="AT78"/>
  <c r="AT90" s="1"/>
  <c r="AT94"/>
  <c r="AT106" s="1"/>
  <c r="AT62"/>
  <c r="AT74" s="1"/>
  <c r="AT46"/>
  <c r="AT58" s="1"/>
  <c r="AM96" i="1" l="1"/>
  <c r="AL16"/>
  <c r="AL14" s="1"/>
  <c r="AS174" i="4"/>
  <c r="AS187"/>
  <c r="AS46"/>
  <c r="AV11"/>
  <c r="AU174"/>
  <c r="AU186" s="1"/>
  <c r="AU187" s="1"/>
  <c r="AU142"/>
  <c r="AU158"/>
  <c r="AU126"/>
  <c r="AU138" s="1"/>
  <c r="AU94"/>
  <c r="AU106" s="1"/>
  <c r="AU62"/>
  <c r="AU74" s="1"/>
  <c r="AU46"/>
  <c r="AU58" s="1"/>
  <c r="AU110"/>
  <c r="AU122" s="1"/>
  <c r="AU78"/>
  <c r="AU90" s="1"/>
  <c r="AM51" i="1" l="1"/>
  <c r="AM62" s="1"/>
  <c r="AM83"/>
  <c r="AW11" i="4"/>
  <c r="AV158"/>
  <c r="AV126"/>
  <c r="AV138" s="1"/>
  <c r="AV174"/>
  <c r="AV186" s="1"/>
  <c r="AV187" s="1"/>
  <c r="AV142"/>
  <c r="AV110"/>
  <c r="AV122" s="1"/>
  <c r="AV78"/>
  <c r="AV90" s="1"/>
  <c r="AV94"/>
  <c r="AV106" s="1"/>
  <c r="AV62"/>
  <c r="AV74" s="1"/>
  <c r="AV46"/>
  <c r="AV58" s="1"/>
  <c r="AN96" i="1" l="1"/>
  <c r="AN51" s="1"/>
  <c r="AN62" s="1"/>
  <c r="AM16"/>
  <c r="AM14" s="1"/>
  <c r="AW174" i="4"/>
  <c r="AW186" s="1"/>
  <c r="AW142"/>
  <c r="AW158"/>
  <c r="AW126"/>
  <c r="AW138" s="1"/>
  <c r="AX138" s="1"/>
  <c r="AX126" s="1"/>
  <c r="AW94"/>
  <c r="AW106" s="1"/>
  <c r="AX106" s="1"/>
  <c r="AX94" s="1"/>
  <c r="AW62"/>
  <c r="AW74" s="1"/>
  <c r="AX74" s="1"/>
  <c r="AX62" s="1"/>
  <c r="AW46"/>
  <c r="AW58" s="1"/>
  <c r="AY11"/>
  <c r="AW110"/>
  <c r="AW122" s="1"/>
  <c r="AX122" s="1"/>
  <c r="AX110" s="1"/>
  <c r="AW78"/>
  <c r="AW90" s="1"/>
  <c r="AX90" s="1"/>
  <c r="AX78" s="1"/>
  <c r="AN83" i="1" l="1"/>
  <c r="AN16" s="1"/>
  <c r="AN14" s="1"/>
  <c r="AX186" i="4"/>
  <c r="AW187"/>
  <c r="AX58"/>
  <c r="AZ11"/>
  <c r="AY158"/>
  <c r="AY170" s="1"/>
  <c r="AY171" s="1"/>
  <c r="AY126"/>
  <c r="AY138" s="1"/>
  <c r="AY174"/>
  <c r="AY186" s="1"/>
  <c r="AY187" s="1"/>
  <c r="AY142"/>
  <c r="AY110"/>
  <c r="AY122" s="1"/>
  <c r="AY78"/>
  <c r="AY90" s="1"/>
  <c r="AY94"/>
  <c r="AY106" s="1"/>
  <c r="AY62"/>
  <c r="AY74" s="1"/>
  <c r="AY46"/>
  <c r="AY58" s="1"/>
  <c r="AX174" l="1"/>
  <c r="AX187"/>
  <c r="AX46"/>
  <c r="BA11"/>
  <c r="AZ174"/>
  <c r="AZ186" s="1"/>
  <c r="AZ187" s="1"/>
  <c r="AZ142"/>
  <c r="AZ158"/>
  <c r="AZ126"/>
  <c r="AZ138" s="1"/>
  <c r="AZ94"/>
  <c r="AZ106" s="1"/>
  <c r="AZ62"/>
  <c r="AZ74" s="1"/>
  <c r="AZ46"/>
  <c r="AZ58" s="1"/>
  <c r="AZ110"/>
  <c r="AZ122" s="1"/>
  <c r="AZ78"/>
  <c r="AZ90" s="1"/>
  <c r="BB11" l="1"/>
  <c r="BA158"/>
  <c r="BA126"/>
  <c r="BA138" s="1"/>
  <c r="BA174"/>
  <c r="BA186" s="1"/>
  <c r="BA187" s="1"/>
  <c r="BA142"/>
  <c r="BA110"/>
  <c r="BA122" s="1"/>
  <c r="BA78"/>
  <c r="BA90" s="1"/>
  <c r="BA94"/>
  <c r="BA106" s="1"/>
  <c r="BA62"/>
  <c r="BA74" s="1"/>
  <c r="BA46"/>
  <c r="BA58" s="1"/>
  <c r="BB174" l="1"/>
  <c r="BB186" s="1"/>
  <c r="BB142"/>
  <c r="BB158"/>
  <c r="BB126"/>
  <c r="BB138" s="1"/>
  <c r="BC138" s="1"/>
  <c r="BC126" s="1"/>
  <c r="BB94"/>
  <c r="BB106" s="1"/>
  <c r="BC106" s="1"/>
  <c r="BC94" s="1"/>
  <c r="BB62"/>
  <c r="BB74" s="1"/>
  <c r="BC74" s="1"/>
  <c r="BC62" s="1"/>
  <c r="BB46"/>
  <c r="BB58" s="1"/>
  <c r="BD11"/>
  <c r="BB110"/>
  <c r="BB122" s="1"/>
  <c r="BC122" s="1"/>
  <c r="BC110" s="1"/>
  <c r="BB78"/>
  <c r="BB90" s="1"/>
  <c r="BC90" s="1"/>
  <c r="BC78" s="1"/>
  <c r="BC186" l="1"/>
  <c r="BB187"/>
  <c r="BE11"/>
  <c r="BD158"/>
  <c r="BD170" s="1"/>
  <c r="BD171" s="1"/>
  <c r="BD126"/>
  <c r="BD138" s="1"/>
  <c r="BD174"/>
  <c r="BD186" s="1"/>
  <c r="BD187" s="1"/>
  <c r="BD142"/>
  <c r="BD110"/>
  <c r="BD122" s="1"/>
  <c r="BD78"/>
  <c r="BD90" s="1"/>
  <c r="BD94"/>
  <c r="BD106" s="1"/>
  <c r="BD62"/>
  <c r="BD74" s="1"/>
  <c r="BD46"/>
  <c r="BD58" s="1"/>
  <c r="BC58"/>
  <c r="BC174" l="1"/>
  <c r="BC187"/>
  <c r="BC46"/>
  <c r="BF11"/>
  <c r="BE174"/>
  <c r="BE186" s="1"/>
  <c r="BE187" s="1"/>
  <c r="BE142"/>
  <c r="BE158"/>
  <c r="BE126"/>
  <c r="BE138" s="1"/>
  <c r="BE94"/>
  <c r="BE106" s="1"/>
  <c r="BE62"/>
  <c r="BE74" s="1"/>
  <c r="BE46"/>
  <c r="BE58" s="1"/>
  <c r="BE110"/>
  <c r="BE122" s="1"/>
  <c r="BE78"/>
  <c r="BE90" s="1"/>
  <c r="BG11" l="1"/>
  <c r="BF158"/>
  <c r="BF126"/>
  <c r="BF138" s="1"/>
  <c r="BF174"/>
  <c r="BF186" s="1"/>
  <c r="BF187" s="1"/>
  <c r="BF142"/>
  <c r="BF110"/>
  <c r="BF122" s="1"/>
  <c r="BF78"/>
  <c r="BF90" s="1"/>
  <c r="BF94"/>
  <c r="BF106" s="1"/>
  <c r="BF62"/>
  <c r="BF74" s="1"/>
  <c r="BF46"/>
  <c r="BF58" s="1"/>
  <c r="BG174" l="1"/>
  <c r="BG186" s="1"/>
  <c r="BG142"/>
  <c r="BG158"/>
  <c r="BG126"/>
  <c r="BG138" s="1"/>
  <c r="BH138" s="1"/>
  <c r="BH126" s="1"/>
  <c r="BG94"/>
  <c r="BG106" s="1"/>
  <c r="BH106" s="1"/>
  <c r="BH94" s="1"/>
  <c r="BG62"/>
  <c r="BG74" s="1"/>
  <c r="BH74" s="1"/>
  <c r="BH62" s="1"/>
  <c r="BG46"/>
  <c r="BG58" s="1"/>
  <c r="BI11"/>
  <c r="BG110"/>
  <c r="BG122" s="1"/>
  <c r="BH122" s="1"/>
  <c r="BH110" s="1"/>
  <c r="BG78"/>
  <c r="BG90" s="1"/>
  <c r="BH90" s="1"/>
  <c r="BH78" s="1"/>
  <c r="BH186" l="1"/>
  <c r="BG187"/>
  <c r="BH58"/>
  <c r="BJ11"/>
  <c r="BI158"/>
  <c r="BI170" s="1"/>
  <c r="BI171" s="1"/>
  <c r="BI126"/>
  <c r="BI138" s="1"/>
  <c r="BI174"/>
  <c r="BI186" s="1"/>
  <c r="BI187" s="1"/>
  <c r="BI142"/>
  <c r="BI110"/>
  <c r="BI122" s="1"/>
  <c r="BI78"/>
  <c r="BI90" s="1"/>
  <c r="BI94"/>
  <c r="BI106" s="1"/>
  <c r="BI62"/>
  <c r="BI74" s="1"/>
  <c r="BI46"/>
  <c r="BI58" s="1"/>
  <c r="BH174" l="1"/>
  <c r="BH187"/>
  <c r="BH46"/>
  <c r="BK11"/>
  <c r="BJ174"/>
  <c r="BJ186" s="1"/>
  <c r="BJ187" s="1"/>
  <c r="BJ142"/>
  <c r="BJ158"/>
  <c r="BJ126"/>
  <c r="BJ138" s="1"/>
  <c r="BJ94"/>
  <c r="BJ106" s="1"/>
  <c r="BJ62"/>
  <c r="BJ74" s="1"/>
  <c r="BJ46"/>
  <c r="BJ58" s="1"/>
  <c r="BJ110"/>
  <c r="BJ122" s="1"/>
  <c r="BJ78"/>
  <c r="BJ90" s="1"/>
  <c r="BL11" l="1"/>
  <c r="BK158"/>
  <c r="BK126"/>
  <c r="BK138" s="1"/>
  <c r="BK174"/>
  <c r="BK186" s="1"/>
  <c r="BK187" s="1"/>
  <c r="BK142"/>
  <c r="BK110"/>
  <c r="BK122" s="1"/>
  <c r="BK78"/>
  <c r="BK90" s="1"/>
  <c r="BK94"/>
  <c r="BK106" s="1"/>
  <c r="BK62"/>
  <c r="BK74" s="1"/>
  <c r="BK46"/>
  <c r="BK58" s="1"/>
  <c r="BL174" l="1"/>
  <c r="BL186" s="1"/>
  <c r="BL142"/>
  <c r="BL158"/>
  <c r="BL126"/>
  <c r="BL138" s="1"/>
  <c r="BM138" s="1"/>
  <c r="BM126" s="1"/>
  <c r="BL94"/>
  <c r="BL106" s="1"/>
  <c r="BM106" s="1"/>
  <c r="BM94" s="1"/>
  <c r="BL62"/>
  <c r="BL74" s="1"/>
  <c r="BM74" s="1"/>
  <c r="BM62" s="1"/>
  <c r="BL46"/>
  <c r="BL58" s="1"/>
  <c r="BN11"/>
  <c r="BL110"/>
  <c r="BL122" s="1"/>
  <c r="BM122" s="1"/>
  <c r="BM110" s="1"/>
  <c r="BL78"/>
  <c r="BL90" s="1"/>
  <c r="BM90" s="1"/>
  <c r="BM78" s="1"/>
  <c r="BM186" l="1"/>
  <c r="BL187"/>
  <c r="BM58"/>
  <c r="BO11"/>
  <c r="BN158"/>
  <c r="BN170" s="1"/>
  <c r="BN171" s="1"/>
  <c r="BN126"/>
  <c r="BN138" s="1"/>
  <c r="BN174"/>
  <c r="BN186" s="1"/>
  <c r="BN187" s="1"/>
  <c r="BN142"/>
  <c r="BN110"/>
  <c r="BN122" s="1"/>
  <c r="BN78"/>
  <c r="BN90" s="1"/>
  <c r="BN94"/>
  <c r="BN106" s="1"/>
  <c r="BN62"/>
  <c r="BN74" s="1"/>
  <c r="BN46"/>
  <c r="BN58" s="1"/>
  <c r="BM174" l="1"/>
  <c r="BM187"/>
  <c r="BM46"/>
  <c r="BP11"/>
  <c r="BO174"/>
  <c r="BO186" s="1"/>
  <c r="BO187" s="1"/>
  <c r="BO142"/>
  <c r="BO158"/>
  <c r="BO126"/>
  <c r="BO138" s="1"/>
  <c r="BO94"/>
  <c r="BO106" s="1"/>
  <c r="BO62"/>
  <c r="BO74" s="1"/>
  <c r="BO46"/>
  <c r="BO58" s="1"/>
  <c r="BO110"/>
  <c r="BO122" s="1"/>
  <c r="BO78"/>
  <c r="BO90" s="1"/>
  <c r="BQ11" l="1"/>
  <c r="BP158"/>
  <c r="BP126"/>
  <c r="BP138" s="1"/>
  <c r="BP174"/>
  <c r="BP186" s="1"/>
  <c r="BP187" s="1"/>
  <c r="BP142"/>
  <c r="BP110"/>
  <c r="BP122" s="1"/>
  <c r="BP78"/>
  <c r="BP90" s="1"/>
  <c r="BP94"/>
  <c r="BP106" s="1"/>
  <c r="BP62"/>
  <c r="BP74" s="1"/>
  <c r="BP46"/>
  <c r="BP58" s="1"/>
  <c r="BQ174" l="1"/>
  <c r="BQ186" s="1"/>
  <c r="BQ142"/>
  <c r="BQ158"/>
  <c r="BQ126"/>
  <c r="BQ138" s="1"/>
  <c r="BR138" s="1"/>
  <c r="BR126" s="1"/>
  <c r="BQ94"/>
  <c r="BQ106" s="1"/>
  <c r="BR106" s="1"/>
  <c r="BR94" s="1"/>
  <c r="BQ62"/>
  <c r="BQ74" s="1"/>
  <c r="BR74" s="1"/>
  <c r="BR62" s="1"/>
  <c r="BQ46"/>
  <c r="BQ58" s="1"/>
  <c r="BS11"/>
  <c r="BQ110"/>
  <c r="BQ122" s="1"/>
  <c r="BR122" s="1"/>
  <c r="BR110" s="1"/>
  <c r="BQ78"/>
  <c r="BQ90" s="1"/>
  <c r="BR90" s="1"/>
  <c r="BR78" s="1"/>
  <c r="BR186" l="1"/>
  <c r="BQ187"/>
  <c r="BR58"/>
  <c r="BT11"/>
  <c r="BS158"/>
  <c r="BS170" s="1"/>
  <c r="BS171" s="1"/>
  <c r="BS126"/>
  <c r="BS138" s="1"/>
  <c r="BS174"/>
  <c r="BS186" s="1"/>
  <c r="BS187" s="1"/>
  <c r="BS142"/>
  <c r="BS110"/>
  <c r="BS122" s="1"/>
  <c r="BS78"/>
  <c r="BS90" s="1"/>
  <c r="BS94"/>
  <c r="BS106" s="1"/>
  <c r="BS62"/>
  <c r="BS74" s="1"/>
  <c r="BS46"/>
  <c r="BS58" s="1"/>
  <c r="BR174" l="1"/>
  <c r="BR187"/>
  <c r="BU11"/>
  <c r="BT174"/>
  <c r="BT186" s="1"/>
  <c r="BT187" s="1"/>
  <c r="BT142"/>
  <c r="BT158"/>
  <c r="BT126"/>
  <c r="BT138" s="1"/>
  <c r="BT94"/>
  <c r="BT106" s="1"/>
  <c r="BT62"/>
  <c r="BT74" s="1"/>
  <c r="BT46"/>
  <c r="BT58" s="1"/>
  <c r="BT110"/>
  <c r="BT122" s="1"/>
  <c r="BT78"/>
  <c r="BT90" s="1"/>
  <c r="BR46"/>
  <c r="BV11" l="1"/>
  <c r="BU158"/>
  <c r="BU126"/>
  <c r="BU138" s="1"/>
  <c r="BU174"/>
  <c r="BU186" s="1"/>
  <c r="BU187" s="1"/>
  <c r="BU142"/>
  <c r="BU110"/>
  <c r="BU122" s="1"/>
  <c r="BU78"/>
  <c r="BU90" s="1"/>
  <c r="BU94"/>
  <c r="BU106" s="1"/>
  <c r="BU62"/>
  <c r="BU74" s="1"/>
  <c r="BU46"/>
  <c r="BU58" s="1"/>
  <c r="BV174" l="1"/>
  <c r="BV186" s="1"/>
  <c r="BV142"/>
  <c r="BV158"/>
  <c r="BV126"/>
  <c r="BV138" s="1"/>
  <c r="BW138" s="1"/>
  <c r="BW126" s="1"/>
  <c r="BV94"/>
  <c r="BV106" s="1"/>
  <c r="BW106" s="1"/>
  <c r="BW94" s="1"/>
  <c r="BV62"/>
  <c r="BV74" s="1"/>
  <c r="BW74" s="1"/>
  <c r="BW62" s="1"/>
  <c r="BV46"/>
  <c r="BV58" s="1"/>
  <c r="BX11"/>
  <c r="BV110"/>
  <c r="BV122" s="1"/>
  <c r="BW122" s="1"/>
  <c r="BW110" s="1"/>
  <c r="BV78"/>
  <c r="BV90" s="1"/>
  <c r="BW90" s="1"/>
  <c r="BW78" s="1"/>
  <c r="BW186" l="1"/>
  <c r="BV187"/>
  <c r="BY11"/>
  <c r="BX158"/>
  <c r="BX170" s="1"/>
  <c r="BX171" s="1"/>
  <c r="BX126"/>
  <c r="BX138" s="1"/>
  <c r="BX174"/>
  <c r="BX186" s="1"/>
  <c r="BX187" s="1"/>
  <c r="BX142"/>
  <c r="BX110"/>
  <c r="BX122" s="1"/>
  <c r="BX78"/>
  <c r="BX90" s="1"/>
  <c r="BX94"/>
  <c r="BX106" s="1"/>
  <c r="BX62"/>
  <c r="BX74" s="1"/>
  <c r="BX46"/>
  <c r="BX58" s="1"/>
  <c r="BW58"/>
  <c r="BW174" l="1"/>
  <c r="BW187"/>
  <c r="BW46"/>
  <c r="BZ11"/>
  <c r="BY174"/>
  <c r="BY186" s="1"/>
  <c r="BY187" s="1"/>
  <c r="BY142"/>
  <c r="BY158"/>
  <c r="BY126"/>
  <c r="BY138" s="1"/>
  <c r="BY94"/>
  <c r="BY106" s="1"/>
  <c r="BY62"/>
  <c r="BY74" s="1"/>
  <c r="BY46"/>
  <c r="BY58" s="1"/>
  <c r="BY110"/>
  <c r="BY122" s="1"/>
  <c r="BY78"/>
  <c r="BY90" s="1"/>
  <c r="CA11" l="1"/>
  <c r="BZ158"/>
  <c r="BZ126"/>
  <c r="BZ138" s="1"/>
  <c r="BZ174"/>
  <c r="BZ186" s="1"/>
  <c r="BZ187" s="1"/>
  <c r="BZ142"/>
  <c r="BZ110"/>
  <c r="BZ122" s="1"/>
  <c r="BZ78"/>
  <c r="BZ90" s="1"/>
  <c r="BZ94"/>
  <c r="BZ106" s="1"/>
  <c r="BZ62"/>
  <c r="BZ74" s="1"/>
  <c r="BZ46"/>
  <c r="BZ58" s="1"/>
  <c r="CA174" l="1"/>
  <c r="CA186" s="1"/>
  <c r="CA142"/>
  <c r="CA158"/>
  <c r="CA126"/>
  <c r="CA138" s="1"/>
  <c r="CB138" s="1"/>
  <c r="CB126" s="1"/>
  <c r="CA94"/>
  <c r="CA106" s="1"/>
  <c r="CB106" s="1"/>
  <c r="CB94" s="1"/>
  <c r="CA62"/>
  <c r="CA74" s="1"/>
  <c r="CB74" s="1"/>
  <c r="CB62" s="1"/>
  <c r="CA46"/>
  <c r="CA58" s="1"/>
  <c r="CC11"/>
  <c r="CA110"/>
  <c r="CA122" s="1"/>
  <c r="CB122" s="1"/>
  <c r="CB110" s="1"/>
  <c r="CA78"/>
  <c r="CA90" s="1"/>
  <c r="CB90" s="1"/>
  <c r="CB78" s="1"/>
  <c r="CB186" l="1"/>
  <c r="CA187"/>
  <c r="CD11"/>
  <c r="CC158"/>
  <c r="CC170" s="1"/>
  <c r="CC171" s="1"/>
  <c r="CC126"/>
  <c r="CC138" s="1"/>
  <c r="CC174"/>
  <c r="CC186" s="1"/>
  <c r="CC187" s="1"/>
  <c r="CC142"/>
  <c r="CC110"/>
  <c r="CC122" s="1"/>
  <c r="CC78"/>
  <c r="CC90" s="1"/>
  <c r="CC94"/>
  <c r="CC106" s="1"/>
  <c r="CC62"/>
  <c r="CC74" s="1"/>
  <c r="CC46"/>
  <c r="CC58" s="1"/>
  <c r="CB58"/>
  <c r="CB174" l="1"/>
  <c r="CB187"/>
  <c r="CE11"/>
  <c r="CD174"/>
  <c r="CD186" s="1"/>
  <c r="CD187" s="1"/>
  <c r="CD142"/>
  <c r="CD158"/>
  <c r="CD126"/>
  <c r="CD138" s="1"/>
  <c r="CD94"/>
  <c r="CD106" s="1"/>
  <c r="CD62"/>
  <c r="CD74" s="1"/>
  <c r="CD46"/>
  <c r="CD58" s="1"/>
  <c r="CD110"/>
  <c r="CD122" s="1"/>
  <c r="CD78"/>
  <c r="CD90" s="1"/>
  <c r="CB46"/>
  <c r="CF11" l="1"/>
  <c r="CE158"/>
  <c r="CE126"/>
  <c r="CE138" s="1"/>
  <c r="CE174"/>
  <c r="CE186" s="1"/>
  <c r="CE187" s="1"/>
  <c r="CE142"/>
  <c r="CE110"/>
  <c r="CE122" s="1"/>
  <c r="CE78"/>
  <c r="CE90" s="1"/>
  <c r="CE94"/>
  <c r="CE106" s="1"/>
  <c r="CE62"/>
  <c r="CE74" s="1"/>
  <c r="CE46"/>
  <c r="CE58" s="1"/>
  <c r="CF174" l="1"/>
  <c r="CF186" s="1"/>
  <c r="CF142"/>
  <c r="CF158"/>
  <c r="CF126"/>
  <c r="CF138" s="1"/>
  <c r="CG138" s="1"/>
  <c r="CG126" s="1"/>
  <c r="CF94"/>
  <c r="CF106" s="1"/>
  <c r="CG106" s="1"/>
  <c r="CG94" s="1"/>
  <c r="CF62"/>
  <c r="CF74" s="1"/>
  <c r="CG74" s="1"/>
  <c r="CG62" s="1"/>
  <c r="CF46"/>
  <c r="CF58" s="1"/>
  <c r="CH11"/>
  <c r="CF110"/>
  <c r="CF122" s="1"/>
  <c r="CG122" s="1"/>
  <c r="CG110" s="1"/>
  <c r="CF78"/>
  <c r="CF90" s="1"/>
  <c r="CG90" s="1"/>
  <c r="CG78" s="1"/>
  <c r="CG186" l="1"/>
  <c r="CF187"/>
  <c r="CG58"/>
  <c r="CI11"/>
  <c r="CH158"/>
  <c r="CH170" s="1"/>
  <c r="CH171" s="1"/>
  <c r="CH126"/>
  <c r="CH138" s="1"/>
  <c r="CH174"/>
  <c r="CH186" s="1"/>
  <c r="CH187" s="1"/>
  <c r="CH142"/>
  <c r="CH110"/>
  <c r="CH122" s="1"/>
  <c r="CH78"/>
  <c r="CH90" s="1"/>
  <c r="CH94"/>
  <c r="CH106" s="1"/>
  <c r="CH62"/>
  <c r="CH74" s="1"/>
  <c r="CH46"/>
  <c r="CH58" s="1"/>
  <c r="CG174" l="1"/>
  <c r="CG187"/>
  <c r="CG46"/>
  <c r="CJ11"/>
  <c r="CI174"/>
  <c r="CI186" s="1"/>
  <c r="CI187" s="1"/>
  <c r="CI142"/>
  <c r="CI158"/>
  <c r="CI126"/>
  <c r="CI138" s="1"/>
  <c r="CI94"/>
  <c r="CI106" s="1"/>
  <c r="CI62"/>
  <c r="CI74" s="1"/>
  <c r="CI46"/>
  <c r="CI58" s="1"/>
  <c r="CI110"/>
  <c r="CI122" s="1"/>
  <c r="CI78"/>
  <c r="CI90" s="1"/>
  <c r="CK11" l="1"/>
  <c r="CJ158"/>
  <c r="CJ126"/>
  <c r="CJ138" s="1"/>
  <c r="CJ174"/>
  <c r="CJ186" s="1"/>
  <c r="CJ187" s="1"/>
  <c r="CJ142"/>
  <c r="CJ110"/>
  <c r="CJ122" s="1"/>
  <c r="CJ78"/>
  <c r="CJ90" s="1"/>
  <c r="CJ94"/>
  <c r="CJ106" s="1"/>
  <c r="CJ62"/>
  <c r="CJ74" s="1"/>
  <c r="CJ46"/>
  <c r="CJ58" s="1"/>
  <c r="CK174" l="1"/>
  <c r="CK186" s="1"/>
  <c r="CK142"/>
  <c r="CK158"/>
  <c r="CK126"/>
  <c r="CK138" s="1"/>
  <c r="CL138" s="1"/>
  <c r="CL126" s="1"/>
  <c r="CK94"/>
  <c r="CK106" s="1"/>
  <c r="CL106" s="1"/>
  <c r="CL94" s="1"/>
  <c r="CK62"/>
  <c r="CK74" s="1"/>
  <c r="CL74" s="1"/>
  <c r="CL62" s="1"/>
  <c r="CK46"/>
  <c r="CK58" s="1"/>
  <c r="CM11"/>
  <c r="CK110"/>
  <c r="CK122" s="1"/>
  <c r="CL122" s="1"/>
  <c r="CL110" s="1"/>
  <c r="CK78"/>
  <c r="CK90" s="1"/>
  <c r="CL90" s="1"/>
  <c r="CL78" s="1"/>
  <c r="CL186" l="1"/>
  <c r="CK187"/>
  <c r="CN11"/>
  <c r="CM158"/>
  <c r="CM170" s="1"/>
  <c r="CM171" s="1"/>
  <c r="CM126"/>
  <c r="CM138" s="1"/>
  <c r="CM174"/>
  <c r="CM186" s="1"/>
  <c r="CM187" s="1"/>
  <c r="CM142"/>
  <c r="CM110"/>
  <c r="CM122" s="1"/>
  <c r="CM78"/>
  <c r="CM90" s="1"/>
  <c r="CM94"/>
  <c r="CM106" s="1"/>
  <c r="CM62"/>
  <c r="CM74" s="1"/>
  <c r="CM46"/>
  <c r="CM58" s="1"/>
  <c r="CL58"/>
  <c r="CL174" l="1"/>
  <c r="CL187"/>
  <c r="CL46"/>
  <c r="CO11"/>
  <c r="CN174"/>
  <c r="CN186" s="1"/>
  <c r="CN187" s="1"/>
  <c r="CN142"/>
  <c r="CN158"/>
  <c r="CN126"/>
  <c r="CN138" s="1"/>
  <c r="CN94"/>
  <c r="CN106" s="1"/>
  <c r="CN62"/>
  <c r="CN74" s="1"/>
  <c r="CN46"/>
  <c r="CN58" s="1"/>
  <c r="CN110"/>
  <c r="CN122" s="1"/>
  <c r="CN78"/>
  <c r="CN90" s="1"/>
  <c r="CP11" l="1"/>
  <c r="CO158"/>
  <c r="CO126"/>
  <c r="CO138" s="1"/>
  <c r="CO174"/>
  <c r="CO186" s="1"/>
  <c r="CO187" s="1"/>
  <c r="CO142"/>
  <c r="CO110"/>
  <c r="CO122" s="1"/>
  <c r="CO78"/>
  <c r="CO90" s="1"/>
  <c r="CO94"/>
  <c r="CO106" s="1"/>
  <c r="CO62"/>
  <c r="CO74" s="1"/>
  <c r="CO46"/>
  <c r="CO58" s="1"/>
  <c r="CP174" l="1"/>
  <c r="CP186" s="1"/>
  <c r="CP142"/>
  <c r="CP158"/>
  <c r="CP126"/>
  <c r="CP138" s="1"/>
  <c r="CQ138" s="1"/>
  <c r="CQ126" s="1"/>
  <c r="CP94"/>
  <c r="CP106" s="1"/>
  <c r="CQ106" s="1"/>
  <c r="CQ94" s="1"/>
  <c r="CP62"/>
  <c r="CP74" s="1"/>
  <c r="CQ74" s="1"/>
  <c r="CQ62" s="1"/>
  <c r="CP46"/>
  <c r="CP58" s="1"/>
  <c r="CR11"/>
  <c r="CP110"/>
  <c r="CP122" s="1"/>
  <c r="CQ122" s="1"/>
  <c r="CQ110" s="1"/>
  <c r="CP78"/>
  <c r="CP90" s="1"/>
  <c r="CQ90" s="1"/>
  <c r="CQ78" s="1"/>
  <c r="CQ186" l="1"/>
  <c r="CP187"/>
  <c r="CS11"/>
  <c r="CR158"/>
  <c r="CR170" s="1"/>
  <c r="CR171" s="1"/>
  <c r="CR126"/>
  <c r="CR138" s="1"/>
  <c r="CR174"/>
  <c r="CR186" s="1"/>
  <c r="CR187" s="1"/>
  <c r="CR142"/>
  <c r="CR110"/>
  <c r="CR122" s="1"/>
  <c r="CR78"/>
  <c r="CR90" s="1"/>
  <c r="CR94"/>
  <c r="CR106" s="1"/>
  <c r="CR62"/>
  <c r="CR74" s="1"/>
  <c r="CR46"/>
  <c r="CR58" s="1"/>
  <c r="CQ58"/>
  <c r="CQ174" l="1"/>
  <c r="CQ187"/>
  <c r="CQ46"/>
  <c r="CT11"/>
  <c r="CS174"/>
  <c r="CS186" s="1"/>
  <c r="CS187" s="1"/>
  <c r="CS142"/>
  <c r="CS158"/>
  <c r="CS126"/>
  <c r="CS138" s="1"/>
  <c r="CS94"/>
  <c r="CS106" s="1"/>
  <c r="CS62"/>
  <c r="CS74" s="1"/>
  <c r="CS46"/>
  <c r="CS58" s="1"/>
  <c r="CS110"/>
  <c r="CS122" s="1"/>
  <c r="CS78"/>
  <c r="CS90" s="1"/>
  <c r="CU11" l="1"/>
  <c r="CT158"/>
  <c r="CT126"/>
  <c r="CT138" s="1"/>
  <c r="CT174"/>
  <c r="CT186" s="1"/>
  <c r="CT187" s="1"/>
  <c r="CT142"/>
  <c r="CT110"/>
  <c r="CT122" s="1"/>
  <c r="CT78"/>
  <c r="CT90" s="1"/>
  <c r="CT94"/>
  <c r="CT106" s="1"/>
  <c r="CT62"/>
  <c r="CT74" s="1"/>
  <c r="CT46"/>
  <c r="CT58" s="1"/>
  <c r="CU174" l="1"/>
  <c r="CU186" s="1"/>
  <c r="CU142"/>
  <c r="CU158"/>
  <c r="CU126"/>
  <c r="CU138" s="1"/>
  <c r="CV138" s="1"/>
  <c r="CV126" s="1"/>
  <c r="CU94"/>
  <c r="CU106" s="1"/>
  <c r="CV106" s="1"/>
  <c r="CV94" s="1"/>
  <c r="CU62"/>
  <c r="CU74" s="1"/>
  <c r="CV74" s="1"/>
  <c r="CV62" s="1"/>
  <c r="CU46"/>
  <c r="CU58" s="1"/>
  <c r="CU110"/>
  <c r="CU122" s="1"/>
  <c r="CV122" s="1"/>
  <c r="CV110" s="1"/>
  <c r="CU78"/>
  <c r="CU90" s="1"/>
  <c r="CV90" s="1"/>
  <c r="CV78" s="1"/>
  <c r="CV186" l="1"/>
  <c r="CU187"/>
  <c r="CV58"/>
  <c r="CV174" l="1"/>
  <c r="CV187"/>
  <c r="CV46"/>
  <c r="Q136" i="1" l="1"/>
  <c r="W68" l="1"/>
  <c r="W72" s="1"/>
  <c r="C36" i="7"/>
  <c r="D36"/>
  <c r="AC214" i="1"/>
  <c r="AD214" l="1"/>
  <c r="AE214" l="1"/>
  <c r="AG162" l="1"/>
  <c r="AF214"/>
  <c r="AG214" l="1"/>
  <c r="AH162"/>
  <c r="AI162" l="1"/>
  <c r="AH214"/>
  <c r="AI214" l="1"/>
  <c r="AJ162"/>
  <c r="AK162" l="1"/>
  <c r="AJ214"/>
  <c r="AK214"/>
  <c r="AL214" l="1"/>
  <c r="AL162" l="1"/>
  <c r="AM162" l="1"/>
  <c r="AM214"/>
  <c r="AN162" l="1"/>
  <c r="AN214"/>
  <c r="C38" i="7" l="1"/>
  <c r="V56" i="4" l="1"/>
  <c r="V72"/>
  <c r="D37" i="7" l="1"/>
  <c r="Q49" i="1"/>
  <c r="Q60" l="1"/>
  <c r="D17" i="7"/>
  <c r="D18"/>
  <c r="Q230" i="1"/>
  <c r="C37" i="7"/>
  <c r="C39" s="1"/>
  <c r="Q65" i="1" l="1"/>
  <c r="Q202" l="1"/>
  <c r="Q66"/>
  <c r="C18" i="7" s="1"/>
  <c r="C17"/>
  <c r="Q70" i="1" l="1"/>
  <c r="Q68" s="1"/>
  <c r="Q72" l="1"/>
  <c r="Q74" l="1"/>
  <c r="Q78" s="1"/>
  <c r="Q199" l="1"/>
  <c r="Q105" l="1"/>
  <c r="C22" i="7" l="1"/>
  <c r="Q108" i="1"/>
  <c r="C20" i="7"/>
  <c r="Q106" i="1"/>
  <c r="Q180"/>
  <c r="C41" i="7" l="1"/>
  <c r="C42" s="1"/>
  <c r="Q109" i="1" l="1"/>
  <c r="C26" i="7" s="1"/>
  <c r="Q137" i="1"/>
  <c r="Q138" s="1"/>
  <c r="C23" i="7"/>
  <c r="Q107" i="1"/>
  <c r="Q235"/>
  <c r="Q236" s="1"/>
  <c r="C30" i="7" l="1"/>
  <c r="C32" s="1"/>
  <c r="D22" l="1"/>
  <c r="AA181" i="1" l="1"/>
  <c r="D30" i="7" l="1"/>
  <c r="D32" s="1"/>
  <c r="Q115" i="1" l="1"/>
  <c r="Q118"/>
  <c r="Q119" s="1"/>
  <c r="Q121"/>
  <c r="Q122" s="1"/>
  <c r="Q4"/>
  <c r="Q36" s="1"/>
  <c r="Q116" l="1"/>
  <c r="Q132"/>
  <c r="Q133" s="1"/>
  <c r="Q113"/>
  <c r="V133" l="1"/>
  <c r="R133"/>
  <c r="R205" s="1"/>
  <c r="D41" i="7"/>
  <c r="V4" i="1"/>
  <c r="D23" i="7"/>
  <c r="D26" l="1"/>
  <c r="W197" i="1" l="1"/>
  <c r="W198"/>
  <c r="W74"/>
  <c r="V18" l="1"/>
  <c r="V36" s="1"/>
  <c r="V230" l="1"/>
  <c r="D20" i="7"/>
  <c r="V232" i="1" l="1"/>
  <c r="D38" i="7"/>
  <c r="D39" s="1"/>
  <c r="D42" s="1"/>
  <c r="AA170" i="4" l="1"/>
  <c r="AF170"/>
  <c r="AF171" s="1"/>
  <c r="AA167"/>
  <c r="AK170" l="1"/>
  <c r="AK171" s="1"/>
  <c r="AP170" l="1"/>
  <c r="AP171" s="1"/>
  <c r="AU170" l="1"/>
  <c r="AU171" s="1"/>
  <c r="AZ170" l="1"/>
  <c r="AZ171" s="1"/>
  <c r="BE170" l="1"/>
  <c r="BE171" s="1"/>
  <c r="BJ170" l="1"/>
  <c r="BJ171" s="1"/>
  <c r="BO170" l="1"/>
  <c r="BO171" s="1"/>
  <c r="BT170" l="1"/>
  <c r="BT171" s="1"/>
  <c r="BY170" l="1"/>
  <c r="BY171" s="1"/>
  <c r="CD170" l="1"/>
  <c r="CD171" s="1"/>
  <c r="CI170" l="1"/>
  <c r="CI171" s="1"/>
  <c r="CN170" l="1"/>
  <c r="CN171" s="1"/>
  <c r="CS170" l="1"/>
  <c r="CS171" s="1"/>
  <c r="AB170"/>
  <c r="AB171" s="1"/>
  <c r="AB167"/>
  <c r="AG170"/>
  <c r="AG171" l="1"/>
  <c r="AV170"/>
  <c r="AL170"/>
  <c r="AL171" s="1"/>
  <c r="AQ170" l="1"/>
  <c r="AV171" s="1"/>
  <c r="BA170"/>
  <c r="BA171" s="1"/>
  <c r="AQ171" l="1"/>
  <c r="BF170"/>
  <c r="BF171" s="1"/>
  <c r="BK170" l="1"/>
  <c r="BK171" s="1"/>
  <c r="BP170" l="1"/>
  <c r="BP171" s="1"/>
  <c r="BU170" l="1"/>
  <c r="BU171" s="1"/>
  <c r="BZ170" l="1"/>
  <c r="BZ171" s="1"/>
  <c r="CE170" l="1"/>
  <c r="CE171" s="1"/>
  <c r="CJ170" l="1"/>
  <c r="CJ171" s="1"/>
  <c r="CO170" l="1"/>
  <c r="CO171" s="1"/>
  <c r="CT170" l="1"/>
  <c r="CT171" s="1"/>
  <c r="AC170"/>
  <c r="AD166"/>
  <c r="AD167" s="1"/>
  <c r="AD168" s="1"/>
  <c r="AC167"/>
  <c r="AD170" l="1"/>
  <c r="AD171" s="1"/>
  <c r="AC171"/>
  <c r="AW170"/>
  <c r="AS166"/>
  <c r="AM170"/>
  <c r="AN166"/>
  <c r="AR170"/>
  <c r="AD158" l="1"/>
  <c r="AS167"/>
  <c r="AX167"/>
  <c r="AX168" s="1"/>
  <c r="AS170"/>
  <c r="AS158" s="1"/>
  <c r="AR171"/>
  <c r="AN170"/>
  <c r="AX170"/>
  <c r="AX171" s="1"/>
  <c r="AW171"/>
  <c r="AS168"/>
  <c r="BC166"/>
  <c r="BB170"/>
  <c r="AN158"/>
  <c r="BC167" l="1"/>
  <c r="BH167"/>
  <c r="BC170"/>
  <c r="BC171" s="1"/>
  <c r="BB171"/>
  <c r="AX158"/>
  <c r="AS171"/>
  <c r="BG170"/>
  <c r="BC168"/>
  <c r="BC158" l="1"/>
  <c r="BH170"/>
  <c r="BH171" s="1"/>
  <c r="BG171"/>
  <c r="BM166"/>
  <c r="BL170"/>
  <c r="BH158"/>
  <c r="BH168"/>
  <c r="BM167" l="1"/>
  <c r="BR167"/>
  <c r="BM170"/>
  <c r="BM171" s="1"/>
  <c r="BL171"/>
  <c r="BM168"/>
  <c r="BQ170"/>
  <c r="BM158" l="1"/>
  <c r="BR170"/>
  <c r="BR171" s="1"/>
  <c r="BQ171"/>
  <c r="BW166"/>
  <c r="BV170"/>
  <c r="BR168"/>
  <c r="BR158" l="1"/>
  <c r="BW167"/>
  <c r="CB167"/>
  <c r="BW170"/>
  <c r="BV171"/>
  <c r="CA170"/>
  <c r="BW168"/>
  <c r="CB170" l="1"/>
  <c r="CB171" s="1"/>
  <c r="CA171"/>
  <c r="BW158"/>
  <c r="BW171"/>
  <c r="CB158"/>
  <c r="CG166"/>
  <c r="CF170"/>
  <c r="CB168"/>
  <c r="CG167" l="1"/>
  <c r="CL167"/>
  <c r="CG170"/>
  <c r="CG171" s="1"/>
  <c r="CF171"/>
  <c r="CK170"/>
  <c r="CG168"/>
  <c r="CG158" l="1"/>
  <c r="CL170"/>
  <c r="CL171" s="1"/>
  <c r="CK171"/>
  <c r="CP170"/>
  <c r="CL168"/>
  <c r="CL158" l="1"/>
  <c r="CQ170"/>
  <c r="CP171"/>
  <c r="CV166"/>
  <c r="CV167" s="1"/>
  <c r="CV168" s="1"/>
  <c r="CU170"/>
  <c r="CQ168"/>
  <c r="CV170" l="1"/>
  <c r="CV171" s="1"/>
  <c r="CU171"/>
  <c r="CQ158"/>
  <c r="CQ171"/>
  <c r="CV158"/>
  <c r="AA154"/>
  <c r="AF31"/>
  <c r="AA151"/>
  <c r="AA152" s="1"/>
  <c r="AA32" l="1"/>
  <c r="AA33" s="1"/>
  <c r="AF154"/>
  <c r="AF155" s="1"/>
  <c r="AF32"/>
  <c r="AF33" s="1"/>
  <c r="AK154" l="1"/>
  <c r="AK31"/>
  <c r="AK32" s="1"/>
  <c r="AK33" s="1"/>
  <c r="AK155" l="1"/>
  <c r="AK35"/>
  <c r="AP154"/>
  <c r="AP31"/>
  <c r="AP32" s="1"/>
  <c r="AP33" s="1"/>
  <c r="AK36" l="1"/>
  <c r="AK16"/>
  <c r="AK17" s="1"/>
  <c r="AK39"/>
  <c r="AP35"/>
  <c r="AP155"/>
  <c r="AU31"/>
  <c r="AU32" s="1"/>
  <c r="AU33" s="1"/>
  <c r="AU154"/>
  <c r="AP36" l="1"/>
  <c r="AP16"/>
  <c r="AP17" s="1"/>
  <c r="AP39"/>
  <c r="AU35"/>
  <c r="AU155"/>
  <c r="AZ31"/>
  <c r="AZ32" s="1"/>
  <c r="AZ33" s="1"/>
  <c r="AZ154"/>
  <c r="AU39" l="1"/>
  <c r="AU16"/>
  <c r="AU17" s="1"/>
  <c r="AU36"/>
  <c r="AZ35"/>
  <c r="AZ155"/>
  <c r="BE31"/>
  <c r="BE32" s="1"/>
  <c r="BE33" s="1"/>
  <c r="BE154"/>
  <c r="AZ39" l="1"/>
  <c r="AZ16"/>
  <c r="AZ17" s="1"/>
  <c r="AZ36"/>
  <c r="BE35"/>
  <c r="BE155"/>
  <c r="BJ31"/>
  <c r="BJ32" s="1"/>
  <c r="BJ33" s="1"/>
  <c r="BJ154"/>
  <c r="BE36" l="1"/>
  <c r="BE16"/>
  <c r="BE17" s="1"/>
  <c r="BE39"/>
  <c r="BJ35"/>
  <c r="BJ16" s="1"/>
  <c r="BJ17" s="1"/>
  <c r="BJ155"/>
  <c r="BO154"/>
  <c r="BO31"/>
  <c r="BO32" s="1"/>
  <c r="BO33" s="1"/>
  <c r="BJ36" l="1"/>
  <c r="BJ39"/>
  <c r="BO35"/>
  <c r="BO16" s="1"/>
  <c r="BO17" s="1"/>
  <c r="BO155"/>
  <c r="BT154"/>
  <c r="BT31"/>
  <c r="BT32" s="1"/>
  <c r="BT33" s="1"/>
  <c r="BO36" l="1"/>
  <c r="BO39"/>
  <c r="BT35"/>
  <c r="BT16" s="1"/>
  <c r="BT17" s="1"/>
  <c r="BT155"/>
  <c r="BY31"/>
  <c r="BY32" s="1"/>
  <c r="BY33" s="1"/>
  <c r="BY154"/>
  <c r="BT36" l="1"/>
  <c r="BT39"/>
  <c r="BY35"/>
  <c r="BY155"/>
  <c r="CD154"/>
  <c r="CD31"/>
  <c r="CD32" s="1"/>
  <c r="CD33" s="1"/>
  <c r="BY36" l="1"/>
  <c r="BY16"/>
  <c r="BY17" s="1"/>
  <c r="BY39"/>
  <c r="CD35"/>
  <c r="CD155"/>
  <c r="CI31"/>
  <c r="CI32" s="1"/>
  <c r="CI33" s="1"/>
  <c r="CI154"/>
  <c r="CI35" s="1"/>
  <c r="CI16" s="1"/>
  <c r="CD36" l="1"/>
  <c r="CD16"/>
  <c r="CD17" s="1"/>
  <c r="CD39"/>
  <c r="CI36"/>
  <c r="CI155"/>
  <c r="CN154"/>
  <c r="CN31"/>
  <c r="CN32" s="1"/>
  <c r="CN33" s="1"/>
  <c r="CI17" l="1"/>
  <c r="CI39"/>
  <c r="CN35"/>
  <c r="CN155"/>
  <c r="CS154"/>
  <c r="CS31"/>
  <c r="CS32" s="1"/>
  <c r="CS33" s="1"/>
  <c r="AB154"/>
  <c r="AB155" s="1"/>
  <c r="AB151"/>
  <c r="AB152" s="1"/>
  <c r="CN39" l="1"/>
  <c r="CN16"/>
  <c r="CN17" s="1"/>
  <c r="CN36"/>
  <c r="CS35"/>
  <c r="CS16" s="1"/>
  <c r="CS17" s="1"/>
  <c r="CS155"/>
  <c r="AG154"/>
  <c r="AG155" s="1"/>
  <c r="AG31"/>
  <c r="AG32" s="1"/>
  <c r="AG33" s="1"/>
  <c r="AL154"/>
  <c r="AB32"/>
  <c r="AB33" s="1"/>
  <c r="CS39" l="1"/>
  <c r="CS36"/>
  <c r="AL155"/>
  <c r="AL35"/>
  <c r="AQ31"/>
  <c r="AL31"/>
  <c r="AL32" s="1"/>
  <c r="AL33" s="1"/>
  <c r="AL36" l="1"/>
  <c r="AL16"/>
  <c r="AL17" s="1"/>
  <c r="AL39"/>
  <c r="AQ154"/>
  <c r="AQ32"/>
  <c r="AQ33" s="1"/>
  <c r="AV31"/>
  <c r="AV32" s="1"/>
  <c r="AV33" s="1"/>
  <c r="AV154"/>
  <c r="AV35" l="1"/>
  <c r="AV16" s="1"/>
  <c r="AV155"/>
  <c r="AQ35"/>
  <c r="AQ155"/>
  <c r="AV39"/>
  <c r="BA31"/>
  <c r="BA32" s="1"/>
  <c r="BA33" s="1"/>
  <c r="BA154"/>
  <c r="AV36" l="1"/>
  <c r="AQ16"/>
  <c r="AQ17" s="1"/>
  <c r="AQ39"/>
  <c r="AQ36"/>
  <c r="BA35"/>
  <c r="BA16" s="1"/>
  <c r="BA17" s="1"/>
  <c r="BA155"/>
  <c r="BF31"/>
  <c r="BF32" s="1"/>
  <c r="BF33" s="1"/>
  <c r="BF154"/>
  <c r="AV17" l="1"/>
  <c r="BA39"/>
  <c r="BF35"/>
  <c r="BF16" s="1"/>
  <c r="BF17" s="1"/>
  <c r="BF155"/>
  <c r="BA36"/>
  <c r="BK31"/>
  <c r="BK32" s="1"/>
  <c r="BK33" s="1"/>
  <c r="BK154"/>
  <c r="BF36" l="1"/>
  <c r="BF39"/>
  <c r="BK35"/>
  <c r="BK16" s="1"/>
  <c r="BK17" s="1"/>
  <c r="BK155"/>
  <c r="BP154"/>
  <c r="BP31"/>
  <c r="BP32" s="1"/>
  <c r="BP33" s="1"/>
  <c r="BK36" l="1"/>
  <c r="BK39"/>
  <c r="BP35"/>
  <c r="BP16" s="1"/>
  <c r="BP17" s="1"/>
  <c r="BP155"/>
  <c r="BU31"/>
  <c r="BU32" s="1"/>
  <c r="BU33" s="1"/>
  <c r="BU154"/>
  <c r="BP36" l="1"/>
  <c r="BP39"/>
  <c r="BU35"/>
  <c r="BU155"/>
  <c r="BZ154"/>
  <c r="BZ31"/>
  <c r="BZ32" s="1"/>
  <c r="BZ33" s="1"/>
  <c r="BU36" l="1"/>
  <c r="BU16"/>
  <c r="BU17" s="1"/>
  <c r="BU39"/>
  <c r="BZ35"/>
  <c r="BZ155"/>
  <c r="CE154"/>
  <c r="CE31"/>
  <c r="CE32" s="1"/>
  <c r="CE33" s="1"/>
  <c r="BZ36" l="1"/>
  <c r="BZ16"/>
  <c r="BZ17" s="1"/>
  <c r="BZ39"/>
  <c r="CE35"/>
  <c r="CE155"/>
  <c r="CJ31"/>
  <c r="CJ32" s="1"/>
  <c r="CJ33" s="1"/>
  <c r="CJ154"/>
  <c r="CJ35" s="1"/>
  <c r="CJ16" s="1"/>
  <c r="CE36" l="1"/>
  <c r="CE16"/>
  <c r="CE17" s="1"/>
  <c r="CE39"/>
  <c r="CJ39"/>
  <c r="CJ155"/>
  <c r="CO154"/>
  <c r="CO31"/>
  <c r="CO32" s="1"/>
  <c r="CO33" s="1"/>
  <c r="CJ17" l="1"/>
  <c r="CJ36"/>
  <c r="CO35"/>
  <c r="CO155"/>
  <c r="CT31"/>
  <c r="CT32" s="1"/>
  <c r="CT33" s="1"/>
  <c r="CT154"/>
  <c r="AC154"/>
  <c r="AC32"/>
  <c r="AC33" s="1"/>
  <c r="AH154"/>
  <c r="AC151"/>
  <c r="AC152" s="1"/>
  <c r="AD152"/>
  <c r="CO36" l="1"/>
  <c r="CO16"/>
  <c r="CO17" s="1"/>
  <c r="CO39"/>
  <c r="AH155"/>
  <c r="CT35"/>
  <c r="CT16" s="1"/>
  <c r="CT155"/>
  <c r="AR31"/>
  <c r="AD154"/>
  <c r="AD155" s="1"/>
  <c r="AC155"/>
  <c r="CT17" l="1"/>
  <c r="CT36"/>
  <c r="AR154"/>
  <c r="AR35"/>
  <c r="AD142"/>
  <c r="AM154"/>
  <c r="CT39"/>
  <c r="AM31"/>
  <c r="AW31"/>
  <c r="AW32" s="1"/>
  <c r="AW33" s="1"/>
  <c r="AW154"/>
  <c r="AD32"/>
  <c r="AD33" s="1"/>
  <c r="AR39" l="1"/>
  <c r="AR16"/>
  <c r="AR32"/>
  <c r="AR33" s="1"/>
  <c r="AM155"/>
  <c r="AM35"/>
  <c r="AR155"/>
  <c r="AW35"/>
  <c r="AW155"/>
  <c r="BB154"/>
  <c r="BB31"/>
  <c r="BB32" s="1"/>
  <c r="BB33" s="1"/>
  <c r="AM16" l="1"/>
  <c r="AM39"/>
  <c r="AR17"/>
  <c r="AW39"/>
  <c r="AW16"/>
  <c r="AW17" s="1"/>
  <c r="AW36"/>
  <c r="BB35"/>
  <c r="BB16" s="1"/>
  <c r="BB17" s="1"/>
  <c r="BB155"/>
  <c r="AR36"/>
  <c r="BG31"/>
  <c r="BG32" s="1"/>
  <c r="BG33" s="1"/>
  <c r="BG154"/>
  <c r="BB36" l="1"/>
  <c r="BB39"/>
  <c r="BG35"/>
  <c r="BG155"/>
  <c r="BL31"/>
  <c r="BL32" s="1"/>
  <c r="BL33" s="1"/>
  <c r="BL154"/>
  <c r="BG36" l="1"/>
  <c r="BG16"/>
  <c r="BG17" s="1"/>
  <c r="AA58" i="1"/>
  <c r="BL35" i="4"/>
  <c r="BL16" s="1"/>
  <c r="BL155"/>
  <c r="BG39"/>
  <c r="BQ31"/>
  <c r="BQ32" s="1"/>
  <c r="BQ33" s="1"/>
  <c r="BQ154"/>
  <c r="BL17" l="1"/>
  <c r="BL36"/>
  <c r="BL39"/>
  <c r="BQ35"/>
  <c r="BQ155"/>
  <c r="BV31"/>
  <c r="BV32" s="1"/>
  <c r="BV33" s="1"/>
  <c r="BV154"/>
  <c r="BQ36" l="1"/>
  <c r="BQ16"/>
  <c r="BQ17" s="1"/>
  <c r="V31" i="5"/>
  <c r="BQ39" i="4"/>
  <c r="BV35"/>
  <c r="BV16" s="1"/>
  <c r="BV17" s="1"/>
  <c r="BV155"/>
  <c r="CA31"/>
  <c r="CA32" s="1"/>
  <c r="CA33" s="1"/>
  <c r="CA154"/>
  <c r="BV39" l="1"/>
  <c r="BV36"/>
  <c r="W31" i="5"/>
  <c r="CA35" i="4"/>
  <c r="CA155"/>
  <c r="CF31"/>
  <c r="CF32" s="1"/>
  <c r="CF33" s="1"/>
  <c r="CF154"/>
  <c r="CA39" l="1"/>
  <c r="CA16"/>
  <c r="CA17" s="1"/>
  <c r="CA36"/>
  <c r="X31" i="5"/>
  <c r="Y31" s="1"/>
  <c r="Z31" s="1"/>
  <c r="AA31" s="1"/>
  <c r="AB31" s="1"/>
  <c r="AC31" s="1"/>
  <c r="AD31" s="1"/>
  <c r="AE31" s="1"/>
  <c r="AF31" s="1"/>
  <c r="X43"/>
  <c r="CF35" i="4"/>
  <c r="CF16" s="1"/>
  <c r="CF17" s="1"/>
  <c r="CF155"/>
  <c r="CK154"/>
  <c r="CK35" s="1"/>
  <c r="CK16" s="1"/>
  <c r="CK31"/>
  <c r="CK32" s="1"/>
  <c r="CK33" s="1"/>
  <c r="CK17" l="1"/>
  <c r="CF36"/>
  <c r="CF39"/>
  <c r="Y43" i="5"/>
  <c r="CK155" i="4"/>
  <c r="CP31"/>
  <c r="CP32" s="1"/>
  <c r="CP33" s="1"/>
  <c r="CP154"/>
  <c r="CK39" l="1"/>
  <c r="CK36"/>
  <c r="Z43" i="5"/>
  <c r="CP35" i="4"/>
  <c r="CP155"/>
  <c r="CU31"/>
  <c r="CU32" s="1"/>
  <c r="CU33" s="1"/>
  <c r="CU154"/>
  <c r="CP39" l="1"/>
  <c r="CP16"/>
  <c r="CP17" s="1"/>
  <c r="CP36"/>
  <c r="AA43" i="5"/>
  <c r="CU35" i="4"/>
  <c r="CU16" s="1"/>
  <c r="CU155"/>
  <c r="AE154"/>
  <c r="AE32"/>
  <c r="AE33" s="1"/>
  <c r="AJ31"/>
  <c r="CU17" l="1"/>
  <c r="CU36"/>
  <c r="CU39"/>
  <c r="AB43" i="5"/>
  <c r="AI154" i="4"/>
  <c r="AI155" s="1"/>
  <c r="AE155"/>
  <c r="AO154"/>
  <c r="AJ32"/>
  <c r="AJ33" s="1"/>
  <c r="AJ154"/>
  <c r="AO155" l="1"/>
  <c r="AI142"/>
  <c r="AC43" i="5"/>
  <c r="AJ155" i="4"/>
  <c r="AJ35"/>
  <c r="AO31"/>
  <c r="AO32" s="1"/>
  <c r="AO33" s="1"/>
  <c r="AN154"/>
  <c r="AS154"/>
  <c r="AO35"/>
  <c r="AN152"/>
  <c r="AN31"/>
  <c r="AS152"/>
  <c r="AS31"/>
  <c r="G4" i="7" s="1"/>
  <c r="AJ16" i="4" l="1"/>
  <c r="AJ17" s="1"/>
  <c r="AJ39"/>
  <c r="AO16"/>
  <c r="AO39"/>
  <c r="AS32"/>
  <c r="AS155"/>
  <c r="AD43" i="5"/>
  <c r="AN142" i="4"/>
  <c r="AN155"/>
  <c r="AN35"/>
  <c r="G7" i="7"/>
  <c r="F4"/>
  <c r="AT31" i="4"/>
  <c r="AT32" s="1"/>
  <c r="AT33" s="1"/>
  <c r="AT154"/>
  <c r="AT155" s="1"/>
  <c r="AJ36"/>
  <c r="AO36"/>
  <c r="AS35"/>
  <c r="AS16" s="1"/>
  <c r="AS142"/>
  <c r="AS33"/>
  <c r="AN16" l="1"/>
  <c r="AN39"/>
  <c r="AS17"/>
  <c r="AO17"/>
  <c r="AB40" i="1"/>
  <c r="AB112" s="1"/>
  <c r="AC40"/>
  <c r="AC39" s="1"/>
  <c r="AS39" i="4"/>
  <c r="AE43" i="5"/>
  <c r="AS61" i="4"/>
  <c r="AS45"/>
  <c r="F15" i="7"/>
  <c r="AN61" i="4"/>
  <c r="AN45"/>
  <c r="F7" i="7"/>
  <c r="G5"/>
  <c r="G6" s="1"/>
  <c r="AX154" i="4"/>
  <c r="AX155" s="1"/>
  <c r="AT35"/>
  <c r="AT16" s="1"/>
  <c r="AT17" s="1"/>
  <c r="AY154"/>
  <c r="AY155" s="1"/>
  <c r="AY31"/>
  <c r="AY32" s="1"/>
  <c r="AY33" s="1"/>
  <c r="AX31"/>
  <c r="AX152"/>
  <c r="G15" i="7"/>
  <c r="AS36" i="4"/>
  <c r="AB124" i="1" l="1"/>
  <c r="AB24" s="1"/>
  <c r="AB39"/>
  <c r="AB118"/>
  <c r="AB10" s="1"/>
  <c r="AB8"/>
  <c r="AX32" i="4"/>
  <c r="AX33" s="1"/>
  <c r="AF43" i="5"/>
  <c r="H4" i="7"/>
  <c r="BC152" i="4"/>
  <c r="BC31"/>
  <c r="BC154"/>
  <c r="BC155" s="1"/>
  <c r="AY35"/>
  <c r="AY16" s="1"/>
  <c r="AY17" s="1"/>
  <c r="BD31"/>
  <c r="BD32" s="1"/>
  <c r="BD33" s="1"/>
  <c r="BD154"/>
  <c r="BD155" s="1"/>
  <c r="AT39"/>
  <c r="AT36"/>
  <c r="AX35"/>
  <c r="AX16" s="1"/>
  <c r="AX17" s="1"/>
  <c r="AX142"/>
  <c r="BC32" l="1"/>
  <c r="AD40" i="1"/>
  <c r="AD39" s="1"/>
  <c r="AX39" i="4"/>
  <c r="AX61"/>
  <c r="AX45"/>
  <c r="H5" i="7"/>
  <c r="H6" s="1"/>
  <c r="H7"/>
  <c r="BC33" i="4"/>
  <c r="I4" i="7"/>
  <c r="BI31" i="4"/>
  <c r="BI32" s="1"/>
  <c r="BI33" s="1"/>
  <c r="BI154"/>
  <c r="BI155" s="1"/>
  <c r="BC142"/>
  <c r="BC35"/>
  <c r="BH154"/>
  <c r="BH155" s="1"/>
  <c r="BD35"/>
  <c r="BD16" s="1"/>
  <c r="BD17" s="1"/>
  <c r="H15" i="7"/>
  <c r="AX36" i="4"/>
  <c r="AY36"/>
  <c r="AY39"/>
  <c r="BH152"/>
  <c r="BH31"/>
  <c r="BH32" s="1"/>
  <c r="AE40" i="1" l="1"/>
  <c r="AE39" s="1"/>
  <c r="BC16" i="4"/>
  <c r="BC17" s="1"/>
  <c r="BC61"/>
  <c r="BC45"/>
  <c r="I7" i="7"/>
  <c r="I5"/>
  <c r="I6" s="1"/>
  <c r="BH33" i="4"/>
  <c r="J4" i="7"/>
  <c r="BD36" i="4"/>
  <c r="BD39"/>
  <c r="I15" i="7"/>
  <c r="BC36" i="4"/>
  <c r="BC39"/>
  <c r="BM154"/>
  <c r="BM155" s="1"/>
  <c r="BI35"/>
  <c r="BI16" s="1"/>
  <c r="BI17" s="1"/>
  <c r="BM152"/>
  <c r="BM31"/>
  <c r="BH35"/>
  <c r="BH142"/>
  <c r="BN31"/>
  <c r="BN32" s="1"/>
  <c r="BN33" s="1"/>
  <c r="BN154"/>
  <c r="BN155" s="1"/>
  <c r="AF40" i="1" l="1"/>
  <c r="AF39" s="1"/>
  <c r="BH16" i="4"/>
  <c r="BH17" s="1"/>
  <c r="BH61"/>
  <c r="BH45"/>
  <c r="BM32"/>
  <c r="BM33" s="1"/>
  <c r="K4" i="7"/>
  <c r="J5"/>
  <c r="J6" s="1"/>
  <c r="J7"/>
  <c r="BR31" i="4"/>
  <c r="BR152"/>
  <c r="BI36"/>
  <c r="BI39"/>
  <c r="BN35"/>
  <c r="BN16" s="1"/>
  <c r="BN17" s="1"/>
  <c r="BR154"/>
  <c r="BR155" s="1"/>
  <c r="BM142"/>
  <c r="BM35"/>
  <c r="BS31"/>
  <c r="BS32" s="1"/>
  <c r="BS33" s="1"/>
  <c r="BS154"/>
  <c r="BS155" s="1"/>
  <c r="J15" i="7"/>
  <c r="BH36" i="4"/>
  <c r="BH39"/>
  <c r="AG40" i="1" l="1"/>
  <c r="AG39" s="1"/>
  <c r="BM16" i="4"/>
  <c r="BM17" s="1"/>
  <c r="BM61"/>
  <c r="BM45"/>
  <c r="BR32"/>
  <c r="BR33" s="1"/>
  <c r="L4" i="7"/>
  <c r="K5"/>
  <c r="K6" s="1"/>
  <c r="K7"/>
  <c r="BW31" i="4"/>
  <c r="BW152"/>
  <c r="BW154"/>
  <c r="BW155" s="1"/>
  <c r="BS35"/>
  <c r="BS16" s="1"/>
  <c r="BS17" s="1"/>
  <c r="BX31"/>
  <c r="BX32" s="1"/>
  <c r="BX33" s="1"/>
  <c r="BX154"/>
  <c r="BX155" s="1"/>
  <c r="BN39"/>
  <c r="BN36"/>
  <c r="K15" i="7"/>
  <c r="BM39" i="4"/>
  <c r="BM36"/>
  <c r="BR35"/>
  <c r="BR142"/>
  <c r="AH40" i="1" l="1"/>
  <c r="AH39" s="1"/>
  <c r="BR16" i="4"/>
  <c r="BR17" s="1"/>
  <c r="BR61"/>
  <c r="BR45"/>
  <c r="BW32"/>
  <c r="BW33" s="1"/>
  <c r="M4" i="7"/>
  <c r="L7"/>
  <c r="L5"/>
  <c r="L6" s="1"/>
  <c r="CC154" i="4"/>
  <c r="CC155" s="1"/>
  <c r="CC31"/>
  <c r="CC32" s="1"/>
  <c r="CC33" s="1"/>
  <c r="CB31"/>
  <c r="CB152"/>
  <c r="CB154"/>
  <c r="CB155" s="1"/>
  <c r="BX35"/>
  <c r="BX16" s="1"/>
  <c r="BX17" s="1"/>
  <c r="BW35"/>
  <c r="BW142"/>
  <c r="L15" i="7"/>
  <c r="BR39" i="4"/>
  <c r="BR36"/>
  <c r="BS39"/>
  <c r="BS36"/>
  <c r="AI40" i="1" l="1"/>
  <c r="AI39" s="1"/>
  <c r="BW16" i="4"/>
  <c r="BW17" s="1"/>
  <c r="BW61"/>
  <c r="BW45"/>
  <c r="M7" i="7"/>
  <c r="M5"/>
  <c r="M6" s="1"/>
  <c r="CB32" i="4"/>
  <c r="CB33" s="1"/>
  <c r="N4" i="7"/>
  <c r="CB35" i="4"/>
  <c r="CB142"/>
  <c r="CG152"/>
  <c r="CG31"/>
  <c r="CC35"/>
  <c r="CC16" s="1"/>
  <c r="CC17" s="1"/>
  <c r="CG154"/>
  <c r="CG155" s="1"/>
  <c r="BX39"/>
  <c r="BX36"/>
  <c r="M15" i="7"/>
  <c r="BW36" i="4"/>
  <c r="BW39"/>
  <c r="CH31"/>
  <c r="CH32" s="1"/>
  <c r="CH33" s="1"/>
  <c r="CH154"/>
  <c r="W14" i="5"/>
  <c r="AJ40" i="1" l="1"/>
  <c r="AJ39" s="1"/>
  <c r="CB16" i="4"/>
  <c r="CB17" s="1"/>
  <c r="CH155"/>
  <c r="CH35"/>
  <c r="CH16" s="1"/>
  <c r="CH17" s="1"/>
  <c r="W33" i="5"/>
  <c r="AE52" i="1" s="1"/>
  <c r="W42" i="5"/>
  <c r="AE57" i="1" s="1"/>
  <c r="W30" i="5"/>
  <c r="AE50" i="1" s="1"/>
  <c r="W45" i="5"/>
  <c r="AE58" i="1" s="1"/>
  <c r="CB61" i="4"/>
  <c r="CB45"/>
  <c r="CG32"/>
  <c r="CG33" s="1"/>
  <c r="O4" i="7"/>
  <c r="N5"/>
  <c r="N6" s="1"/>
  <c r="N7"/>
  <c r="CG35" i="4"/>
  <c r="CG142"/>
  <c r="CC36"/>
  <c r="CC39"/>
  <c r="CL152"/>
  <c r="CL31"/>
  <c r="CM31"/>
  <c r="CM32" s="1"/>
  <c r="CM33" s="1"/>
  <c r="CM154"/>
  <c r="CM155" s="1"/>
  <c r="CL154"/>
  <c r="CL155" s="1"/>
  <c r="N15" i="7"/>
  <c r="CB39" i="4"/>
  <c r="CB36"/>
  <c r="AE112" i="1"/>
  <c r="AE8" s="1"/>
  <c r="AE118"/>
  <c r="AE10" s="1"/>
  <c r="AE124"/>
  <c r="AE24" s="1"/>
  <c r="W13" i="5"/>
  <c r="V14"/>
  <c r="U14"/>
  <c r="AK40" i="1" l="1"/>
  <c r="AK39" s="1"/>
  <c r="CG16" i="4"/>
  <c r="CG17" s="1"/>
  <c r="T14" i="5"/>
  <c r="U33"/>
  <c r="AC52" i="1" s="1"/>
  <c r="U30" i="5"/>
  <c r="AC50" i="1" s="1"/>
  <c r="U45" i="5"/>
  <c r="AC58" i="1" s="1"/>
  <c r="U42" i="5"/>
  <c r="AC57" i="1" s="1"/>
  <c r="V33" i="5"/>
  <c r="AD52" i="1" s="1"/>
  <c r="V42" i="5"/>
  <c r="AD57" i="1" s="1"/>
  <c r="V45" i="5"/>
  <c r="AD58" i="1" s="1"/>
  <c r="V30" i="5"/>
  <c r="AD50" i="1" s="1"/>
  <c r="T13" i="5"/>
  <c r="CG61" i="4"/>
  <c r="CG45"/>
  <c r="CL32"/>
  <c r="CL33" s="1"/>
  <c r="P4" i="7"/>
  <c r="O7"/>
  <c r="O5"/>
  <c r="O6" s="1"/>
  <c r="CH36" i="4"/>
  <c r="CH39"/>
  <c r="CQ31"/>
  <c r="CQ152"/>
  <c r="CM35"/>
  <c r="CM16" s="1"/>
  <c r="CM17" s="1"/>
  <c r="CQ154"/>
  <c r="CQ155" s="1"/>
  <c r="CL35"/>
  <c r="CL142"/>
  <c r="CR31"/>
  <c r="CR32" s="1"/>
  <c r="CR33" s="1"/>
  <c r="CR154"/>
  <c r="CR155" s="1"/>
  <c r="O15" i="7"/>
  <c r="CG39" i="4"/>
  <c r="CG36"/>
  <c r="X14" i="5"/>
  <c r="AC118" i="1"/>
  <c r="AC10" s="1"/>
  <c r="AC124"/>
  <c r="AC24" s="1"/>
  <c r="U13" i="5"/>
  <c r="AC112" i="1"/>
  <c r="AC8" s="1"/>
  <c r="AD118"/>
  <c r="AD10" s="1"/>
  <c r="AD112"/>
  <c r="AD8" s="1"/>
  <c r="V13" i="5"/>
  <c r="AD124" i="1"/>
  <c r="AD24" s="1"/>
  <c r="AL40" l="1"/>
  <c r="AL39" s="1"/>
  <c r="CL16" i="4"/>
  <c r="CL17" s="1"/>
  <c r="T33" i="5"/>
  <c r="AB52" i="1" s="1"/>
  <c r="T45" i="5"/>
  <c r="AB58" i="1" s="1"/>
  <c r="T42" i="5"/>
  <c r="AB57" i="1" s="1"/>
  <c r="T30" i="5"/>
  <c r="AB50" i="1" s="1"/>
  <c r="X45" i="5"/>
  <c r="AF58" i="1" s="1"/>
  <c r="X33" i="5"/>
  <c r="AF52" i="1" s="1"/>
  <c r="X42" i="5"/>
  <c r="AF57" i="1" s="1"/>
  <c r="X30" i="5"/>
  <c r="AF50" i="1" s="1"/>
  <c r="CL61" i="4"/>
  <c r="CL45"/>
  <c r="P5" i="7"/>
  <c r="P6" s="1"/>
  <c r="P7"/>
  <c r="CQ32" i="4"/>
  <c r="CQ33" s="1"/>
  <c r="Q4" i="7"/>
  <c r="CM39" i="4"/>
  <c r="CM36"/>
  <c r="CV31"/>
  <c r="CQ142"/>
  <c r="CQ35"/>
  <c r="CV154"/>
  <c r="CV155" s="1"/>
  <c r="CR35"/>
  <c r="CR16" s="1"/>
  <c r="CR17" s="1"/>
  <c r="CL39"/>
  <c r="P15" i="7"/>
  <c r="CL36" i="4"/>
  <c r="AF124" i="1"/>
  <c r="AF24" s="1"/>
  <c r="X13" i="5"/>
  <c r="AF118" i="1"/>
  <c r="AF10" s="1"/>
  <c r="AF112"/>
  <c r="AF8" s="1"/>
  <c r="Y14" i="5"/>
  <c r="AM40" i="1" l="1"/>
  <c r="AM39" s="1"/>
  <c r="CQ16" i="4"/>
  <c r="CQ17" s="1"/>
  <c r="Y33" i="5"/>
  <c r="AG52" i="1" s="1"/>
  <c r="Y45" i="5"/>
  <c r="AG58" i="1" s="1"/>
  <c r="Y42" i="5"/>
  <c r="AG57" i="1" s="1"/>
  <c r="Y30" i="5"/>
  <c r="AG50" i="1" s="1"/>
  <c r="CQ61" i="4"/>
  <c r="CQ45"/>
  <c r="Q7" i="7"/>
  <c r="Q5"/>
  <c r="Q6" s="1"/>
  <c r="CV32" i="4"/>
  <c r="CV33" s="1"/>
  <c r="R4" i="7"/>
  <c r="CR36" i="4"/>
  <c r="CR39"/>
  <c r="Q15" i="7"/>
  <c r="CQ36" i="4"/>
  <c r="CQ39"/>
  <c r="CV35"/>
  <c r="CV142"/>
  <c r="AG118" i="1"/>
  <c r="AG10" s="1"/>
  <c r="AG112"/>
  <c r="AG8" s="1"/>
  <c r="AG124"/>
  <c r="AG24" s="1"/>
  <c r="AN40" l="1"/>
  <c r="AN39" s="1"/>
  <c r="CV16" i="4"/>
  <c r="CV17" s="1"/>
  <c r="Z14" i="5"/>
  <c r="Y13"/>
  <c r="CV61" i="4"/>
  <c r="CV45"/>
  <c r="B11" i="7"/>
  <c r="F10"/>
  <c r="R5"/>
  <c r="R6" s="1"/>
  <c r="R7"/>
  <c r="CV36" i="4"/>
  <c r="CV39"/>
  <c r="R15" i="7"/>
  <c r="AH124" i="1"/>
  <c r="AH24" s="1"/>
  <c r="AH118"/>
  <c r="AH10" s="1"/>
  <c r="AH112"/>
  <c r="AH8" s="1"/>
  <c r="Z13" i="5" l="1"/>
  <c r="Z33"/>
  <c r="AH52" i="1" s="1"/>
  <c r="Z45" i="5"/>
  <c r="AH58" i="1" s="1"/>
  <c r="Z42" i="5"/>
  <c r="AH57" i="1" s="1"/>
  <c r="Z30" i="5"/>
  <c r="AH50" i="1" s="1"/>
  <c r="AA14" i="5"/>
  <c r="AI124" i="1"/>
  <c r="AI24" s="1"/>
  <c r="AI112"/>
  <c r="AI8" s="1"/>
  <c r="AI118"/>
  <c r="AI10" s="1"/>
  <c r="AA33" i="5" l="1"/>
  <c r="AI52" i="1" s="1"/>
  <c r="AA45" i="5"/>
  <c r="AI58" i="1" s="1"/>
  <c r="AA42" i="5"/>
  <c r="AI57" i="1" s="1"/>
  <c r="AA30" i="5"/>
  <c r="AI50" i="1" s="1"/>
  <c r="AA13" i="5"/>
  <c r="AB14"/>
  <c r="AJ124" i="1"/>
  <c r="AJ24" s="1"/>
  <c r="AJ112"/>
  <c r="AJ8" s="1"/>
  <c r="AJ118"/>
  <c r="AJ10" s="1"/>
  <c r="AB33" i="5" l="1"/>
  <c r="AJ52" i="1" s="1"/>
  <c r="AB45" i="5"/>
  <c r="AJ58" i="1" s="1"/>
  <c r="AB42" i="5"/>
  <c r="AJ57" i="1" s="1"/>
  <c r="AB30" i="5"/>
  <c r="AJ50" i="1" s="1"/>
  <c r="AC14" i="5"/>
  <c r="AB13"/>
  <c r="AK124" i="1"/>
  <c r="AK24" s="1"/>
  <c r="AK118"/>
  <c r="AK10" s="1"/>
  <c r="AK112"/>
  <c r="AK8" s="1"/>
  <c r="AC13" i="5" l="1"/>
  <c r="AD14"/>
  <c r="AC33"/>
  <c r="AK52" i="1" s="1"/>
  <c r="AC45" i="5"/>
  <c r="AK58" i="1" s="1"/>
  <c r="AC30" i="5"/>
  <c r="AK50" i="1" s="1"/>
  <c r="AC42" i="5"/>
  <c r="AK57" i="1" s="1"/>
  <c r="AE14" i="5"/>
  <c r="AF14"/>
  <c r="AL124" i="1"/>
  <c r="AL24" s="1"/>
  <c r="AL118"/>
  <c r="AL10" s="1"/>
  <c r="AL112"/>
  <c r="AL8" s="1"/>
  <c r="AF45" i="5" l="1"/>
  <c r="AN58" i="1" s="1"/>
  <c r="AF33" i="5"/>
  <c r="AN52" i="1" s="1"/>
  <c r="AF42" i="5"/>
  <c r="AN57" i="1" s="1"/>
  <c r="AF30" i="5"/>
  <c r="AN50" i="1" s="1"/>
  <c r="AD33" i="5"/>
  <c r="AL52" i="1" s="1"/>
  <c r="AD45" i="5"/>
  <c r="AL58" i="1" s="1"/>
  <c r="AD42" i="5"/>
  <c r="AL57" i="1" s="1"/>
  <c r="AD30" i="5"/>
  <c r="AL50" i="1" s="1"/>
  <c r="AD13" i="5"/>
  <c r="AE45"/>
  <c r="AM58" i="1" s="1"/>
  <c r="AE33" i="5"/>
  <c r="AM52" i="1" s="1"/>
  <c r="AE30" i="5"/>
  <c r="AM50" i="1" s="1"/>
  <c r="AE42" i="5"/>
  <c r="AM57" i="1" s="1"/>
  <c r="AM112"/>
  <c r="AM8" s="1"/>
  <c r="AM124"/>
  <c r="AM24" s="1"/>
  <c r="AM118"/>
  <c r="AM10" s="1"/>
  <c r="AN124"/>
  <c r="AN24" s="1"/>
  <c r="AN112"/>
  <c r="AN8" s="1"/>
  <c r="AN118"/>
  <c r="AN10" s="1"/>
  <c r="AF13" i="5" l="1"/>
  <c r="AE13"/>
  <c r="T27" l="1"/>
  <c r="T21" l="1"/>
  <c r="U27"/>
  <c r="AB48" i="1" l="1"/>
  <c r="AB49"/>
  <c r="AB227" s="1"/>
  <c r="U21" i="5"/>
  <c r="AC49" i="1" s="1"/>
  <c r="V27" i="5"/>
  <c r="T18"/>
  <c r="W27" l="1"/>
  <c r="V21"/>
  <c r="AD49" i="1" s="1"/>
  <c r="U18" i="5"/>
  <c r="U19" s="1"/>
  <c r="AC227" i="1" l="1"/>
  <c r="AC48"/>
  <c r="X27" i="5"/>
  <c r="W21"/>
  <c r="AE49" i="1" s="1"/>
  <c r="V18" i="5"/>
  <c r="V19" s="1"/>
  <c r="F37" i="7"/>
  <c r="AD227" i="1" l="1"/>
  <c r="AD48"/>
  <c r="G37" i="7"/>
  <c r="X21" i="5"/>
  <c r="AF49" i="1" s="1"/>
  <c r="Y27" i="5"/>
  <c r="W18"/>
  <c r="W19" s="1"/>
  <c r="X18" l="1"/>
  <c r="X19" s="1"/>
  <c r="Z27"/>
  <c r="Y21"/>
  <c r="AG49" i="1" s="1"/>
  <c r="AE227"/>
  <c r="AE48"/>
  <c r="H37" i="7"/>
  <c r="AF227" i="1" l="1"/>
  <c r="AF48"/>
  <c r="Y18" i="5"/>
  <c r="Y19" s="1"/>
  <c r="I37" i="7"/>
  <c r="Z21" i="5"/>
  <c r="AH49" i="1" s="1"/>
  <c r="AA27" i="5"/>
  <c r="AG48" i="1" l="1"/>
  <c r="AG227"/>
  <c r="AA21" i="5"/>
  <c r="AI49" i="1" s="1"/>
  <c r="AB27" i="5"/>
  <c r="Z18"/>
  <c r="Z19" s="1"/>
  <c r="J37" i="7"/>
  <c r="AB21" i="5" l="1"/>
  <c r="AJ49" i="1" s="1"/>
  <c r="AC27" i="5"/>
  <c r="AA18"/>
  <c r="AA19" s="1"/>
  <c r="AH48" i="1"/>
  <c r="AH227"/>
  <c r="K37" i="7"/>
  <c r="AB18" i="5" l="1"/>
  <c r="AB19" s="1"/>
  <c r="L37" i="7"/>
  <c r="AD27" i="5"/>
  <c r="AC21"/>
  <c r="AK49" i="1" s="1"/>
  <c r="AI227"/>
  <c r="AI48"/>
  <c r="AC18" i="5" l="1"/>
  <c r="AC19" s="1"/>
  <c r="AE27"/>
  <c r="AD21"/>
  <c r="AL49" i="1" s="1"/>
  <c r="M37" i="7"/>
  <c r="AJ227" i="1"/>
  <c r="AJ48"/>
  <c r="AD18" i="5" l="1"/>
  <c r="AD19" s="1"/>
  <c r="N37" i="7"/>
  <c r="AE21" i="5"/>
  <c r="AM49" i="1" s="1"/>
  <c r="AF27" i="5"/>
  <c r="AF21" s="1"/>
  <c r="AN49" i="1" s="1"/>
  <c r="AK48"/>
  <c r="AK227"/>
  <c r="AF18" i="5" l="1"/>
  <c r="AE18"/>
  <c r="AE19" s="1"/>
  <c r="AL48" i="1"/>
  <c r="AL227"/>
  <c r="O37" i="7"/>
  <c r="AM227" i="1" l="1"/>
  <c r="AM48"/>
  <c r="P37" i="7"/>
  <c r="AN48" i="1"/>
  <c r="AN227"/>
  <c r="AF19" i="5"/>
  <c r="Q37" i="7" l="1"/>
  <c r="AN230" i="1"/>
  <c r="R37" i="7"/>
  <c r="R39" s="1"/>
  <c r="AA127" i="1" l="1"/>
  <c r="L27" i="5" l="1"/>
  <c r="K27"/>
  <c r="K26"/>
  <c r="J27"/>
  <c r="J26"/>
  <c r="M27"/>
  <c r="L26"/>
  <c r="M26"/>
  <c r="Z105" i="1"/>
  <c r="AC189" l="1"/>
  <c r="AC175" l="1"/>
  <c r="AC69" s="1"/>
  <c r="AD189"/>
  <c r="AA68"/>
  <c r="AB69"/>
  <c r="AB190" s="1"/>
  <c r="AB191" s="1"/>
  <c r="AD175" l="1"/>
  <c r="AD69" s="1"/>
  <c r="AE189"/>
  <c r="AC190"/>
  <c r="AC191" s="1"/>
  <c r="AE175" l="1"/>
  <c r="AE69" s="1"/>
  <c r="AD190"/>
  <c r="AD191" s="1"/>
  <c r="AF189"/>
  <c r="AF175" l="1"/>
  <c r="AF69" s="1"/>
  <c r="AE190"/>
  <c r="AE191" s="1"/>
  <c r="AG189"/>
  <c r="AA105"/>
  <c r="AG175" l="1"/>
  <c r="AG69" s="1"/>
  <c r="E22" i="7"/>
  <c r="AH189" i="1"/>
  <c r="AF190"/>
  <c r="AF191" s="1"/>
  <c r="AI189" l="1"/>
  <c r="AB217"/>
  <c r="AG190"/>
  <c r="AG191" s="1"/>
  <c r="AH175"/>
  <c r="AH69" s="1"/>
  <c r="AI175" l="1"/>
  <c r="AI69" s="1"/>
  <c r="AH190"/>
  <c r="AH191" s="1"/>
  <c r="AJ189"/>
  <c r="AJ175" l="1"/>
  <c r="AJ69" s="1"/>
  <c r="AI190"/>
  <c r="AI191" s="1"/>
  <c r="AL189" l="1"/>
  <c r="AK189"/>
  <c r="AJ190"/>
  <c r="AJ191" s="1"/>
  <c r="AL175" l="1"/>
  <c r="AL69" s="1"/>
  <c r="AM189"/>
  <c r="AK175"/>
  <c r="AK69" s="1"/>
  <c r="AK190" l="1"/>
  <c r="AK191" s="1"/>
  <c r="AM175"/>
  <c r="AM69" s="1"/>
  <c r="AL190"/>
  <c r="AL191" s="1"/>
  <c r="AN189" l="1"/>
  <c r="AM190"/>
  <c r="AM191" s="1"/>
  <c r="AN175" l="1"/>
  <c r="AN69" s="1"/>
  <c r="F38" i="7" l="1"/>
  <c r="AN190" i="1"/>
  <c r="AN191" s="1"/>
  <c r="Z28" l="1"/>
  <c r="AC184" l="1"/>
  <c r="AD184" l="1"/>
  <c r="AE184" l="1"/>
  <c r="AF184" l="1"/>
  <c r="AG184" l="1"/>
  <c r="AH184" l="1"/>
  <c r="AI184" l="1"/>
  <c r="AJ184" l="1"/>
  <c r="AK184" l="1"/>
  <c r="AL184" l="1"/>
  <c r="AM184" l="1"/>
  <c r="AN184" l="1"/>
  <c r="AB153" l="1"/>
  <c r="E36" i="7"/>
  <c r="AC154" i="1" l="1"/>
  <c r="AB163"/>
  <c r="AC153" l="1"/>
  <c r="AD154" s="1"/>
  <c r="AB226"/>
  <c r="AB239"/>
  <c r="AD153" l="1"/>
  <c r="AD147" s="1"/>
  <c r="AC147"/>
  <c r="AE153" l="1"/>
  <c r="AE154"/>
  <c r="AD148"/>
  <c r="AC226" s="1"/>
  <c r="AD163"/>
  <c r="AC163"/>
  <c r="AC239" s="1"/>
  <c r="AF154" l="1"/>
  <c r="AF153" s="1"/>
  <c r="AE147"/>
  <c r="AD239"/>
  <c r="F36" i="7"/>
  <c r="F39" s="1"/>
  <c r="AB230" i="1"/>
  <c r="AC230"/>
  <c r="G36" i="7"/>
  <c r="G39" s="1"/>
  <c r="AG154" i="1" l="1"/>
  <c r="AG153" s="1"/>
  <c r="AH154" s="1"/>
  <c r="AH153" s="1"/>
  <c r="AF147"/>
  <c r="AE148"/>
  <c r="AD226" s="1"/>
  <c r="AE163"/>
  <c r="AG147" l="1"/>
  <c r="AH148" s="1"/>
  <c r="AG226" s="1"/>
  <c r="AF148"/>
  <c r="AH147"/>
  <c r="AI148" s="1"/>
  <c r="AI154"/>
  <c r="AI153" s="1"/>
  <c r="AE239"/>
  <c r="AD230"/>
  <c r="H36" i="7"/>
  <c r="H39" s="1"/>
  <c r="AG148" i="1" l="1"/>
  <c r="AE226"/>
  <c r="AF163"/>
  <c r="AF239" s="1"/>
  <c r="AH226"/>
  <c r="AI147"/>
  <c r="AJ148" s="1"/>
  <c r="AI226" s="1"/>
  <c r="AJ154"/>
  <c r="AJ153" s="1"/>
  <c r="AF226" l="1"/>
  <c r="AG163"/>
  <c r="AG239" s="1"/>
  <c r="I36" i="7"/>
  <c r="I39" s="1"/>
  <c r="AE230" i="1"/>
  <c r="AK154"/>
  <c r="AK153" s="1"/>
  <c r="AJ147"/>
  <c r="AK148" s="1"/>
  <c r="AJ226" s="1"/>
  <c r="AH163"/>
  <c r="J36" i="7" l="1"/>
  <c r="J39" s="1"/>
  <c r="AF230" i="1"/>
  <c r="AH239"/>
  <c r="AL154"/>
  <c r="AL153" s="1"/>
  <c r="AK147"/>
  <c r="AL148" s="1"/>
  <c r="AK226" s="1"/>
  <c r="AI163"/>
  <c r="AG230"/>
  <c r="K36" i="7"/>
  <c r="K39" s="1"/>
  <c r="AI239" i="1" l="1"/>
  <c r="AM154"/>
  <c r="AM153" s="1"/>
  <c r="AL147"/>
  <c r="AM148" s="1"/>
  <c r="AL226" s="1"/>
  <c r="AJ163"/>
  <c r="L36" i="7"/>
  <c r="L39" s="1"/>
  <c r="AH230" i="1"/>
  <c r="AN154" l="1"/>
  <c r="AM147"/>
  <c r="AN148" s="1"/>
  <c r="AM226" s="1"/>
  <c r="AL163"/>
  <c r="AJ239"/>
  <c r="AK163"/>
  <c r="AI230"/>
  <c r="M36" i="7"/>
  <c r="M39" s="1"/>
  <c r="AK239" i="1" l="1"/>
  <c r="AN147"/>
  <c r="AL239"/>
  <c r="AK230"/>
  <c r="O36" i="7"/>
  <c r="O39" s="1"/>
  <c r="AJ230" i="1"/>
  <c r="N36" i="7"/>
  <c r="N39" s="1"/>
  <c r="AM163" i="1"/>
  <c r="AN163" l="1"/>
  <c r="AM239"/>
  <c r="AL230"/>
  <c r="P36" i="7"/>
  <c r="P39" s="1"/>
  <c r="AM230" i="1" l="1"/>
  <c r="Q36" i="7"/>
  <c r="Q39" s="1"/>
  <c r="AN239" i="1"/>
  <c r="AM168" i="4" l="1"/>
  <c r="AH31"/>
  <c r="AI166"/>
  <c r="AI168" s="1"/>
  <c r="AI31"/>
  <c r="AI32" s="1"/>
  <c r="AI33" s="1"/>
  <c r="AH168"/>
  <c r="AH170"/>
  <c r="AH171" s="1"/>
  <c r="AH35"/>
  <c r="AH16" s="1"/>
  <c r="AH17" l="1"/>
  <c r="AM17"/>
  <c r="AH41"/>
  <c r="AI41" s="1"/>
  <c r="AI35"/>
  <c r="Z40" i="1"/>
  <c r="AH36" i="4"/>
  <c r="AH39"/>
  <c r="AM36"/>
  <c r="E4" i="7"/>
  <c r="AN32" i="4"/>
  <c r="AN33" s="1"/>
  <c r="AM171"/>
  <c r="AI170"/>
  <c r="AM32"/>
  <c r="AM33" s="1"/>
  <c r="AH32"/>
  <c r="AH33" s="1"/>
  <c r="AN168"/>
  <c r="AI39" l="1"/>
  <c r="AI16"/>
  <c r="AI42"/>
  <c r="B9" i="7"/>
  <c r="B10"/>
  <c r="F5"/>
  <c r="F6" s="1"/>
  <c r="E5"/>
  <c r="E6" s="1"/>
  <c r="F11"/>
  <c r="E7"/>
  <c r="E15"/>
  <c r="AN36" i="4"/>
  <c r="AI36"/>
  <c r="AI61"/>
  <c r="AI45"/>
  <c r="AA40" i="1"/>
  <c r="Z129"/>
  <c r="Z112"/>
  <c r="Z124"/>
  <c r="R14" i="5"/>
  <c r="Z39" i="1"/>
  <c r="Z118"/>
  <c r="Z121"/>
  <c r="AA44"/>
  <c r="Z44"/>
  <c r="AI158" i="4"/>
  <c r="AI171"/>
  <c r="AN171"/>
  <c r="AI17" l="1"/>
  <c r="AN17"/>
  <c r="AN42"/>
  <c r="AN41" s="1"/>
  <c r="AJ42"/>
  <c r="Z26" i="1"/>
  <c r="AA129"/>
  <c r="AA130" s="1"/>
  <c r="R33" i="5"/>
  <c r="R42"/>
  <c r="R30"/>
  <c r="AA112" i="1"/>
  <c r="Z8"/>
  <c r="Z132"/>
  <c r="Z133" s="1"/>
  <c r="Z205" s="1"/>
  <c r="S14" i="5"/>
  <c r="S46" s="1"/>
  <c r="AA39" i="1"/>
  <c r="AA121"/>
  <c r="Z21"/>
  <c r="AA118"/>
  <c r="Z10"/>
  <c r="R13" i="5"/>
  <c r="Z46" i="1"/>
  <c r="Z24"/>
  <c r="AA124"/>
  <c r="Z20" l="1"/>
  <c r="AB129"/>
  <c r="AB26" s="1"/>
  <c r="AK42" i="4"/>
  <c r="AJ41"/>
  <c r="AA119" i="1"/>
  <c r="AA10"/>
  <c r="Z52"/>
  <c r="S33" i="5"/>
  <c r="AA46" i="1"/>
  <c r="S13" i="5"/>
  <c r="AA26" i="1"/>
  <c r="AA132"/>
  <c r="AA113"/>
  <c r="AA8"/>
  <c r="R18" i="5"/>
  <c r="Z50" i="1"/>
  <c r="S30" i="5"/>
  <c r="Z57" i="1"/>
  <c r="S42" i="5"/>
  <c r="AA21" i="1"/>
  <c r="AA122"/>
  <c r="AB122" s="1"/>
  <c r="AA125"/>
  <c r="AA24"/>
  <c r="AC122" l="1"/>
  <c r="AD122" s="1"/>
  <c r="AB121"/>
  <c r="AC129"/>
  <c r="AC26" s="1"/>
  <c r="AL42" i="4"/>
  <c r="AK41"/>
  <c r="Z48" i="1"/>
  <c r="Z60" s="1"/>
  <c r="Z65" s="1"/>
  <c r="AA52"/>
  <c r="S34" i="5"/>
  <c r="E16" i="7"/>
  <c r="AA20" i="1"/>
  <c r="S43" i="5"/>
  <c r="AA57" i="1"/>
  <c r="S18" i="5"/>
  <c r="S31"/>
  <c r="AA50" i="1"/>
  <c r="AC121"/>
  <c r="AA133"/>
  <c r="AD129" l="1"/>
  <c r="AD26" s="1"/>
  <c r="AB21"/>
  <c r="AB20" s="1"/>
  <c r="AB132"/>
  <c r="AB133" s="1"/>
  <c r="AB205" s="1"/>
  <c r="AE122"/>
  <c r="AF122" s="1"/>
  <c r="AD121"/>
  <c r="AM42" i="4"/>
  <c r="AM41" s="1"/>
  <c r="AL41"/>
  <c r="Z72" i="1"/>
  <c r="Z193" s="1"/>
  <c r="Z195" s="1"/>
  <c r="Z75" s="1"/>
  <c r="AC21"/>
  <c r="AC20" s="1"/>
  <c r="AC132"/>
  <c r="AA48"/>
  <c r="AA60" s="1"/>
  <c r="AA227"/>
  <c r="T19" i="5"/>
  <c r="S19"/>
  <c r="Z66" i="1"/>
  <c r="Z202"/>
  <c r="Z108"/>
  <c r="AD21" l="1"/>
  <c r="AD20" s="1"/>
  <c r="AD132"/>
  <c r="AD133" s="1"/>
  <c r="AD205" s="1"/>
  <c r="AG122"/>
  <c r="AH122" s="1"/>
  <c r="AF121"/>
  <c r="AE121"/>
  <c r="AE21" s="1"/>
  <c r="AE129"/>
  <c r="AE26" s="1"/>
  <c r="Z197"/>
  <c r="Z76" s="1"/>
  <c r="Z74" s="1"/>
  <c r="Z78" s="1"/>
  <c r="AA65"/>
  <c r="AA72"/>
  <c r="AC133"/>
  <c r="AC205" s="1"/>
  <c r="Z204"/>
  <c r="Z206" s="1"/>
  <c r="E37" i="7"/>
  <c r="AE20" i="1" l="1"/>
  <c r="AE132"/>
  <c r="AE133" s="1"/>
  <c r="AE205" s="1"/>
  <c r="AG121"/>
  <c r="AF129"/>
  <c r="AF26" s="1"/>
  <c r="AI122"/>
  <c r="AJ122" s="1"/>
  <c r="AH121"/>
  <c r="AF21"/>
  <c r="Z199"/>
  <c r="Z115" s="1"/>
  <c r="AA206"/>
  <c r="E20" i="7" s="1"/>
  <c r="Z219" i="1"/>
  <c r="Z222" s="1"/>
  <c r="Z180"/>
  <c r="AA180" s="1"/>
  <c r="Z34"/>
  <c r="E17" i="7"/>
  <c r="AA108" i="1"/>
  <c r="AA66"/>
  <c r="E18" i="7" s="1"/>
  <c r="AA193" i="1"/>
  <c r="AA195" s="1"/>
  <c r="AA75" s="1"/>
  <c r="AA76"/>
  <c r="AG21"/>
  <c r="AF20" l="1"/>
  <c r="AF132"/>
  <c r="AF133" s="1"/>
  <c r="AF205" s="1"/>
  <c r="AI121"/>
  <c r="AK122"/>
  <c r="AL122" s="1"/>
  <c r="AJ121"/>
  <c r="AA199"/>
  <c r="AH21"/>
  <c r="AG129"/>
  <c r="AA74"/>
  <c r="AA78" s="1"/>
  <c r="AA115"/>
  <c r="Z9"/>
  <c r="Z107"/>
  <c r="Z235"/>
  <c r="Z236" s="1"/>
  <c r="AA34"/>
  <c r="Z18"/>
  <c r="AB181"/>
  <c r="AB194"/>
  <c r="Z7"/>
  <c r="AA222"/>
  <c r="AA7" s="1"/>
  <c r="AK121"/>
  <c r="AI21"/>
  <c r="AG26" l="1"/>
  <c r="AG20" s="1"/>
  <c r="AG132"/>
  <c r="AG133" s="1"/>
  <c r="AG205" s="1"/>
  <c r="AH129"/>
  <c r="AJ21"/>
  <c r="AM122"/>
  <c r="AL121"/>
  <c r="AA238"/>
  <c r="Z6"/>
  <c r="Z4" s="1"/>
  <c r="Z36" s="1"/>
  <c r="Z138"/>
  <c r="Z106"/>
  <c r="AA106"/>
  <c r="AA138"/>
  <c r="AB171" s="1"/>
  <c r="AB221"/>
  <c r="E41" i="7"/>
  <c r="AA235" i="1"/>
  <c r="AA107"/>
  <c r="AA18"/>
  <c r="AK21"/>
  <c r="AA9"/>
  <c r="AA6" s="1"/>
  <c r="AA4" s="1"/>
  <c r="AA116"/>
  <c r="AA237" l="1"/>
  <c r="AA240" s="1"/>
  <c r="AI129"/>
  <c r="AH26"/>
  <c r="AH20" s="1"/>
  <c r="AH132"/>
  <c r="AH133" s="1"/>
  <c r="AH205" s="1"/>
  <c r="AL21"/>
  <c r="AN122"/>
  <c r="AN121" s="1"/>
  <c r="AM121"/>
  <c r="E27" i="7"/>
  <c r="E29" s="1"/>
  <c r="AA244" i="1"/>
  <c r="AB174"/>
  <c r="AB203" s="1"/>
  <c r="AB70"/>
  <c r="Z109"/>
  <c r="Z137"/>
  <c r="AA36"/>
  <c r="AA109"/>
  <c r="E26" i="7" s="1"/>
  <c r="AA137" i="1"/>
  <c r="E23" i="7"/>
  <c r="E30"/>
  <c r="E32" s="1"/>
  <c r="AA236" i="1"/>
  <c r="AI26" l="1"/>
  <c r="AI20" s="1"/>
  <c r="AI132"/>
  <c r="AI133" s="1"/>
  <c r="AI205" s="1"/>
  <c r="AM21"/>
  <c r="AJ129"/>
  <c r="AN21"/>
  <c r="AA245"/>
  <c r="AA243"/>
  <c r="AA228" s="1"/>
  <c r="AB68"/>
  <c r="AK129" l="1"/>
  <c r="AJ26"/>
  <c r="AJ20" s="1"/>
  <c r="AJ132"/>
  <c r="AJ133" s="1"/>
  <c r="AJ205" s="1"/>
  <c r="E38" i="7"/>
  <c r="E39" s="1"/>
  <c r="E42" s="1"/>
  <c r="AA230" i="1"/>
  <c r="AA232" s="1"/>
  <c r="AB176"/>
  <c r="AB177" s="1"/>
  <c r="AK26" l="1"/>
  <c r="AK20" s="1"/>
  <c r="AK132"/>
  <c r="AK133" s="1"/>
  <c r="AK205" s="1"/>
  <c r="AL129"/>
  <c r="AB29"/>
  <c r="AL26" l="1"/>
  <c r="AL20" s="1"/>
  <c r="AL132"/>
  <c r="AL133" s="1"/>
  <c r="AL205" s="1"/>
  <c r="AN129"/>
  <c r="AM129"/>
  <c r="AB28"/>
  <c r="AB105"/>
  <c r="AM26" l="1"/>
  <c r="AM20" s="1"/>
  <c r="AM132"/>
  <c r="AM133" s="1"/>
  <c r="AM205" s="1"/>
  <c r="AN26"/>
  <c r="AN20" s="1"/>
  <c r="AN132"/>
  <c r="AN133" s="1"/>
  <c r="AN205" s="1"/>
  <c r="F22" i="7"/>
  <c r="AO42" i="4"/>
  <c r="AP42" s="1"/>
  <c r="AB44" i="1"/>
  <c r="AB46" s="1"/>
  <c r="AS42" i="4"/>
  <c r="AT42" s="1"/>
  <c r="AX42"/>
  <c r="BC42" s="1"/>
  <c r="BH42" s="1"/>
  <c r="BM42" s="1"/>
  <c r="F16" i="7" l="1"/>
  <c r="AB60" i="1"/>
  <c r="AB72" s="1"/>
  <c r="AS41" i="4"/>
  <c r="AC44" i="1" s="1"/>
  <c r="AC46" s="1"/>
  <c r="AC60" s="1"/>
  <c r="BC41" i="4"/>
  <c r="AE44" i="1" s="1"/>
  <c r="AE46" s="1"/>
  <c r="I16" i="7" s="1"/>
  <c r="AO41" i="4"/>
  <c r="BN42"/>
  <c r="BM41"/>
  <c r="AG44" i="1" s="1"/>
  <c r="AG46" s="1"/>
  <c r="BR42" i="4"/>
  <c r="AX41"/>
  <c r="AD44" i="1" s="1"/>
  <c r="AD46" s="1"/>
  <c r="AY42" i="4"/>
  <c r="AU42"/>
  <c r="AT41"/>
  <c r="BD42"/>
  <c r="BI42"/>
  <c r="BH41"/>
  <c r="AF44" i="1" s="1"/>
  <c r="AF46" s="1"/>
  <c r="AP41" i="4"/>
  <c r="AQ42"/>
  <c r="G16" i="7" l="1"/>
  <c r="AB65" i="1"/>
  <c r="AE60"/>
  <c r="AQ41" i="4"/>
  <c r="AR42"/>
  <c r="AR41" s="1"/>
  <c r="H16" i="7"/>
  <c r="AD60" i="1"/>
  <c r="AC65"/>
  <c r="K16" i="7"/>
  <c r="AG60" i="1"/>
  <c r="AU41" i="4"/>
  <c r="AV42"/>
  <c r="BO42"/>
  <c r="BN41"/>
  <c r="AB193" i="1"/>
  <c r="AB195" s="1"/>
  <c r="AB75" s="1"/>
  <c r="AB197"/>
  <c r="AY41" i="4"/>
  <c r="AZ42"/>
  <c r="AE65" i="1"/>
  <c r="BD41" i="4"/>
  <c r="BE42"/>
  <c r="BS42"/>
  <c r="BW42"/>
  <c r="BR41"/>
  <c r="AH44" i="1" s="1"/>
  <c r="AH46" s="1"/>
  <c r="J16" i="7"/>
  <c r="AF60" i="1"/>
  <c r="BI41" i="4"/>
  <c r="BJ42"/>
  <c r="AB202" i="1" l="1"/>
  <c r="F17" i="7"/>
  <c r="AB108" i="1"/>
  <c r="AB66"/>
  <c r="F18" i="7" s="1"/>
  <c r="AB204" i="1"/>
  <c r="BF42" i="4"/>
  <c r="BE41"/>
  <c r="I17" i="7"/>
  <c r="AE66" i="1"/>
  <c r="I18" i="7" s="1"/>
  <c r="AE202" i="1"/>
  <c r="AF65"/>
  <c r="AD65"/>
  <c r="AV41" i="4"/>
  <c r="AW42"/>
  <c r="AW41" s="1"/>
  <c r="BK42"/>
  <c r="BJ41"/>
  <c r="L16" i="7"/>
  <c r="AH60" i="1"/>
  <c r="AZ41" i="4"/>
  <c r="BA42"/>
  <c r="AB76" i="1"/>
  <c r="AB74" s="1"/>
  <c r="AB238" s="1"/>
  <c r="AB237" s="1"/>
  <c r="AB199"/>
  <c r="G17" i="7"/>
  <c r="AC66" i="1"/>
  <c r="G18" i="7" s="1"/>
  <c r="AC202" i="1"/>
  <c r="BO41" i="4"/>
  <c r="BP42"/>
  <c r="BW41"/>
  <c r="AI44" i="1" s="1"/>
  <c r="AI46" s="1"/>
  <c r="BX42" i="4"/>
  <c r="CB42"/>
  <c r="BT42"/>
  <c r="BS41"/>
  <c r="AG65" i="1"/>
  <c r="AB240" l="1"/>
  <c r="AB206"/>
  <c r="AB78"/>
  <c r="CC42" i="4"/>
  <c r="CG42"/>
  <c r="CB41"/>
  <c r="AJ44" i="1" s="1"/>
  <c r="AJ46" s="1"/>
  <c r="BT41" i="4"/>
  <c r="BU42"/>
  <c r="BL42"/>
  <c r="BL41" s="1"/>
  <c r="BK41"/>
  <c r="BX41"/>
  <c r="BY42"/>
  <c r="AH65" i="1"/>
  <c r="BF41" i="4"/>
  <c r="BG42"/>
  <c r="BG41" s="1"/>
  <c r="AB115" i="1"/>
  <c r="AB9" s="1"/>
  <c r="BA41" i="4"/>
  <c r="BB42"/>
  <c r="BB41" s="1"/>
  <c r="K17" i="7"/>
  <c r="AG66" i="1"/>
  <c r="K18" i="7" s="1"/>
  <c r="AG202" i="1"/>
  <c r="AB219"/>
  <c r="F20" i="7"/>
  <c r="AI60" i="1"/>
  <c r="M16" i="7"/>
  <c r="AD66" i="1"/>
  <c r="H18" i="7" s="1"/>
  <c r="H17"/>
  <c r="AD202" i="1"/>
  <c r="BP41" i="4"/>
  <c r="BQ42"/>
  <c r="BQ41" s="1"/>
  <c r="J17" i="7"/>
  <c r="AF66" i="1"/>
  <c r="J18" i="7" s="1"/>
  <c r="AF202" i="1"/>
  <c r="AB222" l="1"/>
  <c r="AI65"/>
  <c r="CL42" i="4"/>
  <c r="CG41"/>
  <c r="AK44" i="1" s="1"/>
  <c r="AK46" s="1"/>
  <c r="CH42" i="4"/>
  <c r="BU41"/>
  <c r="BV42"/>
  <c r="BV41" s="1"/>
  <c r="N16" i="7"/>
  <c r="AJ60" i="1"/>
  <c r="BZ42" i="4"/>
  <c r="BY41"/>
  <c r="AB7" i="1"/>
  <c r="AB232"/>
  <c r="AB34"/>
  <c r="AB180"/>
  <c r="AC216"/>
  <c r="AC217" s="1"/>
  <c r="L17" i="7"/>
  <c r="AH202" i="1"/>
  <c r="AH66"/>
  <c r="L18" i="7" s="1"/>
  <c r="CD42" i="4"/>
  <c r="CC41"/>
  <c r="AB244" i="1"/>
  <c r="AK60" l="1"/>
  <c r="O16" i="7"/>
  <c r="CE42" i="4"/>
  <c r="CD41"/>
  <c r="CH41"/>
  <c r="CI42"/>
  <c r="F27" i="7"/>
  <c r="F29" s="1"/>
  <c r="AJ65" i="1"/>
  <c r="AB107"/>
  <c r="AB235"/>
  <c r="AB236" s="1"/>
  <c r="AB18"/>
  <c r="F41" i="7"/>
  <c r="F42" s="1"/>
  <c r="AB106" i="1"/>
  <c r="AB138"/>
  <c r="AC171" s="1"/>
  <c r="AC221"/>
  <c r="AB6"/>
  <c r="AB4" s="1"/>
  <c r="CA42" i="4"/>
  <c r="CA41" s="1"/>
  <c r="BZ41"/>
  <c r="CM42"/>
  <c r="CL41"/>
  <c r="AL44" i="1" s="1"/>
  <c r="AL46" s="1"/>
  <c r="CQ42" i="4"/>
  <c r="M17" i="7"/>
  <c r="AI66" i="1"/>
  <c r="M18" i="7" s="1"/>
  <c r="AI202" i="1"/>
  <c r="AB245"/>
  <c r="AB243"/>
  <c r="AC194"/>
  <c r="AC181"/>
  <c r="AB36" l="1"/>
  <c r="CI41" i="4"/>
  <c r="CJ42"/>
  <c r="CN42"/>
  <c r="CM41"/>
  <c r="AJ202" i="1"/>
  <c r="AJ66"/>
  <c r="N18" i="7" s="1"/>
  <c r="N17"/>
  <c r="CE41" i="4"/>
  <c r="CF42"/>
  <c r="CF41" s="1"/>
  <c r="F30" i="7"/>
  <c r="F32" s="1"/>
  <c r="CR42" i="4"/>
  <c r="CQ41"/>
  <c r="AM44" i="1" s="1"/>
  <c r="AM46" s="1"/>
  <c r="CV42" i="4"/>
  <c r="CV41" s="1"/>
  <c r="AN44" i="1" s="1"/>
  <c r="AN46" s="1"/>
  <c r="AC174"/>
  <c r="AC203" s="1"/>
  <c r="AC70"/>
  <c r="P16" i="7"/>
  <c r="AL60" i="1"/>
  <c r="F23" i="7"/>
  <c r="AB109" i="1"/>
  <c r="F26" i="7" s="1"/>
  <c r="AB137" i="1"/>
  <c r="AK65"/>
  <c r="AM60" l="1"/>
  <c r="Q16" i="7"/>
  <c r="CO42" i="4"/>
  <c r="CN41"/>
  <c r="R16" i="7"/>
  <c r="AN60" i="1"/>
  <c r="AL65"/>
  <c r="O17" i="7"/>
  <c r="AK66" i="1"/>
  <c r="O18" i="7" s="1"/>
  <c r="AK202" i="1"/>
  <c r="AC68"/>
  <c r="CK42" i="4"/>
  <c r="CK41" s="1"/>
  <c r="CJ41"/>
  <c r="CR41"/>
  <c r="CS42"/>
  <c r="AN65" i="1" l="1"/>
  <c r="AC176"/>
  <c r="AC177" s="1"/>
  <c r="AC72"/>
  <c r="CS41" i="4"/>
  <c r="CT42"/>
  <c r="CO41"/>
  <c r="CP42"/>
  <c r="CP41" s="1"/>
  <c r="AL66" i="1"/>
  <c r="P18" i="7" s="1"/>
  <c r="P17"/>
  <c r="AL202" i="1"/>
  <c r="AM65"/>
  <c r="CT41" i="4" l="1"/>
  <c r="CU42"/>
  <c r="CU41" s="1"/>
  <c r="AC197" i="1"/>
  <c r="AC193"/>
  <c r="AC195" s="1"/>
  <c r="AC75" s="1"/>
  <c r="Q17" i="7"/>
  <c r="AM202" i="1"/>
  <c r="AM66"/>
  <c r="Q18" i="7" s="1"/>
  <c r="AC29" i="1"/>
  <c r="AN66"/>
  <c r="R18" i="7" s="1"/>
  <c r="AN202" i="1"/>
  <c r="R17" i="7"/>
  <c r="S17" l="1"/>
  <c r="AC76" i="1"/>
  <c r="AC199"/>
  <c r="AC204"/>
  <c r="AC206" s="1"/>
  <c r="AC74"/>
  <c r="AC238" s="1"/>
  <c r="AC105"/>
  <c r="AC28"/>
  <c r="AC237" l="1"/>
  <c r="AC240" s="1"/>
  <c r="AC244"/>
  <c r="G22" i="7"/>
  <c r="AC108" i="1"/>
  <c r="AC78"/>
  <c r="G20" i="7"/>
  <c r="AC219" i="1"/>
  <c r="AC115"/>
  <c r="AC9" s="1"/>
  <c r="AC245" l="1"/>
  <c r="AC243"/>
  <c r="AC222"/>
  <c r="AC232" s="1"/>
  <c r="AD216"/>
  <c r="AD217" s="1"/>
  <c r="AC180"/>
  <c r="AC34"/>
  <c r="AC235" s="1"/>
  <c r="AC236" s="1"/>
  <c r="AC7"/>
  <c r="AC18" l="1"/>
  <c r="AC107"/>
  <c r="G27" i="7"/>
  <c r="G29" s="1"/>
  <c r="AD194" i="1"/>
  <c r="AD181"/>
  <c r="G41" i="7"/>
  <c r="G42" s="1"/>
  <c r="AC6" i="1"/>
  <c r="AC4" s="1"/>
  <c r="AC138"/>
  <c r="AD171" s="1"/>
  <c r="AD221"/>
  <c r="AC106"/>
  <c r="AC137" l="1"/>
  <c r="AC109"/>
  <c r="G26" i="7" s="1"/>
  <c r="G23"/>
  <c r="AD70" i="1"/>
  <c r="AD174"/>
  <c r="AD203" s="1"/>
  <c r="AC36"/>
  <c r="G30" i="7"/>
  <c r="G32" s="1"/>
  <c r="AD68" i="1" l="1"/>
  <c r="AD176" l="1"/>
  <c r="AD177" s="1"/>
  <c r="AD72"/>
  <c r="AD197" l="1"/>
  <c r="AD193"/>
  <c r="AD195" s="1"/>
  <c r="AD75" s="1"/>
  <c r="AD29"/>
  <c r="AD105" l="1"/>
  <c r="AD28"/>
  <c r="AD204"/>
  <c r="AD206" s="1"/>
  <c r="AD76"/>
  <c r="AD74" s="1"/>
  <c r="AD238" s="1"/>
  <c r="AD237" s="1"/>
  <c r="AD199"/>
  <c r="AD78" l="1"/>
  <c r="AD115"/>
  <c r="AD9" s="1"/>
  <c r="H20" i="7"/>
  <c r="AD219" i="1"/>
  <c r="AD108"/>
  <c r="H22" i="7"/>
  <c r="AD222" i="1" l="1"/>
  <c r="AE216"/>
  <c r="AE217" s="1"/>
  <c r="AD180"/>
  <c r="AD34"/>
  <c r="AD7"/>
  <c r="AD232"/>
  <c r="AD244"/>
  <c r="AD245" s="1"/>
  <c r="AD240"/>
  <c r="AD6" l="1"/>
  <c r="AD4" s="1"/>
  <c r="AE221"/>
  <c r="H41" i="7"/>
  <c r="H42" s="1"/>
  <c r="AD138" i="1"/>
  <c r="AE171" s="1"/>
  <c r="AD106"/>
  <c r="AE181"/>
  <c r="AE194"/>
  <c r="H27" i="7"/>
  <c r="H29" s="1"/>
  <c r="AD235" i="1"/>
  <c r="AD107"/>
  <c r="AD18"/>
  <c r="AD36" s="1"/>
  <c r="AD109" l="1"/>
  <c r="H26" i="7" s="1"/>
  <c r="H23"/>
  <c r="AD137" i="1"/>
  <c r="AE174"/>
  <c r="AE203" s="1"/>
  <c r="AE70"/>
  <c r="AD236"/>
  <c r="H30" i="7"/>
  <c r="H32" s="1"/>
  <c r="AE68" i="1" l="1"/>
  <c r="AE176" l="1"/>
  <c r="AE177" s="1"/>
  <c r="AE72"/>
  <c r="AE197" l="1"/>
  <c r="AE193"/>
  <c r="AE195" s="1"/>
  <c r="AE75" s="1"/>
  <c r="AE29"/>
  <c r="AE105" l="1"/>
  <c r="AE28"/>
  <c r="AE76"/>
  <c r="AE199"/>
  <c r="AE204"/>
  <c r="AE206" s="1"/>
  <c r="AE74"/>
  <c r="AE238" s="1"/>
  <c r="AE237" s="1"/>
  <c r="AE78" l="1"/>
  <c r="I20" i="7"/>
  <c r="AE219" i="1"/>
  <c r="AE115"/>
  <c r="AE9" s="1"/>
  <c r="AE108"/>
  <c r="I22" i="7"/>
  <c r="AE222" i="1" l="1"/>
  <c r="AE232" s="1"/>
  <c r="AF216"/>
  <c r="AF217" s="1"/>
  <c r="AE180"/>
  <c r="AE34"/>
  <c r="AE244"/>
  <c r="AE245" s="1"/>
  <c r="AE7" l="1"/>
  <c r="I27" i="7"/>
  <c r="I29" s="1"/>
  <c r="AE240" i="1"/>
  <c r="AF181"/>
  <c r="AF194"/>
  <c r="AE138"/>
  <c r="AF171" s="1"/>
  <c r="I41" i="7"/>
  <c r="I42" s="1"/>
  <c r="AE6" i="1"/>
  <c r="AE4" s="1"/>
  <c r="AF221"/>
  <c r="AE106"/>
  <c r="AE235"/>
  <c r="AE107"/>
  <c r="AE18"/>
  <c r="AF70" l="1"/>
  <c r="AF174"/>
  <c r="AF203" s="1"/>
  <c r="I30" i="7"/>
  <c r="I32" s="1"/>
  <c r="AE236" i="1"/>
  <c r="AE109"/>
  <c r="I26" i="7" s="1"/>
  <c r="I23"/>
  <c r="AE137" i="1"/>
  <c r="AE36"/>
  <c r="AF68" l="1"/>
  <c r="AF176" l="1"/>
  <c r="AF177" s="1"/>
  <c r="AF72"/>
  <c r="AF193" l="1"/>
  <c r="AF195" s="1"/>
  <c r="AF75" s="1"/>
  <c r="AF197"/>
  <c r="AF29"/>
  <c r="AF28" l="1"/>
  <c r="AF105"/>
  <c r="AF76"/>
  <c r="AF199"/>
  <c r="AF204"/>
  <c r="AF206" s="1"/>
  <c r="AF74"/>
  <c r="AF238" s="1"/>
  <c r="AF237" s="1"/>
  <c r="AF78" l="1"/>
  <c r="AF115"/>
  <c r="AF9" s="1"/>
  <c r="AF108"/>
  <c r="J22" i="7"/>
  <c r="AF219" i="1"/>
  <c r="J20" i="7"/>
  <c r="AF222" i="1" l="1"/>
  <c r="AG216"/>
  <c r="AG217" s="1"/>
  <c r="AF34"/>
  <c r="AF180"/>
  <c r="AF232"/>
  <c r="AF7"/>
  <c r="AF244"/>
  <c r="AF245" s="1"/>
  <c r="AF240" l="1"/>
  <c r="J27" i="7"/>
  <c r="J29" s="1"/>
  <c r="J41"/>
  <c r="J42" s="1"/>
  <c r="AG221" i="1"/>
  <c r="AF138"/>
  <c r="AG171" s="1"/>
  <c r="AF6"/>
  <c r="AF4" s="1"/>
  <c r="AF106"/>
  <c r="AF235"/>
  <c r="AF18"/>
  <c r="AF107"/>
  <c r="AG181"/>
  <c r="AG194"/>
  <c r="AF236" l="1"/>
  <c r="J30" i="7"/>
  <c r="J32" s="1"/>
  <c r="J23"/>
  <c r="AF137" i="1"/>
  <c r="AF109"/>
  <c r="J26" i="7" s="1"/>
  <c r="AG70" i="1"/>
  <c r="AG174"/>
  <c r="AG203" s="1"/>
  <c r="AF36"/>
  <c r="AG68" l="1"/>
  <c r="AG176" l="1"/>
  <c r="AG177" s="1"/>
  <c r="AG72"/>
  <c r="AG197" l="1"/>
  <c r="AG193"/>
  <c r="AG195" s="1"/>
  <c r="AG75" s="1"/>
  <c r="AG29"/>
  <c r="AG105" l="1"/>
  <c r="AG28"/>
  <c r="AG204"/>
  <c r="AG206" s="1"/>
  <c r="AG76"/>
  <c r="AG74" s="1"/>
  <c r="AG238" s="1"/>
  <c r="AG237" s="1"/>
  <c r="AG199"/>
  <c r="AG240" l="1"/>
  <c r="AG78"/>
  <c r="AG115"/>
  <c r="AG9" s="1"/>
  <c r="AG219"/>
  <c r="AG222" s="1"/>
  <c r="K20" i="7"/>
  <c r="AG108" i="1"/>
  <c r="K22" i="7"/>
  <c r="AH216" i="1" l="1"/>
  <c r="AH217" s="1"/>
  <c r="AG34"/>
  <c r="AG180"/>
  <c r="AG232"/>
  <c r="AG7"/>
  <c r="AG244"/>
  <c r="AG245" s="1"/>
  <c r="K27" i="7" l="1"/>
  <c r="K29" s="1"/>
  <c r="AH221" i="1"/>
  <c r="AG138"/>
  <c r="AH171" s="1"/>
  <c r="K41" i="7"/>
  <c r="K42" s="1"/>
  <c r="AG6" i="1"/>
  <c r="AG4" s="1"/>
  <c r="AG106"/>
  <c r="AG235"/>
  <c r="AG18"/>
  <c r="AG107"/>
  <c r="AH181"/>
  <c r="AH194"/>
  <c r="AG236" l="1"/>
  <c r="K30" i="7"/>
  <c r="K32" s="1"/>
  <c r="AH174" i="1"/>
  <c r="AH203" s="1"/>
  <c r="AH70"/>
  <c r="AG137"/>
  <c r="AG109"/>
  <c r="K26" i="7" s="1"/>
  <c r="K23"/>
  <c r="AG36" i="1"/>
  <c r="AH68" l="1"/>
  <c r="AH176" l="1"/>
  <c r="AH177" s="1"/>
  <c r="AH72"/>
  <c r="AH197" l="1"/>
  <c r="AH193"/>
  <c r="AH195" s="1"/>
  <c r="AH75" s="1"/>
  <c r="AH29"/>
  <c r="AH204" l="1"/>
  <c r="AH206" s="1"/>
  <c r="AH28"/>
  <c r="AH105"/>
  <c r="AH76"/>
  <c r="AH74" s="1"/>
  <c r="AH238" s="1"/>
  <c r="AH237" s="1"/>
  <c r="AH199"/>
  <c r="AH78" l="1"/>
  <c r="AH115"/>
  <c r="AH9" s="1"/>
  <c r="AH108"/>
  <c r="L22" i="7"/>
  <c r="AH219" i="1"/>
  <c r="AH222" s="1"/>
  <c r="L20" i="7"/>
  <c r="AH232" i="1" l="1"/>
  <c r="AH7"/>
  <c r="AI216"/>
  <c r="AI217" s="1"/>
  <c r="AH34"/>
  <c r="AH180"/>
  <c r="AH244"/>
  <c r="AH245" s="1"/>
  <c r="AH240"/>
  <c r="AH235" l="1"/>
  <c r="AH18"/>
  <c r="AH107"/>
  <c r="AH6"/>
  <c r="AH4" s="1"/>
  <c r="AI221"/>
  <c r="L41" i="7"/>
  <c r="L42" s="1"/>
  <c r="AH138" i="1"/>
  <c r="AI171" s="1"/>
  <c r="AH106"/>
  <c r="L27" i="7"/>
  <c r="L29" s="1"/>
  <c r="AI194" i="1"/>
  <c r="AI181"/>
  <c r="AH36" l="1"/>
  <c r="AH236"/>
  <c r="L30" i="7"/>
  <c r="L32" s="1"/>
  <c r="AI174" i="1"/>
  <c r="AI203" s="1"/>
  <c r="AI70"/>
  <c r="L23" i="7"/>
  <c r="AH137" i="1"/>
  <c r="AH109"/>
  <c r="L26" i="7" s="1"/>
  <c r="AI68" i="1" l="1"/>
  <c r="AI176" l="1"/>
  <c r="AI177" s="1"/>
  <c r="AI72"/>
  <c r="AI197" l="1"/>
  <c r="AI193"/>
  <c r="AI195" s="1"/>
  <c r="AI75" s="1"/>
  <c r="AI29"/>
  <c r="AI28" l="1"/>
  <c r="AI105"/>
  <c r="AI204"/>
  <c r="AI206" s="1"/>
  <c r="AI76"/>
  <c r="AI74" s="1"/>
  <c r="AI238" s="1"/>
  <c r="AI237" s="1"/>
  <c r="AI199"/>
  <c r="AI78" l="1"/>
  <c r="M22" i="7"/>
  <c r="AI108" i="1"/>
  <c r="AI115"/>
  <c r="AI9" s="1"/>
  <c r="M20" i="7"/>
  <c r="AI219" i="1"/>
  <c r="AI222" s="1"/>
  <c r="AI7" l="1"/>
  <c r="AI232"/>
  <c r="AJ216"/>
  <c r="AJ217" s="1"/>
  <c r="AI34"/>
  <c r="AI180"/>
  <c r="AI240"/>
  <c r="AI244"/>
  <c r="AI245" s="1"/>
  <c r="AJ194" l="1"/>
  <c r="AJ181"/>
  <c r="AI235"/>
  <c r="AI18"/>
  <c r="AI107"/>
  <c r="M27" i="7"/>
  <c r="M29" s="1"/>
  <c r="AI138" i="1"/>
  <c r="AJ171" s="1"/>
  <c r="AJ221"/>
  <c r="M41" i="7"/>
  <c r="M42" s="1"/>
  <c r="AI6" i="1"/>
  <c r="AI4" s="1"/>
  <c r="AI106"/>
  <c r="AI36" l="1"/>
  <c r="AI236"/>
  <c r="M30" i="7"/>
  <c r="M32" s="1"/>
  <c r="AJ70" i="1"/>
  <c r="AJ174"/>
  <c r="AJ203" s="1"/>
  <c r="AI137"/>
  <c r="AI109"/>
  <c r="M26" i="7" s="1"/>
  <c r="M23"/>
  <c r="AJ68" i="1" l="1"/>
  <c r="AJ176" l="1"/>
  <c r="AJ177" s="1"/>
  <c r="AJ72"/>
  <c r="AJ197" l="1"/>
  <c r="AJ193"/>
  <c r="AJ195" s="1"/>
  <c r="AJ75" s="1"/>
  <c r="AJ29"/>
  <c r="AJ28" l="1"/>
  <c r="AJ105"/>
  <c r="AJ204"/>
  <c r="AJ206" s="1"/>
  <c r="AJ76"/>
  <c r="AJ74" s="1"/>
  <c r="AJ238" s="1"/>
  <c r="AJ237" s="1"/>
  <c r="AJ199"/>
  <c r="AJ78" l="1"/>
  <c r="AJ115"/>
  <c r="AJ9" s="1"/>
  <c r="N22" i="7"/>
  <c r="AJ108" i="1"/>
  <c r="N20" i="7"/>
  <c r="AJ219" i="1"/>
  <c r="AJ222" s="1"/>
  <c r="AJ232" l="1"/>
  <c r="AJ7"/>
  <c r="AK216"/>
  <c r="AK217" s="1"/>
  <c r="AJ180"/>
  <c r="AJ34"/>
  <c r="AJ244"/>
  <c r="AJ245" s="1"/>
  <c r="AJ235" l="1"/>
  <c r="AJ18"/>
  <c r="AJ107"/>
  <c r="AJ6"/>
  <c r="AJ4" s="1"/>
  <c r="N41" i="7"/>
  <c r="N42" s="1"/>
  <c r="AJ138" i="1"/>
  <c r="AK171" s="1"/>
  <c r="AK221"/>
  <c r="AJ106"/>
  <c r="AJ240"/>
  <c r="N27" i="7"/>
  <c r="N29" s="1"/>
  <c r="AK181" i="1"/>
  <c r="AK194"/>
  <c r="AJ36" l="1"/>
  <c r="AJ236"/>
  <c r="N30" i="7"/>
  <c r="N32" s="1"/>
  <c r="AK174" i="1"/>
  <c r="AK203" s="1"/>
  <c r="AK70"/>
  <c r="N23" i="7"/>
  <c r="AJ137" i="1"/>
  <c r="AJ109"/>
  <c r="N26" i="7" s="1"/>
  <c r="AK68" i="1" l="1"/>
  <c r="AK176" l="1"/>
  <c r="AK177" s="1"/>
  <c r="AK72"/>
  <c r="AK197" l="1"/>
  <c r="AK193"/>
  <c r="AK195" s="1"/>
  <c r="AK75" s="1"/>
  <c r="AK29"/>
  <c r="AK204" l="1"/>
  <c r="AK206" s="1"/>
  <c r="AK28"/>
  <c r="AK105"/>
  <c r="AK76"/>
  <c r="AK74" s="1"/>
  <c r="AK238" s="1"/>
  <c r="AK237" s="1"/>
  <c r="AK199"/>
  <c r="AK78" l="1"/>
  <c r="AK115"/>
  <c r="AK9" s="1"/>
  <c r="AK108"/>
  <c r="O22" i="7"/>
  <c r="AK219" i="1"/>
  <c r="AK222" s="1"/>
  <c r="O20" i="7"/>
  <c r="AK7" i="1" l="1"/>
  <c r="AK232"/>
  <c r="AL216"/>
  <c r="AL217" s="1"/>
  <c r="AK34"/>
  <c r="AK180"/>
  <c r="AK244"/>
  <c r="AK245" s="1"/>
  <c r="AK235" l="1"/>
  <c r="AK18"/>
  <c r="AK107"/>
  <c r="O27" i="7"/>
  <c r="O29" s="1"/>
  <c r="AK240" i="1"/>
  <c r="AL181"/>
  <c r="AL194"/>
  <c r="AK138"/>
  <c r="AL171" s="1"/>
  <c r="O41" i="7"/>
  <c r="O42" s="1"/>
  <c r="AL221" i="1"/>
  <c r="AK6"/>
  <c r="AK4" s="1"/>
  <c r="AK106"/>
  <c r="O23" i="7" l="1"/>
  <c r="AK137" i="1"/>
  <c r="AK109"/>
  <c r="O26" i="7" s="1"/>
  <c r="AL70" i="1"/>
  <c r="AL174"/>
  <c r="AL203" s="1"/>
  <c r="AK36"/>
  <c r="O30" i="7"/>
  <c r="O32" s="1"/>
  <c r="AK236" i="1"/>
  <c r="AL68" l="1"/>
  <c r="AL176" l="1"/>
  <c r="AL177" s="1"/>
  <c r="AL72"/>
  <c r="AL197" l="1"/>
  <c r="AL193"/>
  <c r="AL195" s="1"/>
  <c r="AL75" s="1"/>
  <c r="AL29"/>
  <c r="AL204" l="1"/>
  <c r="AL206" s="1"/>
  <c r="AL28"/>
  <c r="AL105"/>
  <c r="AL76"/>
  <c r="AL74" s="1"/>
  <c r="AL238" s="1"/>
  <c r="AL237" s="1"/>
  <c r="AL199"/>
  <c r="AL78" l="1"/>
  <c r="AL115"/>
  <c r="AL9" s="1"/>
  <c r="AL108"/>
  <c r="P22" i="7"/>
  <c r="AL219" i="1"/>
  <c r="AL222" s="1"/>
  <c r="P20" i="7"/>
  <c r="AL232" i="1" l="1"/>
  <c r="AL7"/>
  <c r="AM216"/>
  <c r="AM217" s="1"/>
  <c r="AL180"/>
  <c r="AL34"/>
  <c r="AL244"/>
  <c r="AL245" s="1"/>
  <c r="AM194" l="1"/>
  <c r="AM181"/>
  <c r="AL240"/>
  <c r="P27" i="7"/>
  <c r="P29" s="1"/>
  <c r="P41"/>
  <c r="P42" s="1"/>
  <c r="AL6" i="1"/>
  <c r="AL4" s="1"/>
  <c r="AL138"/>
  <c r="AM171" s="1"/>
  <c r="AM221"/>
  <c r="AL106"/>
  <c r="AL235"/>
  <c r="AL107"/>
  <c r="AL18"/>
  <c r="P30" i="7" l="1"/>
  <c r="P32" s="1"/>
  <c r="AL236" i="1"/>
  <c r="AM174"/>
  <c r="AM203" s="1"/>
  <c r="AM70"/>
  <c r="AL109"/>
  <c r="P26" i="7" s="1"/>
  <c r="P23"/>
  <c r="AL137" i="1"/>
  <c r="AL36"/>
  <c r="AM68" l="1"/>
  <c r="AM176" l="1"/>
  <c r="AM177" s="1"/>
  <c r="AM72"/>
  <c r="AM197" l="1"/>
  <c r="AM193"/>
  <c r="AM195" s="1"/>
  <c r="AM75" s="1"/>
  <c r="AM29"/>
  <c r="AM204" l="1"/>
  <c r="AM206" s="1"/>
  <c r="AM105"/>
  <c r="AM28"/>
  <c r="AM76"/>
  <c r="AM74" s="1"/>
  <c r="AM238" s="1"/>
  <c r="AM199"/>
  <c r="AM78" l="1"/>
  <c r="AM115"/>
  <c r="AM9" s="1"/>
  <c r="AM108"/>
  <c r="Q22" i="7"/>
  <c r="AM219" i="1"/>
  <c r="AM222" s="1"/>
  <c r="Q20" i="7"/>
  <c r="AM232" i="1" l="1"/>
  <c r="AM7"/>
  <c r="AN216"/>
  <c r="AN217" s="1"/>
  <c r="AM180"/>
  <c r="AM34"/>
  <c r="AM244"/>
  <c r="AM245" s="1"/>
  <c r="AM237"/>
  <c r="AM235" l="1"/>
  <c r="AM18"/>
  <c r="AM107"/>
  <c r="AM240"/>
  <c r="Q27" i="7"/>
  <c r="Q29" s="1"/>
  <c r="AN221" i="1"/>
  <c r="AM138"/>
  <c r="AN171" s="1"/>
  <c r="Q41" i="7"/>
  <c r="Q42" s="1"/>
  <c r="AM6" i="1"/>
  <c r="AM4" s="1"/>
  <c r="AM106"/>
  <c r="AN181"/>
  <c r="AN194"/>
  <c r="AM36" l="1"/>
  <c r="AM137"/>
  <c r="Q23" i="7"/>
  <c r="AM109" i="1"/>
  <c r="Q26" i="7" s="1"/>
  <c r="AN70" i="1"/>
  <c r="AN174"/>
  <c r="AN203" s="1"/>
  <c r="Q30" i="7"/>
  <c r="Q32" s="1"/>
  <c r="AM236" i="1"/>
  <c r="AN68" l="1"/>
  <c r="AN176" l="1"/>
  <c r="AN177" s="1"/>
  <c r="AN29" s="1"/>
  <c r="AN72"/>
  <c r="AN197" l="1"/>
  <c r="AN193"/>
  <c r="AN195" s="1"/>
  <c r="AN75" s="1"/>
  <c r="AN28"/>
  <c r="AN105"/>
  <c r="AN108" l="1"/>
  <c r="R22" i="7"/>
  <c r="AN204" i="1"/>
  <c r="AN206" s="1"/>
  <c r="AN76"/>
  <c r="AN74" s="1"/>
  <c r="AN238" s="1"/>
  <c r="AN199"/>
  <c r="AN115" s="1"/>
  <c r="AN9" s="1"/>
  <c r="AN78" l="1"/>
  <c r="R20" i="7"/>
  <c r="AN219" i="1"/>
  <c r="AN222" s="1"/>
  <c r="AN7" l="1"/>
  <c r="AN232"/>
  <c r="AN180"/>
  <c r="AN34"/>
  <c r="AN244"/>
  <c r="AN245" s="1"/>
  <c r="AN237"/>
  <c r="AN235" l="1"/>
  <c r="AN18"/>
  <c r="AN107"/>
  <c r="AN240"/>
  <c r="R27" i="7"/>
  <c r="R29" s="1"/>
  <c r="R41"/>
  <c r="R42" s="1"/>
  <c r="AN138" i="1"/>
  <c r="AN6"/>
  <c r="AN4" s="1"/>
  <c r="AN106"/>
  <c r="AN36" l="1"/>
  <c r="AN137"/>
  <c r="AN109"/>
  <c r="R26" i="7" s="1"/>
  <c r="R23"/>
  <c r="R30"/>
  <c r="R32" s="1"/>
  <c r="AN236" i="1"/>
</calcChain>
</file>

<file path=xl/comments1.xml><?xml version="1.0" encoding="utf-8"?>
<comments xmlns="http://schemas.openxmlformats.org/spreadsheetml/2006/main">
  <authors>
    <author>Reis, Carlos</author>
  </authors>
  <commentList>
    <comment ref="AO38" authorId="0">
      <text>
        <r>
          <rPr>
            <b/>
            <sz val="9"/>
            <color indexed="81"/>
            <rFont val="Tahoma"/>
            <family val="2"/>
          </rPr>
          <t>Reis, Carlos:</t>
        </r>
        <r>
          <rPr>
            <sz val="9"/>
            <color indexed="81"/>
            <rFont val="Tahoma"/>
            <family val="2"/>
          </rPr>
          <t xml:space="preserve">
R$ 3 mio de novo contrato de fibra otica 50% da embratel</t>
        </r>
      </text>
    </comment>
  </commentList>
</comments>
</file>

<file path=xl/comments2.xml><?xml version="1.0" encoding="utf-8"?>
<comments xmlns="http://schemas.openxmlformats.org/spreadsheetml/2006/main">
  <authors>
    <author>Muller, Alexandre</author>
  </authors>
  <commentList>
    <comment ref="A30" authorId="0">
      <text>
        <r>
          <rPr>
            <b/>
            <sz val="9"/>
            <color indexed="81"/>
            <rFont val="Tahoma"/>
            <family val="2"/>
          </rPr>
          <t>Muller, Alexandre:</t>
        </r>
        <r>
          <rPr>
            <sz val="9"/>
            <color indexed="81"/>
            <rFont val="Tahoma"/>
            <family val="2"/>
          </rPr>
          <t xml:space="preserve">
R$ 4 mm por Tri - recorrente</t>
        </r>
      </text>
    </comment>
    <comment ref="A36" authorId="0">
      <text>
        <r>
          <rPr>
            <b/>
            <sz val="9"/>
            <color indexed="81"/>
            <rFont val="Tahoma"/>
            <family val="2"/>
          </rPr>
          <t>Muller, Alexandre:</t>
        </r>
        <r>
          <rPr>
            <sz val="9"/>
            <color indexed="81"/>
            <rFont val="Tahoma"/>
            <family val="2"/>
          </rPr>
          <t xml:space="preserve">
R$ 7 mm por tri - recorrente</t>
        </r>
      </text>
    </comment>
  </commentList>
</comments>
</file>

<file path=xl/sharedStrings.xml><?xml version="1.0" encoding="utf-8"?>
<sst xmlns="http://schemas.openxmlformats.org/spreadsheetml/2006/main" count="546" uniqueCount="323">
  <si>
    <t>Rodovias do Tiete</t>
  </si>
  <si>
    <t>Balanço Patrimonial (R$ mn)</t>
  </si>
  <si>
    <t>4T09</t>
  </si>
  <si>
    <t>1T10</t>
  </si>
  <si>
    <t>2T10</t>
  </si>
  <si>
    <t>3T10</t>
  </si>
  <si>
    <t>4T10</t>
  </si>
  <si>
    <t>1T11</t>
  </si>
  <si>
    <t>2T11</t>
  </si>
  <si>
    <t>3T11</t>
  </si>
  <si>
    <t>4T11</t>
  </si>
  <si>
    <t>1T12</t>
  </si>
  <si>
    <t>2T12</t>
  </si>
  <si>
    <t>3T12</t>
  </si>
  <si>
    <t>4T12</t>
  </si>
  <si>
    <t>1T13</t>
  </si>
  <si>
    <t>Ativo Total</t>
  </si>
  <si>
    <t>Ativo Circulante</t>
  </si>
  <si>
    <t>Caixa</t>
  </si>
  <si>
    <t>Contas a Receber</t>
  </si>
  <si>
    <t>Tributos a Recuperar</t>
  </si>
  <si>
    <t>Outros</t>
  </si>
  <si>
    <t>Realizável a Longo Prazo</t>
  </si>
  <si>
    <t>Ativos Fixos</t>
  </si>
  <si>
    <t>Imobilizado</t>
  </si>
  <si>
    <t>Intangível</t>
  </si>
  <si>
    <t>Passivo Total</t>
  </si>
  <si>
    <t>Fornecedores</t>
  </si>
  <si>
    <t>Dívida CP</t>
  </si>
  <si>
    <t>Derivativos</t>
  </si>
  <si>
    <t>Provisões</t>
  </si>
  <si>
    <t>Passivo Circulante</t>
  </si>
  <si>
    <t>Exigível de Longo Prazo</t>
  </si>
  <si>
    <t>Dívida LP</t>
  </si>
  <si>
    <t>Mútuos a Pagar</t>
  </si>
  <si>
    <t>Patrimônio Líquido</t>
  </si>
  <si>
    <t>Provisões Sociais e Trabalhistas</t>
  </si>
  <si>
    <t>Provisão para Manutenção</t>
  </si>
  <si>
    <t>Check</t>
  </si>
  <si>
    <t>Demonstração de Resultados (R$ mm)</t>
  </si>
  <si>
    <t>Receita Bruta</t>
  </si>
  <si>
    <t xml:space="preserve"> -- Receita com Pedágio</t>
  </si>
  <si>
    <t xml:space="preserve"> -- Receita com Construção</t>
  </si>
  <si>
    <t xml:space="preserve"> -- Receitas Acessórias</t>
  </si>
  <si>
    <t>Impostos</t>
  </si>
  <si>
    <t>Receita Líquida</t>
  </si>
  <si>
    <t>Custos e Despesas</t>
  </si>
  <si>
    <t xml:space="preserve"> -- Pessoal</t>
  </si>
  <si>
    <t xml:space="preserve"> -- Serviços de Terceiros</t>
  </si>
  <si>
    <t xml:space="preserve"> -- Depreciação e Amortização</t>
  </si>
  <si>
    <t xml:space="preserve"> -- Manutenção e conservação</t>
  </si>
  <si>
    <t xml:space="preserve"> -- Custo de construção</t>
  </si>
  <si>
    <t xml:space="preserve"> -- Outros</t>
  </si>
  <si>
    <t xml:space="preserve"> -- Ônus variável da concessão</t>
  </si>
  <si>
    <t xml:space="preserve"> -- Serviços de manutenção em rodovias</t>
  </si>
  <si>
    <t xml:space="preserve"> -- Seguros e Garantias</t>
  </si>
  <si>
    <t xml:space="preserve"> -- Honorários da administração</t>
  </si>
  <si>
    <t>EBIT</t>
  </si>
  <si>
    <t>EBITDA</t>
  </si>
  <si>
    <t>Margem EBITDA</t>
  </si>
  <si>
    <t>Resultado Financeiro</t>
  </si>
  <si>
    <t>Despesas Financeiras</t>
  </si>
  <si>
    <t>Receitas Financeiras</t>
  </si>
  <si>
    <t>EBT</t>
  </si>
  <si>
    <t>IR</t>
  </si>
  <si>
    <t xml:space="preserve"> -- Corrente</t>
  </si>
  <si>
    <t xml:space="preserve"> -- Diferido</t>
  </si>
  <si>
    <t>Resultado do Exercício</t>
  </si>
  <si>
    <t>Dados Operacionais</t>
  </si>
  <si>
    <t>Tarifa (R$)</t>
  </si>
  <si>
    <t>YoY (%)</t>
  </si>
  <si>
    <t>Distância Total (km)</t>
  </si>
  <si>
    <t>Pista Simples</t>
  </si>
  <si>
    <t>Pista Dupla</t>
  </si>
  <si>
    <t>% Pista Dupla</t>
  </si>
  <si>
    <t>Tráfego (Mil Veículos Equivalentes)</t>
  </si>
  <si>
    <t>Elasticidade PIB</t>
  </si>
  <si>
    <t>Praça Rafard</t>
  </si>
  <si>
    <t>Praça Conchas</t>
  </si>
  <si>
    <t>Praça Anhembi</t>
  </si>
  <si>
    <t>Praça Botucatu</t>
  </si>
  <si>
    <t>Praça Areiópolis</t>
  </si>
  <si>
    <t>2T09</t>
  </si>
  <si>
    <t>3T09</t>
  </si>
  <si>
    <t>Praça Agudos</t>
  </si>
  <si>
    <t>Praça Salto</t>
  </si>
  <si>
    <t>Praça Rio das Pedras</t>
  </si>
  <si>
    <t>Consolidado</t>
  </si>
  <si>
    <t>Receita de Pedágio</t>
  </si>
  <si>
    <t>% Y/Y</t>
  </si>
  <si>
    <t>Intangível e Capex</t>
  </si>
  <si>
    <t>Capex</t>
  </si>
  <si>
    <t>Depreciação</t>
  </si>
  <si>
    <t xml:space="preserve"> -- Taxa de Depreciação</t>
  </si>
  <si>
    <t>Ampliações</t>
  </si>
  <si>
    <t>Melhoramentos</t>
  </si>
  <si>
    <t>Equipamentos, veículos e sistemas de controle</t>
  </si>
  <si>
    <t>Desapropriações</t>
  </si>
  <si>
    <t>Conservação especial</t>
  </si>
  <si>
    <t>Elementos de segurança</t>
  </si>
  <si>
    <t>Investimentos Totais</t>
  </si>
  <si>
    <t>4T15E</t>
  </si>
  <si>
    <t>2015E</t>
  </si>
  <si>
    <t>1T16E</t>
  </si>
  <si>
    <t>2T16E</t>
  </si>
  <si>
    <t>3T16E</t>
  </si>
  <si>
    <t>4T16E</t>
  </si>
  <si>
    <t>2016E</t>
  </si>
  <si>
    <t>1T17E</t>
  </si>
  <si>
    <t>2T17E</t>
  </si>
  <si>
    <t>3T17E</t>
  </si>
  <si>
    <t>4T17E</t>
  </si>
  <si>
    <t>2017E</t>
  </si>
  <si>
    <t>1T18E</t>
  </si>
  <si>
    <t>2T18E</t>
  </si>
  <si>
    <t>3T18E</t>
  </si>
  <si>
    <t>4T18E</t>
  </si>
  <si>
    <t>2018E</t>
  </si>
  <si>
    <t>1T19E</t>
  </si>
  <si>
    <t>2T19E</t>
  </si>
  <si>
    <t>3T19E</t>
  </si>
  <si>
    <t>4T19E</t>
  </si>
  <si>
    <t>2019E</t>
  </si>
  <si>
    <t>1T20E</t>
  </si>
  <si>
    <t>2T20E</t>
  </si>
  <si>
    <t>3T20E</t>
  </si>
  <si>
    <t>4T20E</t>
  </si>
  <si>
    <t>2020E</t>
  </si>
  <si>
    <t>1T21E</t>
  </si>
  <si>
    <t>2T21E</t>
  </si>
  <si>
    <t>3T21E</t>
  </si>
  <si>
    <t>4T21E</t>
  </si>
  <si>
    <t>2021E</t>
  </si>
  <si>
    <t>1T22E</t>
  </si>
  <si>
    <t>2T22E</t>
  </si>
  <si>
    <t>3T22E</t>
  </si>
  <si>
    <t>4T22E</t>
  </si>
  <si>
    <t>2022E</t>
  </si>
  <si>
    <t>1T23E</t>
  </si>
  <si>
    <t>2T23E</t>
  </si>
  <si>
    <t>3T23E</t>
  </si>
  <si>
    <t>4T23E</t>
  </si>
  <si>
    <t>2023E</t>
  </si>
  <si>
    <t>1T24E</t>
  </si>
  <si>
    <t>2T24E</t>
  </si>
  <si>
    <t>3T24E</t>
  </si>
  <si>
    <t>4T24E</t>
  </si>
  <si>
    <t>2024E</t>
  </si>
  <si>
    <t>1T25E</t>
  </si>
  <si>
    <t>2T25E</t>
  </si>
  <si>
    <t>3T25E</t>
  </si>
  <si>
    <t>4T25E</t>
  </si>
  <si>
    <t>2025E</t>
  </si>
  <si>
    <t>1T26E</t>
  </si>
  <si>
    <t>2T26E</t>
  </si>
  <si>
    <t>3T26E</t>
  </si>
  <si>
    <t>4T26E</t>
  </si>
  <si>
    <t>2026E</t>
  </si>
  <si>
    <t>1T27E</t>
  </si>
  <si>
    <t>2T27E</t>
  </si>
  <si>
    <t>3T27E</t>
  </si>
  <si>
    <t>4T27E</t>
  </si>
  <si>
    <t>2027E</t>
  </si>
  <si>
    <t>1T28E</t>
  </si>
  <si>
    <t>2T28E</t>
  </si>
  <si>
    <t>3T28E</t>
  </si>
  <si>
    <t>4T28E</t>
  </si>
  <si>
    <t>2028E</t>
  </si>
  <si>
    <t>PIB</t>
  </si>
  <si>
    <t>IPCA</t>
  </si>
  <si>
    <t>IGPM</t>
  </si>
  <si>
    <t>Selic (fim de período)</t>
  </si>
  <si>
    <t>Selic (média)</t>
  </si>
  <si>
    <t>Dados Macro</t>
  </si>
  <si>
    <t>Base Tarifária (R$ por Km)</t>
  </si>
  <si>
    <t>Receitas Acessórias</t>
  </si>
  <si>
    <t>Rec. Acessórias / Rec. Pedágios</t>
  </si>
  <si>
    <t>Impostos / Rec. Bruta Operacional</t>
  </si>
  <si>
    <t xml:space="preserve"> # Funcionários</t>
  </si>
  <si>
    <t xml:space="preserve"> -- Salários e Benefícios</t>
  </si>
  <si>
    <t xml:space="preserve"> -- Participação nos resultados</t>
  </si>
  <si>
    <t>Empregado por Km</t>
  </si>
  <si>
    <t>% Receitas Pedágio</t>
  </si>
  <si>
    <t>Métricas em Crédito</t>
  </si>
  <si>
    <t>Dívida Bruta</t>
  </si>
  <si>
    <t>Dívida Líquida</t>
  </si>
  <si>
    <t>Dívida Bruta / P.L.</t>
  </si>
  <si>
    <t>Dívida Bruta / EBITDA</t>
  </si>
  <si>
    <t>Dívida Líquida / EBITDA</t>
  </si>
  <si>
    <t>Capital de Giro</t>
  </si>
  <si>
    <t>Variação de CDG (Uso de Caixa)</t>
  </si>
  <si>
    <t>% Receitas de Pedágio</t>
  </si>
  <si>
    <t>Dívida e Resultado Financeiro</t>
  </si>
  <si>
    <t xml:space="preserve"> -- Cronograma</t>
  </si>
  <si>
    <t>Despesas Financeiras (Debêntures)</t>
  </si>
  <si>
    <t xml:space="preserve"> -- Juros</t>
  </si>
  <si>
    <t xml:space="preserve"> -- Saldo Capitalizado</t>
  </si>
  <si>
    <t>Taxa de Rentabilidade (SELIC)</t>
  </si>
  <si>
    <t>Fluxo de Caixa</t>
  </si>
  <si>
    <t>Fluxo de Caixa Operacional (CFO)</t>
  </si>
  <si>
    <t>Imposto de Renda</t>
  </si>
  <si>
    <t>Prejuízos Acumulados</t>
  </si>
  <si>
    <t>Limite de Compensação (30%)</t>
  </si>
  <si>
    <t>Aliquota</t>
  </si>
  <si>
    <t>IR Teórico</t>
  </si>
  <si>
    <t>Fluxo de Caixa de Investimentos (CFI)</t>
  </si>
  <si>
    <t>Novos aportes de Capital</t>
  </si>
  <si>
    <t>Novas Dívidas (Debêntures)</t>
  </si>
  <si>
    <t>Dividendos</t>
  </si>
  <si>
    <t>Novas Dívidas (Outras / CDG)</t>
  </si>
  <si>
    <t>Amortização de Dívidas (Debêntures)</t>
  </si>
  <si>
    <t>Amortização de Dívidas (Outras / CDG)</t>
  </si>
  <si>
    <t>Fluxo de Caixa de Financiamentos (CFF)</t>
  </si>
  <si>
    <t>Variação de Caixa</t>
  </si>
  <si>
    <t>Caixa Inicial</t>
  </si>
  <si>
    <t>Caixa Final</t>
  </si>
  <si>
    <t>Contas Reservas</t>
  </si>
  <si>
    <t>Conta Reserva de Capex</t>
  </si>
  <si>
    <t>1 ano de capex, calculado a partir da média annual dos próximos 3 anos de capex</t>
  </si>
  <si>
    <t>Conta de Serviço de Dívida</t>
  </si>
  <si>
    <t>Reserva para Despesas Operacionais</t>
  </si>
  <si>
    <t>6 meses de despesas operacionais</t>
  </si>
  <si>
    <t>Conta de pré-financimanto de juros</t>
  </si>
  <si>
    <t>Total de Reservas</t>
  </si>
  <si>
    <t>Saldo Provisão de Manutenção a Realizar - VF</t>
  </si>
  <si>
    <t>Contas de Conservação</t>
  </si>
  <si>
    <t>Provisão</t>
  </si>
  <si>
    <t>Saldo</t>
  </si>
  <si>
    <t xml:space="preserve"> -- Fluxo de Caixa</t>
  </si>
  <si>
    <t xml:space="preserve"> -- DRE</t>
  </si>
  <si>
    <t xml:space="preserve"> -- Despesas de Emissão</t>
  </si>
  <si>
    <t>Covenants</t>
  </si>
  <si>
    <t>Fixa em R$ 158 mm, não recompõe</t>
  </si>
  <si>
    <t>TESTE</t>
  </si>
  <si>
    <t>ICSD &gt; 1.15x</t>
  </si>
  <si>
    <t>FCDSD</t>
  </si>
  <si>
    <t>SD</t>
  </si>
  <si>
    <t>Dividend Payout</t>
  </si>
  <si>
    <t>12 meses de serviço da dívida das debentures</t>
  </si>
  <si>
    <t>Dívida / (Dívida + Equity)</t>
  </si>
  <si>
    <t xml:space="preserve"> -- Capitalização de Despesas de Emissão</t>
  </si>
  <si>
    <t>Saldo Mútuo</t>
  </si>
  <si>
    <t>Juros Capitalizados</t>
  </si>
  <si>
    <t xml:space="preserve"> -- CDI</t>
  </si>
  <si>
    <t xml:space="preserve"> -- Spread</t>
  </si>
  <si>
    <t>ICSD</t>
  </si>
  <si>
    <t>Deficit</t>
  </si>
  <si>
    <t>Saques CC Pre-Financiamento Juros - Ajuste</t>
  </si>
  <si>
    <t>Saques CC Pre-Financiamento Juros (Covenant)</t>
  </si>
  <si>
    <t>Debêntures - Valor Bruto de Emissão</t>
  </si>
  <si>
    <t>Despesas com a Emissão</t>
  </si>
  <si>
    <t xml:space="preserve"> -- Fixas</t>
  </si>
  <si>
    <t xml:space="preserve"> -- Variável</t>
  </si>
  <si>
    <t>Debêntures - Valor Líquido de Emissão</t>
  </si>
  <si>
    <t>Amortização de Debêntures</t>
  </si>
  <si>
    <t xml:space="preserve"> -- Amortização</t>
  </si>
  <si>
    <t>IPCA Acumulado (desde a emissão)</t>
  </si>
  <si>
    <t>Debêntures - Principal</t>
  </si>
  <si>
    <t>Debêntures - IPCA acumulado</t>
  </si>
  <si>
    <t xml:space="preserve"> -- Juros (com IPCA)</t>
  </si>
  <si>
    <t xml:space="preserve"> -- Amortização (Só principal, sem IPCA)</t>
  </si>
  <si>
    <t>Despesas Financeiras DRE</t>
  </si>
  <si>
    <t>Despesas Fincanceira Cash Flow</t>
  </si>
  <si>
    <t>Ajuste EBT</t>
  </si>
  <si>
    <t>IR Compensável</t>
  </si>
  <si>
    <t>Resumo modelo RDT</t>
  </si>
  <si>
    <t>YoY</t>
  </si>
  <si>
    <t>CAGR por fases</t>
  </si>
  <si>
    <t>Tráfego</t>
  </si>
  <si>
    <t>Receita Bruta de Pedágio</t>
  </si>
  <si>
    <t>Margem Ebitda Ajustada</t>
  </si>
  <si>
    <t>Tráfego médio mensal por Km*</t>
  </si>
  <si>
    <t>*Em mil veículos equivalentes</t>
  </si>
  <si>
    <t>Receita Operacional Líquida</t>
  </si>
  <si>
    <t>EBITDA Ajustado</t>
  </si>
  <si>
    <t>Fluxo de Caixa Livre</t>
  </si>
  <si>
    <t>Índices de Alavancagem</t>
  </si>
  <si>
    <t>Dívida Líquida / Ebitda</t>
  </si>
  <si>
    <t>Dívida Bruta / Capital Total</t>
  </si>
  <si>
    <t>Dados Financeiros (R$ mm)</t>
  </si>
  <si>
    <t>TOTAL DE RESERVAS</t>
  </si>
  <si>
    <t>Enquadramento</t>
  </si>
  <si>
    <t>Limite Covenant</t>
  </si>
  <si>
    <t>Teste</t>
  </si>
  <si>
    <t>Praça Monte Mor (Industrial)</t>
  </si>
  <si>
    <t>Fase I (2012-2015)</t>
  </si>
  <si>
    <t>Fase II (2015-2018)</t>
  </si>
  <si>
    <t>Fase III (2018-2028)</t>
  </si>
  <si>
    <t>CAGR Total</t>
  </si>
  <si>
    <t>Haircut VTM</t>
  </si>
  <si>
    <t xml:space="preserve">=&gt; Redução de tráfego em relação ao cenário da VTM (consultor de tráfego) durante os 15 anos </t>
  </si>
  <si>
    <t>Debêntures - IPCA Periodo</t>
  </si>
  <si>
    <t>2T13</t>
  </si>
  <si>
    <t>Resultado Financeiro (Caixa)</t>
  </si>
  <si>
    <t>Despesas Financeiras Caixa</t>
  </si>
  <si>
    <t>Despesas Financeiras Contabil</t>
  </si>
  <si>
    <t>Ajuste PL</t>
  </si>
  <si>
    <t>Ajuste PL - Acumulado</t>
  </si>
  <si>
    <t>3T13</t>
  </si>
  <si>
    <t>IR Diferido</t>
  </si>
  <si>
    <t xml:space="preserve"> -- % EBIT</t>
  </si>
  <si>
    <t>IR Real (caixa)</t>
  </si>
  <si>
    <t>4T13</t>
  </si>
  <si>
    <t>1T14</t>
  </si>
  <si>
    <t>3T14</t>
  </si>
  <si>
    <t>2T14</t>
  </si>
  <si>
    <t>4T14</t>
  </si>
  <si>
    <t>-- Passeio</t>
  </si>
  <si>
    <t>-- Comerciais Leves</t>
  </si>
  <si>
    <t>-- Comerciais Pesados</t>
  </si>
  <si>
    <t xml:space="preserve">  -- Pista Simples</t>
  </si>
  <si>
    <t xml:space="preserve">  -- Pista Dupla</t>
  </si>
  <si>
    <t>Y/Y (%)</t>
  </si>
  <si>
    <t>y/y (%)</t>
  </si>
  <si>
    <t>Custo Mensal por empregado (R$'000)</t>
  </si>
  <si>
    <t>Custo Mensal por Km (R$'000)</t>
  </si>
  <si>
    <t>Prêmio Mensal por Km (R$'000(</t>
  </si>
  <si>
    <t xml:space="preserve"> -- Despesas com Pessoal</t>
  </si>
  <si>
    <t>1T15</t>
  </si>
  <si>
    <t>% reducao sobre o VTM</t>
  </si>
  <si>
    <t>2T15</t>
  </si>
  <si>
    <t>3T15</t>
  </si>
  <si>
    <t>Limite &lt; 85% até 2018 e &lt; 75% após</t>
  </si>
</sst>
</file>

<file path=xl/styles.xml><?xml version="1.0" encoding="utf-8"?>
<styleSheet xmlns="http://schemas.openxmlformats.org/spreadsheetml/2006/main">
  <numFmts count="141">
    <numFmt numFmtId="164" formatCode="_(* #,##0_);_(* \(#,##0\);_(* &quot;-&quot;_);_(@_)"/>
    <numFmt numFmtId="165" formatCode="_(* #,##0.00_);_(* \(#,##0.00\);_(* &quot;-&quot;??_);_(@_)"/>
    <numFmt numFmtId="166" formatCode="&quot;R$ &quot;#,##0_);\(&quot;R$ &quot;#,##0\)"/>
    <numFmt numFmtId="167" formatCode="&quot;R$ &quot;#,##0_);[Red]\(&quot;R$ &quot;#,##0\)"/>
    <numFmt numFmtId="168" formatCode="&quot;R$ &quot;#,##0.00_);\(&quot;R$ &quot;#,##0.00\)"/>
    <numFmt numFmtId="169" formatCode="&quot;R$ &quot;#,##0.00_);[Red]\(&quot;R$ &quot;#,##0.00\)"/>
    <numFmt numFmtId="170" formatCode="_(&quot;R$ &quot;* #,##0_);_(&quot;R$ &quot;* \(#,##0\);_(&quot;R$ &quot;* &quot;-&quot;_);_(@_)"/>
    <numFmt numFmtId="171" formatCode="_(&quot;R$ &quot;* #,##0.00_);_(&quot;R$ &quot;* \(#,##0.00\);_(&quot;R$ &quot;* &quot;-&quot;??_);_(@_)"/>
    <numFmt numFmtId="172" formatCode="0.0"/>
    <numFmt numFmtId="173" formatCode="0.0%"/>
    <numFmt numFmtId="174" formatCode="#,##0.0_);\(#,##0.0\)"/>
    <numFmt numFmtId="175" formatCode="_-&quot;R$ &quot;* #,##0_-;\-&quot;R$ &quot;* #,##0_-;_-&quot;R$ &quot;* &quot;-&quot;_-;_-@_-"/>
    <numFmt numFmtId="176" formatCode="_-&quot;R$ &quot;* #,##0.00_-;\-&quot;R$ &quot;* #,##0.00_-;_-&quot;R$ &quot;* &quot;-&quot;??_-;_-@_-"/>
    <numFmt numFmtId="177" formatCode="#\ ###\ ###\ ##0\ "/>
    <numFmt numFmtId="178" formatCode="General_)"/>
    <numFmt numFmtId="179" formatCode="0.00_)"/>
    <numFmt numFmtId="180" formatCode="#,##0.0;[Red]\(#,##0.0\)"/>
    <numFmt numFmtId="181" formatCode="0.000_)"/>
    <numFmt numFmtId="182" formatCode="\$#,##0\ ;\(\$#,##0\)"/>
    <numFmt numFmtId="183" formatCode="#,##0,"/>
    <numFmt numFmtId="184" formatCode="#,##0,,"/>
    <numFmt numFmtId="185" formatCode="_ [$€-2]\ * #,##0.00_ ;_ [$€-2]\ * \-#,##0.00_ ;_ [$€-2]\ * &quot;-&quot;??_ "/>
    <numFmt numFmtId="186" formatCode="\+\ #\ ??/??;[Red]\ \-\ #\ ??/??"/>
    <numFmt numFmtId="187" formatCode="#,##0.00_);\(#,##0.00\);&quot; --- &quot;"/>
    <numFmt numFmtId="188" formatCode="#,"/>
    <numFmt numFmtId="189" formatCode="0.00_);\(0.00\);0.00"/>
    <numFmt numFmtId="190" formatCode="0.00_);\(0.00\);0.00_)"/>
    <numFmt numFmtId="191" formatCode="0.00\%;\-0.00\%;0.00\%"/>
    <numFmt numFmtId="192" formatCode="0.00;\-0.00;0.00"/>
    <numFmt numFmtId="193" formatCode="0.00\x;\-0.00\x;0.00\x"/>
    <numFmt numFmtId="194" formatCode="##0.00000"/>
    <numFmt numFmtId="195" formatCode="General;\-General;General;"/>
    <numFmt numFmtId="196" formatCode="#,##0.0000_);\(#,##0.0000\)"/>
    <numFmt numFmtId="197" formatCode="_(* #,##0_);_(* \(#,##0\);_(* &quot;-&quot;??_);_(@_)"/>
    <numFmt numFmtId="198" formatCode="_([$€-2]* #,##0.00_);_([$€-2]* \(#,##0.00\);_([$€-2]* &quot;-&quot;??_)"/>
    <numFmt numFmtId="199" formatCode="#,##0.0"/>
    <numFmt numFmtId="200" formatCode="#,##0.000_);\(#,##0.000\)"/>
    <numFmt numFmtId="201" formatCode="_(* #,##0.0_);_(* \(#,##0.0\);_(* &quot;-&quot;??_);_(@_)"/>
    <numFmt numFmtId="202" formatCode="#,##0.0\ ;\(#,##0.0\)"/>
    <numFmt numFmtId="203" formatCode="&quot;R$ &quot;#,##0.00_%_);\(&quot;R$ &quot;#,##0.00\)_%;&quot;R$ &quot;#,##0.00_%_);@_%_)"/>
    <numFmt numFmtId="204" formatCode="0.0\x_)_);&quot;NM&quot;_x_)_);0.0\x_)_);@_%_)"/>
    <numFmt numFmtId="205" formatCode="&quot;R$ &quot;#,##0.0_);\(&quot;R$ &quot;#,##0.0\)"/>
    <numFmt numFmtId="206" formatCode="&quot;R$ &quot;#,##0.000_);\(&quot;R$ &quot;#,##0.000\)"/>
    <numFmt numFmtId="207" formatCode="&quot;R$ &quot;#,##0.0000_);\(&quot;R$ &quot;#,##0.0000\)"/>
    <numFmt numFmtId="208" formatCode="&quot;R$ &quot;#,##0;\-&quot;R$ &quot;#,##0"/>
    <numFmt numFmtId="209" formatCode="0.0_)\%;\(0.0\)\%;0.0_)\%;@_)_%"/>
    <numFmt numFmtId="210" formatCode="#,##0.0_)_%;\(#,##0.0\)_%;0.0_)_%;@_)_%"/>
    <numFmt numFmtId="211" formatCode="#,##0.0_);\(#,##0.0\);#,##0.0_);@_)"/>
    <numFmt numFmtId="212" formatCode="&quot;R$ &quot;_(#,##0.00_);&quot;R$ &quot;\(#,##0.00\);&quot;R$ &quot;_(0.00_);@_)"/>
    <numFmt numFmtId="213" formatCode="&quot;R$ &quot;_(#,##0.00_);&quot;R$ &quot;\(#,##0.00\)"/>
    <numFmt numFmtId="214" formatCode="_(* #,##0.000000_);_(* \(#,##0.000000\);_(* &quot;-&quot;??????_);_(@_)"/>
    <numFmt numFmtId="215" formatCode="#,##0.0_%_);\(#,##0.0\)_%;#,##0.0_%_);@_%_)"/>
    <numFmt numFmtId="216" formatCode="&quot;R$ &quot;#,##0.00;\-&quot;R$ &quot;#,##0.00"/>
    <numFmt numFmtId="217" formatCode="#,##0.00_);\(#,##0.00\);0.00_);@_)"/>
    <numFmt numFmtId="218" formatCode="&quot;R$ &quot;#,##0.00;[Red]\-&quot;R$ &quot;#,##0.00"/>
    <numFmt numFmtId="219" formatCode="\€_(#,##0.00_);\€\(#,##0.00\);\€_(0.00_);@_)"/>
    <numFmt numFmtId="220" formatCode="#,##0_)\x;\(#,##0\)\x;0_)\x;@_)_x"/>
    <numFmt numFmtId="221" formatCode="#,##0.0_)\x;\(#,##0.0\)\x"/>
    <numFmt numFmtId="222" formatCode="_(&quot;R$&quot;* #,##0_);_(&quot;R$&quot;* \(#,##0\);_(&quot;R$&quot;* &quot;-&quot;_);_(@_)"/>
    <numFmt numFmtId="223" formatCode="0.0%_);\(0.0%\);0.0%_);@_%_)"/>
    <numFmt numFmtId="224" formatCode="#,##0_%_);\(#,##0\)_%;#,##0_%_);@_%_)"/>
    <numFmt numFmtId="225" formatCode="#,##0.0_)\x;\(#,##0.0\)\x;0.0_)\x;@_)_x"/>
    <numFmt numFmtId="226" formatCode="#,##0_)_x;\(#,##0\)_x;0_)_x;@_)_x"/>
    <numFmt numFmtId="227" formatCode="#,##0.0_)_x;\(#,##0.0\)_x"/>
    <numFmt numFmtId="228" formatCode="_(&quot;R$&quot;* #,##0.00_);_(&quot;R$&quot;* \(#,##0.00\);_(&quot;R$&quot;* &quot;-&quot;??_);_(@_)"/>
    <numFmt numFmtId="229" formatCode="#,##0.00_%_);\(#,##0.00\)_%;#,##0.00_%_);@_%_)"/>
    <numFmt numFmtId="230" formatCode="_(&quot;R$ &quot;* #,##0_);_(&quot;R$ &quot;* \(#,##0\);_(&quot;R$ &quot;* &quot;-&quot;???_);_(@_)"/>
    <numFmt numFmtId="231" formatCode="&quot;R$ &quot;#,##0;[Red]\-&quot;R$ &quot;#,##0"/>
    <numFmt numFmtId="232" formatCode="0.0_)\%;\(0.0\)\%"/>
    <numFmt numFmtId="233" formatCode="&quot;R$ &quot;#,##0.0_%_);\(&quot;R$ &quot;#,##0.0\)_%;&quot;R$ &quot;#,##0.0_%_);@_%_)"/>
    <numFmt numFmtId="234" formatCode="#,##0.0_)_%;\(#,##0.0\)_%"/>
    <numFmt numFmtId="235" formatCode="#,##0.0_);\(#,##0.0\);\-\ \ \ \ \ "/>
    <numFmt numFmtId="236" formatCode="#,##0.0_);[Red]\(#,##0.0\)"/>
    <numFmt numFmtId="237" formatCode="&quot;R$ &quot;#,##0.000_);[Red]\(&quot;R$ &quot;#,##0.000\)"/>
    <numFmt numFmtId="238" formatCode="#,##0.0000_);[Red]\(#,##0.0000\)"/>
    <numFmt numFmtId="239" formatCode="&quot;  &quot;General&quot;  &quot;"/>
    <numFmt numFmtId="240" formatCode="_(* #,##0.0000000_);_(* \(#,##0.0000000\);_(* &quot;-&quot;?????_);_(@_)"/>
    <numFmt numFmtId="241" formatCode="#,##0_%_);\(#,##0\)_%;**;@_%_)"/>
    <numFmt numFmtId="242" formatCode="&quot;R$ thousands&quot;#,##0.0;[Red]\(&quot;R$ thousands&quot;#,##0.0\)"/>
    <numFmt numFmtId="243" formatCode="&quot;R$ thousands&quot;#,##0.00;[Red]\(&quot;R$ thousands&quot;#,##0.00\)"/>
    <numFmt numFmtId="244" formatCode="&quot;R$ &quot;#,##0_%_);\(&quot;R$ &quot;#,##0\)_%;&quot;R$ &quot;#,##0_%_);@_%_)"/>
    <numFmt numFmtId="245" formatCode="mmm\-d\-yy"/>
    <numFmt numFmtId="246" formatCode="mmm\-d\-yyyy"/>
    <numFmt numFmtId="247" formatCode="0.00000_);\(0.00000\)"/>
    <numFmt numFmtId="248" formatCode="m/d/yy_%_)"/>
    <numFmt numFmtId="249" formatCode="_(* #,##0.000000_);_(* \(#,##0.000000\);_(* &quot;-&quot;?????_);_(@_)"/>
    <numFmt numFmtId="250" formatCode="&quot;R$&quot;#,##0_);[Red]\(&quot;R$&quot;#,##0\)"/>
    <numFmt numFmtId="251" formatCode="0_%_);\(0\)_%;0_%_);@_%_)"/>
    <numFmt numFmtId="252" formatCode="###0_);\(###0\)"/>
    <numFmt numFmtId="253" formatCode="#,##0.0_);\(#,##0.0\);&quot;–&quot;_;&quot;&quot;"/>
    <numFmt numFmtId="254" formatCode="0.0\%_);\(0.0\%\);0.0\%_);@_%_)"/>
    <numFmt numFmtId="255" formatCode="_(&quot;R$ &quot;* #,##0.000_);_(&quot;R$ &quot;* \(#,##0.000\);_(&quot;R$ &quot;* &quot;-&quot;??_);_(@_)"/>
    <numFmt numFmtId="256" formatCode="_(&quot;R$ &quot;* #,##0.0000_);_(&quot;R$ &quot;* \(#,##0.0000\);_(&quot;R$ &quot;* &quot;-&quot;??_);_(@_)"/>
    <numFmt numFmtId="257" formatCode="_(&quot;R$ &quot;* #,##0.00000_);_(&quot;R$ &quot;* \(#,##0.00000\);_(&quot;R$ &quot;* &quot;-&quot;??_);_(@_)"/>
    <numFmt numFmtId="258" formatCode="_(&quot;R$ &quot;* #,##0.000000_);_(&quot;R$ &quot;* \(#,##0.000000\);_(&quot;R$ &quot;* &quot;-&quot;??_);_(@_)"/>
    <numFmt numFmtId="259" formatCode="#,##0.000%_);[Red]\(#,##0.000%\)"/>
    <numFmt numFmtId="260" formatCode="#,##0.000_);[Red]\(#,##0.000\)"/>
    <numFmt numFmtId="261" formatCode="#,##0\ \ \ ;\(#,##0\)\ \ "/>
    <numFmt numFmtId="262" formatCode="_(* #,##0\x_);_(* \(#,##0\x\);_(* &quot;0x&quot;_);_(@_)"/>
    <numFmt numFmtId="263" formatCode="_(* #,##0.0\x_);_(* \(#,##0.0\x\);_(* &quot;0,0x&quot;_);_(@_)"/>
    <numFmt numFmtId="264" formatCode="_(* #,##0.00\x_);_(* \(#,##0.00\x\);_(* &quot;0,00x&quot;_);_(@_)"/>
    <numFmt numFmtId="265" formatCode="#,##0.0_);[Red]\(#,##0.0\);&quot;N/A &quot;"/>
    <numFmt numFmtId="266" formatCode="&quot;R$&quot;#,##0.00_);[Red]\(&quot;R$&quot;#,##0.00\)"/>
    <numFmt numFmtId="267" formatCode="#,##0.0_)\ ;[Red]\(#,##0.0\)\ "/>
    <numFmt numFmtId="268" formatCode="0.0%&quot;NetPPE/sales&quot;"/>
    <numFmt numFmtId="269" formatCode="_(* #,##0_);_(* \(#,##0\);_(* &quot;0&quot;_);_(@_)"/>
    <numFmt numFmtId="270" formatCode="_(* #,##0.0_);_(* \(#,##0.0\);_(* &quot;0,0&quot;_);_(@_)"/>
    <numFmt numFmtId="271" formatCode="_(* #,##0.00_);_(* \(#,##0.00\);_(* &quot;0,00&quot;??_);_(@_)"/>
    <numFmt numFmtId="272" formatCode="0.0%&quot;NWI/Sls&quot;"/>
    <numFmt numFmtId="273" formatCode="&quot;  -  &quot;0&quot;  -  &quot;;&quot;  -  &quot;@&quot;  -  &quot;"/>
    <numFmt numFmtId="274" formatCode="_(* #,##0%_);_(* \(#,##0%\);_(* &quot;0%&quot;_);_(@_)"/>
    <numFmt numFmtId="275" formatCode="_(* #,##0.0%_);_(* \(#,##0.0%\);_(* &quot;0,0%&quot;_);_(@_)"/>
    <numFmt numFmtId="276" formatCode="_(* #,##0.00%_);_(* \(#,##0.00%\);_(* &quot;0,00%&quot;??_);_(@_)"/>
    <numFmt numFmtId="277" formatCode="0.0%&quot;Sales&quot;"/>
    <numFmt numFmtId="278" formatCode="##0.00%;\(##0.00\)%"/>
    <numFmt numFmtId="279" formatCode="&quot;TFCF: &quot;#,##0_);[Red]&quot;No! &quot;\(#,##0\)"/>
    <numFmt numFmtId="280" formatCode="0\ \ ;\(0\)\ \ \ "/>
    <numFmt numFmtId="281" formatCode="#,##0_);\(#,##0\);\-"/>
    <numFmt numFmtId="282" formatCode="#,##0_);\(#,##0\);&quot;    -   &quot;"/>
    <numFmt numFmtId="283" formatCode="#,##0.0_);\(#,##0.0\);\-"/>
    <numFmt numFmtId="284" formatCode="#,##0.00_);\(#,##0.00\);\-\ \ \ \ \ \ "/>
    <numFmt numFmtId="285" formatCode="#\ ##0\ "/>
    <numFmt numFmtId="286" formatCode="0&quot;E&quot;"/>
    <numFmt numFmtId="287" formatCode="0.00%;\(0.00%\)"/>
    <numFmt numFmtId="288" formatCode="#,##0.00;\(#,##0.00\)"/>
    <numFmt numFmtId="289" formatCode="\£\ #,##0_);[Red]\(\£\ #,##0\)"/>
    <numFmt numFmtId="290" formatCode="\¥\ #,##0_);[Red]\(\¥\ #,##0\)"/>
    <numFmt numFmtId="291" formatCode="\•\ \ @"/>
    <numFmt numFmtId="292" formatCode="\ \ _•\–\ \ \ \ @"/>
    <numFmt numFmtId="293" formatCode="#,###\-"/>
    <numFmt numFmtId="294" formatCode="#,##0%"/>
    <numFmt numFmtId="295" formatCode="#,##0.0%"/>
    <numFmt numFmtId="296" formatCode="#,##0.0&quot;x&quot;"/>
    <numFmt numFmtId="297" formatCode="&quot;HK$&quot;#,##0"/>
    <numFmt numFmtId="298" formatCode="&quot;HK$&quot;#,##0.00"/>
    <numFmt numFmtId="299" formatCode="&quot;US$&quot;#,##0"/>
    <numFmt numFmtId="300" formatCode="&quot;US$&quot;#,##0.00"/>
    <numFmt numFmtId="301" formatCode="#,##0\ ;\(#,##0\);\ \-\ "/>
    <numFmt numFmtId="302" formatCode="#,##0.0_);\(#,##0.0\);0.0_)"/>
    <numFmt numFmtId="303" formatCode="#,##0.0&quot;x&quot;;\-#,##0.0&quot;x&quot;;0.0&quot;x&quot;"/>
    <numFmt numFmtId="304" formatCode="0.0\x"/>
  </numFmts>
  <fonts count="17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Frutiger 45 Light"/>
    </font>
    <font>
      <sz val="10"/>
      <name val="Arial"/>
      <family val="2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b/>
      <sz val="8"/>
      <color indexed="12"/>
      <name val="Times New Roman"/>
      <family val="1"/>
    </font>
    <font>
      <b/>
      <sz val="10"/>
      <color indexed="12"/>
      <name val="Arial"/>
      <family val="2"/>
    </font>
    <font>
      <sz val="10"/>
      <name val="Times New Roman"/>
      <family val="1"/>
    </font>
    <font>
      <sz val="7"/>
      <name val="SwitzerlandLight"/>
    </font>
    <font>
      <sz val="7"/>
      <name val="Times New Roman"/>
      <family val="1"/>
    </font>
    <font>
      <sz val="8"/>
      <color indexed="8"/>
      <name val="Times New Roman"/>
      <family val="1"/>
    </font>
    <font>
      <sz val="10"/>
      <name val="MS Sans Serif"/>
      <family val="2"/>
    </font>
    <font>
      <sz val="11"/>
      <name val="Tms Rmn"/>
    </font>
    <font>
      <sz val="10"/>
      <color indexed="22"/>
      <name val="MS Sans Serif"/>
      <family val="2"/>
    </font>
    <font>
      <sz val="24"/>
      <name val="MS Sans Serif"/>
      <family val="2"/>
    </font>
    <font>
      <b/>
      <sz val="9"/>
      <name val="Times New Roman"/>
      <family val="1"/>
    </font>
    <font>
      <sz val="11"/>
      <name val="Book Antiqua"/>
      <family val="1"/>
    </font>
    <font>
      <sz val="1"/>
      <color indexed="8"/>
      <name val="Courier"/>
      <family val="3"/>
    </font>
    <font>
      <sz val="9"/>
      <name val="Times New Roman"/>
      <family val="1"/>
    </font>
    <font>
      <i/>
      <sz val="8"/>
      <color indexed="12"/>
      <name val="Times New Roman"/>
      <family val="1"/>
    </font>
    <font>
      <u/>
      <sz val="10"/>
      <color indexed="12"/>
      <name val="Arial"/>
      <family val="2"/>
    </font>
    <font>
      <b/>
      <sz val="10"/>
      <name val="MS Sans Serif"/>
      <family val="2"/>
    </font>
    <font>
      <sz val="11"/>
      <name val="Times New Roman"/>
      <family val="1"/>
    </font>
    <font>
      <sz val="10"/>
      <name val="Courier"/>
      <family val="3"/>
    </font>
    <font>
      <b/>
      <i/>
      <sz val="16"/>
      <name val="Helv"/>
    </font>
    <font>
      <i/>
      <sz val="10"/>
      <name val="Arial"/>
      <family val="2"/>
    </font>
    <font>
      <b/>
      <sz val="1"/>
      <color indexed="8"/>
      <name val="Courier"/>
      <family val="3"/>
    </font>
    <font>
      <b/>
      <sz val="8"/>
      <color indexed="10"/>
      <name val="Times New Roman"/>
      <family val="1"/>
    </font>
    <font>
      <sz val="10"/>
      <color indexed="23"/>
      <name val="MS Sans Serif"/>
      <family val="2"/>
    </font>
    <font>
      <b/>
      <sz val="12"/>
      <name val="MS Sans Serif"/>
      <family val="2"/>
    </font>
    <font>
      <b/>
      <sz val="9"/>
      <color indexed="12"/>
      <name val="Times New Roman"/>
      <family val="1"/>
    </font>
    <font>
      <sz val="9"/>
      <color theme="1"/>
      <name val="Arial"/>
      <family val="2"/>
    </font>
    <font>
      <sz val="10"/>
      <name val="Tahoma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sz val="8"/>
      <name val="Times New Roman"/>
      <family val="1"/>
    </font>
    <font>
      <sz val="10"/>
      <color indexed="12"/>
      <name val="Arial"/>
      <family val="2"/>
    </font>
    <font>
      <sz val="8"/>
      <color indexed="12"/>
      <name val="Times New Roman"/>
      <family val="1"/>
    </font>
    <font>
      <sz val="10"/>
      <color indexed="8"/>
      <name val="MS Sans Serif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Helv"/>
    </font>
    <font>
      <sz val="12"/>
      <name val="Tms Rmn"/>
    </font>
    <font>
      <b/>
      <u/>
      <sz val="10"/>
      <name val="Times New Roman"/>
      <family val="1"/>
    </font>
    <font>
      <b/>
      <sz val="10"/>
      <color indexed="8"/>
      <name val="Arial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sz val="11"/>
      <color indexed="17"/>
      <name val="Calibri"/>
      <family val="2"/>
    </font>
    <font>
      <sz val="8"/>
      <name val="Times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18"/>
      <name val="Times New Roman"/>
      <family val="1"/>
    </font>
    <font>
      <sz val="8"/>
      <name val="Palatino"/>
      <family val="1"/>
    </font>
    <font>
      <sz val="8"/>
      <color indexed="12"/>
      <name val="Arial"/>
      <family val="2"/>
    </font>
    <font>
      <u val="doubleAccounting"/>
      <sz val="10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2"/>
      <name val="Times New Roman"/>
      <family val="1"/>
    </font>
    <font>
      <sz val="7"/>
      <name val="Palatino"/>
      <family val="1"/>
    </font>
    <font>
      <sz val="8"/>
      <name val="UNIVERS CONDENSED"/>
    </font>
    <font>
      <b/>
      <sz val="8.5"/>
      <color indexed="17"/>
      <name val="Arial"/>
      <family val="2"/>
    </font>
    <font>
      <sz val="10"/>
      <color indexed="17"/>
      <name val="Arial"/>
      <family val="2"/>
    </font>
    <font>
      <sz val="8.5"/>
      <name val="Arial"/>
      <family val="2"/>
    </font>
    <font>
      <sz val="6"/>
      <color indexed="16"/>
      <name val="Palatino"/>
      <family val="1"/>
    </font>
    <font>
      <b/>
      <sz val="11"/>
      <color indexed="56"/>
      <name val="Calibri"/>
      <family val="2"/>
    </font>
    <font>
      <b/>
      <sz val="9"/>
      <name val="Helv"/>
    </font>
    <font>
      <u/>
      <sz val="10"/>
      <color indexed="14"/>
      <name val="MS Sans Serif"/>
      <family val="2"/>
    </font>
    <font>
      <u/>
      <sz val="10"/>
      <color indexed="12"/>
      <name val="MS Sans Serif"/>
      <family val="2"/>
    </font>
    <font>
      <b/>
      <i/>
      <sz val="7"/>
      <name val="Times New Roman"/>
      <family val="1"/>
    </font>
    <font>
      <sz val="8"/>
      <color indexed="39"/>
      <name val="Arial"/>
      <family val="2"/>
    </font>
    <font>
      <sz val="8"/>
      <color indexed="12"/>
      <name val="Helv"/>
    </font>
    <font>
      <sz val="11"/>
      <color indexed="60"/>
      <name val="Calibri"/>
      <family val="2"/>
    </font>
    <font>
      <sz val="7"/>
      <name val="Small Fonts"/>
      <family val="2"/>
    </font>
    <font>
      <i/>
      <sz val="10"/>
      <name val="Helv"/>
    </font>
    <font>
      <sz val="10"/>
      <name val="TimesNewRomanPS"/>
    </font>
    <font>
      <sz val="10"/>
      <name val="Geneva"/>
      <family val="2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0"/>
      <color indexed="16"/>
      <name val="Helvetica-Black"/>
    </font>
    <font>
      <sz val="8"/>
      <color indexed="10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u val="singleAccounting"/>
      <sz val="10"/>
      <name val="Arial"/>
      <family val="2"/>
    </font>
    <font>
      <i/>
      <sz val="9"/>
      <color indexed="12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10"/>
      <name val="Times New Roman"/>
      <family val="1"/>
    </font>
    <font>
      <sz val="11"/>
      <color indexed="10"/>
      <name val="Calibri"/>
      <family val="2"/>
    </font>
    <font>
      <sz val="7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7"/>
      <color indexed="12"/>
      <name val="Arial"/>
      <family val="2"/>
    </font>
    <font>
      <sz val="8"/>
      <color indexed="9"/>
      <name val="Arial"/>
      <family val="2"/>
    </font>
    <font>
      <b/>
      <i/>
      <sz val="8"/>
      <name val="Helv"/>
    </font>
    <font>
      <b/>
      <sz val="8"/>
      <name val="Palatino"/>
      <family val="1"/>
    </font>
    <font>
      <sz val="8"/>
      <color indexed="8"/>
      <name val="Arial"/>
      <family val="2"/>
    </font>
    <font>
      <sz val="6"/>
      <name val="Arial"/>
      <family val="2"/>
    </font>
    <font>
      <sz val="24"/>
      <name val="Arial"/>
      <family val="2"/>
    </font>
    <font>
      <sz val="8"/>
      <name val="Courier"/>
      <family val="3"/>
    </font>
    <font>
      <b/>
      <sz val="8"/>
      <name val="Courier"/>
      <family val="3"/>
    </font>
    <font>
      <b/>
      <u/>
      <sz val="10"/>
      <name val="Courier"/>
      <family val="3"/>
    </font>
    <font>
      <b/>
      <sz val="8"/>
      <color indexed="8"/>
      <name val="Arial"/>
      <family val="2"/>
    </font>
    <font>
      <b/>
      <sz val="8"/>
      <color indexed="10"/>
      <name val="Arial"/>
      <family val="2"/>
    </font>
    <font>
      <sz val="8"/>
      <color indexed="63"/>
      <name val="Arial"/>
      <family val="2"/>
    </font>
    <font>
      <b/>
      <sz val="8"/>
      <color indexed="9"/>
      <name val="Arial"/>
      <family val="2"/>
    </font>
    <font>
      <sz val="8.25"/>
      <name val="Helv"/>
    </font>
    <font>
      <sz val="10"/>
      <color indexed="9"/>
      <name val="Arial"/>
      <family val="2"/>
    </font>
    <font>
      <b/>
      <sz val="12"/>
      <name val="Times New Roman"/>
      <family val="1"/>
    </font>
    <font>
      <b/>
      <sz val="10"/>
      <color indexed="8"/>
      <name val="Times New Roman"/>
      <family val="1"/>
    </font>
    <font>
      <sz val="10"/>
      <name val="Helv"/>
    </font>
    <font>
      <b/>
      <sz val="48"/>
      <color indexed="12"/>
      <name val="Lucida Console"/>
      <family val="3"/>
    </font>
    <font>
      <sz val="10"/>
      <color indexed="18"/>
      <name val="Arial"/>
      <family val="2"/>
    </font>
    <font>
      <sz val="8"/>
      <name val="VeticaBlack"/>
      <family val="2"/>
    </font>
    <font>
      <u/>
      <sz val="12"/>
      <color indexed="36"/>
      <name val="Arial"/>
      <family val="2"/>
    </font>
    <font>
      <sz val="10"/>
      <color indexed="8"/>
      <name val="Times New Roman"/>
      <family val="1"/>
    </font>
    <font>
      <sz val="10"/>
      <name val="Palatino"/>
      <family val="1"/>
    </font>
    <font>
      <sz val="8.5"/>
      <name val="Arial Narrow"/>
      <family val="2"/>
    </font>
    <font>
      <sz val="10"/>
      <color indexed="24"/>
      <name val="Arial"/>
      <family val="2"/>
    </font>
    <font>
      <b/>
      <sz val="24"/>
      <name val="Sabon"/>
      <family val="2"/>
    </font>
    <font>
      <b/>
      <sz val="11"/>
      <color indexed="8"/>
      <name val="Calibri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7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i/>
      <sz val="11"/>
      <color rgb="FF0070C0"/>
      <name val="Calibri"/>
      <family val="2"/>
      <scheme val="minor"/>
    </font>
  </fonts>
  <fills count="7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indexed="12"/>
      </patternFill>
    </fill>
    <fill>
      <patternFill patternType="solid">
        <fgColor indexed="13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darkTrellis">
        <fgColor indexed="13"/>
        <bgColor indexed="9"/>
      </patternFill>
    </fill>
    <fill>
      <patternFill patternType="gray0625">
        <fgColor indexed="22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4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 style="thin">
        <color rgb="FF000000"/>
      </bottom>
      <diagonal/>
    </border>
    <border>
      <left style="dotted">
        <color theme="0" tint="-0.34998626667073579"/>
      </left>
      <right style="dotted">
        <color theme="0" tint="-0.34998626667073579"/>
      </right>
      <top style="thin">
        <color auto="1"/>
      </top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 style="thin">
        <color indexed="64"/>
      </bottom>
      <diagonal/>
    </border>
  </borders>
  <cellStyleXfs count="3273">
    <xf numFmtId="0" fontId="0" fillId="0" borderId="0"/>
    <xf numFmtId="9" fontId="1" fillId="0" borderId="0" applyFont="0" applyFill="0" applyBorder="0" applyAlignment="0" applyProtection="0"/>
    <xf numFmtId="0" fontId="6" fillId="0" borderId="0"/>
    <xf numFmtId="1" fontId="8" fillId="0" borderId="0" applyFill="0" applyBorder="0" applyProtection="0">
      <alignment horizontal="right" wrapText="1"/>
      <protection locked="0"/>
    </xf>
    <xf numFmtId="180" fontId="9" fillId="0" borderId="0" applyFill="0" applyBorder="0" applyProtection="0">
      <alignment horizontal="right"/>
      <protection locked="0"/>
    </xf>
    <xf numFmtId="0" fontId="10" fillId="0" borderId="0" applyNumberFormat="0" applyFill="0" applyBorder="0" applyProtection="0">
      <protection locked="0"/>
    </xf>
    <xf numFmtId="180" fontId="11" fillId="0" borderId="0">
      <protection locked="0"/>
    </xf>
    <xf numFmtId="178" fontId="12" fillId="0" borderId="0">
      <alignment vertical="top"/>
    </xf>
    <xf numFmtId="177" fontId="13" fillId="0" borderId="6"/>
    <xf numFmtId="178" fontId="14" fillId="0" borderId="0">
      <alignment horizontal="left"/>
    </xf>
    <xf numFmtId="1" fontId="15" fillId="0" borderId="0">
      <protection locked="0"/>
    </xf>
    <xf numFmtId="0" fontId="16" fillId="0" borderId="0">
      <alignment horizontal="center" wrapText="1"/>
      <protection hidden="1"/>
    </xf>
    <xf numFmtId="165" fontId="6" fillId="0" borderId="0" applyFont="0" applyFill="0" applyBorder="0" applyAlignment="0" applyProtection="0"/>
    <xf numFmtId="181" fontId="17" fillId="0" borderId="0"/>
    <xf numFmtId="181" fontId="17" fillId="0" borderId="0"/>
    <xf numFmtId="181" fontId="17" fillId="0" borderId="0"/>
    <xf numFmtId="181" fontId="17" fillId="0" borderId="0"/>
    <xf numFmtId="181" fontId="17" fillId="0" borderId="0"/>
    <xf numFmtId="181" fontId="17" fillId="0" borderId="0"/>
    <xf numFmtId="181" fontId="17" fillId="0" borderId="0"/>
    <xf numFmtId="181" fontId="17" fillId="0" borderId="0"/>
    <xf numFmtId="165" fontId="7" fillId="0" borderId="0" applyFont="0" applyFill="0" applyBorder="0" applyAlignment="0" applyProtection="0"/>
    <xf numFmtId="3" fontId="18" fillId="0" borderId="0" applyFont="0" applyFill="0" applyBorder="0" applyAlignment="0" applyProtection="0"/>
    <xf numFmtId="0" fontId="19" fillId="5" borderId="0">
      <alignment horizontal="center" vertical="center" wrapText="1"/>
    </xf>
    <xf numFmtId="189" fontId="16" fillId="0" borderId="0" applyFill="0" applyBorder="0">
      <alignment horizontal="right"/>
      <protection locked="0"/>
    </xf>
    <xf numFmtId="182" fontId="18" fillId="0" borderId="0" applyFont="0" applyFill="0" applyBorder="0" applyAlignment="0" applyProtection="0"/>
    <xf numFmtId="0" fontId="16" fillId="0" borderId="0" applyFont="0" applyFill="0" applyBorder="0" applyAlignment="0">
      <protection locked="0"/>
    </xf>
    <xf numFmtId="17" fontId="20" fillId="0" borderId="5" applyFont="0" applyFill="0" applyBorder="0" applyAlignment="0" applyProtection="0"/>
    <xf numFmtId="183" fontId="21" fillId="0" borderId="0"/>
    <xf numFmtId="184" fontId="21" fillId="0" borderId="0"/>
    <xf numFmtId="185" fontId="7" fillId="0" borderId="0" applyFont="0" applyFill="0" applyBorder="0" applyAlignment="0" applyProtection="0"/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6" fillId="0" borderId="0"/>
    <xf numFmtId="186" fontId="23" fillId="0" borderId="0" applyFont="0" applyFill="0" applyBorder="0" applyAlignment="0" applyProtection="0">
      <protection locked="0"/>
    </xf>
    <xf numFmtId="13" fontId="23" fillId="0" borderId="0" applyFont="0" applyFill="0" applyBorder="0" applyAlignment="0" applyProtection="0">
      <protection locked="0"/>
    </xf>
    <xf numFmtId="173" fontId="24" fillId="0" borderId="0" applyFill="0" applyBorder="0" applyProtection="0">
      <alignment horizontal="right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13" fontId="8" fillId="0" borderId="7" applyNumberFormat="0" applyFont="0" applyFill="0" applyAlignment="0" applyProtection="0">
      <alignment horizontal="right" wrapText="1"/>
      <protection locked="0"/>
    </xf>
    <xf numFmtId="0" fontId="16" fillId="0" borderId="0" applyFill="0" applyBorder="0">
      <alignment horizontal="right"/>
      <protection locked="0"/>
    </xf>
    <xf numFmtId="190" fontId="16" fillId="0" borderId="0" applyFill="0" applyBorder="0">
      <alignment horizontal="right"/>
      <protection locked="0"/>
    </xf>
    <xf numFmtId="0" fontId="26" fillId="6" borderId="8">
      <alignment horizontal="left" vertical="center" wrapText="1"/>
    </xf>
    <xf numFmtId="15" fontId="7" fillId="0" borderId="0"/>
    <xf numFmtId="164" fontId="7" fillId="0" borderId="0" applyFont="0" applyFill="0" applyBorder="0" applyAlignment="0" applyProtection="0"/>
    <xf numFmtId="4" fontId="27" fillId="0" borderId="0" applyFont="0" applyFill="0" applyBorder="0" applyAlignment="0" applyProtection="0"/>
    <xf numFmtId="16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28" fillId="0" borderId="0"/>
    <xf numFmtId="179" fontId="29" fillId="0" borderId="0"/>
    <xf numFmtId="0" fontId="1" fillId="0" borderId="0"/>
    <xf numFmtId="0" fontId="7" fillId="0" borderId="0"/>
    <xf numFmtId="187" fontId="30" fillId="0" borderId="0" applyFont="0" applyFill="0" applyBorder="0" applyAlignment="0" applyProtection="0"/>
    <xf numFmtId="188" fontId="31" fillId="0" borderId="0">
      <protection locked="0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91" fontId="16" fillId="0" borderId="0" applyFill="0" applyBorder="0">
      <alignment horizontal="right"/>
      <protection locked="0"/>
    </xf>
    <xf numFmtId="9" fontId="7" fillId="0" borderId="0" applyNumberFormat="0" applyFill="0" applyBorder="0" applyAlignment="0" applyProtection="0"/>
    <xf numFmtId="192" fontId="16" fillId="0" borderId="0" applyFill="0" applyBorder="0">
      <alignment horizontal="right"/>
      <protection locked="0"/>
    </xf>
    <xf numFmtId="193" fontId="16" fillId="0" borderId="0">
      <alignment horizontal="right"/>
      <protection locked="0"/>
    </xf>
    <xf numFmtId="0" fontId="32" fillId="0" borderId="0" applyNumberFormat="0" applyFill="0" applyBorder="0" applyProtection="0">
      <protection locked="0"/>
    </xf>
    <xf numFmtId="194" fontId="33" fillId="0" borderId="0" applyFill="0" applyBorder="0">
      <alignment horizontal="right"/>
      <protection hidden="1"/>
    </xf>
    <xf numFmtId="0" fontId="34" fillId="5" borderId="9">
      <alignment horizontal="center" vertical="center" wrapText="1"/>
      <protection hidden="1"/>
    </xf>
    <xf numFmtId="38" fontId="16" fillId="0" borderId="0" applyFont="0" applyFill="0" applyBorder="0" applyAlignment="0" applyProtection="0"/>
    <xf numFmtId="180" fontId="35" fillId="7" borderId="0" applyNumberFormat="0" applyFont="0" applyBorder="0" applyAlignment="0" applyProtection="0">
      <protection locked="0"/>
    </xf>
    <xf numFmtId="195" fontId="16" fillId="0" borderId="0">
      <protection locked="0"/>
    </xf>
    <xf numFmtId="0" fontId="16" fillId="0" borderId="0" applyBorder="0"/>
    <xf numFmtId="0" fontId="16" fillId="0" borderId="0"/>
    <xf numFmtId="0" fontId="23" fillId="6" borderId="0" applyNumberFormat="0" applyFont="0" applyBorder="0" applyAlignment="0" applyProtection="0"/>
    <xf numFmtId="0" fontId="6" fillId="0" borderId="0"/>
    <xf numFmtId="17" fontId="20" fillId="0" borderId="12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9" fontId="3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8" fillId="0" borderId="4">
      <alignment horizontal="left" vertical="center"/>
    </xf>
    <xf numFmtId="9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7" fillId="0" borderId="0"/>
    <xf numFmtId="9" fontId="37" fillId="0" borderId="0" applyFont="0" applyFill="0" applyBorder="0" applyAlignment="0" applyProtection="0"/>
    <xf numFmtId="0" fontId="37" fillId="0" borderId="0"/>
    <xf numFmtId="0" fontId="16" fillId="0" borderId="0"/>
    <xf numFmtId="198" fontId="7" fillId="0" borderId="0" applyFont="0" applyFill="0" applyBorder="0" applyAlignment="0" applyProtection="0"/>
    <xf numFmtId="0" fontId="38" fillId="0" borderId="13" applyNumberFormat="0" applyAlignment="0" applyProtection="0">
      <alignment horizontal="left" vertical="center"/>
    </xf>
    <xf numFmtId="1" fontId="18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40" fillId="0" borderId="0"/>
    <xf numFmtId="165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9" fillId="12" borderId="0" applyNumberFormat="0" applyFont="0" applyAlignment="0" applyProtection="0">
      <protection locked="0"/>
    </xf>
    <xf numFmtId="0" fontId="37" fillId="0" borderId="0"/>
    <xf numFmtId="0" fontId="6" fillId="0" borderId="0"/>
    <xf numFmtId="29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294" fontId="7" fillId="0" borderId="0" applyFont="0" applyFill="0" applyBorder="0" applyAlignment="0" applyProtection="0"/>
    <xf numFmtId="295" fontId="7" fillId="0" borderId="0" applyFont="0" applyFill="0" applyBorder="0" applyAlignment="0" applyProtection="0"/>
    <xf numFmtId="37" fontId="7" fillId="0" borderId="0" applyFont="0" applyFill="0" applyBorder="0" applyAlignment="0" applyProtection="0"/>
    <xf numFmtId="173" fontId="7" fillId="0" borderId="0"/>
    <xf numFmtId="202" fontId="43" fillId="0" borderId="0"/>
    <xf numFmtId="202" fontId="43" fillId="0" borderId="0"/>
    <xf numFmtId="202" fontId="43" fillId="0" borderId="0"/>
    <xf numFmtId="202" fontId="43" fillId="0" borderId="0"/>
    <xf numFmtId="202" fontId="43" fillId="0" borderId="0"/>
    <xf numFmtId="173" fontId="7" fillId="0" borderId="0"/>
    <xf numFmtId="203" fontId="7" fillId="0" borderId="0"/>
    <xf numFmtId="202" fontId="43" fillId="0" borderId="0"/>
    <xf numFmtId="204" fontId="7" fillId="0" borderId="0"/>
    <xf numFmtId="202" fontId="43" fillId="0" borderId="0"/>
    <xf numFmtId="202" fontId="43" fillId="0" borderId="0"/>
    <xf numFmtId="203" fontId="7" fillId="0" borderId="0"/>
    <xf numFmtId="203" fontId="7" fillId="0" borderId="0"/>
    <xf numFmtId="203" fontId="7" fillId="0" borderId="0"/>
    <xf numFmtId="203" fontId="7" fillId="0" borderId="0"/>
    <xf numFmtId="203" fontId="7" fillId="0" borderId="0"/>
    <xf numFmtId="203" fontId="7" fillId="0" borderId="0"/>
    <xf numFmtId="203" fontId="7" fillId="0" borderId="0"/>
    <xf numFmtId="203" fontId="7" fillId="0" borderId="0"/>
    <xf numFmtId="202" fontId="43" fillId="0" borderId="0"/>
    <xf numFmtId="204" fontId="7" fillId="0" borderId="0"/>
    <xf numFmtId="202" fontId="43" fillId="0" borderId="0"/>
    <xf numFmtId="202" fontId="43" fillId="0" borderId="0"/>
    <xf numFmtId="203" fontId="7" fillId="0" borderId="0"/>
    <xf numFmtId="203" fontId="7" fillId="0" borderId="0"/>
    <xf numFmtId="203" fontId="7" fillId="0" borderId="0"/>
    <xf numFmtId="203" fontId="7" fillId="0" borderId="0"/>
    <xf numFmtId="203" fontId="7" fillId="0" borderId="0"/>
    <xf numFmtId="203" fontId="7" fillId="0" borderId="0"/>
    <xf numFmtId="203" fontId="7" fillId="0" borderId="0"/>
    <xf numFmtId="166" fontId="47" fillId="0" borderId="0" applyFont="0" applyFill="0" applyBorder="0" applyAlignment="0" applyProtection="0"/>
    <xf numFmtId="166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206" fontId="48" fillId="0" borderId="0" applyFont="0" applyFill="0" applyBorder="0" applyAlignment="0" applyProtection="0"/>
    <xf numFmtId="207" fontId="12" fillId="0" borderId="0" applyFont="0" applyFill="0" applyBorder="0" applyAlignment="0" applyProtection="0"/>
    <xf numFmtId="208" fontId="7" fillId="0" borderId="0" applyFont="0" applyFill="0" applyBorder="0" applyAlignment="0" applyProtection="0"/>
    <xf numFmtId="168" fontId="49" fillId="0" borderId="0" applyFont="0" applyFill="0" applyBorder="0" applyAlignment="0" applyProtection="0"/>
    <xf numFmtId="206" fontId="47" fillId="0" borderId="0" applyFont="0" applyFill="0" applyBorder="0" applyAlignment="0" applyProtection="0"/>
    <xf numFmtId="207" fontId="49" fillId="0" borderId="0" applyFont="0" applyFill="0" applyBorder="0" applyAlignment="0" applyProtection="0"/>
    <xf numFmtId="208" fontId="47" fillId="0" borderId="0" applyFont="0" applyFill="0" applyBorder="0" applyAlignment="0" applyProtection="0"/>
    <xf numFmtId="0" fontId="50" fillId="0" borderId="0" applyNumberFormat="0" applyFont="0" applyFill="0" applyBorder="0" applyAlignment="0" applyProtection="0"/>
    <xf numFmtId="209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43" fillId="0" borderId="0" applyFont="0" applyFill="0" applyBorder="0" applyAlignment="0" applyProtection="0"/>
    <xf numFmtId="212" fontId="43" fillId="0" borderId="0" applyFont="0" applyFill="0" applyBorder="0" applyAlignment="0" applyProtection="0"/>
    <xf numFmtId="212" fontId="43" fillId="0" borderId="0" applyFont="0" applyFill="0" applyBorder="0" applyAlignment="0" applyProtection="0"/>
    <xf numFmtId="212" fontId="43" fillId="0" borderId="0" applyFont="0" applyFill="0" applyBorder="0" applyAlignment="0" applyProtection="0"/>
    <xf numFmtId="212" fontId="43" fillId="0" borderId="0" applyFont="0" applyFill="0" applyBorder="0" applyAlignment="0" applyProtection="0"/>
    <xf numFmtId="212" fontId="43" fillId="0" borderId="0" applyFont="0" applyFill="0" applyBorder="0" applyAlignment="0" applyProtection="0"/>
    <xf numFmtId="212" fontId="43" fillId="0" borderId="0" applyFont="0" applyFill="0" applyBorder="0" applyAlignment="0" applyProtection="0"/>
    <xf numFmtId="212" fontId="43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7" fontId="43" fillId="0" borderId="0" applyFont="0" applyFill="0" applyBorder="0" applyAlignment="0" applyProtection="0"/>
    <xf numFmtId="217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8" fontId="7" fillId="0" borderId="0" applyFont="0" applyFill="0" applyBorder="0" applyAlignment="0" applyProtection="0"/>
    <xf numFmtId="218" fontId="7" fillId="0" borderId="0" applyFont="0" applyFill="0" applyBorder="0" applyAlignment="0" applyProtection="0"/>
    <xf numFmtId="218" fontId="7" fillId="0" borderId="0" applyFont="0" applyFill="0" applyBorder="0" applyAlignment="0" applyProtection="0"/>
    <xf numFmtId="218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43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43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" fillId="17" borderId="0" applyNumberFormat="0" applyFont="0" applyAlignment="0" applyProtection="0"/>
    <xf numFmtId="220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0" fontId="43" fillId="0" borderId="0" applyFont="0" applyFill="0" applyBorder="0" applyAlignment="0" applyProtection="0"/>
    <xf numFmtId="22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2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2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25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2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6" fontId="7" fillId="0" borderId="0" applyFont="0" applyFill="0" applyBorder="0" applyProtection="0">
      <alignment horizontal="right"/>
    </xf>
    <xf numFmtId="227" fontId="7" fillId="0" borderId="0" applyFont="0" applyFill="0" applyBorder="0" applyAlignment="0" applyProtection="0"/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6" fontId="43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0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6" fontId="7" fillId="0" borderId="0" applyFont="0" applyFill="0" applyBorder="0" applyProtection="0">
      <alignment horizontal="right"/>
    </xf>
    <xf numFmtId="228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6" fontId="7" fillId="0" borderId="0" applyFont="0" applyFill="0" applyBorder="0" applyProtection="0">
      <alignment horizontal="right"/>
    </xf>
    <xf numFmtId="228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167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3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3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1" fontId="7" fillId="0" borderId="0" applyFont="0" applyFill="0" applyBorder="0" applyProtection="0">
      <alignment horizontal="right"/>
    </xf>
    <xf numFmtId="231" fontId="7" fillId="0" borderId="0" applyFont="0" applyFill="0" applyBorder="0" applyProtection="0">
      <alignment horizontal="right"/>
    </xf>
    <xf numFmtId="231" fontId="7" fillId="0" borderId="0" applyFont="0" applyFill="0" applyBorder="0" applyProtection="0">
      <alignment horizontal="right"/>
    </xf>
    <xf numFmtId="231" fontId="7" fillId="0" borderId="0" applyFont="0" applyFill="0" applyBorder="0" applyProtection="0">
      <alignment horizontal="right"/>
    </xf>
    <xf numFmtId="231" fontId="7" fillId="0" borderId="0" applyFont="0" applyFill="0" applyBorder="0" applyProtection="0">
      <alignment horizontal="right"/>
    </xf>
    <xf numFmtId="231" fontId="7" fillId="0" borderId="0" applyFont="0" applyFill="0" applyBorder="0" applyProtection="0">
      <alignment horizontal="right"/>
    </xf>
    <xf numFmtId="231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8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0" fontId="52" fillId="0" borderId="0" applyNumberFormat="0" applyFill="0" applyBorder="0" applyProtection="0">
      <alignment vertical="top"/>
    </xf>
    <xf numFmtId="0" fontId="52" fillId="0" borderId="0" applyNumberFormat="0" applyFill="0" applyBorder="0" applyProtection="0">
      <alignment vertical="top"/>
    </xf>
    <xf numFmtId="0" fontId="52" fillId="0" borderId="0" applyNumberFormat="0" applyFill="0" applyBorder="0" applyProtection="0">
      <alignment vertical="top"/>
    </xf>
    <xf numFmtId="0" fontId="52" fillId="0" borderId="0" applyNumberFormat="0" applyFill="0" applyBorder="0" applyProtection="0">
      <alignment vertical="top"/>
    </xf>
    <xf numFmtId="0" fontId="52" fillId="0" borderId="0" applyNumberFormat="0" applyFill="0" applyBorder="0" applyProtection="0">
      <alignment vertical="top"/>
    </xf>
    <xf numFmtId="0" fontId="52" fillId="0" borderId="0" applyNumberFormat="0" applyFill="0" applyBorder="0" applyProtection="0">
      <alignment vertical="top"/>
    </xf>
    <xf numFmtId="0" fontId="52" fillId="0" borderId="0" applyNumberFormat="0" applyFill="0" applyBorder="0" applyProtection="0">
      <alignment vertical="top"/>
    </xf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53" fillId="0" borderId="18" applyNumberFormat="0" applyFill="0" applyProtection="0">
      <alignment horizontal="center"/>
    </xf>
    <xf numFmtId="0" fontId="53" fillId="0" borderId="18" applyNumberFormat="0" applyFill="0" applyProtection="0">
      <alignment horizontal="center"/>
    </xf>
    <xf numFmtId="0" fontId="53" fillId="0" borderId="18" applyNumberFormat="0" applyFill="0" applyProtection="0">
      <alignment horizontal="center"/>
    </xf>
    <xf numFmtId="0" fontId="53" fillId="0" borderId="18" applyNumberFormat="0" applyFill="0" applyProtection="0">
      <alignment horizontal="center"/>
    </xf>
    <xf numFmtId="0" fontId="53" fillId="0" borderId="18" applyNumberFormat="0" applyFill="0" applyProtection="0">
      <alignment horizontal="center"/>
    </xf>
    <xf numFmtId="0" fontId="53" fillId="0" borderId="18" applyNumberFormat="0" applyFill="0" applyProtection="0">
      <alignment horizontal="center"/>
    </xf>
    <xf numFmtId="0" fontId="53" fillId="0" borderId="18" applyNumberFormat="0" applyFill="0" applyProtection="0">
      <alignment horizontal="center"/>
    </xf>
    <xf numFmtId="0" fontId="53" fillId="0" borderId="18" applyNumberFormat="0" applyFill="0" applyProtection="0">
      <alignment horizontal="center"/>
    </xf>
    <xf numFmtId="0" fontId="53" fillId="0" borderId="18" applyNumberFormat="0" applyFill="0" applyProtection="0">
      <alignment horizontal="center"/>
    </xf>
    <xf numFmtId="0" fontId="53" fillId="0" borderId="18" applyNumberFormat="0" applyFill="0" applyProtection="0">
      <alignment horizontal="center"/>
    </xf>
    <xf numFmtId="0" fontId="7" fillId="0" borderId="19" applyNumberFormat="0" applyFont="0" applyFill="0" applyAlignment="0" applyProtection="0"/>
    <xf numFmtId="0" fontId="53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left"/>
    </xf>
    <xf numFmtId="0" fontId="54" fillId="0" borderId="0" applyNumberFormat="0" applyFill="0" applyBorder="0" applyProtection="0">
      <alignment horizontal="centerContinuous"/>
    </xf>
    <xf numFmtId="0" fontId="54" fillId="0" borderId="0" applyNumberFormat="0" applyFill="0" applyBorder="0" applyProtection="0">
      <alignment horizontal="centerContinuous"/>
    </xf>
    <xf numFmtId="0" fontId="54" fillId="0" borderId="0" applyNumberFormat="0" applyFill="0" applyBorder="0" applyProtection="0">
      <alignment horizontal="centerContinuous"/>
    </xf>
    <xf numFmtId="0" fontId="54" fillId="0" borderId="0" applyNumberFormat="0" applyFill="0" applyBorder="0" applyProtection="0">
      <alignment horizontal="centerContinuous"/>
    </xf>
    <xf numFmtId="0" fontId="54" fillId="0" borderId="0" applyNumberFormat="0" applyFill="0" applyBorder="0" applyProtection="0">
      <alignment horizontal="centerContinuous"/>
    </xf>
    <xf numFmtId="0" fontId="54" fillId="0" borderId="0" applyNumberFormat="0" applyFill="0" applyBorder="0" applyProtection="0">
      <alignment horizontal="centerContinuous"/>
    </xf>
    <xf numFmtId="0" fontId="54" fillId="0" borderId="0" applyNumberFormat="0" applyFill="0" applyBorder="0" applyProtection="0">
      <alignment horizontal="centerContinuous"/>
    </xf>
    <xf numFmtId="0" fontId="54" fillId="0" borderId="0" applyNumberFormat="0" applyFill="0" applyBorder="0" applyProtection="0">
      <alignment horizontal="centerContinuous"/>
    </xf>
    <xf numFmtId="0" fontId="54" fillId="0" borderId="0" applyNumberFormat="0" applyFill="0" applyBorder="0" applyProtection="0">
      <alignment horizontal="centerContinuous"/>
    </xf>
    <xf numFmtId="0" fontId="41" fillId="0" borderId="0" applyNumberFormat="0" applyFill="0" applyBorder="0" applyAlignment="0" applyProtection="0"/>
    <xf numFmtId="289" fontId="75" fillId="0" borderId="0" applyFont="0" applyFill="0" applyBorder="0" applyAlignment="0" applyProtection="0"/>
    <xf numFmtId="290" fontId="75" fillId="0" borderId="0" applyFont="0" applyFill="0" applyBorder="0" applyAlignment="0" applyProtection="0"/>
    <xf numFmtId="235" fontId="44" fillId="0" borderId="0" applyFont="0" applyAlignment="0">
      <alignment horizontal="center"/>
    </xf>
    <xf numFmtId="9" fontId="55" fillId="0" borderId="0" applyFont="0" applyFill="0" applyBorder="0" applyAlignment="0" applyProtection="0"/>
    <xf numFmtId="37" fontId="7" fillId="0" borderId="0" applyFont="0" applyFill="0" applyBorder="0" applyAlignment="0" applyProtection="0"/>
    <xf numFmtId="174" fontId="48" fillId="0" borderId="0" applyFont="0" applyFill="0" applyBorder="0" applyAlignment="0" applyProtection="0"/>
    <xf numFmtId="39" fontId="48" fillId="0" borderId="0" applyFont="0" applyFill="0" applyBorder="0" applyAlignment="0" applyProtection="0"/>
    <xf numFmtId="200" fontId="7" fillId="0" borderId="0" applyFont="0" applyFill="0" applyBorder="0" applyAlignment="0" applyProtection="0"/>
    <xf numFmtId="196" fontId="48" fillId="0" borderId="0" applyFont="0" applyFill="0" applyBorder="0" applyAlignment="0" applyProtection="0"/>
    <xf numFmtId="172" fontId="132" fillId="0" borderId="14" applyFont="0" applyFill="0" applyBorder="0" applyAlignment="0" applyProtection="0">
      <alignment horizontal="right"/>
    </xf>
    <xf numFmtId="173" fontId="55" fillId="0" borderId="0" applyFont="0" applyFill="0" applyBorder="0" applyAlignment="0" applyProtection="0"/>
    <xf numFmtId="39" fontId="49" fillId="0" borderId="0" applyFont="0" applyFill="0" applyBorder="0" applyAlignment="0" applyProtection="0"/>
    <xf numFmtId="10" fontId="55" fillId="0" borderId="0" applyFont="0" applyFill="0" applyBorder="0" applyAlignment="0" applyProtection="0"/>
    <xf numFmtId="200" fontId="47" fillId="0" borderId="0" applyFont="0" applyFill="0" applyBorder="0" applyAlignment="0" applyProtection="0">
      <alignment horizontal="right"/>
    </xf>
    <xf numFmtId="296" fontId="7" fillId="0" borderId="0" applyFont="0" applyFill="0" applyBorder="0" applyAlignment="0" applyProtection="0"/>
    <xf numFmtId="235" fontId="38" fillId="0" borderId="0" applyFont="0" applyFill="0" applyBorder="0" applyAlignment="0" applyProtection="0"/>
    <xf numFmtId="235" fontId="44" fillId="0" borderId="0" applyFont="0" applyAlignment="0">
      <alignment horizontal="center"/>
    </xf>
    <xf numFmtId="236" fontId="55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3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0" fontId="56" fillId="20" borderId="0" applyNumberFormat="0" applyBorder="0" applyAlignment="0" applyProtection="0"/>
    <xf numFmtId="0" fontId="56" fillId="21" borderId="0" applyNumberFormat="0" applyBorder="0" applyAlignment="0" applyProtection="0"/>
    <xf numFmtId="0" fontId="56" fillId="22" borderId="0" applyNumberFormat="0" applyBorder="0" applyAlignment="0" applyProtection="0"/>
    <xf numFmtId="0" fontId="56" fillId="23" borderId="0" applyNumberFormat="0" applyBorder="0" applyAlignment="0" applyProtection="0"/>
    <xf numFmtId="200" fontId="28" fillId="0" borderId="0" applyFont="0" applyFill="0" applyBorder="0" applyAlignment="0" applyProtection="0"/>
    <xf numFmtId="0" fontId="56" fillId="24" borderId="0" applyNumberFormat="0" applyBorder="0" applyAlignment="0" applyProtection="0"/>
    <xf numFmtId="0" fontId="56" fillId="25" borderId="0" applyNumberFormat="0" applyBorder="0" applyAlignment="0" applyProtection="0"/>
    <xf numFmtId="0" fontId="56" fillId="26" borderId="0" applyNumberFormat="0" applyBorder="0" applyAlignment="0" applyProtection="0"/>
    <xf numFmtId="0" fontId="56" fillId="21" borderId="0" applyNumberFormat="0" applyBorder="0" applyAlignment="0" applyProtection="0"/>
    <xf numFmtId="0" fontId="56" fillId="24" borderId="0" applyNumberFormat="0" applyBorder="0" applyAlignment="0" applyProtection="0"/>
    <xf numFmtId="0" fontId="56" fillId="27" borderId="0" applyNumberFormat="0" applyBorder="0" applyAlignment="0" applyProtection="0"/>
    <xf numFmtId="0" fontId="56" fillId="24" borderId="0" applyNumberFormat="0" applyBorder="0" applyAlignment="0" applyProtection="0"/>
    <xf numFmtId="0" fontId="56" fillId="25" borderId="0" applyNumberFormat="0" applyBorder="0" applyAlignment="0" applyProtection="0"/>
    <xf numFmtId="0" fontId="56" fillId="26" borderId="0" applyNumberFormat="0" applyBorder="0" applyAlignment="0" applyProtection="0"/>
    <xf numFmtId="0" fontId="56" fillId="21" borderId="0" applyNumberFormat="0" applyBorder="0" applyAlignment="0" applyProtection="0"/>
    <xf numFmtId="0" fontId="56" fillId="24" borderId="0" applyNumberFormat="0" applyBorder="0" applyAlignment="0" applyProtection="0"/>
    <xf numFmtId="0" fontId="56" fillId="27" borderId="0" applyNumberFormat="0" applyBorder="0" applyAlignment="0" applyProtection="0"/>
    <xf numFmtId="0" fontId="57" fillId="28" borderId="0" applyNumberFormat="0" applyBorder="0" applyAlignment="0" applyProtection="0"/>
    <xf numFmtId="0" fontId="57" fillId="25" borderId="0" applyNumberFormat="0" applyBorder="0" applyAlignment="0" applyProtection="0"/>
    <xf numFmtId="0" fontId="57" fillId="26" borderId="0" applyNumberFormat="0" applyBorder="0" applyAlignment="0" applyProtection="0"/>
    <xf numFmtId="0" fontId="57" fillId="29" borderId="0" applyNumberFormat="0" applyBorder="0" applyAlignment="0" applyProtection="0"/>
    <xf numFmtId="0" fontId="57" fillId="30" borderId="0" applyNumberFormat="0" applyBorder="0" applyAlignment="0" applyProtection="0"/>
    <xf numFmtId="0" fontId="57" fillId="31" borderId="0" applyNumberFormat="0" applyBorder="0" applyAlignment="0" applyProtection="0"/>
    <xf numFmtId="0" fontId="57" fillId="28" borderId="0" applyNumberFormat="0" applyBorder="0" applyAlignment="0" applyProtection="0"/>
    <xf numFmtId="0" fontId="57" fillId="25" borderId="0" applyNumberFormat="0" applyBorder="0" applyAlignment="0" applyProtection="0"/>
    <xf numFmtId="0" fontId="57" fillId="26" borderId="0" applyNumberFormat="0" applyBorder="0" applyAlignment="0" applyProtection="0"/>
    <xf numFmtId="0" fontId="57" fillId="29" borderId="0" applyNumberFormat="0" applyBorder="0" applyAlignment="0" applyProtection="0"/>
    <xf numFmtId="0" fontId="57" fillId="30" borderId="0" applyNumberFormat="0" applyBorder="0" applyAlignment="0" applyProtection="0"/>
    <xf numFmtId="0" fontId="5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37" fontId="58" fillId="0" borderId="0"/>
    <xf numFmtId="174" fontId="123" fillId="0" borderId="20" applyBorder="0"/>
    <xf numFmtId="0" fontId="57" fillId="32" borderId="0" applyNumberFormat="0" applyBorder="0" applyAlignment="0" applyProtection="0"/>
    <xf numFmtId="0" fontId="57" fillId="33" borderId="0" applyNumberFormat="0" applyBorder="0" applyAlignment="0" applyProtection="0"/>
    <xf numFmtId="0" fontId="57" fillId="34" borderId="0" applyNumberFormat="0" applyBorder="0" applyAlignment="0" applyProtection="0"/>
    <xf numFmtId="0" fontId="57" fillId="29" borderId="0" applyNumberFormat="0" applyBorder="0" applyAlignment="0" applyProtection="0"/>
    <xf numFmtId="0" fontId="57" fillId="30" borderId="0" applyNumberFormat="0" applyBorder="0" applyAlignment="0" applyProtection="0"/>
    <xf numFmtId="0" fontId="57" fillId="35" borderId="0" applyNumberFormat="0" applyBorder="0" applyAlignment="0" applyProtection="0"/>
    <xf numFmtId="237" fontId="59" fillId="0" borderId="0" applyFont="0" applyFill="0" applyBorder="0" applyAlignment="0" applyProtection="0"/>
    <xf numFmtId="238" fontId="59" fillId="0" borderId="0" applyFont="0" applyFill="0" applyBorder="0" applyAlignment="0" applyProtection="0"/>
    <xf numFmtId="237" fontId="59" fillId="0" borderId="0" applyFont="0" applyFill="0" applyBorder="0" applyAlignment="0" applyProtection="0"/>
    <xf numFmtId="0" fontId="7" fillId="0" borderId="0"/>
    <xf numFmtId="0" fontId="40" fillId="0" borderId="0" applyNumberFormat="0" applyFont="0" applyBorder="0" applyAlignment="0">
      <alignment horizontal="center"/>
    </xf>
    <xf numFmtId="239" fontId="60" fillId="0" borderId="0" applyFill="0" applyBorder="0" applyProtection="0">
      <alignment horizontal="center"/>
    </xf>
    <xf numFmtId="0" fontId="61" fillId="0" borderId="0" applyNumberFormat="0" applyFont="0" applyBorder="0" applyAlignment="0"/>
    <xf numFmtId="0" fontId="7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" fillId="0" borderId="21">
      <protection hidden="1"/>
    </xf>
    <xf numFmtId="0" fontId="7" fillId="0" borderId="0"/>
    <xf numFmtId="0" fontId="62" fillId="19" borderId="0" applyNumberFormat="0" applyBorder="0" applyAlignment="0" applyProtection="0"/>
    <xf numFmtId="0" fontId="133" fillId="13" borderId="0" applyNumberFormat="0" applyBorder="0" applyAlignment="0">
      <protection hidden="1"/>
    </xf>
    <xf numFmtId="0" fontId="6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34" fillId="0" borderId="2" applyNumberFormat="0" applyFill="0" applyAlignment="0" applyProtection="0"/>
    <xf numFmtId="285" fontId="14" fillId="0" borderId="0" applyFill="0" applyBorder="0" applyProtection="0"/>
    <xf numFmtId="285" fontId="14" fillId="0" borderId="0" applyFill="0" applyBorder="0" applyProtection="0"/>
    <xf numFmtId="0" fontId="64" fillId="20" borderId="0" applyNumberFormat="0" applyBorder="0" applyAlignment="0" applyProtection="0"/>
    <xf numFmtId="0" fontId="47" fillId="0" borderId="3" applyNumberFormat="0" applyFont="0" applyFill="0" applyAlignment="0" applyProtection="0"/>
    <xf numFmtId="0" fontId="47" fillId="0" borderId="22" applyNumberFormat="0" applyFont="0" applyFill="0" applyAlignment="0" applyProtection="0"/>
    <xf numFmtId="240" fontId="7" fillId="0" borderId="0" applyFont="0" applyFill="0" applyBorder="0" applyAlignment="0" applyProtection="0"/>
    <xf numFmtId="291" fontId="75" fillId="0" borderId="0" applyFont="0" applyFill="0" applyBorder="0" applyAlignment="0" applyProtection="0"/>
    <xf numFmtId="0" fontId="135" fillId="0" borderId="0"/>
    <xf numFmtId="14" fontId="53" fillId="36" borderId="23" applyBorder="0" applyAlignment="0">
      <alignment horizontal="center" vertical="center"/>
    </xf>
    <xf numFmtId="0" fontId="53" fillId="37" borderId="23" applyNumberFormat="0" applyBorder="0" applyAlignment="0">
      <alignment horizontal="center" vertical="center"/>
    </xf>
    <xf numFmtId="39" fontId="65" fillId="0" borderId="0" applyFill="0" applyBorder="0" applyAlignment="0"/>
    <xf numFmtId="0" fontId="66" fillId="38" borderId="24" applyNumberFormat="0" applyAlignment="0" applyProtection="0"/>
    <xf numFmtId="0" fontId="66" fillId="38" borderId="24" applyNumberFormat="0" applyAlignment="0" applyProtection="0"/>
    <xf numFmtId="0" fontId="67" fillId="39" borderId="25" applyNumberFormat="0" applyAlignment="0" applyProtection="0"/>
    <xf numFmtId="0" fontId="68" fillId="0" borderId="26" applyNumberFormat="0" applyFill="0" applyAlignment="0" applyProtection="0"/>
    <xf numFmtId="1" fontId="69" fillId="0" borderId="0"/>
    <xf numFmtId="0" fontId="67" fillId="39" borderId="25" applyNumberFormat="0" applyAlignment="0" applyProtection="0"/>
    <xf numFmtId="0" fontId="46" fillId="40" borderId="27" applyFont="0" applyFill="0" applyBorder="0"/>
    <xf numFmtId="0" fontId="42" fillId="0" borderId="21"/>
    <xf numFmtId="0" fontId="7" fillId="0" borderId="0">
      <alignment horizontal="center" wrapText="1"/>
      <protection hidden="1"/>
    </xf>
    <xf numFmtId="0" fontId="16" fillId="0" borderId="0">
      <alignment horizontal="center" wrapText="1"/>
      <protection hidden="1"/>
    </xf>
    <xf numFmtId="224" fontId="70" fillId="0" borderId="0" applyFont="0" applyFill="0" applyBorder="0" applyAlignment="0" applyProtection="0">
      <alignment horizontal="right"/>
    </xf>
    <xf numFmtId="241" fontId="70" fillId="0" borderId="0" applyFont="0" applyFill="0" applyBorder="0" applyAlignment="0" applyProtection="0"/>
    <xf numFmtId="205" fontId="7" fillId="0" borderId="0" applyFont="0" applyFill="0" applyBorder="0" applyAlignment="0" applyProtection="0">
      <alignment horizontal="right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29" fontId="70" fillId="0" borderId="0" applyFont="0" applyFill="0" applyBorder="0" applyAlignment="0" applyProtection="0">
      <alignment horizontal="right"/>
    </xf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24" fillId="5" borderId="0">
      <alignment horizontal="center" vertical="center" wrapText="1"/>
    </xf>
    <xf numFmtId="0" fontId="19" fillId="5" borderId="0">
      <alignment horizontal="center" vertical="center" wrapText="1"/>
    </xf>
    <xf numFmtId="37" fontId="26" fillId="0" borderId="0" applyBorder="0" applyAlignment="0">
      <alignment horizontal="center"/>
    </xf>
    <xf numFmtId="165" fontId="7" fillId="41" borderId="0" applyNumberFormat="0" applyFont="0" applyBorder="0" applyAlignment="0" applyProtection="0"/>
    <xf numFmtId="189" fontId="7" fillId="0" borderId="0" applyFill="0" applyBorder="0">
      <alignment horizontal="right"/>
      <protection locked="0"/>
    </xf>
    <xf numFmtId="189" fontId="7" fillId="0" borderId="0" applyFill="0" applyBorder="0">
      <alignment horizontal="right"/>
      <protection locked="0"/>
    </xf>
    <xf numFmtId="242" fontId="42" fillId="0" borderId="0"/>
    <xf numFmtId="243" fontId="42" fillId="0" borderId="0"/>
    <xf numFmtId="244" fontId="70" fillId="0" borderId="0" applyFont="0" applyFill="0" applyBorder="0" applyAlignment="0" applyProtection="0">
      <alignment horizontal="right"/>
    </xf>
    <xf numFmtId="203" fontId="70" fillId="0" borderId="0" applyFont="0" applyFill="0" applyBorder="0" applyAlignment="0" applyProtection="0">
      <alignment horizontal="right"/>
    </xf>
    <xf numFmtId="292" fontId="75" fillId="0" borderId="0" applyFont="0" applyFill="0" applyBorder="0" applyAlignment="0" applyProtection="0"/>
    <xf numFmtId="0" fontId="7" fillId="0" borderId="0" applyFont="0" applyFill="0" applyBorder="0" applyAlignment="0" applyProtection="0"/>
    <xf numFmtId="15" fontId="46" fillId="0" borderId="0" applyFill="0" applyBorder="0" applyAlignment="0"/>
    <xf numFmtId="245" fontId="46" fillId="12" borderId="0" applyFont="0" applyFill="0" applyBorder="0" applyAlignment="0" applyProtection="0"/>
    <xf numFmtId="246" fontId="71" fillId="12" borderId="28" applyFont="0" applyFill="0" applyBorder="0" applyAlignment="0" applyProtection="0"/>
    <xf numFmtId="245" fontId="42" fillId="12" borderId="0" applyFont="0" applyFill="0" applyBorder="0" applyAlignment="0" applyProtection="0"/>
    <xf numFmtId="17" fontId="46" fillId="0" borderId="0" applyFill="0" applyBorder="0">
      <alignment horizontal="right"/>
    </xf>
    <xf numFmtId="247" fontId="7" fillId="0" borderId="2"/>
    <xf numFmtId="248" fontId="70" fillId="0" borderId="0" applyFont="0" applyFill="0" applyBorder="0" applyAlignment="0" applyProtection="0"/>
    <xf numFmtId="17" fontId="20" fillId="0" borderId="5" applyFont="0" applyFill="0" applyBorder="0" applyAlignment="0" applyProtection="0"/>
    <xf numFmtId="14" fontId="46" fillId="41" borderId="16" applyFill="0" applyBorder="0">
      <alignment horizontal="right"/>
    </xf>
    <xf numFmtId="246" fontId="46" fillId="0" borderId="0" applyFill="0" applyBorder="0">
      <alignment horizontal="right"/>
    </xf>
    <xf numFmtId="249" fontId="7" fillId="0" borderId="0"/>
    <xf numFmtId="0" fontId="7" fillId="0" borderId="0"/>
    <xf numFmtId="0" fontId="7" fillId="42" borderId="0" applyNumberFormat="0" applyFont="0" applyBorder="0" applyAlignment="0" applyProtection="0"/>
    <xf numFmtId="250" fontId="7" fillId="0" borderId="0"/>
    <xf numFmtId="168" fontId="42" fillId="0" borderId="0"/>
    <xf numFmtId="251" fontId="70" fillId="0" borderId="29" applyNumberFormat="0" applyFont="0" applyFill="0" applyAlignment="0" applyProtection="0"/>
    <xf numFmtId="170" fontId="72" fillId="0" borderId="0" applyFill="0" applyBorder="0" applyAlignment="0" applyProtection="0"/>
    <xf numFmtId="0" fontId="57" fillId="32" borderId="0" applyNumberFormat="0" applyBorder="0" applyAlignment="0" applyProtection="0"/>
    <xf numFmtId="0" fontId="57" fillId="33" borderId="0" applyNumberFormat="0" applyBorder="0" applyAlignment="0" applyProtection="0"/>
    <xf numFmtId="0" fontId="57" fillId="34" borderId="0" applyNumberFormat="0" applyBorder="0" applyAlignment="0" applyProtection="0"/>
    <xf numFmtId="0" fontId="57" fillId="29" borderId="0" applyNumberFormat="0" applyBorder="0" applyAlignment="0" applyProtection="0"/>
    <xf numFmtId="0" fontId="57" fillId="30" borderId="0" applyNumberFormat="0" applyBorder="0" applyAlignment="0" applyProtection="0"/>
    <xf numFmtId="0" fontId="57" fillId="35" borderId="0" applyNumberFormat="0" applyBorder="0" applyAlignment="0" applyProtection="0"/>
    <xf numFmtId="0" fontId="73" fillId="23" borderId="24" applyNumberFormat="0" applyAlignment="0" applyProtection="0"/>
    <xf numFmtId="0" fontId="7" fillId="0" borderId="0"/>
    <xf numFmtId="0" fontId="7" fillId="0" borderId="0"/>
    <xf numFmtId="198" fontId="7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36" fillId="0" borderId="0"/>
    <xf numFmtId="0" fontId="7" fillId="37" borderId="0" applyNumberFormat="0" applyFont="0" applyBorder="0" applyAlignment="0" applyProtection="0"/>
    <xf numFmtId="2" fontId="7" fillId="0" borderId="0" applyFont="0" applyFill="0" applyBorder="0" applyAlignment="0" applyProtection="0"/>
    <xf numFmtId="252" fontId="7" fillId="12" borderId="0" applyFont="0" applyFill="0" applyBorder="0" applyAlignment="0"/>
    <xf numFmtId="0" fontId="42" fillId="0" borderId="0" applyFont="0" applyFill="0" applyBorder="0" applyAlignment="0" applyProtection="0">
      <alignment horizontal="right"/>
    </xf>
    <xf numFmtId="0" fontId="76" fillId="0" borderId="0" applyFill="0" applyBorder="0" applyProtection="0">
      <alignment horizontal="left"/>
    </xf>
    <xf numFmtId="39" fontId="77" fillId="0" borderId="15" applyAlignment="0"/>
    <xf numFmtId="0" fontId="137" fillId="12" borderId="0" applyNumberFormat="0" applyFont="0" applyBorder="0" applyAlignment="0" applyProtection="0">
      <alignment horizontal="centerContinuous"/>
    </xf>
    <xf numFmtId="0" fontId="137" fillId="43" borderId="0" applyNumberFormat="0" applyFont="0" applyBorder="0" applyAlignment="0" applyProtection="0">
      <alignment horizontal="centerContinuous"/>
    </xf>
    <xf numFmtId="0" fontId="138" fillId="14" borderId="30" applyNumberFormat="0" applyFont="0" applyBorder="0" applyAlignment="0"/>
    <xf numFmtId="0" fontId="7" fillId="12" borderId="31" applyNumberFormat="0" applyFont="0" applyBorder="0" applyAlignment="0" applyProtection="0"/>
    <xf numFmtId="10" fontId="7" fillId="12" borderId="0" applyNumberFormat="0" applyFont="0" applyBorder="0" applyAlignment="0"/>
    <xf numFmtId="253" fontId="78" fillId="0" borderId="0" applyFill="0" applyBorder="0"/>
    <xf numFmtId="0" fontId="64" fillId="20" borderId="0" applyNumberFormat="0" applyBorder="0" applyAlignment="0" applyProtection="0"/>
    <xf numFmtId="0" fontId="79" fillId="0" borderId="0" applyNumberFormat="0" applyFill="0" applyBorder="0" applyAlignment="0" applyProtection="0"/>
    <xf numFmtId="38" fontId="42" fillId="14" borderId="0" applyNumberFormat="0" applyFont="0" applyBorder="0" applyAlignment="0">
      <protection hidden="1"/>
    </xf>
    <xf numFmtId="0" fontId="125" fillId="0" borderId="0" applyNumberFormat="0">
      <alignment horizontal="right"/>
    </xf>
    <xf numFmtId="0" fontId="126" fillId="0" borderId="0" applyNumberFormat="0">
      <alignment horizontal="right"/>
    </xf>
    <xf numFmtId="0" fontId="126" fillId="0" borderId="0" applyNumberFormat="0">
      <alignment horizontal="left"/>
    </xf>
    <xf numFmtId="0" fontId="125" fillId="0" borderId="0" applyNumberFormat="0">
      <alignment horizontal="left"/>
    </xf>
    <xf numFmtId="0" fontId="127" fillId="0" borderId="0" applyNumberFormat="0">
      <alignment horizontal="left" vertical="top"/>
    </xf>
    <xf numFmtId="253" fontId="80" fillId="0" borderId="0" applyFill="0" applyBorder="0">
      <alignment horizontal="right"/>
    </xf>
    <xf numFmtId="254" fontId="70" fillId="0" borderId="0" applyFont="0" applyFill="0" applyBorder="0" applyAlignment="0" applyProtection="0">
      <alignment horizontal="right"/>
    </xf>
    <xf numFmtId="0" fontId="81" fillId="0" borderId="0" applyProtection="0">
      <alignment horizontal="right"/>
    </xf>
    <xf numFmtId="0" fontId="139" fillId="0" borderId="0" applyNumberFormat="0" applyFill="0" applyBorder="0" applyProtection="0"/>
    <xf numFmtId="0" fontId="44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82" fillId="0" borderId="32" applyNumberFormat="0" applyFill="0" applyAlignment="0" applyProtection="0"/>
    <xf numFmtId="0" fontId="82" fillId="0" borderId="0" applyNumberFormat="0" applyFill="0" applyBorder="0" applyAlignment="0" applyProtection="0"/>
    <xf numFmtId="199" fontId="83" fillId="0" borderId="0" applyNumberFormat="0" applyFont="0" applyFill="0" applyBorder="0" applyAlignment="0">
      <alignment horizontal="left"/>
    </xf>
    <xf numFmtId="297" fontId="7" fillId="0" borderId="0" applyFont="0" applyFill="0" applyBorder="0" applyAlignment="0" applyProtection="0"/>
    <xf numFmtId="298" fontId="7" fillId="0" borderId="0" applyFont="0" applyFill="0" applyBorder="0" applyAlignment="0" applyProtection="0"/>
    <xf numFmtId="0" fontId="84" fillId="0" borderId="0" applyNumberFormat="0" applyFill="0" applyBorder="0" applyAlignment="0" applyProtection="0"/>
    <xf numFmtId="0" fontId="140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/>
    <xf numFmtId="0" fontId="62" fillId="19" borderId="0" applyNumberFormat="0" applyBorder="0" applyAlignment="0" applyProtection="0"/>
    <xf numFmtId="0" fontId="7" fillId="0" borderId="0"/>
    <xf numFmtId="173" fontId="86" fillId="6" borderId="9" applyNumberFormat="0" applyFont="0" applyBorder="0" applyAlignment="0">
      <protection locked="0"/>
    </xf>
    <xf numFmtId="255" fontId="7" fillId="0" borderId="0"/>
    <xf numFmtId="256" fontId="7" fillId="0" borderId="0"/>
    <xf numFmtId="257" fontId="7" fillId="0" borderId="0"/>
    <xf numFmtId="258" fontId="7" fillId="0" borderId="0"/>
    <xf numFmtId="10" fontId="42" fillId="12" borderId="9" applyNumberFormat="0" applyBorder="0" applyAlignment="0" applyProtection="0"/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0" fontId="141" fillId="24" borderId="0" applyNumberFormat="0" applyFont="0" applyBorder="0" applyAlignment="0">
      <protection locked="0"/>
    </xf>
    <xf numFmtId="243" fontId="42" fillId="0" borderId="0"/>
    <xf numFmtId="246" fontId="42" fillId="12" borderId="0" applyFont="0" applyBorder="0" applyAlignment="0" applyProtection="0">
      <protection locked="0"/>
    </xf>
    <xf numFmtId="252" fontId="42" fillId="12" borderId="0" applyFont="0" applyBorder="0" applyAlignment="0">
      <protection locked="0"/>
    </xf>
    <xf numFmtId="236" fontId="42" fillId="0" borderId="0"/>
    <xf numFmtId="259" fontId="42" fillId="0" borderId="0"/>
    <xf numFmtId="10" fontId="42" fillId="12" borderId="0">
      <protection locked="0"/>
    </xf>
    <xf numFmtId="260" fontId="7" fillId="0" borderId="0"/>
    <xf numFmtId="236" fontId="87" fillId="12" borderId="0" applyNumberFormat="0" applyBorder="0" applyAlignment="0">
      <protection locked="0"/>
    </xf>
    <xf numFmtId="0" fontId="48" fillId="0" borderId="0" applyNumberFormat="0" applyFill="0" applyBorder="0" applyAlignment="0">
      <protection locked="0"/>
    </xf>
    <xf numFmtId="261" fontId="88" fillId="0" borderId="0"/>
    <xf numFmtId="9" fontId="12" fillId="44" borderId="9" applyProtection="0">
      <alignment horizontal="right"/>
      <protection locked="0"/>
    </xf>
    <xf numFmtId="0" fontId="7" fillId="0" borderId="0" applyFill="0" applyBorder="0">
      <alignment horizontal="right"/>
      <protection locked="0"/>
    </xf>
    <xf numFmtId="0" fontId="7" fillId="0" borderId="0" applyFill="0" applyBorder="0">
      <alignment horizontal="right"/>
      <protection locked="0"/>
    </xf>
    <xf numFmtId="190" fontId="7" fillId="0" borderId="0" applyFill="0" applyBorder="0">
      <alignment horizontal="right"/>
      <protection locked="0"/>
    </xf>
    <xf numFmtId="190" fontId="7" fillId="0" borderId="0" applyFill="0" applyBorder="0">
      <alignment horizontal="right"/>
      <protection locked="0"/>
    </xf>
    <xf numFmtId="301" fontId="7" fillId="45" borderId="0" applyBorder="0"/>
    <xf numFmtId="0" fontId="39" fillId="46" borderId="8">
      <alignment horizontal="left" vertical="center" wrapText="1"/>
    </xf>
    <xf numFmtId="0" fontId="39" fillId="46" borderId="8">
      <alignment horizontal="left" vertical="center" wrapText="1"/>
    </xf>
    <xf numFmtId="15" fontId="7" fillId="0" borderId="0"/>
    <xf numFmtId="15" fontId="7" fillId="0" borderId="0"/>
    <xf numFmtId="0" fontId="68" fillId="0" borderId="26" applyNumberFormat="0" applyFill="0" applyAlignment="0" applyProtection="0"/>
    <xf numFmtId="0" fontId="7" fillId="0" borderId="0"/>
    <xf numFmtId="0" fontId="7" fillId="0" borderId="21">
      <alignment horizontal="left"/>
      <protection locked="0"/>
    </xf>
    <xf numFmtId="0" fontId="7" fillId="0" borderId="0" applyBorder="0"/>
    <xf numFmtId="222" fontId="7" fillId="0" borderId="0" applyFont="0" applyFill="0" applyBorder="0" applyAlignment="0" applyProtection="0"/>
    <xf numFmtId="174" fontId="7" fillId="0" borderId="0" applyNumberFormat="0" applyFill="0" applyBorder="0" applyAlignment="0" applyProtection="0"/>
    <xf numFmtId="204" fontId="70" fillId="0" borderId="0" applyFont="0" applyFill="0" applyBorder="0" applyAlignment="0" applyProtection="0">
      <alignment horizontal="right"/>
    </xf>
    <xf numFmtId="262" fontId="7" fillId="0" borderId="0" applyFont="0" applyFill="0" applyBorder="0" applyAlignment="0" applyProtection="0"/>
    <xf numFmtId="263" fontId="7" fillId="0" borderId="0" applyFont="0" applyFill="0" applyBorder="0" applyAlignment="0" applyProtection="0"/>
    <xf numFmtId="264" fontId="7" fillId="0" borderId="0" applyFont="0" applyFill="0" applyBorder="0" applyAlignment="0" applyProtection="0"/>
    <xf numFmtId="265" fontId="42" fillId="14" borderId="0" applyFont="0" applyBorder="0" applyAlignment="0" applyProtection="0">
      <alignment horizontal="right"/>
      <protection hidden="1"/>
    </xf>
    <xf numFmtId="0" fontId="89" fillId="17" borderId="0" applyNumberFormat="0" applyBorder="0" applyAlignment="0" applyProtection="0"/>
    <xf numFmtId="0" fontId="89" fillId="17" borderId="0" applyNumberFormat="0" applyBorder="0" applyAlignment="0" applyProtection="0"/>
    <xf numFmtId="37" fontId="90" fillId="0" borderId="0"/>
    <xf numFmtId="266" fontId="7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255" fontId="7" fillId="0" borderId="0"/>
    <xf numFmtId="287" fontId="142" fillId="0" borderId="0"/>
    <xf numFmtId="287" fontId="142" fillId="0" borderId="0"/>
    <xf numFmtId="256" fontId="7" fillId="0" borderId="0"/>
    <xf numFmtId="257" fontId="7" fillId="0" borderId="0"/>
    <xf numFmtId="288" fontId="142" fillId="0" borderId="0"/>
    <xf numFmtId="288" fontId="142" fillId="0" borderId="0"/>
    <xf numFmtId="258" fontId="7" fillId="0" borderId="0">
      <alignment horizontal="right"/>
    </xf>
    <xf numFmtId="38" fontId="42" fillId="0" borderId="9" applyFont="0" applyFill="0" applyBorder="0" applyAlignment="0" applyProtection="0"/>
    <xf numFmtId="236" fontId="7" fillId="0" borderId="0" applyFont="0" applyFill="0" applyBorder="0" applyAlignment="0"/>
    <xf numFmtId="40" fontId="42" fillId="0" borderId="0" applyFont="0" applyFill="0" applyBorder="0" applyAlignment="0"/>
    <xf numFmtId="260" fontId="42" fillId="0" borderId="0" applyFont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236" fontId="46" fillId="0" borderId="0" applyNumberFormat="0" applyFill="0" applyBorder="0" applyAlignment="0" applyProtection="0"/>
    <xf numFmtId="267" fontId="42" fillId="0" borderId="0" applyFont="0" applyFill="0" applyBorder="0" applyAlignment="0" applyProtection="0"/>
    <xf numFmtId="40" fontId="46" fillId="0" borderId="0">
      <alignment horizontal="left"/>
    </xf>
    <xf numFmtId="0" fontId="7" fillId="0" borderId="0"/>
    <xf numFmtId="0" fontId="7" fillId="47" borderId="33" applyNumberFormat="0" applyFont="0" applyAlignment="0" applyProtection="0"/>
    <xf numFmtId="0" fontId="7" fillId="47" borderId="33" applyNumberFormat="0" applyFont="0" applyAlignment="0" applyProtection="0"/>
    <xf numFmtId="0" fontId="91" fillId="0" borderId="21"/>
    <xf numFmtId="0" fontId="27" fillId="0" borderId="0">
      <alignment horizontal="left" vertical="top" wrapText="1"/>
    </xf>
    <xf numFmtId="268" fontId="42" fillId="0" borderId="0" applyFont="0" applyFill="0" applyBorder="0" applyAlignment="0" applyProtection="0"/>
    <xf numFmtId="236" fontId="43" fillId="0" borderId="0"/>
    <xf numFmtId="269" fontId="7" fillId="0" borderId="0" applyFont="0" applyFill="0" applyBorder="0" applyAlignment="0" applyProtection="0"/>
    <xf numFmtId="270" fontId="7" fillId="0" borderId="0" applyFont="0" applyFill="0" applyBorder="0" applyAlignment="0" applyProtection="0"/>
    <xf numFmtId="271" fontId="7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02" fontId="143" fillId="0" borderId="0" applyFont="0" applyFill="0" applyBorder="0" applyAlignment="0" applyProtection="0"/>
    <xf numFmtId="39" fontId="7" fillId="0" borderId="0" applyFont="0" applyFill="0" applyBorder="0" applyAlignment="0" applyProtection="0">
      <alignment horizontal="center"/>
    </xf>
    <xf numFmtId="302" fontId="143" fillId="0" borderId="0" applyFont="0" applyFill="0" applyBorder="0" applyAlignment="0" applyProtection="0"/>
    <xf numFmtId="303" fontId="143" fillId="0" borderId="0" applyFont="0" applyFill="0" applyBorder="0" applyAlignment="0" applyProtection="0"/>
    <xf numFmtId="38" fontId="92" fillId="0" borderId="0" applyFill="0" applyBorder="0" applyProtection="0"/>
    <xf numFmtId="236" fontId="92" fillId="0" borderId="0" applyFill="0" applyBorder="0" applyProtection="0"/>
    <xf numFmtId="40" fontId="92" fillId="0" borderId="0"/>
    <xf numFmtId="272" fontId="42" fillId="0" borderId="0" applyFont="0" applyFill="0" applyBorder="0" applyAlignment="0" applyProtection="0"/>
    <xf numFmtId="0" fontId="93" fillId="0" borderId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94" fillId="38" borderId="34" applyNumberFormat="0" applyAlignment="0" applyProtection="0"/>
    <xf numFmtId="40" fontId="95" fillId="16" borderId="0">
      <alignment horizontal="right"/>
    </xf>
    <xf numFmtId="0" fontId="96" fillId="16" borderId="0">
      <alignment horizontal="right"/>
    </xf>
    <xf numFmtId="0" fontId="12" fillId="0" borderId="0" applyProtection="0"/>
    <xf numFmtId="0" fontId="97" fillId="16" borderId="11"/>
    <xf numFmtId="0" fontId="97" fillId="0" borderId="0" applyBorder="0">
      <alignment horizontal="centerContinuous"/>
    </xf>
    <xf numFmtId="0" fontId="98" fillId="0" borderId="0" applyBorder="0">
      <alignment horizontal="centerContinuous"/>
    </xf>
    <xf numFmtId="1" fontId="99" fillId="0" borderId="0" applyProtection="0">
      <alignment horizontal="right" vertical="center"/>
    </xf>
    <xf numFmtId="273" fontId="39" fillId="0" borderId="0" applyFont="0">
      <alignment horizontal="centerContinuous"/>
    </xf>
    <xf numFmtId="0" fontId="42" fillId="0" borderId="0"/>
    <xf numFmtId="9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274" fontId="7" fillId="0" borderId="0" applyFont="0" applyFill="0" applyBorder="0" applyAlignment="0" applyProtection="0"/>
    <xf numFmtId="275" fontId="7" fillId="0" borderId="0" applyFont="0" applyFill="0" applyBorder="0" applyAlignment="0" applyProtection="0"/>
    <xf numFmtId="276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91" fontId="7" fillId="0" borderId="0" applyFill="0" applyBorder="0">
      <alignment horizontal="right"/>
      <protection locked="0"/>
    </xf>
    <xf numFmtId="191" fontId="7" fillId="0" borderId="0" applyFill="0" applyBorder="0">
      <alignment horizontal="right"/>
      <protection locked="0"/>
    </xf>
    <xf numFmtId="277" fontId="42" fillId="0" borderId="0" applyFont="0" applyFill="0" applyBorder="0" applyAlignment="0" applyProtection="0"/>
    <xf numFmtId="0" fontId="8" fillId="0" borderId="35" applyNumberFormat="0" applyFont="0" applyBorder="0" applyAlignment="0"/>
    <xf numFmtId="9" fontId="7" fillId="0" borderId="0" applyFont="0" applyFill="0" applyBorder="0" applyAlignment="0" applyProtection="0"/>
    <xf numFmtId="278" fontId="7" fillId="0" borderId="0" applyFont="0" applyFill="0" applyBorder="0" applyAlignment="0" applyProtection="0"/>
    <xf numFmtId="0" fontId="39" fillId="48" borderId="36" applyNumberFormat="0" applyFont="0" applyBorder="0" applyAlignment="0" applyProtection="0"/>
    <xf numFmtId="14" fontId="53" fillId="49" borderId="37" applyNumberFormat="0" applyFont="0" applyBorder="0" applyAlignment="0" applyProtection="0">
      <alignment horizontal="center" vertical="center"/>
    </xf>
    <xf numFmtId="3" fontId="144" fillId="0" borderId="0" applyFont="0" applyFill="0" applyBorder="0" applyAlignment="0" applyProtection="0"/>
    <xf numFmtId="0" fontId="136" fillId="0" borderId="0"/>
    <xf numFmtId="193" fontId="7" fillId="0" borderId="0">
      <alignment horizontal="right"/>
      <protection locked="0"/>
    </xf>
    <xf numFmtId="193" fontId="7" fillId="0" borderId="0">
      <alignment horizontal="right"/>
      <protection locked="0"/>
    </xf>
    <xf numFmtId="0" fontId="45" fillId="0" borderId="0" applyNumberFormat="0" applyFill="0" applyBorder="0" applyAlignment="0" applyProtection="0"/>
    <xf numFmtId="236" fontId="100" fillId="0" borderId="0" applyNumberFormat="0" applyFill="0" applyBorder="0" applyAlignment="0" applyProtection="0">
      <alignment horizontal="left"/>
    </xf>
    <xf numFmtId="0" fontId="42" fillId="0" borderId="0">
      <alignment horizontal="right"/>
    </xf>
    <xf numFmtId="0" fontId="141" fillId="0" borderId="19">
      <alignment horizontal="centerContinuous"/>
    </xf>
    <xf numFmtId="0" fontId="141" fillId="0" borderId="19">
      <alignment horizontal="centerContinuous"/>
    </xf>
    <xf numFmtId="174" fontId="141" fillId="0" borderId="0"/>
    <xf numFmtId="0" fontId="141" fillId="0" borderId="19">
      <protection locked="0"/>
    </xf>
    <xf numFmtId="0" fontId="141" fillId="0" borderId="19">
      <protection locked="0"/>
    </xf>
    <xf numFmtId="0" fontId="141" fillId="0" borderId="19">
      <protection locked="0"/>
    </xf>
    <xf numFmtId="0" fontId="141" fillId="0" borderId="19">
      <alignment horizontal="centerContinuous"/>
    </xf>
    <xf numFmtId="0" fontId="94" fillId="38" borderId="34" applyNumberFormat="0" applyAlignment="0" applyProtection="0"/>
    <xf numFmtId="0" fontId="7" fillId="0" borderId="38">
      <alignment vertical="center"/>
    </xf>
    <xf numFmtId="4" fontId="101" fillId="41" borderId="39" applyNumberFormat="0" applyProtection="0">
      <alignment vertical="center"/>
    </xf>
    <xf numFmtId="4" fontId="102" fillId="41" borderId="39" applyNumberFormat="0" applyProtection="0">
      <alignment vertical="center"/>
    </xf>
    <xf numFmtId="4" fontId="103" fillId="41" borderId="39" applyNumberFormat="0" applyProtection="0">
      <alignment horizontal="left" vertical="center" indent="1"/>
    </xf>
    <xf numFmtId="4" fontId="103" fillId="50" borderId="0" applyNumberFormat="0" applyProtection="0">
      <alignment horizontal="left" vertical="center" indent="1"/>
    </xf>
    <xf numFmtId="4" fontId="103" fillId="42" borderId="39" applyNumberFormat="0" applyProtection="0">
      <alignment horizontal="right" vertical="center"/>
    </xf>
    <xf numFmtId="4" fontId="103" fillId="51" borderId="39" applyNumberFormat="0" applyProtection="0">
      <alignment horizontal="right" vertical="center"/>
    </xf>
    <xf numFmtId="4" fontId="103" fillId="52" borderId="39" applyNumberFormat="0" applyProtection="0">
      <alignment horizontal="right" vertical="center"/>
    </xf>
    <xf numFmtId="4" fontId="103" fillId="53" borderId="39" applyNumberFormat="0" applyProtection="0">
      <alignment horizontal="right" vertical="center"/>
    </xf>
    <xf numFmtId="4" fontId="103" fillId="54" borderId="39" applyNumberFormat="0" applyProtection="0">
      <alignment horizontal="right" vertical="center"/>
    </xf>
    <xf numFmtId="4" fontId="103" fillId="15" borderId="39" applyNumberFormat="0" applyProtection="0">
      <alignment horizontal="right" vertical="center"/>
    </xf>
    <xf numFmtId="4" fontId="103" fillId="55" borderId="39" applyNumberFormat="0" applyProtection="0">
      <alignment horizontal="right" vertical="center"/>
    </xf>
    <xf numFmtId="4" fontId="103" fillId="56" borderId="39" applyNumberFormat="0" applyProtection="0">
      <alignment horizontal="right" vertical="center"/>
    </xf>
    <xf numFmtId="4" fontId="103" fillId="57" borderId="39" applyNumberFormat="0" applyProtection="0">
      <alignment horizontal="right" vertical="center"/>
    </xf>
    <xf numFmtId="4" fontId="101" fillId="58" borderId="40" applyNumberFormat="0" applyProtection="0">
      <alignment horizontal="left" vertical="center" indent="1"/>
    </xf>
    <xf numFmtId="4" fontId="101" fillId="48" borderId="0" applyNumberFormat="0" applyProtection="0">
      <alignment horizontal="left" vertical="center" indent="1"/>
    </xf>
    <xf numFmtId="4" fontId="101" fillId="50" borderId="0" applyNumberFormat="0" applyProtection="0">
      <alignment horizontal="left" vertical="center" indent="1"/>
    </xf>
    <xf numFmtId="4" fontId="103" fillId="48" borderId="39" applyNumberFormat="0" applyProtection="0">
      <alignment horizontal="right" vertical="center"/>
    </xf>
    <xf numFmtId="4" fontId="63" fillId="48" borderId="0" applyNumberFormat="0" applyProtection="0">
      <alignment horizontal="left" vertical="center" indent="1"/>
    </xf>
    <xf numFmtId="4" fontId="63" fillId="50" borderId="0" applyNumberFormat="0" applyProtection="0">
      <alignment horizontal="left" vertical="center" indent="1"/>
    </xf>
    <xf numFmtId="4" fontId="103" fillId="59" borderId="39" applyNumberFormat="0" applyProtection="0">
      <alignment vertical="center"/>
    </xf>
    <xf numFmtId="4" fontId="104" fillId="59" borderId="39" applyNumberFormat="0" applyProtection="0">
      <alignment vertical="center"/>
    </xf>
    <xf numFmtId="4" fontId="101" fillId="48" borderId="41" applyNumberFormat="0" applyProtection="0">
      <alignment horizontal="left" vertical="center" indent="1"/>
    </xf>
    <xf numFmtId="4" fontId="103" fillId="59" borderId="39" applyNumberFormat="0" applyProtection="0">
      <alignment horizontal="right" vertical="center"/>
    </xf>
    <xf numFmtId="4" fontId="104" fillId="59" borderId="39" applyNumberFormat="0" applyProtection="0">
      <alignment horizontal="right" vertical="center"/>
    </xf>
    <xf numFmtId="4" fontId="101" fillId="48" borderId="39" applyNumberFormat="0" applyProtection="0">
      <alignment horizontal="left" vertical="center" indent="1"/>
    </xf>
    <xf numFmtId="4" fontId="105" fillId="60" borderId="41" applyNumberFormat="0" applyProtection="0">
      <alignment horizontal="left" vertical="center" indent="1"/>
    </xf>
    <xf numFmtId="4" fontId="106" fillId="59" borderId="39" applyNumberFormat="0" applyProtection="0">
      <alignment horizontal="right" vertical="center"/>
    </xf>
    <xf numFmtId="0" fontId="38" fillId="5" borderId="9">
      <alignment horizontal="center" vertical="center" wrapText="1"/>
      <protection hidden="1"/>
    </xf>
    <xf numFmtId="0" fontId="34" fillId="5" borderId="9">
      <alignment horizontal="center" vertical="center" wrapText="1"/>
      <protection hidden="1"/>
    </xf>
    <xf numFmtId="165" fontId="7" fillId="0" borderId="0" applyFont="0" applyFill="0" applyBorder="0" applyAlignment="0" applyProtection="0"/>
    <xf numFmtId="170" fontId="107" fillId="0" borderId="0" applyFill="0" applyBorder="0" applyAlignment="0" applyProtection="0"/>
    <xf numFmtId="0" fontId="108" fillId="0" borderId="0"/>
    <xf numFmtId="236" fontId="42" fillId="53" borderId="0" applyNumberFormat="0" applyFont="0" applyBorder="0" applyAlignment="0">
      <protection hidden="1"/>
    </xf>
    <xf numFmtId="0" fontId="7" fillId="0" borderId="0"/>
    <xf numFmtId="0" fontId="28" fillId="0" borderId="0">
      <alignment vertical="center"/>
    </xf>
    <xf numFmtId="0" fontId="28" fillId="0" borderId="0">
      <alignment vertical="center"/>
    </xf>
    <xf numFmtId="0" fontId="122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2" fillId="0" borderId="0" applyNumberFormat="0" applyFill="0" applyBorder="0" applyProtection="0">
      <alignment horizontal="center"/>
    </xf>
    <xf numFmtId="0" fontId="128" fillId="0" borderId="0" applyNumberFormat="0" applyFill="0" applyBorder="0" applyProtection="0">
      <alignment horizontal="center"/>
    </xf>
    <xf numFmtId="0" fontId="128" fillId="61" borderId="0" applyNumberFormat="0" applyBorder="0" applyAlignment="0" applyProtection="0"/>
    <xf numFmtId="4" fontId="122" fillId="0" borderId="0" applyFill="0" applyBorder="0" applyAlignment="0" applyProtection="0"/>
    <xf numFmtId="4" fontId="87" fillId="0" borderId="0" applyFill="0" applyBorder="0" applyAlignment="0" applyProtection="0"/>
    <xf numFmtId="0" fontId="129" fillId="62" borderId="0" applyNumberFormat="0" applyBorder="0" applyAlignment="0" applyProtection="0"/>
    <xf numFmtId="4" fontId="130" fillId="0" borderId="0" applyFill="0" applyBorder="0" applyAlignment="0" applyProtection="0"/>
    <xf numFmtId="0" fontId="131" fillId="63" borderId="0" applyNumberFormat="0" applyBorder="0" applyAlignment="0" applyProtection="0"/>
    <xf numFmtId="0" fontId="128" fillId="42" borderId="0" applyNumberFormat="0" applyBorder="0" applyAlignment="0" applyProtection="0"/>
    <xf numFmtId="0" fontId="109" fillId="0" borderId="0" applyBorder="0" applyProtection="0">
      <alignment vertical="center"/>
    </xf>
    <xf numFmtId="251" fontId="109" fillId="0" borderId="2" applyBorder="0" applyProtection="0">
      <alignment horizontal="right" vertical="center"/>
    </xf>
    <xf numFmtId="0" fontId="110" fillId="64" borderId="0" applyBorder="0" applyProtection="0">
      <alignment horizontal="centerContinuous" vertical="center"/>
    </xf>
    <xf numFmtId="0" fontId="110" fillId="63" borderId="2" applyBorder="0" applyProtection="0">
      <alignment horizontal="centerContinuous" vertical="center"/>
    </xf>
    <xf numFmtId="0" fontId="109" fillId="0" borderId="0" applyBorder="0" applyProtection="0">
      <alignment vertical="center"/>
    </xf>
    <xf numFmtId="0" fontId="7" fillId="0" borderId="0"/>
    <xf numFmtId="0" fontId="111" fillId="0" borderId="0" applyFill="0" applyBorder="0" applyProtection="0">
      <alignment horizontal="left"/>
    </xf>
    <xf numFmtId="0" fontId="39" fillId="0" borderId="0" applyFill="0" applyBorder="0" applyProtection="0">
      <alignment horizontal="left"/>
    </xf>
    <xf numFmtId="0" fontId="39" fillId="0" borderId="0" applyFill="0" applyBorder="0" applyProtection="0">
      <alignment horizontal="left"/>
    </xf>
    <xf numFmtId="0" fontId="76" fillId="0" borderId="14" applyFill="0" applyBorder="0" applyProtection="0">
      <alignment horizontal="left" vertical="top"/>
    </xf>
    <xf numFmtId="0" fontId="14" fillId="0" borderId="0" applyFill="0" applyBorder="0" applyProtection="0">
      <alignment horizontal="left" vertical="top"/>
    </xf>
    <xf numFmtId="0" fontId="14" fillId="0" borderId="0" applyFill="0" applyBorder="0" applyProtection="0">
      <alignment horizontal="left" vertical="top"/>
    </xf>
    <xf numFmtId="0" fontId="112" fillId="0" borderId="0">
      <alignment horizontal="centerContinuous"/>
    </xf>
    <xf numFmtId="236" fontId="7" fillId="65" borderId="0" applyNumberFormat="0" applyFont="0" applyBorder="0" applyAlignment="0" applyProtection="0"/>
    <xf numFmtId="0" fontId="7" fillId="0" borderId="0"/>
    <xf numFmtId="0" fontId="7" fillId="0" borderId="0"/>
    <xf numFmtId="0" fontId="11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279" fontId="114" fillId="0" borderId="0" applyFill="0" applyBorder="0" applyAlignment="0" applyProtection="0">
      <alignment horizontal="right"/>
    </xf>
    <xf numFmtId="0" fontId="1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45" fillId="0" borderId="0" applyNumberFormat="0" applyFill="0" applyBorder="0" applyProtection="0">
      <alignment vertical="center"/>
    </xf>
    <xf numFmtId="0" fontId="7" fillId="0" borderId="0" applyBorder="0"/>
    <xf numFmtId="0" fontId="16" fillId="0" borderId="0" applyBorder="0"/>
    <xf numFmtId="0" fontId="115" fillId="0" borderId="0" applyNumberFormat="0" applyFill="0" applyBorder="0" applyAlignment="0" applyProtection="0"/>
    <xf numFmtId="0" fontId="116" fillId="0" borderId="42" applyNumberFormat="0" applyFill="0" applyAlignment="0" applyProtection="0"/>
    <xf numFmtId="0" fontId="117" fillId="0" borderId="43" applyNumberFormat="0" applyFill="0" applyAlignment="0" applyProtection="0"/>
    <xf numFmtId="0" fontId="82" fillId="0" borderId="32" applyNumberFormat="0" applyFill="0" applyAlignment="0" applyProtection="0"/>
    <xf numFmtId="0" fontId="82" fillId="0" borderId="0" applyNumberFormat="0" applyFill="0" applyBorder="0" applyAlignment="0" applyProtection="0"/>
    <xf numFmtId="0" fontId="7" fillId="38" borderId="21"/>
    <xf numFmtId="0" fontId="7" fillId="0" borderId="44" applyNumberFormat="0" applyFont="0" applyFill="0" applyAlignment="0" applyProtection="0"/>
    <xf numFmtId="178" fontId="118" fillId="0" borderId="0">
      <alignment horizontal="left"/>
      <protection locked="0"/>
    </xf>
    <xf numFmtId="0" fontId="7" fillId="0" borderId="0">
      <alignment horizontal="fill"/>
    </xf>
    <xf numFmtId="299" fontId="7" fillId="0" borderId="0" applyFont="0" applyFill="0" applyBorder="0" applyAlignment="0" applyProtection="0"/>
    <xf numFmtId="300" fontId="7" fillId="0" borderId="0" applyFont="0" applyFill="0" applyBorder="0" applyAlignment="0" applyProtection="0"/>
    <xf numFmtId="0" fontId="113" fillId="0" borderId="0" applyNumberFormat="0" applyFill="0" applyBorder="0" applyAlignment="0" applyProtection="0"/>
    <xf numFmtId="236" fontId="119" fillId="0" borderId="0" applyNumberFormat="0" applyFill="0" applyBorder="0" applyAlignment="0" applyProtection="0"/>
    <xf numFmtId="172" fontId="7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2" fontId="7" fillId="0" borderId="0"/>
    <xf numFmtId="233" fontId="7" fillId="0" borderId="0"/>
    <xf numFmtId="179" fontId="43" fillId="0" borderId="0"/>
    <xf numFmtId="251" fontId="7" fillId="0" borderId="0"/>
    <xf numFmtId="179" fontId="43" fillId="0" borderId="0"/>
    <xf numFmtId="179" fontId="43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179" fontId="43" fillId="0" borderId="0"/>
    <xf numFmtId="251" fontId="7" fillId="0" borderId="0"/>
    <xf numFmtId="179" fontId="43" fillId="0" borderId="0"/>
    <xf numFmtId="179" fontId="43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280" fontId="120" fillId="0" borderId="2" applyBorder="0" applyProtection="0">
      <alignment horizontal="right"/>
    </xf>
    <xf numFmtId="1" fontId="7" fillId="0" borderId="0" applyFont="0" applyFill="0" applyBorder="0" applyAlignment="0" applyProtection="0"/>
    <xf numFmtId="286" fontId="7" fillId="0" borderId="0" applyFont="0" applyFill="0" applyBorder="0" applyAlignment="0" applyProtection="0"/>
    <xf numFmtId="1" fontId="7" fillId="0" borderId="0" applyFont="0" applyFill="0" applyBorder="0" applyAlignment="0" applyProtection="0"/>
    <xf numFmtId="1" fontId="121" fillId="0" borderId="21">
      <alignment horizontal="center"/>
    </xf>
    <xf numFmtId="249" fontId="7" fillId="0" borderId="0" applyFont="0" applyFill="0" applyBorder="0" applyAlignment="0" applyProtection="0"/>
    <xf numFmtId="281" fontId="34" fillId="0" borderId="0">
      <alignment horizontal="center"/>
    </xf>
    <xf numFmtId="282" fontId="34" fillId="0" borderId="0" applyFont="0" applyFill="0" applyBorder="0" applyAlignment="0" applyProtection="0">
      <alignment horizontal="center"/>
    </xf>
    <xf numFmtId="283" fontId="16" fillId="0" borderId="0" applyFont="0" applyFill="0" applyBorder="0" applyAlignment="0" applyProtection="0"/>
    <xf numFmtId="284" fontId="7" fillId="0" borderId="0"/>
    <xf numFmtId="283" fontId="26" fillId="0" borderId="0" applyFont="0" applyFill="0" applyBorder="0" applyAlignment="0" applyProtection="0"/>
    <xf numFmtId="281" fontId="34" fillId="0" borderId="0">
      <alignment horizontal="center"/>
    </xf>
    <xf numFmtId="0" fontId="7" fillId="0" borderId="0"/>
    <xf numFmtId="0" fontId="7" fillId="0" borderId="0"/>
    <xf numFmtId="0" fontId="56" fillId="0" borderId="0"/>
    <xf numFmtId="0" fontId="73" fillId="23" borderId="24" applyNumberFormat="0" applyAlignment="0" applyProtection="0"/>
    <xf numFmtId="0" fontId="73" fillId="23" borderId="24" applyNumberFormat="0" applyAlignment="0" applyProtection="0"/>
    <xf numFmtId="202" fontId="43" fillId="0" borderId="0"/>
    <xf numFmtId="203" fontId="7" fillId="0" borderId="0"/>
    <xf numFmtId="203" fontId="7" fillId="0" borderId="0"/>
    <xf numFmtId="203" fontId="7" fillId="0" borderId="0"/>
    <xf numFmtId="203" fontId="7" fillId="0" borderId="0"/>
    <xf numFmtId="203" fontId="7" fillId="0" borderId="0"/>
    <xf numFmtId="203" fontId="7" fillId="0" borderId="0"/>
    <xf numFmtId="203" fontId="7" fillId="0" borderId="0"/>
    <xf numFmtId="203" fontId="7" fillId="0" borderId="0"/>
    <xf numFmtId="202" fontId="43" fillId="0" borderId="0"/>
    <xf numFmtId="204" fontId="7" fillId="0" borderId="0"/>
    <xf numFmtId="202" fontId="43" fillId="0" borderId="0"/>
    <xf numFmtId="202" fontId="43" fillId="0" borderId="0"/>
    <xf numFmtId="203" fontId="7" fillId="0" borderId="0"/>
    <xf numFmtId="203" fontId="7" fillId="0" borderId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203" fontId="7" fillId="0" borderId="0"/>
    <xf numFmtId="203" fontId="7" fillId="0" borderId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0" fontId="116" fillId="0" borderId="42" applyNumberFormat="0" applyFill="0" applyAlignment="0" applyProtection="0"/>
    <xf numFmtId="0" fontId="117" fillId="0" borderId="43" applyNumberFormat="0" applyFill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56" fillId="47" borderId="33" applyNumberFormat="0" applyFont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146" fillId="0" borderId="45" applyNumberFormat="0" applyFill="0" applyAlignment="0" applyProtection="0"/>
    <xf numFmtId="0" fontId="56" fillId="0" borderId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202" fontId="43" fillId="0" borderId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204" fontId="7" fillId="0" borderId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202" fontId="43" fillId="0" borderId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203" fontId="7" fillId="0" borderId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173" fontId="7" fillId="0" borderId="0"/>
    <xf numFmtId="202" fontId="43" fillId="0" borderId="0"/>
    <xf numFmtId="0" fontId="56" fillId="0" borderId="0"/>
    <xf numFmtId="165" fontId="56" fillId="0" borderId="0" applyFont="0" applyFill="0" applyBorder="0" applyAlignment="0" applyProtection="0"/>
    <xf numFmtId="202" fontId="43" fillId="0" borderId="0"/>
    <xf numFmtId="202" fontId="43" fillId="0" borderId="0"/>
    <xf numFmtId="202" fontId="43" fillId="0" borderId="0"/>
    <xf numFmtId="202" fontId="43" fillId="0" borderId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56" fillId="0" borderId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56" fillId="0" borderId="0"/>
    <xf numFmtId="165" fontId="56" fillId="0" borderId="0" applyFont="0" applyFill="0" applyBorder="0" applyAlignment="0" applyProtection="0"/>
    <xf numFmtId="0" fontId="56" fillId="0" borderId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203" fontId="7" fillId="0" borderId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173" fontId="7" fillId="0" borderId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203" fontId="7" fillId="0" borderId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203" fontId="7" fillId="0" borderId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166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168" fontId="7" fillId="0" borderId="0" applyFont="0" applyFill="0" applyBorder="0" applyAlignment="0" applyProtection="0"/>
    <xf numFmtId="207" fontId="12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7" fillId="0" borderId="0" applyFont="0" applyFill="0" applyBorder="0" applyAlignment="0" applyProtection="0"/>
    <xf numFmtId="0" fontId="28" fillId="0" borderId="0">
      <alignment vertical="center"/>
    </xf>
    <xf numFmtId="0" fontId="28" fillId="0" borderId="0">
      <alignment vertical="center"/>
    </xf>
    <xf numFmtId="0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211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0" fontId="56" fillId="0" borderId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165" fontId="56" fillId="0" borderId="0" applyFont="0" applyFill="0" applyBorder="0" applyAlignment="0" applyProtection="0"/>
    <xf numFmtId="217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8" fontId="7" fillId="0" borderId="0" applyFont="0" applyFill="0" applyBorder="0" applyAlignment="0" applyProtection="0"/>
    <xf numFmtId="218" fontId="7" fillId="0" borderId="0" applyFont="0" applyFill="0" applyBorder="0" applyAlignment="0" applyProtection="0"/>
    <xf numFmtId="218" fontId="7" fillId="0" borderId="0" applyFont="0" applyFill="0" applyBorder="0" applyAlignment="0" applyProtection="0"/>
    <xf numFmtId="218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3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43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" fillId="17" borderId="0" applyNumberFormat="0" applyFont="0" applyAlignment="0" applyProtection="0"/>
    <xf numFmtId="220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2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2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225" fontId="7" fillId="0" borderId="0" applyFont="0" applyFill="0" applyBorder="0" applyAlignment="0" applyProtection="0"/>
    <xf numFmtId="220" fontId="7" fillId="0" borderId="0" applyFont="0" applyFill="0" applyBorder="0" applyAlignment="0" applyProtection="0"/>
    <xf numFmtId="222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1" fontId="7" fillId="0" borderId="0" applyFont="0" applyFill="0" applyBorder="0" applyAlignment="0" applyProtection="0"/>
    <xf numFmtId="226" fontId="7" fillId="0" borderId="0" applyFont="0" applyFill="0" applyBorder="0" applyProtection="0">
      <alignment horizontal="right"/>
    </xf>
    <xf numFmtId="227" fontId="7" fillId="0" borderId="0" applyFont="0" applyFill="0" applyBorder="0" applyAlignment="0" applyProtection="0"/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0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6" fontId="7" fillId="0" borderId="0" applyFont="0" applyFill="0" applyBorder="0" applyProtection="0">
      <alignment horizontal="right"/>
    </xf>
    <xf numFmtId="228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6" fontId="7" fillId="0" borderId="0" applyFont="0" applyFill="0" applyBorder="0" applyProtection="0">
      <alignment horizontal="right"/>
    </xf>
    <xf numFmtId="228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167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3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3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0" fontId="7" fillId="0" borderId="0" applyFont="0" applyFill="0" applyBorder="0" applyProtection="0">
      <alignment horizontal="right"/>
    </xf>
    <xf numFmtId="231" fontId="7" fillId="0" borderId="0" applyFont="0" applyFill="0" applyBorder="0" applyProtection="0">
      <alignment horizontal="right"/>
    </xf>
    <xf numFmtId="231" fontId="7" fillId="0" borderId="0" applyFont="0" applyFill="0" applyBorder="0" applyProtection="0">
      <alignment horizontal="right"/>
    </xf>
    <xf numFmtId="231" fontId="7" fillId="0" borderId="0" applyFont="0" applyFill="0" applyBorder="0" applyProtection="0">
      <alignment horizontal="right"/>
    </xf>
    <xf numFmtId="231" fontId="7" fillId="0" borderId="0" applyFont="0" applyFill="0" applyBorder="0" applyProtection="0">
      <alignment horizontal="right"/>
    </xf>
    <xf numFmtId="231" fontId="7" fillId="0" borderId="0" applyFont="0" applyFill="0" applyBorder="0" applyProtection="0">
      <alignment horizontal="right"/>
    </xf>
    <xf numFmtId="231" fontId="7" fillId="0" borderId="0" applyFont="0" applyFill="0" applyBorder="0" applyProtection="0">
      <alignment horizontal="right"/>
    </xf>
    <xf numFmtId="231" fontId="7" fillId="0" borderId="0" applyFont="0" applyFill="0" applyBorder="0" applyProtection="0">
      <alignment horizontal="right"/>
    </xf>
    <xf numFmtId="226" fontId="7" fillId="0" borderId="0" applyFont="0" applyFill="0" applyBorder="0" applyProtection="0">
      <alignment horizontal="right"/>
    </xf>
    <xf numFmtId="228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227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3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32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234" fontId="7" fillId="0" borderId="0" applyFont="0" applyFill="0" applyBorder="0" applyAlignment="0" applyProtection="0"/>
    <xf numFmtId="0" fontId="52" fillId="0" borderId="0" applyNumberFormat="0" applyFill="0" applyBorder="0" applyProtection="0">
      <alignment vertical="top"/>
    </xf>
    <xf numFmtId="0" fontId="52" fillId="0" borderId="0" applyNumberFormat="0" applyFill="0" applyBorder="0" applyProtection="0">
      <alignment vertical="top"/>
    </xf>
    <xf numFmtId="0" fontId="52" fillId="0" borderId="0" applyNumberFormat="0" applyFill="0" applyBorder="0" applyProtection="0">
      <alignment vertical="top"/>
    </xf>
    <xf numFmtId="0" fontId="52" fillId="0" borderId="0" applyNumberFormat="0" applyFill="0" applyBorder="0" applyProtection="0">
      <alignment vertical="top"/>
    </xf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53" fillId="0" borderId="18" applyNumberFormat="0" applyFill="0" applyProtection="0">
      <alignment horizontal="center"/>
    </xf>
    <xf numFmtId="0" fontId="53" fillId="0" borderId="18" applyNumberFormat="0" applyFill="0" applyProtection="0">
      <alignment horizontal="center"/>
    </xf>
    <xf numFmtId="0" fontId="53" fillId="0" borderId="18" applyNumberFormat="0" applyFill="0" applyProtection="0">
      <alignment horizontal="center"/>
    </xf>
    <xf numFmtId="0" fontId="53" fillId="0" borderId="18" applyNumberFormat="0" applyFill="0" applyProtection="0">
      <alignment horizontal="center"/>
    </xf>
    <xf numFmtId="0" fontId="53" fillId="0" borderId="18" applyNumberFormat="0" applyFill="0" applyProtection="0">
      <alignment horizontal="center"/>
    </xf>
    <xf numFmtId="0" fontId="53" fillId="0" borderId="18" applyNumberFormat="0" applyFill="0" applyProtection="0">
      <alignment horizontal="center"/>
    </xf>
    <xf numFmtId="0" fontId="53" fillId="0" borderId="18" applyNumberFormat="0" applyFill="0" applyProtection="0">
      <alignment horizontal="center"/>
    </xf>
    <xf numFmtId="0" fontId="53" fillId="0" borderId="18" applyNumberFormat="0" applyFill="0" applyProtection="0">
      <alignment horizontal="center"/>
    </xf>
    <xf numFmtId="0" fontId="7" fillId="0" borderId="19" applyNumberFormat="0" applyFont="0" applyFill="0" applyAlignment="0" applyProtection="0"/>
    <xf numFmtId="0" fontId="53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left"/>
    </xf>
    <xf numFmtId="0" fontId="53" fillId="0" borderId="0" applyNumberFormat="0" applyFill="0" applyBorder="0" applyProtection="0">
      <alignment horizontal="left"/>
    </xf>
    <xf numFmtId="0" fontId="54" fillId="0" borderId="0" applyNumberFormat="0" applyFill="0" applyBorder="0" applyProtection="0">
      <alignment horizontal="centerContinuous"/>
    </xf>
    <xf numFmtId="0" fontId="54" fillId="0" borderId="0" applyNumberFormat="0" applyFill="0" applyBorder="0" applyProtection="0">
      <alignment horizontal="centerContinuous"/>
    </xf>
    <xf numFmtId="0" fontId="54" fillId="0" borderId="0" applyNumberFormat="0" applyFill="0" applyBorder="0" applyProtection="0">
      <alignment horizontal="centerContinuous"/>
    </xf>
    <xf numFmtId="0" fontId="54" fillId="0" borderId="0" applyNumberFormat="0" applyFill="0" applyBorder="0" applyProtection="0">
      <alignment horizontal="centerContinuous"/>
    </xf>
    <xf numFmtId="0" fontId="54" fillId="0" borderId="0" applyNumberFormat="0" applyFill="0" applyBorder="0" applyProtection="0">
      <alignment horizontal="centerContinuous"/>
    </xf>
    <xf numFmtId="0" fontId="54" fillId="0" borderId="0" applyNumberFormat="0" applyFill="0" applyBorder="0" applyProtection="0">
      <alignment horizontal="centerContinuous"/>
    </xf>
    <xf numFmtId="0" fontId="54" fillId="0" borderId="0" applyNumberFormat="0" applyFill="0" applyBorder="0" applyProtection="0">
      <alignment horizontal="centerContinuous"/>
    </xf>
    <xf numFmtId="37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0" fontId="56" fillId="0" borderId="0"/>
    <xf numFmtId="0" fontId="73" fillId="23" borderId="24" applyNumberFormat="0" applyAlignment="0" applyProtection="0"/>
    <xf numFmtId="165" fontId="5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21">
      <protection hidden="1"/>
    </xf>
    <xf numFmtId="240" fontId="7" fillId="0" borderId="0" applyFont="0" applyFill="0" applyBorder="0" applyAlignment="0" applyProtection="0"/>
    <xf numFmtId="0" fontId="56" fillId="0" borderId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46" fillId="40" borderId="27" applyFont="0" applyFill="0" applyBorder="0"/>
    <xf numFmtId="165" fontId="6" fillId="0" borderId="0" applyFont="0" applyFill="0" applyBorder="0" applyAlignment="0" applyProtection="0"/>
    <xf numFmtId="0" fontId="56" fillId="0" borderId="0"/>
    <xf numFmtId="9" fontId="5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73" fillId="23" borderId="24" applyNumberFormat="0" applyAlignment="0" applyProtection="0"/>
    <xf numFmtId="165" fontId="5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37" fontId="26" fillId="0" borderId="0" applyBorder="0" applyAlignment="0">
      <alignment horizontal="center"/>
    </xf>
    <xf numFmtId="242" fontId="42" fillId="0" borderId="0"/>
    <xf numFmtId="243" fontId="42" fillId="0" borderId="0"/>
    <xf numFmtId="0" fontId="7" fillId="0" borderId="0" applyFont="0" applyFill="0" applyBorder="0" applyAlignment="0" applyProtection="0"/>
    <xf numFmtId="247" fontId="7" fillId="0" borderId="2"/>
    <xf numFmtId="249" fontId="7" fillId="0" borderId="0"/>
    <xf numFmtId="250" fontId="7" fillId="0" borderId="0"/>
    <xf numFmtId="168" fontId="42" fillId="0" borderId="0"/>
    <xf numFmtId="0" fontId="7" fillId="0" borderId="0"/>
    <xf numFmtId="0" fontId="7" fillId="0" borderId="0"/>
    <xf numFmtId="185" fontId="7" fillId="0" borderId="0" applyFont="0" applyFill="0" applyBorder="0" applyAlignment="0" applyProtection="0"/>
    <xf numFmtId="0" fontId="56" fillId="0" borderId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7" fillId="37" borderId="0" applyNumberFormat="0" applyFont="0" applyBorder="0" applyAlignment="0" applyProtection="0"/>
    <xf numFmtId="2" fontId="7" fillId="0" borderId="0" applyFont="0" applyFill="0" applyBorder="0" applyAlignment="0" applyProtection="0"/>
    <xf numFmtId="252" fontId="7" fillId="12" borderId="0" applyFont="0" applyFill="0" applyBorder="0" applyAlignment="0"/>
    <xf numFmtId="38" fontId="42" fillId="14" borderId="0" applyNumberFormat="0" applyFont="0" applyBorder="0" applyAlignment="0">
      <protection hidden="1"/>
    </xf>
    <xf numFmtId="0" fontId="44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255" fontId="7" fillId="0" borderId="0"/>
    <xf numFmtId="256" fontId="7" fillId="0" borderId="0"/>
    <xf numFmtId="257" fontId="7" fillId="0" borderId="0"/>
    <xf numFmtId="258" fontId="7" fillId="0" borderId="0"/>
    <xf numFmtId="10" fontId="42" fillId="12" borderId="9" applyNumberFormat="0" applyBorder="0" applyAlignment="0" applyProtection="0"/>
    <xf numFmtId="0" fontId="56" fillId="0" borderId="0"/>
    <xf numFmtId="9" fontId="56" fillId="0" borderId="0" applyFont="0" applyFill="0" applyBorder="0" applyAlignment="0" applyProtection="0"/>
    <xf numFmtId="0" fontId="73" fillId="23" borderId="24" applyNumberFormat="0" applyAlignment="0" applyProtection="0"/>
    <xf numFmtId="165" fontId="56" fillId="0" borderId="0" applyFont="0" applyFill="0" applyBorder="0" applyAlignment="0" applyProtection="0"/>
    <xf numFmtId="243" fontId="42" fillId="0" borderId="0"/>
    <xf numFmtId="246" fontId="42" fillId="12" borderId="0" applyFont="0" applyBorder="0" applyAlignment="0" applyProtection="0">
      <protection locked="0"/>
    </xf>
    <xf numFmtId="252" fontId="42" fillId="12" borderId="0" applyFont="0" applyBorder="0" applyAlignment="0">
      <protection locked="0"/>
    </xf>
    <xf numFmtId="236" fontId="42" fillId="0" borderId="0"/>
    <xf numFmtId="259" fontId="42" fillId="0" borderId="0"/>
    <xf numFmtId="10" fontId="42" fillId="12" borderId="0">
      <protection locked="0"/>
    </xf>
    <xf numFmtId="0" fontId="7" fillId="0" borderId="0"/>
    <xf numFmtId="0" fontId="7" fillId="0" borderId="21">
      <alignment horizontal="left"/>
      <protection locked="0"/>
    </xf>
    <xf numFmtId="0" fontId="7" fillId="0" borderId="0" applyBorder="0"/>
    <xf numFmtId="222" fontId="7" fillId="0" borderId="0" applyFont="0" applyFill="0" applyBorder="0" applyAlignment="0" applyProtection="0"/>
    <xf numFmtId="262" fontId="7" fillId="0" borderId="0" applyFont="0" applyFill="0" applyBorder="0" applyAlignment="0" applyProtection="0"/>
    <xf numFmtId="263" fontId="7" fillId="0" borderId="0" applyFont="0" applyFill="0" applyBorder="0" applyAlignment="0" applyProtection="0"/>
    <xf numFmtId="264" fontId="7" fillId="0" borderId="0" applyFont="0" applyFill="0" applyBorder="0" applyAlignment="0" applyProtection="0"/>
    <xf numFmtId="265" fontId="42" fillId="14" borderId="0" applyFont="0" applyBorder="0" applyAlignment="0" applyProtection="0">
      <alignment horizontal="right"/>
      <protection hidden="1"/>
    </xf>
    <xf numFmtId="266" fontId="7" fillId="0" borderId="0" applyFont="0" applyFill="0" applyBorder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255" fontId="7" fillId="0" borderId="0"/>
    <xf numFmtId="0" fontId="56" fillId="0" borderId="0"/>
    <xf numFmtId="256" fontId="7" fillId="0" borderId="0"/>
    <xf numFmtId="257" fontId="7" fillId="0" borderId="0"/>
    <xf numFmtId="9" fontId="56" fillId="0" borderId="0" applyFont="0" applyFill="0" applyBorder="0" applyAlignment="0" applyProtection="0"/>
    <xf numFmtId="258" fontId="7" fillId="0" borderId="0">
      <alignment horizontal="right"/>
    </xf>
    <xf numFmtId="38" fontId="42" fillId="0" borderId="9" applyFont="0" applyFill="0" applyBorder="0" applyAlignment="0" applyProtection="0"/>
    <xf numFmtId="236" fontId="7" fillId="0" borderId="0" applyFont="0" applyFill="0" applyBorder="0" applyAlignment="0"/>
    <xf numFmtId="40" fontId="42" fillId="0" borderId="0" applyFont="0" applyFill="0" applyBorder="0" applyAlignment="0"/>
    <xf numFmtId="260" fontId="42" fillId="0" borderId="0" applyFont="0" applyFill="0" applyBorder="0" applyAlignment="0"/>
    <xf numFmtId="165" fontId="56" fillId="0" borderId="0" applyFont="0" applyFill="0" applyBorder="0" applyAlignment="0" applyProtection="0"/>
    <xf numFmtId="267" fontId="42" fillId="0" borderId="0" applyFont="0" applyFill="0" applyBorder="0" applyAlignment="0" applyProtection="0"/>
    <xf numFmtId="0" fontId="7" fillId="0" borderId="0"/>
    <xf numFmtId="0" fontId="7" fillId="47" borderId="33" applyNumberFormat="0" applyFont="0" applyAlignment="0" applyProtection="0"/>
    <xf numFmtId="0" fontId="7" fillId="47" borderId="33" applyNumberFormat="0" applyFont="0" applyAlignment="0" applyProtection="0"/>
    <xf numFmtId="268" fontId="42" fillId="0" borderId="0" applyFont="0" applyFill="0" applyBorder="0" applyAlignment="0" applyProtection="0"/>
    <xf numFmtId="0" fontId="56" fillId="0" borderId="0"/>
    <xf numFmtId="269" fontId="7" fillId="0" borderId="0" applyFont="0" applyFill="0" applyBorder="0" applyAlignment="0" applyProtection="0"/>
    <xf numFmtId="270" fontId="7" fillId="0" borderId="0" applyFont="0" applyFill="0" applyBorder="0" applyAlignment="0" applyProtection="0"/>
    <xf numFmtId="271" fontId="7" fillId="0" borderId="0" applyFont="0" applyFill="0" applyBorder="0" applyAlignment="0" applyProtection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39" fontId="7" fillId="0" borderId="0" applyFont="0" applyFill="0" applyBorder="0" applyAlignment="0" applyProtection="0">
      <alignment horizontal="center"/>
    </xf>
    <xf numFmtId="272" fontId="42" fillId="0" borderId="0" applyFont="0" applyFill="0" applyBorder="0" applyAlignment="0" applyProtection="0"/>
    <xf numFmtId="0" fontId="42" fillId="0" borderId="0"/>
    <xf numFmtId="0" fontId="56" fillId="0" borderId="0"/>
    <xf numFmtId="9" fontId="12" fillId="0" borderId="0" applyFont="0" applyFill="0" applyBorder="0" applyAlignment="0" applyProtection="0"/>
    <xf numFmtId="10" fontId="12" fillId="0" borderId="0" applyFont="0" applyFill="0" applyBorder="0" applyAlignment="0" applyProtection="0"/>
    <xf numFmtId="274" fontId="7" fillId="0" borderId="0" applyFont="0" applyFill="0" applyBorder="0" applyAlignment="0" applyProtection="0"/>
    <xf numFmtId="275" fontId="7" fillId="0" borderId="0" applyFont="0" applyFill="0" applyBorder="0" applyAlignment="0" applyProtection="0"/>
    <xf numFmtId="276" fontId="7" fillId="0" borderId="0" applyFont="0" applyFill="0" applyBorder="0" applyAlignment="0" applyProtection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77" fontId="42" fillId="0" borderId="0" applyFont="0" applyFill="0" applyBorder="0" applyAlignment="0" applyProtection="0"/>
    <xf numFmtId="278" fontId="7" fillId="0" borderId="0" applyFont="0" applyFill="0" applyBorder="0" applyAlignment="0" applyProtection="0"/>
    <xf numFmtId="0" fontId="56" fillId="0" borderId="0"/>
    <xf numFmtId="0" fontId="73" fillId="23" borderId="24" applyNumberFormat="0" applyAlignment="0" applyProtection="0"/>
    <xf numFmtId="165" fontId="56" fillId="0" borderId="0" applyFont="0" applyFill="0" applyBorder="0" applyAlignment="0" applyProtection="0"/>
    <xf numFmtId="0" fontId="42" fillId="0" borderId="0">
      <alignment horizontal="right"/>
    </xf>
    <xf numFmtId="0" fontId="7" fillId="0" borderId="38">
      <alignment vertical="center"/>
    </xf>
    <xf numFmtId="4" fontId="63" fillId="48" borderId="0" applyNumberFormat="0" applyProtection="0">
      <alignment horizontal="left" vertical="center" indent="1"/>
    </xf>
    <xf numFmtId="4" fontId="63" fillId="50" borderId="0" applyNumberFormat="0" applyProtection="0">
      <alignment horizontal="left" vertical="center" indent="1"/>
    </xf>
    <xf numFmtId="236" fontId="42" fillId="53" borderId="0" applyNumberFormat="0" applyFont="0" applyBorder="0" applyAlignment="0">
      <protection hidden="1"/>
    </xf>
    <xf numFmtId="0" fontId="7" fillId="0" borderId="0"/>
    <xf numFmtId="0" fontId="56" fillId="0" borderId="0"/>
    <xf numFmtId="9" fontId="56" fillId="0" borderId="0" applyFont="0" applyFill="0" applyBorder="0" applyAlignment="0" applyProtection="0"/>
    <xf numFmtId="0" fontId="73" fillId="23" borderId="24" applyNumberFormat="0" applyAlignment="0" applyProtection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7" fillId="0" borderId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236" fontId="7" fillId="65" borderId="0" applyNumberFormat="0" applyFont="0" applyBorder="0" applyAlignment="0" applyProtection="0"/>
    <xf numFmtId="0" fontId="7" fillId="0" borderId="0"/>
    <xf numFmtId="0" fontId="7" fillId="0" borderId="0"/>
    <xf numFmtId="0" fontId="12" fillId="0" borderId="0" applyNumberFormat="0" applyFill="0" applyBorder="0" applyAlignment="0" applyProtection="0"/>
    <xf numFmtId="0" fontId="7" fillId="38" borderId="21"/>
    <xf numFmtId="0" fontId="7" fillId="0" borderId="44" applyNumberFormat="0" applyFont="0" applyFill="0" applyAlignment="0" applyProtection="0"/>
    <xf numFmtId="172" fontId="7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9" fontId="43" fillId="0" borderId="0"/>
    <xf numFmtId="172" fontId="7" fillId="0" borderId="0"/>
    <xf numFmtId="233" fontId="7" fillId="0" borderId="0"/>
    <xf numFmtId="179" fontId="43" fillId="0" borderId="0"/>
    <xf numFmtId="251" fontId="7" fillId="0" borderId="0"/>
    <xf numFmtId="179" fontId="43" fillId="0" borderId="0"/>
    <xf numFmtId="179" fontId="43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179" fontId="43" fillId="0" borderId="0"/>
    <xf numFmtId="251" fontId="7" fillId="0" borderId="0"/>
    <xf numFmtId="179" fontId="43" fillId="0" borderId="0"/>
    <xf numFmtId="179" fontId="43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233" fontId="7" fillId="0" borderId="0"/>
    <xf numFmtId="0" fontId="73" fillId="23" borderId="24" applyNumberFormat="0" applyAlignment="0" applyProtection="0"/>
    <xf numFmtId="0" fontId="73" fillId="23" borderId="24" applyNumberFormat="0" applyAlignment="0" applyProtection="0"/>
    <xf numFmtId="249" fontId="7" fillId="0" borderId="0" applyFont="0" applyFill="0" applyBorder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284" fontId="7" fillId="0" borderId="0"/>
    <xf numFmtId="283" fontId="26" fillId="0" borderId="0" applyFont="0" applyFill="0" applyBorder="0" applyAlignment="0" applyProtection="0"/>
    <xf numFmtId="0" fontId="56" fillId="0" borderId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56" fillId="0" borderId="0"/>
    <xf numFmtId="165" fontId="56" fillId="0" borderId="0" applyFont="0" applyFill="0" applyBorder="0" applyAlignment="0" applyProtection="0"/>
    <xf numFmtId="0" fontId="56" fillId="0" borderId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165" fontId="56" fillId="0" borderId="0" applyFont="0" applyFill="0" applyBorder="0" applyAlignment="0" applyProtection="0"/>
    <xf numFmtId="0" fontId="73" fillId="23" borderId="24" applyNumberFormat="0" applyAlignment="0" applyProtection="0"/>
    <xf numFmtId="165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56" fillId="0" borderId="0"/>
    <xf numFmtId="9" fontId="56" fillId="0" borderId="0" applyFont="0" applyFill="0" applyBorder="0" applyAlignment="0" applyProtection="0"/>
    <xf numFmtId="0" fontId="73" fillId="23" borderId="24" applyNumberFormat="0" applyAlignment="0" applyProtection="0"/>
    <xf numFmtId="0" fontId="56" fillId="0" borderId="0"/>
    <xf numFmtId="0" fontId="56" fillId="0" borderId="0"/>
    <xf numFmtId="9" fontId="56" fillId="0" borderId="0" applyFont="0" applyFill="0" applyBorder="0" applyAlignment="0" applyProtection="0"/>
    <xf numFmtId="0" fontId="73" fillId="23" borderId="24" applyNumberFormat="0" applyAlignment="0" applyProtection="0"/>
    <xf numFmtId="0" fontId="56" fillId="0" borderId="0"/>
    <xf numFmtId="9" fontId="56" fillId="0" borderId="0" applyFont="0" applyFill="0" applyBorder="0" applyAlignment="0" applyProtection="0"/>
    <xf numFmtId="0" fontId="73" fillId="23" borderId="24" applyNumberFormat="0" applyAlignment="0" applyProtection="0"/>
    <xf numFmtId="0" fontId="73" fillId="23" borderId="24" applyNumberFormat="0" applyAlignment="0" applyProtection="0"/>
    <xf numFmtId="9" fontId="56" fillId="0" borderId="0" applyFont="0" applyFill="0" applyBorder="0" applyAlignment="0" applyProtection="0"/>
    <xf numFmtId="0" fontId="73" fillId="23" borderId="24" applyNumberFormat="0" applyAlignment="0" applyProtection="0"/>
    <xf numFmtId="0" fontId="56" fillId="0" borderId="0"/>
    <xf numFmtId="9" fontId="56" fillId="0" borderId="0" applyFont="0" applyFill="0" applyBorder="0" applyAlignment="0" applyProtection="0"/>
    <xf numFmtId="0" fontId="73" fillId="23" borderId="24" applyNumberFormat="0" applyAlignment="0" applyProtection="0"/>
    <xf numFmtId="0" fontId="56" fillId="0" borderId="0"/>
    <xf numFmtId="9" fontId="56" fillId="0" borderId="0" applyFont="0" applyFill="0" applyBorder="0" applyAlignment="0" applyProtection="0"/>
    <xf numFmtId="0" fontId="56" fillId="0" borderId="0"/>
    <xf numFmtId="9" fontId="56" fillId="0" borderId="0" applyFont="0" applyFill="0" applyBorder="0" applyAlignment="0" applyProtection="0"/>
    <xf numFmtId="0" fontId="56" fillId="0" borderId="0"/>
    <xf numFmtId="9" fontId="56" fillId="0" borderId="0" applyFont="0" applyFill="0" applyBorder="0" applyAlignment="0" applyProtection="0"/>
    <xf numFmtId="0" fontId="56" fillId="0" borderId="0"/>
    <xf numFmtId="9" fontId="56" fillId="0" borderId="0" applyFont="0" applyFill="0" applyBorder="0" applyAlignment="0" applyProtection="0"/>
    <xf numFmtId="0" fontId="56" fillId="0" borderId="0"/>
    <xf numFmtId="9" fontId="56" fillId="0" borderId="0" applyFont="0" applyFill="0" applyBorder="0" applyAlignment="0" applyProtection="0"/>
    <xf numFmtId="0" fontId="56" fillId="0" borderId="0"/>
    <xf numFmtId="9" fontId="56" fillId="0" borderId="0" applyFont="0" applyFill="0" applyBorder="0" applyAlignment="0" applyProtection="0"/>
    <xf numFmtId="0" fontId="1" fillId="0" borderId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1" fillId="0" borderId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1" fillId="0" borderId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1" fillId="0" borderId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1" fillId="0" borderId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73" fontId="7" fillId="0" borderId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167" fontId="7" fillId="0" borderId="0" applyFont="0" applyFill="0" applyBorder="0" applyProtection="0">
      <alignment horizontal="right"/>
    </xf>
    <xf numFmtId="215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59" fontId="42" fillId="0" borderId="0"/>
    <xf numFmtId="172" fontId="7" fillId="0" borderId="0"/>
    <xf numFmtId="0" fontId="1" fillId="0" borderId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0" fontId="1" fillId="0" borderId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73" fontId="7" fillId="0" borderId="0"/>
    <xf numFmtId="21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72" fontId="7" fillId="0" borderId="0"/>
    <xf numFmtId="214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72" fontId="7" fillId="0" borderId="0"/>
    <xf numFmtId="215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167" fontId="7" fillId="0" borderId="0" applyFont="0" applyFill="0" applyBorder="0" applyProtection="0">
      <alignment horizontal="right"/>
    </xf>
    <xf numFmtId="215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2" fontId="7" fillId="0" borderId="0"/>
    <xf numFmtId="215" fontId="7" fillId="0" borderId="0" applyFont="0" applyFill="0" applyBorder="0" applyAlignment="0" applyProtection="0"/>
    <xf numFmtId="167" fontId="7" fillId="0" borderId="0" applyFont="0" applyFill="0" applyBorder="0" applyProtection="0">
      <alignment horizontal="right"/>
    </xf>
    <xf numFmtId="259" fontId="42" fillId="0" borderId="0"/>
    <xf numFmtId="22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59" fontId="42" fillId="0" borderId="0"/>
    <xf numFmtId="167" fontId="7" fillId="0" borderId="0" applyFont="0" applyFill="0" applyBorder="0" applyProtection="0">
      <alignment horizontal="right"/>
    </xf>
    <xf numFmtId="215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59" fontId="42" fillId="0" borderId="0"/>
    <xf numFmtId="215" fontId="7" fillId="0" borderId="0" applyFont="0" applyFill="0" applyBorder="0" applyAlignment="0" applyProtection="0"/>
    <xf numFmtId="173" fontId="7" fillId="0" borderId="0"/>
    <xf numFmtId="166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59" fontId="42" fillId="0" borderId="0"/>
    <xf numFmtId="168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72" fontId="7" fillId="0" borderId="0"/>
    <xf numFmtId="2" fontId="7" fillId="0" borderId="0" applyFont="0" applyFill="0" applyBorder="0" applyAlignment="0" applyProtection="0"/>
    <xf numFmtId="173" fontId="7" fillId="0" borderId="0"/>
    <xf numFmtId="2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73" fontId="7" fillId="0" borderId="0"/>
    <xf numFmtId="214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167" fontId="7" fillId="0" borderId="0" applyFont="0" applyFill="0" applyBorder="0" applyProtection="0">
      <alignment horizontal="right"/>
    </xf>
    <xf numFmtId="215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173" fontId="7" fillId="0" borderId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167" fontId="7" fillId="0" borderId="0" applyFont="0" applyFill="0" applyBorder="0" applyProtection="0">
      <alignment horizontal="right"/>
    </xf>
    <xf numFmtId="215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59" fontId="42" fillId="0" borderId="0"/>
    <xf numFmtId="172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73" fontId="7" fillId="0" borderId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167" fontId="7" fillId="0" borderId="0" applyFont="0" applyFill="0" applyBorder="0" applyProtection="0">
      <alignment horizontal="right"/>
    </xf>
    <xf numFmtId="215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59" fontId="42" fillId="0" borderId="0"/>
    <xf numFmtId="172" fontId="7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16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73" fontId="7" fillId="0" borderId="0"/>
    <xf numFmtId="0" fontId="1" fillId="0" borderId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167" fontId="7" fillId="0" borderId="0" applyFont="0" applyFill="0" applyBorder="0" applyProtection="0">
      <alignment horizontal="right"/>
    </xf>
    <xf numFmtId="215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59" fontId="42" fillId="0" borderId="0"/>
    <xf numFmtId="172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7" fillId="0" borderId="0"/>
    <xf numFmtId="167" fontId="7" fillId="0" borderId="0" applyFont="0" applyFill="0" applyBorder="0" applyProtection="0">
      <alignment horizontal="right"/>
    </xf>
    <xf numFmtId="259" fontId="42" fillId="0" borderId="0"/>
    <xf numFmtId="16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172" fontId="7" fillId="0" borderId="0"/>
    <xf numFmtId="215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72" fontId="7" fillId="0" borderId="0"/>
    <xf numFmtId="214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167" fontId="7" fillId="0" borderId="0" applyFont="0" applyFill="0" applyBorder="0" applyProtection="0">
      <alignment horizontal="right"/>
    </xf>
    <xf numFmtId="215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67" fontId="7" fillId="0" borderId="0" applyFont="0" applyFill="0" applyBorder="0" applyProtection="0">
      <alignment horizontal="right"/>
    </xf>
    <xf numFmtId="223" fontId="7" fillId="0" borderId="0" applyFont="0" applyFill="0" applyBorder="0" applyAlignment="0" applyProtection="0"/>
    <xf numFmtId="259" fontId="42" fillId="0" borderId="0"/>
    <xf numFmtId="224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73" fontId="7" fillId="0" borderId="0"/>
    <xf numFmtId="215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167" fontId="7" fillId="0" borderId="0" applyFont="0" applyFill="0" applyBorder="0" applyProtection="0">
      <alignment horizontal="right"/>
    </xf>
    <xf numFmtId="215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59" fontId="42" fillId="0" borderId="0"/>
    <xf numFmtId="215" fontId="7" fillId="0" borderId="0" applyFont="0" applyFill="0" applyBorder="0" applyAlignment="0" applyProtection="0"/>
    <xf numFmtId="173" fontId="7" fillId="0" borderId="0"/>
    <xf numFmtId="2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72" fontId="7" fillId="0" borderId="0"/>
    <xf numFmtId="214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72" fontId="7" fillId="0" borderId="0"/>
    <xf numFmtId="2" fontId="7" fillId="0" borderId="0" applyFont="0" applyFill="0" applyBorder="0" applyAlignment="0" applyProtection="0"/>
    <xf numFmtId="167" fontId="7" fillId="0" borderId="0" applyFont="0" applyFill="0" applyBorder="0" applyProtection="0">
      <alignment horizontal="right"/>
    </xf>
    <xf numFmtId="173" fontId="7" fillId="0" borderId="0"/>
    <xf numFmtId="215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3" fontId="7" fillId="0" borderId="0"/>
    <xf numFmtId="166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259" fontId="42" fillId="0" borderId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2" fontId="7" fillId="0" borderId="0"/>
    <xf numFmtId="223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29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73" fontId="7" fillId="0" borderId="0"/>
    <xf numFmtId="259" fontId="42" fillId="0" borderId="0"/>
    <xf numFmtId="172" fontId="7" fillId="0" borderId="0"/>
    <xf numFmtId="223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59" fontId="42" fillId="0" borderId="0"/>
    <xf numFmtId="173" fontId="7" fillId="0" borderId="0"/>
    <xf numFmtId="169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7" fontId="7" fillId="0" borderId="0" applyFont="0" applyFill="0" applyBorder="0" applyProtection="0">
      <alignment horizontal="right"/>
    </xf>
    <xf numFmtId="214" fontId="7" fillId="0" borderId="0" applyFont="0" applyFill="0" applyBorder="0" applyAlignment="0" applyProtection="0"/>
    <xf numFmtId="167" fontId="7" fillId="0" borderId="0" applyFont="0" applyFill="0" applyBorder="0" applyProtection="0">
      <alignment horizontal="right"/>
    </xf>
    <xf numFmtId="229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259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7" fillId="0" borderId="0"/>
    <xf numFmtId="224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0" fontId="56" fillId="24" borderId="0" applyNumberFormat="0" applyBorder="0" applyAlignment="0" applyProtection="0"/>
    <xf numFmtId="0" fontId="56" fillId="25" borderId="0" applyNumberFormat="0" applyBorder="0" applyAlignment="0" applyProtection="0"/>
    <xf numFmtId="0" fontId="56" fillId="47" borderId="0" applyNumberFormat="0" applyBorder="0" applyAlignment="0" applyProtection="0"/>
    <xf numFmtId="0" fontId="56" fillId="23" borderId="0" applyNumberFormat="0" applyBorder="0" applyAlignment="0" applyProtection="0"/>
    <xf numFmtId="0" fontId="56" fillId="47" borderId="0" applyNumberFormat="0" applyBorder="0" applyAlignment="0" applyProtection="0"/>
    <xf numFmtId="0" fontId="56" fillId="22" borderId="0" applyNumberFormat="0" applyBorder="0" applyAlignment="0" applyProtection="0"/>
    <xf numFmtId="0" fontId="56" fillId="17" borderId="0" applyNumberFormat="0" applyBorder="0" applyAlignment="0" applyProtection="0"/>
    <xf numFmtId="0" fontId="56" fillId="19" borderId="0" applyNumberFormat="0" applyBorder="0" applyAlignment="0" applyProtection="0"/>
    <xf numFmtId="0" fontId="56" fillId="22" borderId="0" applyNumberFormat="0" applyBorder="0" applyAlignment="0" applyProtection="0"/>
    <xf numFmtId="0" fontId="56" fillId="47" borderId="0" applyNumberFormat="0" applyBorder="0" applyAlignment="0" applyProtection="0"/>
    <xf numFmtId="0" fontId="57" fillId="22" borderId="0" applyNumberFormat="0" applyBorder="0" applyAlignment="0" applyProtection="0"/>
    <xf numFmtId="0" fontId="57" fillId="35" borderId="0" applyNumberFormat="0" applyBorder="0" applyAlignment="0" applyProtection="0"/>
    <xf numFmtId="0" fontId="57" fillId="27" borderId="0" applyNumberFormat="0" applyBorder="0" applyAlignment="0" applyProtection="0"/>
    <xf numFmtId="0" fontId="57" fillId="19" borderId="0" applyNumberFormat="0" applyBorder="0" applyAlignment="0" applyProtection="0"/>
    <xf numFmtId="0" fontId="57" fillId="22" borderId="0" applyNumberFormat="0" applyBorder="0" applyAlignment="0" applyProtection="0"/>
    <xf numFmtId="0" fontId="57" fillId="25" borderId="0" applyNumberFormat="0" applyBorder="0" applyAlignment="0" applyProtection="0"/>
    <xf numFmtId="0" fontId="57" fillId="68" borderId="0" applyNumberFormat="0" applyBorder="0" applyAlignment="0" applyProtection="0"/>
    <xf numFmtId="0" fontId="57" fillId="35" borderId="0" applyNumberFormat="0" applyBorder="0" applyAlignment="0" applyProtection="0"/>
    <xf numFmtId="0" fontId="57" fillId="27" borderId="0" applyNumberFormat="0" applyBorder="0" applyAlignment="0" applyProtection="0"/>
    <xf numFmtId="0" fontId="57" fillId="69" borderId="0" applyNumberFormat="0" applyBorder="0" applyAlignment="0" applyProtection="0"/>
    <xf numFmtId="0" fontId="57" fillId="33" borderId="0" applyNumberFormat="0" applyBorder="0" applyAlignment="0" applyProtection="0"/>
    <xf numFmtId="0" fontId="62" fillId="21" borderId="0" applyNumberFormat="0" applyBorder="0" applyAlignment="0" applyProtection="0"/>
    <xf numFmtId="0" fontId="149" fillId="70" borderId="24" applyNumberFormat="0" applyAlignment="0" applyProtection="0"/>
    <xf numFmtId="165" fontId="7" fillId="0" borderId="0" applyFont="0" applyFill="0" applyBorder="0" applyAlignment="0" applyProtection="0"/>
    <xf numFmtId="0" fontId="64" fillId="22" borderId="0" applyNumberFormat="0" applyBorder="0" applyAlignment="0" applyProtection="0"/>
    <xf numFmtId="0" fontId="150" fillId="0" borderId="46" applyNumberFormat="0" applyFill="0" applyAlignment="0" applyProtection="0"/>
    <xf numFmtId="0" fontId="151" fillId="0" borderId="47" applyNumberFormat="0" applyFill="0" applyAlignment="0" applyProtection="0"/>
    <xf numFmtId="0" fontId="152" fillId="0" borderId="48" applyNumberFormat="0" applyFill="0" applyAlignment="0" applyProtection="0"/>
    <xf numFmtId="0" fontId="152" fillId="0" borderId="0" applyNumberFormat="0" applyFill="0" applyBorder="0" applyAlignment="0" applyProtection="0"/>
    <xf numFmtId="0" fontId="73" fillId="17" borderId="24" applyNumberFormat="0" applyAlignment="0" applyProtection="0"/>
    <xf numFmtId="0" fontId="113" fillId="0" borderId="49" applyNumberFormat="0" applyFill="0" applyAlignment="0" applyProtection="0"/>
    <xf numFmtId="0" fontId="153" fillId="17" borderId="0" applyNumberFormat="0" applyBorder="0" applyAlignment="0" applyProtection="0"/>
    <xf numFmtId="0" fontId="94" fillId="70" borderId="34" applyNumberFormat="0" applyAlignment="0" applyProtection="0"/>
    <xf numFmtId="9" fontId="7" fillId="0" borderId="0" applyFont="0" applyFill="0" applyBorder="0" applyAlignment="0" applyProtection="0"/>
    <xf numFmtId="0" fontId="154" fillId="0" borderId="0" applyNumberFormat="0" applyFill="0" applyBorder="0" applyAlignment="0" applyProtection="0"/>
    <xf numFmtId="0" fontId="146" fillId="0" borderId="50" applyNumberFormat="0" applyFill="0" applyAlignment="0" applyProtection="0"/>
  </cellStyleXfs>
  <cellXfs count="331">
    <xf numFmtId="0" fontId="0" fillId="0" borderId="0" xfId="0"/>
    <xf numFmtId="0" fontId="4" fillId="0" borderId="0" xfId="0" applyFont="1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Font="1"/>
    <xf numFmtId="0" fontId="0" fillId="0" borderId="0" xfId="0" applyBorder="1"/>
    <xf numFmtId="1" fontId="0" fillId="0" borderId="0" xfId="0" applyNumberFormat="1" applyBorder="1" applyAlignment="1">
      <alignment horizontal="center"/>
    </xf>
    <xf numFmtId="9" fontId="0" fillId="0" borderId="0" xfId="1" applyFont="1" applyAlignment="1">
      <alignment horizontal="center"/>
    </xf>
    <xf numFmtId="1" fontId="4" fillId="4" borderId="0" xfId="0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3" fontId="0" fillId="10" borderId="12" xfId="0" applyNumberFormat="1" applyFill="1" applyBorder="1" applyAlignment="1">
      <alignment horizontal="center"/>
    </xf>
    <xf numFmtId="0" fontId="0" fillId="0" borderId="0" xfId="0"/>
    <xf numFmtId="9" fontId="4" fillId="0" borderId="0" xfId="1" applyFont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3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/>
    <xf numFmtId="0" fontId="0" fillId="0" borderId="2" xfId="0" applyBorder="1"/>
    <xf numFmtId="173" fontId="3" fillId="0" borderId="0" xfId="1" applyNumberFormat="1" applyFont="1" applyBorder="1" applyAlignment="1">
      <alignment horizontal="center"/>
    </xf>
    <xf numFmtId="173" fontId="0" fillId="0" borderId="0" xfId="1" applyNumberFormat="1" applyFont="1" applyBorder="1" applyAlignment="1">
      <alignment horizontal="center"/>
    </xf>
    <xf numFmtId="0" fontId="0" fillId="0" borderId="0" xfId="0"/>
    <xf numFmtId="0" fontId="157" fillId="0" borderId="1" xfId="0" applyFont="1" applyBorder="1" applyAlignment="1">
      <alignment horizontal="center" vertical="center" wrapText="1"/>
    </xf>
    <xf numFmtId="0" fontId="158" fillId="0" borderId="0" xfId="0" applyFont="1"/>
    <xf numFmtId="0" fontId="159" fillId="2" borderId="0" xfId="0" applyFont="1" applyFill="1" applyAlignment="1">
      <alignment horizontal="center"/>
    </xf>
    <xf numFmtId="0" fontId="157" fillId="0" borderId="0" xfId="0" applyFont="1" applyFill="1"/>
    <xf numFmtId="3" fontId="158" fillId="0" borderId="0" xfId="0" applyNumberFormat="1" applyFont="1" applyAlignment="1">
      <alignment horizontal="center"/>
    </xf>
    <xf numFmtId="173" fontId="158" fillId="0" borderId="0" xfId="1" applyNumberFormat="1" applyFont="1" applyAlignment="1">
      <alignment horizontal="center"/>
    </xf>
    <xf numFmtId="172" fontId="158" fillId="0" borderId="0" xfId="0" applyNumberFormat="1" applyFont="1" applyAlignment="1">
      <alignment horizontal="center"/>
    </xf>
    <xf numFmtId="0" fontId="160" fillId="4" borderId="0" xfId="0" applyFont="1" applyFill="1"/>
    <xf numFmtId="0" fontId="157" fillId="4" borderId="0" xfId="0" applyFont="1" applyFill="1"/>
    <xf numFmtId="0" fontId="161" fillId="0" borderId="0" xfId="0" applyFont="1"/>
    <xf numFmtId="0" fontId="158" fillId="0" borderId="2" xfId="0" applyFont="1" applyBorder="1"/>
    <xf numFmtId="0" fontId="162" fillId="0" borderId="0" xfId="0" applyFont="1"/>
    <xf numFmtId="1" fontId="158" fillId="0" borderId="0" xfId="0" applyNumberFormat="1" applyFont="1" applyAlignment="1">
      <alignment horizontal="center"/>
    </xf>
    <xf numFmtId="2" fontId="158" fillId="0" borderId="0" xfId="0" applyNumberFormat="1" applyFont="1" applyAlignment="1">
      <alignment horizontal="center"/>
    </xf>
    <xf numFmtId="0" fontId="158" fillId="0" borderId="0" xfId="0" applyFont="1" applyAlignment="1">
      <alignment horizontal="center"/>
    </xf>
    <xf numFmtId="0" fontId="158" fillId="0" borderId="2" xfId="0" applyFont="1" applyBorder="1" applyAlignment="1">
      <alignment horizontal="center"/>
    </xf>
    <xf numFmtId="0" fontId="157" fillId="0" borderId="0" xfId="0" applyFont="1"/>
    <xf numFmtId="1" fontId="157" fillId="0" borderId="0" xfId="0" applyNumberFormat="1" applyFont="1" applyAlignment="1">
      <alignment horizontal="center"/>
    </xf>
    <xf numFmtId="9" fontId="158" fillId="0" borderId="0" xfId="1" applyNumberFormat="1" applyFont="1" applyAlignment="1">
      <alignment horizontal="center"/>
    </xf>
    <xf numFmtId="0" fontId="158" fillId="71" borderId="0" xfId="0" applyFont="1" applyFill="1"/>
    <xf numFmtId="173" fontId="158" fillId="71" borderId="0" xfId="1" applyNumberFormat="1" applyFont="1" applyFill="1" applyAlignment="1">
      <alignment horizontal="center"/>
    </xf>
    <xf numFmtId="0" fontId="158" fillId="11" borderId="0" xfId="0" applyFont="1" applyFill="1"/>
    <xf numFmtId="173" fontId="158" fillId="11" borderId="0" xfId="1" applyNumberFormat="1" applyFont="1" applyFill="1" applyAlignment="1">
      <alignment horizontal="center"/>
    </xf>
    <xf numFmtId="0" fontId="158" fillId="66" borderId="2" xfId="0" applyFont="1" applyFill="1" applyBorder="1"/>
    <xf numFmtId="173" fontId="158" fillId="66" borderId="2" xfId="1" applyNumberFormat="1" applyFont="1" applyFill="1" applyBorder="1" applyAlignment="1">
      <alignment horizontal="center"/>
    </xf>
    <xf numFmtId="173" fontId="157" fillId="11" borderId="2" xfId="1" applyNumberFormat="1" applyFont="1" applyFill="1" applyBorder="1" applyAlignment="1">
      <alignment horizontal="center"/>
    </xf>
    <xf numFmtId="0" fontId="148" fillId="0" borderId="2" xfId="0" quotePrefix="1" applyFont="1" applyBorder="1"/>
    <xf numFmtId="3" fontId="158" fillId="0" borderId="0" xfId="0" applyNumberFormat="1" applyFont="1"/>
    <xf numFmtId="172" fontId="0" fillId="0" borderId="0" xfId="0" applyNumberFormat="1"/>
    <xf numFmtId="0" fontId="158" fillId="0" borderId="0" xfId="0" applyFont="1" applyBorder="1"/>
    <xf numFmtId="9" fontId="158" fillId="0" borderId="0" xfId="0" applyNumberFormat="1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3" fontId="2" fillId="2" borderId="0" xfId="0" applyNumberFormat="1" applyFont="1" applyFill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9" fontId="0" fillId="10" borderId="2" xfId="1" applyFont="1" applyFill="1" applyBorder="1" applyAlignment="1">
      <alignment horizontal="center"/>
    </xf>
    <xf numFmtId="3" fontId="0" fillId="0" borderId="0" xfId="3235" applyNumberFormat="1" applyFont="1" applyAlignment="1">
      <alignment horizontal="center"/>
    </xf>
    <xf numFmtId="3" fontId="0" fillId="0" borderId="0" xfId="3235" applyNumberFormat="1" applyFont="1" applyBorder="1" applyAlignment="1">
      <alignment horizontal="center"/>
    </xf>
    <xf numFmtId="0" fontId="4" fillId="0" borderId="0" xfId="0" applyFont="1" applyFill="1"/>
    <xf numFmtId="1" fontId="0" fillId="0" borderId="0" xfId="0" applyNumberFormat="1" applyFont="1" applyFill="1" applyBorder="1" applyAlignment="1">
      <alignment horizontal="center"/>
    </xf>
    <xf numFmtId="0" fontId="167" fillId="8" borderId="0" xfId="0" applyFont="1" applyFill="1" applyBorder="1" applyAlignment="1">
      <alignment horizontal="left" vertical="center"/>
    </xf>
    <xf numFmtId="2" fontId="168" fillId="8" borderId="0" xfId="0" applyNumberFormat="1" applyFont="1" applyFill="1" applyBorder="1" applyAlignment="1">
      <alignment horizontal="center" vertical="center"/>
    </xf>
    <xf numFmtId="2" fontId="168" fillId="72" borderId="54" xfId="0" applyNumberFormat="1" applyFont="1" applyFill="1" applyBorder="1" applyAlignment="1">
      <alignment horizontal="center" vertical="center"/>
    </xf>
    <xf numFmtId="0" fontId="167" fillId="8" borderId="10" xfId="0" applyFont="1" applyFill="1" applyBorder="1" applyAlignment="1">
      <alignment horizontal="left" vertical="center"/>
    </xf>
    <xf numFmtId="2" fontId="168" fillId="8" borderId="10" xfId="0" applyNumberFormat="1" applyFont="1" applyFill="1" applyBorder="1" applyAlignment="1">
      <alignment horizontal="center" vertical="center"/>
    </xf>
    <xf numFmtId="2" fontId="168" fillId="72" borderId="55" xfId="0" applyNumberFormat="1" applyFont="1" applyFill="1" applyBorder="1" applyAlignment="1">
      <alignment horizontal="center" vertical="center"/>
    </xf>
    <xf numFmtId="0" fontId="167" fillId="0" borderId="0" xfId="0" applyFont="1" applyFill="1" applyBorder="1" applyAlignment="1">
      <alignment horizontal="left" vertical="center"/>
    </xf>
    <xf numFmtId="4" fontId="168" fillId="0" borderId="0" xfId="0" applyNumberFormat="1" applyFont="1" applyFill="1" applyBorder="1" applyAlignment="1">
      <alignment horizontal="center" vertical="center"/>
    </xf>
    <xf numFmtId="3" fontId="4" fillId="10" borderId="1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0" fillId="0" borderId="54" xfId="0" applyNumberFormat="1" applyFont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4" fontId="0" fillId="0" borderId="54" xfId="0" applyNumberFormat="1" applyFont="1" applyFill="1" applyBorder="1" applyAlignment="1">
      <alignment horizontal="center" vertical="center"/>
    </xf>
    <xf numFmtId="4" fontId="0" fillId="0" borderId="0" xfId="0" applyNumberFormat="1" applyFont="1" applyFill="1" applyBorder="1" applyAlignment="1">
      <alignment horizontal="center" vertical="center"/>
    </xf>
    <xf numFmtId="1" fontId="0" fillId="0" borderId="54" xfId="0" applyNumberFormat="1" applyBorder="1" applyAlignment="1">
      <alignment horizontal="center" vertical="center"/>
    </xf>
    <xf numFmtId="1" fontId="4" fillId="4" borderId="54" xfId="0" applyNumberFormat="1" applyFont="1" applyFill="1" applyBorder="1" applyAlignment="1">
      <alignment horizontal="center" vertical="center"/>
    </xf>
    <xf numFmtId="1" fontId="4" fillId="4" borderId="0" xfId="0" applyNumberFormat="1" applyFont="1" applyFill="1" applyBorder="1" applyAlignment="1">
      <alignment horizontal="center" vertical="center"/>
    </xf>
    <xf numFmtId="4" fontId="0" fillId="0" borderId="54" xfId="0" applyNumberFormat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173" fontId="0" fillId="0" borderId="54" xfId="1" applyNumberFormat="1" applyFont="1" applyBorder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173" fontId="0" fillId="0" borderId="0" xfId="1" applyNumberFormat="1" applyFont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54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0" fillId="0" borderId="54" xfId="0" applyNumberFormat="1" applyFon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3" fontId="0" fillId="0" borderId="5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1" fillId="0" borderId="54" xfId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54" xfId="1" applyFont="1" applyBorder="1" applyAlignment="1">
      <alignment horizontal="center" vertical="center"/>
    </xf>
    <xf numFmtId="9" fontId="4" fillId="0" borderId="54" xfId="1" applyFont="1" applyBorder="1" applyAlignment="1">
      <alignment horizontal="center" vertical="center"/>
    </xf>
    <xf numFmtId="3" fontId="4" fillId="0" borderId="54" xfId="1" applyNumberFormat="1" applyFont="1" applyBorder="1" applyAlignment="1">
      <alignment horizontal="center" vertical="center"/>
    </xf>
    <xf numFmtId="3" fontId="4" fillId="0" borderId="0" xfId="1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3" fontId="1" fillId="0" borderId="54" xfId="1" applyNumberFormat="1" applyFont="1" applyBorder="1" applyAlignment="1">
      <alignment horizontal="center" vertical="center"/>
    </xf>
    <xf numFmtId="3" fontId="1" fillId="0" borderId="0" xfId="1" applyNumberFormat="1" applyFont="1" applyAlignment="1">
      <alignment horizontal="center" vertical="center"/>
    </xf>
    <xf numFmtId="304" fontId="0" fillId="0" borderId="54" xfId="0" applyNumberFormat="1" applyBorder="1" applyAlignment="1">
      <alignment horizontal="center" vertical="center"/>
    </xf>
    <xf numFmtId="304" fontId="0" fillId="0" borderId="0" xfId="0" applyNumberFormat="1" applyAlignment="1">
      <alignment horizontal="center" vertical="center"/>
    </xf>
    <xf numFmtId="3" fontId="2" fillId="2" borderId="54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3" fontId="165" fillId="0" borderId="0" xfId="1" applyNumberFormat="1" applyFont="1" applyFill="1" applyAlignment="1">
      <alignment horizontal="center" vertical="center"/>
    </xf>
    <xf numFmtId="3" fontId="4" fillId="10" borderId="56" xfId="0" applyNumberFormat="1" applyFont="1" applyFill="1" applyBorder="1" applyAlignment="1">
      <alignment horizontal="center" vertical="center"/>
    </xf>
    <xf numFmtId="3" fontId="4" fillId="10" borderId="12" xfId="0" applyNumberFormat="1" applyFont="1" applyFill="1" applyBorder="1" applyAlignment="1">
      <alignment horizontal="center" vertical="center"/>
    </xf>
    <xf numFmtId="9" fontId="0" fillId="10" borderId="57" xfId="1" applyFont="1" applyFill="1" applyBorder="1" applyAlignment="1">
      <alignment horizontal="center" vertical="center"/>
    </xf>
    <xf numFmtId="9" fontId="0" fillId="10" borderId="2" xfId="1" applyFont="1" applyFill="1" applyBorder="1" applyAlignment="1">
      <alignment horizontal="center" vertical="center"/>
    </xf>
    <xf numFmtId="3" fontId="0" fillId="10" borderId="56" xfId="0" applyNumberFormat="1" applyFill="1" applyBorder="1" applyAlignment="1">
      <alignment horizontal="center" vertical="center"/>
    </xf>
    <xf numFmtId="3" fontId="0" fillId="10" borderId="12" xfId="0" applyNumberForma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9" fontId="4" fillId="4" borderId="0" xfId="1" applyFont="1" applyFill="1" applyBorder="1" applyAlignment="1">
      <alignment horizontal="center" vertical="center"/>
    </xf>
    <xf numFmtId="172" fontId="0" fillId="0" borderId="0" xfId="0" applyNumberFormat="1" applyBorder="1" applyAlignment="1">
      <alignment horizontal="center" vertical="center"/>
    </xf>
    <xf numFmtId="172" fontId="0" fillId="0" borderId="54" xfId="0" applyNumberFormat="1" applyBorder="1" applyAlignment="1">
      <alignment horizontal="center" vertical="center"/>
    </xf>
    <xf numFmtId="3" fontId="0" fillId="0" borderId="54" xfId="3235" applyNumberFormat="1" applyFont="1" applyBorder="1" applyAlignment="1">
      <alignment horizontal="center" vertical="center"/>
    </xf>
    <xf numFmtId="3" fontId="0" fillId="0" borderId="0" xfId="3235" applyNumberFormat="1" applyFont="1" applyAlignment="1">
      <alignment horizontal="center" vertical="center"/>
    </xf>
    <xf numFmtId="3" fontId="0" fillId="0" borderId="0" xfId="3235" applyNumberFormat="1" applyFont="1" applyBorder="1" applyAlignment="1">
      <alignment horizontal="center" vertical="center"/>
    </xf>
    <xf numFmtId="9" fontId="4" fillId="0" borderId="0" xfId="1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quotePrefix="1" applyFont="1" applyAlignment="1">
      <alignment horizontal="left" vertical="center"/>
    </xf>
    <xf numFmtId="3" fontId="4" fillId="10" borderId="12" xfId="0" applyNumberFormat="1" applyFont="1" applyFill="1" applyBorder="1" applyAlignment="1">
      <alignment horizontal="left" vertical="center"/>
    </xf>
    <xf numFmtId="9" fontId="0" fillId="10" borderId="2" xfId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3" fontId="0" fillId="10" borderId="12" xfId="0" applyNumberFormat="1" applyFill="1" applyBorder="1" applyAlignment="1">
      <alignment horizontal="left" vertical="center"/>
    </xf>
    <xf numFmtId="3" fontId="0" fillId="0" borderId="0" xfId="3235" applyNumberFormat="1" applyFont="1" applyAlignment="1">
      <alignment horizontal="left" vertical="center"/>
    </xf>
    <xf numFmtId="9" fontId="4" fillId="0" borderId="0" xfId="1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9" fontId="0" fillId="0" borderId="0" xfId="1" applyNumberFormat="1" applyFont="1" applyAlignment="1">
      <alignment horizontal="center" vertical="center"/>
    </xf>
    <xf numFmtId="9" fontId="3" fillId="10" borderId="57" xfId="1" applyFont="1" applyFill="1" applyBorder="1" applyAlignment="1">
      <alignment horizontal="center" vertical="center"/>
    </xf>
    <xf numFmtId="2" fontId="3" fillId="8" borderId="0" xfId="0" applyNumberFormat="1" applyFont="1" applyFill="1" applyBorder="1" applyAlignment="1">
      <alignment horizontal="center" vertical="center"/>
    </xf>
    <xf numFmtId="2" fontId="3" fillId="8" borderId="10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4" fillId="10" borderId="0" xfId="0" applyFont="1" applyFill="1" applyAlignment="1">
      <alignment vertical="center"/>
    </xf>
    <xf numFmtId="172" fontId="0" fillId="0" borderId="0" xfId="0" applyNumberFormat="1" applyFont="1" applyAlignment="1">
      <alignment horizontal="center" vertical="center"/>
    </xf>
    <xf numFmtId="0" fontId="0" fillId="0" borderId="2" xfId="0" applyFont="1" applyBorder="1" applyAlignment="1">
      <alignment vertical="center"/>
    </xf>
    <xf numFmtId="173" fontId="0" fillId="0" borderId="2" xfId="1" applyNumberFormat="1" applyFont="1" applyBorder="1" applyAlignment="1">
      <alignment horizontal="center" vertical="center"/>
    </xf>
    <xf numFmtId="173" fontId="3" fillId="0" borderId="2" xfId="1" applyNumberFormat="1" applyFont="1" applyBorder="1" applyAlignment="1">
      <alignment horizontal="center" vertical="center"/>
    </xf>
    <xf numFmtId="3" fontId="0" fillId="0" borderId="2" xfId="0" applyNumberFormat="1" applyFont="1" applyBorder="1" applyAlignment="1">
      <alignment horizontal="center" vertical="center"/>
    </xf>
    <xf numFmtId="3" fontId="0" fillId="0" borderId="0" xfId="0" applyNumberFormat="1" applyFont="1" applyBorder="1" applyAlignment="1">
      <alignment horizontal="center" vertical="center"/>
    </xf>
    <xf numFmtId="173" fontId="0" fillId="0" borderId="53" xfId="1" applyNumberFormat="1" applyFont="1" applyBorder="1" applyAlignment="1">
      <alignment horizontal="center" vertical="center"/>
    </xf>
    <xf numFmtId="199" fontId="0" fillId="0" borderId="0" xfId="0" applyNumberFormat="1" applyFont="1" applyAlignment="1">
      <alignment horizontal="center" vertical="center"/>
    </xf>
    <xf numFmtId="199" fontId="0" fillId="0" borderId="0" xfId="0" applyNumberFormat="1" applyFont="1" applyBorder="1" applyAlignment="1">
      <alignment horizontal="center" vertical="center"/>
    </xf>
    <xf numFmtId="199" fontId="4" fillId="10" borderId="0" xfId="0" applyNumberFormat="1" applyFont="1" applyFill="1" applyBorder="1" applyAlignment="1">
      <alignment horizontal="center" vertical="center"/>
    </xf>
    <xf numFmtId="199" fontId="169" fillId="0" borderId="0" xfId="0" applyNumberFormat="1" applyFont="1" applyAlignment="1">
      <alignment horizontal="center" vertical="center"/>
    </xf>
    <xf numFmtId="199" fontId="169" fillId="0" borderId="0" xfId="0" applyNumberFormat="1" applyFont="1" applyBorder="1" applyAlignment="1">
      <alignment horizontal="center" vertical="center"/>
    </xf>
    <xf numFmtId="199" fontId="166" fillId="0" borderId="0" xfId="0" applyNumberFormat="1" applyFont="1" applyAlignment="1">
      <alignment horizontal="center" vertical="center"/>
    </xf>
    <xf numFmtId="199" fontId="166" fillId="0" borderId="0" xfId="0" applyNumberFormat="1" applyFont="1" applyBorder="1" applyAlignment="1">
      <alignment horizontal="center" vertical="center"/>
    </xf>
    <xf numFmtId="9" fontId="1" fillId="10" borderId="0" xfId="1" applyFont="1" applyFill="1" applyBorder="1" applyAlignment="1">
      <alignment horizontal="center" vertical="center"/>
    </xf>
    <xf numFmtId="0" fontId="0" fillId="10" borderId="0" xfId="0" applyFont="1" applyFill="1" applyAlignment="1">
      <alignment horizontal="left" vertical="center" indent="2"/>
    </xf>
    <xf numFmtId="0" fontId="4" fillId="0" borderId="12" xfId="0" applyFont="1" applyFill="1" applyBorder="1" applyAlignment="1">
      <alignment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0" fillId="0" borderId="0" xfId="0" applyFont="1" applyFill="1" applyAlignment="1">
      <alignment horizontal="left" vertical="center" indent="2"/>
    </xf>
    <xf numFmtId="199" fontId="4" fillId="0" borderId="0" xfId="0" applyNumberFormat="1" applyFont="1" applyFill="1" applyBorder="1" applyAlignment="1">
      <alignment horizontal="center" vertical="center"/>
    </xf>
    <xf numFmtId="9" fontId="1" fillId="0" borderId="0" xfId="1" applyFont="1" applyFill="1" applyBorder="1" applyAlignment="1">
      <alignment horizontal="center" vertical="center"/>
    </xf>
    <xf numFmtId="199" fontId="4" fillId="0" borderId="12" xfId="0" applyNumberFormat="1" applyFont="1" applyBorder="1" applyAlignment="1">
      <alignment horizontal="center" vertical="center"/>
    </xf>
    <xf numFmtId="4" fontId="0" fillId="0" borderId="0" xfId="0" applyNumberFormat="1" applyFont="1" applyAlignment="1">
      <alignment horizontal="center" vertical="center"/>
    </xf>
    <xf numFmtId="4" fontId="0" fillId="0" borderId="2" xfId="0" applyNumberFormat="1" applyFont="1" applyBorder="1" applyAlignment="1">
      <alignment horizontal="center" vertical="center"/>
    </xf>
    <xf numFmtId="3" fontId="170" fillId="0" borderId="0" xfId="0" applyNumberFormat="1" applyFont="1" applyAlignment="1">
      <alignment horizontal="center" vertical="center"/>
    </xf>
    <xf numFmtId="3" fontId="170" fillId="0" borderId="0" xfId="0" applyNumberFormat="1" applyFont="1" applyBorder="1" applyAlignment="1">
      <alignment horizontal="center" vertical="center"/>
    </xf>
    <xf numFmtId="0" fontId="171" fillId="0" borderId="0" xfId="0" applyFont="1" applyAlignment="1">
      <alignment vertical="center"/>
    </xf>
    <xf numFmtId="0" fontId="0" fillId="0" borderId="0" xfId="0" applyFont="1" applyAlignment="1">
      <alignment horizontal="left" vertical="center" indent="2"/>
    </xf>
    <xf numFmtId="0" fontId="0" fillId="0" borderId="2" xfId="0" applyFont="1" applyBorder="1" applyAlignment="1">
      <alignment horizontal="left" vertical="center" indent="2"/>
    </xf>
    <xf numFmtId="304" fontId="3" fillId="0" borderId="54" xfId="0" applyNumberFormat="1" applyFont="1" applyBorder="1" applyAlignment="1">
      <alignment horizontal="center" vertical="center"/>
    </xf>
    <xf numFmtId="173" fontId="0" fillId="10" borderId="57" xfId="1" applyNumberFormat="1" applyFont="1" applyFill="1" applyBorder="1" applyAlignment="1">
      <alignment horizontal="center" vertical="center"/>
    </xf>
    <xf numFmtId="9" fontId="0" fillId="10" borderId="57" xfId="1" applyNumberFormat="1" applyFont="1" applyFill="1" applyBorder="1" applyAlignment="1">
      <alignment horizontal="center" vertical="center"/>
    </xf>
    <xf numFmtId="9" fontId="3" fillId="10" borderId="2" xfId="1" applyFont="1" applyFill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73" fontId="155" fillId="0" borderId="54" xfId="1" applyNumberFormat="1" applyFont="1" applyBorder="1" applyAlignment="1">
      <alignment horizontal="center" vertical="center"/>
    </xf>
    <xf numFmtId="173" fontId="155" fillId="0" borderId="0" xfId="0" applyNumberFormat="1" applyFont="1" applyAlignment="1">
      <alignment horizontal="center" vertical="center"/>
    </xf>
    <xf numFmtId="173" fontId="155" fillId="0" borderId="0" xfId="1" applyNumberFormat="1" applyFont="1" applyAlignment="1">
      <alignment horizontal="center" vertical="center"/>
    </xf>
    <xf numFmtId="10" fontId="0" fillId="0" borderId="54" xfId="1" applyNumberFormat="1" applyFont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10" fontId="157" fillId="11" borderId="0" xfId="1" applyNumberFormat="1" applyFont="1" applyFill="1" applyAlignment="1">
      <alignment horizontal="center"/>
    </xf>
    <xf numFmtId="10" fontId="158" fillId="0" borderId="0" xfId="0" applyNumberFormat="1" applyFont="1"/>
    <xf numFmtId="173" fontId="0" fillId="9" borderId="0" xfId="1" applyNumberFormat="1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vertical="center"/>
    </xf>
    <xf numFmtId="3" fontId="147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0" fillId="0" borderId="0" xfId="0" applyFont="1" applyBorder="1" applyAlignment="1">
      <alignment vertical="center"/>
    </xf>
    <xf numFmtId="3" fontId="4" fillId="0" borderId="0" xfId="0" applyNumberFormat="1" applyFont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  <xf numFmtId="3" fontId="155" fillId="0" borderId="0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3" fontId="4" fillId="0" borderId="3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172" fontId="0" fillId="9" borderId="0" xfId="0" applyNumberForma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5" xfId="0" applyBorder="1" applyAlignment="1">
      <alignment vertical="center"/>
    </xf>
    <xf numFmtId="1" fontId="0" fillId="0" borderId="5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1" fontId="0" fillId="0" borderId="0" xfId="0" applyNumberFormat="1" applyBorder="1" applyAlignment="1">
      <alignment vertical="center"/>
    </xf>
    <xf numFmtId="0" fontId="4" fillId="0" borderId="0" xfId="0" applyFont="1" applyBorder="1" applyAlignment="1">
      <alignment vertical="center"/>
    </xf>
    <xf numFmtId="172" fontId="4" fillId="0" borderId="0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73" fontId="0" fillId="0" borderId="0" xfId="0" applyNumberFormat="1" applyAlignment="1">
      <alignment vertical="center"/>
    </xf>
    <xf numFmtId="0" fontId="4" fillId="4" borderId="3" xfId="0" applyFont="1" applyFill="1" applyBorder="1" applyAlignment="1">
      <alignment vertical="center"/>
    </xf>
    <xf numFmtId="1" fontId="4" fillId="4" borderId="3" xfId="0" applyNumberFormat="1" applyFont="1" applyFill="1" applyBorder="1" applyAlignment="1">
      <alignment horizontal="center" vertical="center"/>
    </xf>
    <xf numFmtId="9" fontId="3" fillId="0" borderId="0" xfId="1" applyFont="1" applyBorder="1" applyAlignment="1">
      <alignment horizontal="center" vertical="center"/>
    </xf>
    <xf numFmtId="173" fontId="3" fillId="0" borderId="0" xfId="1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166" fillId="0" borderId="0" xfId="0" applyNumberFormat="1" applyFont="1" applyBorder="1" applyAlignment="1">
      <alignment horizontal="center" vertical="center"/>
    </xf>
    <xf numFmtId="37" fontId="36" fillId="0" borderId="0" xfId="0" applyNumberFormat="1" applyFont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/>
    </xf>
    <xf numFmtId="1" fontId="0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3" fontId="0" fillId="0" borderId="0" xfId="1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1" fontId="5" fillId="0" borderId="0" xfId="0" applyNumberFormat="1" applyFon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" fontId="4" fillId="0" borderId="2" xfId="0" applyNumberFormat="1" applyFont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0" fillId="0" borderId="2" xfId="0" applyBorder="1" applyAlignment="1">
      <alignment vertical="center"/>
    </xf>
    <xf numFmtId="172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51" xfId="0" applyBorder="1" applyAlignment="1">
      <alignment vertical="center"/>
    </xf>
    <xf numFmtId="3" fontId="0" fillId="0" borderId="51" xfId="0" applyNumberFormat="1" applyBorder="1" applyAlignment="1">
      <alignment horizontal="center" vertical="center"/>
    </xf>
    <xf numFmtId="0" fontId="156" fillId="0" borderId="0" xfId="0" applyFont="1" applyBorder="1" applyAlignment="1">
      <alignment vertical="center"/>
    </xf>
    <xf numFmtId="199" fontId="0" fillId="0" borderId="0" xfId="0" applyNumberFormat="1" applyBorder="1" applyAlignment="1">
      <alignment horizontal="center" vertical="center"/>
    </xf>
    <xf numFmtId="10" fontId="0" fillId="0" borderId="0" xfId="0" applyNumberFormat="1" applyBorder="1" applyAlignment="1">
      <alignment vertical="center"/>
    </xf>
    <xf numFmtId="3" fontId="0" fillId="0" borderId="0" xfId="0" applyNumberFormat="1" applyFill="1" applyBorder="1" applyAlignment="1">
      <alignment horizontal="center" vertical="center"/>
    </xf>
    <xf numFmtId="10" fontId="7" fillId="0" borderId="0" xfId="84" applyNumberFormat="1" applyFont="1" applyFill="1" applyBorder="1" applyAlignment="1">
      <alignment vertical="center"/>
    </xf>
    <xf numFmtId="10" fontId="39" fillId="67" borderId="1" xfId="84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11" borderId="0" xfId="0" applyFont="1" applyFill="1" applyBorder="1" applyAlignment="1">
      <alignment vertical="center"/>
    </xf>
    <xf numFmtId="10" fontId="39" fillId="11" borderId="0" xfId="84" applyNumberFormat="1" applyFont="1" applyFill="1" applyBorder="1" applyAlignment="1">
      <alignment horizontal="center" vertical="center"/>
    </xf>
    <xf numFmtId="9" fontId="0" fillId="0" borderId="0" xfId="1" applyFont="1" applyBorder="1" applyAlignment="1">
      <alignment vertical="center"/>
    </xf>
    <xf numFmtId="0" fontId="4" fillId="11" borderId="52" xfId="0" applyFont="1" applyFill="1" applyBorder="1" applyAlignment="1">
      <alignment vertical="center"/>
    </xf>
    <xf numFmtId="10" fontId="39" fillId="11" borderId="52" xfId="84" applyNumberFormat="1" applyFont="1" applyFill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71" borderId="0" xfId="0" applyFill="1" applyAlignment="1">
      <alignment vertical="center"/>
    </xf>
    <xf numFmtId="1" fontId="0" fillId="71" borderId="0" xfId="0" applyNumberFormat="1" applyFill="1" applyAlignment="1">
      <alignment horizontal="center" vertical="center"/>
    </xf>
    <xf numFmtId="3" fontId="0" fillId="71" borderId="0" xfId="0" applyNumberFormat="1" applyFill="1" applyAlignment="1">
      <alignment horizontal="center" vertical="center"/>
    </xf>
    <xf numFmtId="10" fontId="7" fillId="0" borderId="0" xfId="84" applyNumberFormat="1" applyFont="1" applyFill="1" applyAlignment="1">
      <alignment vertical="center"/>
    </xf>
    <xf numFmtId="0" fontId="0" fillId="71" borderId="0" xfId="0" applyFill="1" applyBorder="1" applyAlignment="1">
      <alignment vertical="center"/>
    </xf>
    <xf numFmtId="10" fontId="7" fillId="71" borderId="0" xfId="84" applyNumberFormat="1" applyFont="1" applyFill="1" applyBorder="1" applyAlignment="1">
      <alignment vertical="center"/>
    </xf>
    <xf numFmtId="173" fontId="0" fillId="71" borderId="0" xfId="1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10" fontId="7" fillId="0" borderId="2" xfId="84" applyNumberFormat="1" applyFont="1" applyFill="1" applyBorder="1" applyAlignment="1">
      <alignment vertical="center"/>
    </xf>
    <xf numFmtId="3" fontId="0" fillId="0" borderId="2" xfId="0" applyNumberFormat="1" applyBorder="1" applyAlignment="1">
      <alignment horizontal="center" vertical="center"/>
    </xf>
    <xf numFmtId="0" fontId="0" fillId="0" borderId="53" xfId="0" applyBorder="1" applyAlignment="1">
      <alignment vertical="center"/>
    </xf>
    <xf numFmtId="1" fontId="0" fillId="0" borderId="0" xfId="0" applyNumberFormat="1" applyFill="1" applyAlignment="1">
      <alignment horizontal="center" vertical="center"/>
    </xf>
    <xf numFmtId="9" fontId="0" fillId="0" borderId="0" xfId="1" applyFont="1" applyAlignment="1">
      <alignment vertical="center"/>
    </xf>
    <xf numFmtId="3" fontId="0" fillId="0" borderId="0" xfId="0" applyNumberFormat="1" applyFill="1" applyAlignment="1">
      <alignment horizontal="center" vertical="center"/>
    </xf>
    <xf numFmtId="199" fontId="0" fillId="0" borderId="0" xfId="0" applyNumberFormat="1" applyAlignment="1">
      <alignment horizontal="center" vertical="center"/>
    </xf>
    <xf numFmtId="10" fontId="39" fillId="0" borderId="0" xfId="84" applyNumberFormat="1" applyFont="1" applyFill="1" applyBorder="1" applyAlignment="1">
      <alignment vertical="center"/>
    </xf>
    <xf numFmtId="1" fontId="0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9" fontId="1" fillId="0" borderId="0" xfId="1" applyFont="1" applyBorder="1" applyAlignment="1">
      <alignment vertical="center"/>
    </xf>
    <xf numFmtId="9" fontId="3" fillId="0" borderId="0" xfId="1" applyFont="1" applyBorder="1" applyAlignment="1">
      <alignment vertical="center"/>
    </xf>
    <xf numFmtId="10" fontId="39" fillId="0" borderId="2" xfId="84" applyNumberFormat="1" applyFont="1" applyFill="1" applyBorder="1" applyAlignment="1">
      <alignment vertical="center"/>
    </xf>
    <xf numFmtId="1" fontId="0" fillId="0" borderId="2" xfId="0" applyNumberFormat="1" applyFont="1" applyBorder="1" applyAlignment="1">
      <alignment vertical="center"/>
    </xf>
    <xf numFmtId="9" fontId="1" fillId="0" borderId="2" xfId="1" applyFont="1" applyBorder="1" applyAlignment="1">
      <alignment vertical="center"/>
    </xf>
    <xf numFmtId="0" fontId="7" fillId="0" borderId="0" xfId="88" applyFont="1" applyFill="1" applyAlignment="1">
      <alignment vertical="center"/>
    </xf>
    <xf numFmtId="0" fontId="4" fillId="0" borderId="5" xfId="0" applyFont="1" applyFill="1" applyBorder="1" applyAlignment="1">
      <alignment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48" fillId="0" borderId="0" xfId="0" applyFont="1" applyAlignment="1">
      <alignment vertical="center"/>
    </xf>
    <xf numFmtId="0" fontId="4" fillId="0" borderId="53" xfId="0" applyFont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199" fontId="0" fillId="0" borderId="0" xfId="3235" applyNumberFormat="1" applyFont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3" fontId="172" fillId="10" borderId="12" xfId="0" applyNumberFormat="1" applyFont="1" applyFill="1" applyBorder="1" applyAlignment="1">
      <alignment horizontal="center" vertical="center"/>
    </xf>
    <xf numFmtId="3" fontId="172" fillId="10" borderId="56" xfId="0" applyNumberFormat="1" applyFont="1" applyFill="1" applyBorder="1" applyAlignment="1">
      <alignment horizontal="center" vertical="center"/>
    </xf>
    <xf numFmtId="3" fontId="173" fillId="10" borderId="12" xfId="0" applyNumberFormat="1" applyFont="1" applyFill="1" applyBorder="1" applyAlignment="1">
      <alignment horizontal="center" vertical="center"/>
    </xf>
    <xf numFmtId="3" fontId="173" fillId="10" borderId="56" xfId="0" applyNumberFormat="1" applyFont="1" applyFill="1" applyBorder="1" applyAlignment="1">
      <alignment horizontal="center" vertical="center"/>
    </xf>
    <xf numFmtId="3" fontId="173" fillId="0" borderId="0" xfId="3235" applyNumberFormat="1" applyFont="1" applyBorder="1" applyAlignment="1">
      <alignment horizontal="center" vertical="center"/>
    </xf>
    <xf numFmtId="3" fontId="173" fillId="0" borderId="54" xfId="3235" applyNumberFormat="1" applyFont="1" applyBorder="1" applyAlignment="1">
      <alignment horizontal="center" vertical="center"/>
    </xf>
    <xf numFmtId="3" fontId="155" fillId="0" borderId="0" xfId="3235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57" xfId="0" applyBorder="1" applyAlignment="1">
      <alignment horizontal="center" vertical="center"/>
    </xf>
    <xf numFmtId="173" fontId="0" fillId="0" borderId="57" xfId="1" applyNumberFormat="1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199" fontId="0" fillId="0" borderId="2" xfId="0" applyNumberFormat="1" applyFont="1" applyBorder="1" applyAlignment="1">
      <alignment horizontal="center" vertical="center"/>
    </xf>
    <xf numFmtId="199" fontId="3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0" fillId="10" borderId="0" xfId="0" applyFont="1" applyFill="1" applyAlignment="1">
      <alignment vertical="center"/>
    </xf>
    <xf numFmtId="197" fontId="0" fillId="10" borderId="0" xfId="3235" applyNumberFormat="1" applyFont="1" applyFill="1" applyAlignment="1">
      <alignment vertical="center"/>
    </xf>
    <xf numFmtId="197" fontId="4" fillId="10" borderId="0" xfId="3235" applyNumberFormat="1" applyFont="1" applyFill="1" applyAlignment="1">
      <alignment vertical="center"/>
    </xf>
    <xf numFmtId="1" fontId="147" fillId="0" borderId="0" xfId="0" applyNumberFormat="1" applyFont="1" applyAlignment="1">
      <alignment horizontal="center" vertical="center"/>
    </xf>
    <xf numFmtId="201" fontId="0" fillId="0" borderId="0" xfId="3235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199" fontId="0" fillId="0" borderId="0" xfId="0" applyNumberFormat="1" applyAlignment="1">
      <alignment vertical="center"/>
    </xf>
    <xf numFmtId="9" fontId="0" fillId="0" borderId="0" xfId="1" applyNumberFormat="1" applyFont="1" applyBorder="1" applyAlignment="1">
      <alignment horizontal="center" vertical="center"/>
    </xf>
    <xf numFmtId="173" fontId="0" fillId="0" borderId="0" xfId="1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72" fontId="0" fillId="0" borderId="2" xfId="0" applyNumberFormat="1" applyFont="1" applyBorder="1" applyAlignment="1">
      <alignment vertical="center"/>
    </xf>
    <xf numFmtId="173" fontId="158" fillId="0" borderId="0" xfId="0" applyNumberFormat="1" applyFont="1" applyBorder="1" applyAlignment="1">
      <alignment horizontal="center"/>
    </xf>
    <xf numFmtId="4" fontId="174" fillId="0" borderId="0" xfId="0" applyNumberFormat="1" applyFont="1" applyFill="1" applyBorder="1" applyAlignment="1">
      <alignment horizontal="center" vertical="center"/>
    </xf>
    <xf numFmtId="4" fontId="3" fillId="0" borderId="0" xfId="1" applyNumberFormat="1" applyFont="1" applyBorder="1" applyAlignment="1">
      <alignment horizontal="center"/>
    </xf>
    <xf numFmtId="4" fontId="0" fillId="0" borderId="0" xfId="0" applyNumberFormat="1" applyAlignment="1">
      <alignment vertical="center"/>
    </xf>
    <xf numFmtId="9" fontId="0" fillId="0" borderId="54" xfId="1" applyNumberFormat="1" applyFont="1" applyBorder="1" applyAlignment="1">
      <alignment horizontal="center" vertical="center"/>
    </xf>
    <xf numFmtId="165" fontId="0" fillId="0" borderId="0" xfId="3235" applyFont="1" applyAlignment="1">
      <alignment vertical="center"/>
    </xf>
    <xf numFmtId="0" fontId="157" fillId="11" borderId="0" xfId="0" applyFont="1" applyFill="1" applyAlignment="1">
      <alignment horizontal="center"/>
    </xf>
    <xf numFmtId="0" fontId="157" fillId="11" borderId="2" xfId="0" applyFont="1" applyFill="1" applyBorder="1" applyAlignment="1">
      <alignment horizontal="center"/>
    </xf>
    <xf numFmtId="0" fontId="165" fillId="0" borderId="53" xfId="0" applyFont="1" applyFill="1" applyBorder="1" applyAlignment="1">
      <alignment horizontal="center" vertical="center"/>
    </xf>
  </cellXfs>
  <cellStyles count="3273">
    <cellStyle name="#,##-" xfId="102"/>
    <cellStyle name="#,##0" xfId="103"/>
    <cellStyle name="#,##0%" xfId="104"/>
    <cellStyle name="#,##0.0%" xfId="105"/>
    <cellStyle name="#,##0_),(#,##0)" xfId="106"/>
    <cellStyle name="$" xfId="107"/>
    <cellStyle name="$ 2" xfId="1792"/>
    <cellStyle name="$_01 AVP_ Project Infinitum" xfId="108"/>
    <cellStyle name="$_01 AVP_ Project Infinitum 2" xfId="1735"/>
    <cellStyle name="$_01_WACC Colombia_Analysis" xfId="109"/>
    <cellStyle name="$_01_WACC Colombia_Analysis 2" xfId="1734"/>
    <cellStyle name="$_04 WACC Vivax" xfId="110"/>
    <cellStyle name="$_04 WACC Vivax 2" xfId="1733"/>
    <cellStyle name="$_avp" xfId="111"/>
    <cellStyle name="$_avp 2" xfId="1732"/>
    <cellStyle name="$_AVP_ NewCo" xfId="112"/>
    <cellStyle name="$_AVP_ NewCo 2" xfId="1729"/>
    <cellStyle name="$_Sovereign Bonds 060705" xfId="113"/>
    <cellStyle name="$_Sovereign Bonds 060705 (version 1)" xfId="114"/>
    <cellStyle name="$_Sovereign Bonds 060705 (version 1) 2" xfId="1721"/>
    <cellStyle name="$_Sovereign Bonds 060705 (version 1)_01 NET DCF Model" xfId="115"/>
    <cellStyle name="$_Sovereign Bonds 060705 (version 1)_01 NET DCF Model 2" xfId="1714"/>
    <cellStyle name="$_Sovereign Bonds 060705 (version 1)_03 Embratel DCF Model_Loscos" xfId="116"/>
    <cellStyle name="$_Sovereign Bonds 060705 (version 1)_03 Embratel DCF Model_Loscos 2" xfId="1707"/>
    <cellStyle name="$_Sovereign Bonds 060705 (version 1)_05 NET DCF Model" xfId="117"/>
    <cellStyle name="$_Sovereign Bonds 060705 (version 1)_05 NET DCF Model 2" xfId="1700"/>
    <cellStyle name="$_Sovereign Bonds 060705 (version 1)_05 TMX Brazil DCF Model" xfId="118"/>
    <cellStyle name="$_Sovereign Bonds 060705 (version 1)_05 TMX Brazil DCF Model 2" xfId="1594"/>
    <cellStyle name="$_Sovereign Bonds 060705 (version 1)_Consolidação" xfId="119"/>
    <cellStyle name="$_Sovereign Bonds 060705 (version 1)_Consolidação 2" xfId="1595"/>
    <cellStyle name="$_Sovereign Bonds 060705 (version 1)_Consolidação IMOB" xfId="120"/>
    <cellStyle name="$_Sovereign Bonds 060705 (version 1)_Consolidação IMOB 2" xfId="1596"/>
    <cellStyle name="$_Sovereign Bonds 060705 (version 1)_Estudo de Viabilidade -IMOB Henri" xfId="121"/>
    <cellStyle name="$_Sovereign Bonds 060705 (version 1)_Estudo de Viabilidade -IMOB Henri 2" xfId="1597"/>
    <cellStyle name="$_Sovereign Bonds 060705 (version 1)_FP 100" xfId="122"/>
    <cellStyle name="$_Sovereign Bonds 060705 (version 1)_FP 100 2" xfId="1598"/>
    <cellStyle name="$_Sovereign Bonds 060705 (version 1)_Península" xfId="123"/>
    <cellStyle name="$_Sovereign Bonds 060705 (version 1)_Península 2" xfId="1599"/>
    <cellStyle name="$_Sovereign Bonds 060705 (version 1)_Peninsula_0510" xfId="124"/>
    <cellStyle name="$_Sovereign Bonds 060705 (version 1)_Peninsula_0510 2" xfId="1600"/>
    <cellStyle name="$_Sovereign Bonds 060705 (version 1)_Resumo Juros e Variações" xfId="125"/>
    <cellStyle name="$_Sovereign Bonds 060705 (version 1)_Resumo Juros e Variações 2" xfId="1601"/>
    <cellStyle name="$_Sovereign Bonds 060705 10" xfId="3020"/>
    <cellStyle name="$_Sovereign Bonds 060705 11" xfId="3076"/>
    <cellStyle name="$_Sovereign Bonds 060705 12" xfId="3173"/>
    <cellStyle name="$_Sovereign Bonds 060705 13" xfId="3204"/>
    <cellStyle name="$_Sovereign Bonds 060705 14" xfId="3155"/>
    <cellStyle name="$_Sovereign Bonds 060705 15" xfId="3185"/>
    <cellStyle name="$_Sovereign Bonds 060705 16" xfId="3214"/>
    <cellStyle name="$_Sovereign Bonds 060705 17" xfId="3136"/>
    <cellStyle name="$_Sovereign Bonds 060705 2" xfId="1728"/>
    <cellStyle name="$_Sovereign Bonds 060705 3" xfId="2829"/>
    <cellStyle name="$_Sovereign Bonds 060705 4" xfId="2857"/>
    <cellStyle name="$_Sovereign Bonds 060705 5" xfId="2919"/>
    <cellStyle name="$_Sovereign Bonds 060705 6" xfId="2930"/>
    <cellStyle name="$_Sovereign Bonds 060705 7" xfId="2906"/>
    <cellStyle name="$_Sovereign Bonds 060705 8" xfId="2950"/>
    <cellStyle name="$_Sovereign Bonds 060705 9" xfId="2984"/>
    <cellStyle name="$_Sovereign Bonds 060705_1" xfId="126"/>
    <cellStyle name="$_Sovereign Bonds 060705_1 2" xfId="1602"/>
    <cellStyle name="$_Sovereign Bonds 060705_1_01 NET DCF Model" xfId="127"/>
    <cellStyle name="$_Sovereign Bonds 060705_1_01 NET DCF Model 2" xfId="1603"/>
    <cellStyle name="$_Sovereign Bonds 060705_1_03 Embratel DCF Model_Loscos" xfId="128"/>
    <cellStyle name="$_Sovereign Bonds 060705_1_03 Embratel DCF Model_Loscos 2" xfId="1604"/>
    <cellStyle name="$_Sovereign Bonds 060705_1_05 NET DCF Model" xfId="129"/>
    <cellStyle name="$_Sovereign Bonds 060705_1_05 NET DCF Model 2" xfId="1605"/>
    <cellStyle name="$_Sovereign Bonds 060705_1_05 TMX Brazil DCF Model" xfId="130"/>
    <cellStyle name="$_Sovereign Bonds 060705_1_05 TMX Brazil DCF Model 2" xfId="1606"/>
    <cellStyle name="$_Sovereign Bonds 060705_1_Consolidação" xfId="131"/>
    <cellStyle name="$_Sovereign Bonds 060705_1_Consolidação 2" xfId="1607"/>
    <cellStyle name="$_Sovereign Bonds 060705_1_Consolidação IMOB" xfId="132"/>
    <cellStyle name="$_Sovereign Bonds 060705_1_Consolidação IMOB 2" xfId="1608"/>
    <cellStyle name="$_Sovereign Bonds 060705_1_Estudo de Viabilidade -IMOB Henri" xfId="133"/>
    <cellStyle name="$_Sovereign Bonds 060705_1_Estudo de Viabilidade -IMOB Henri 2" xfId="1612"/>
    <cellStyle name="$_Sovereign Bonds 060705_1_FP 100" xfId="134"/>
    <cellStyle name="$_Sovereign Bonds 060705_1_FP 100 2" xfId="1613"/>
    <cellStyle name="$_Sovereign Bonds 060705_1_Península" xfId="135"/>
    <cellStyle name="$_Sovereign Bonds 060705_1_Península 2" xfId="1788"/>
    <cellStyle name="$_Sovereign Bonds 060705_1_Peninsula_0510" xfId="136"/>
    <cellStyle name="$_Sovereign Bonds 060705_1_Peninsula_0510 2" xfId="1796"/>
    <cellStyle name="$_Sovereign Bonds 060705_1_Resumo Juros e Variações" xfId="137"/>
    <cellStyle name="$_Sovereign Bonds 060705_1_Resumo Juros e Variações 2" xfId="1803"/>
    <cellStyle name="$0" xfId="138"/>
    <cellStyle name="$0,000" xfId="139"/>
    <cellStyle name="$0,000 2" xfId="1816"/>
    <cellStyle name="$0,000.0" xfId="140"/>
    <cellStyle name="$0,000.0 2" xfId="1817"/>
    <cellStyle name="$0,000.00" xfId="141"/>
    <cellStyle name="$0,000.00 2" xfId="1820"/>
    <cellStyle name="$0,000.000" xfId="142"/>
    <cellStyle name="$0,000.0000" xfId="143"/>
    <cellStyle name="$0,000.0000 2" xfId="1821"/>
    <cellStyle name="$0,000_Consolidação" xfId="144"/>
    <cellStyle name="$0.00" xfId="145"/>
    <cellStyle name="$0.000" xfId="146"/>
    <cellStyle name="$0.0000" xfId="147"/>
    <cellStyle name="$0_Consolidação" xfId="148"/>
    <cellStyle name="******************************************" xfId="149"/>
    <cellStyle name="_%(SignOnly)" xfId="150"/>
    <cellStyle name="_%(SignOnly) 2" xfId="1822"/>
    <cellStyle name="_%(SignSpaceOnly)" xfId="151"/>
    <cellStyle name="_%(SignSpaceOnly) 2" xfId="1823"/>
    <cellStyle name="_ARA_Modelo_1Q06a" xfId="152"/>
    <cellStyle name="_ARA_Modelo_1Q06a_CYRE Model update" xfId="153"/>
    <cellStyle name="_ARA_Modelo_1Q06a_CYRE Model Updated4" xfId="154"/>
    <cellStyle name="_ARA_Modelo_1Q06a_MRV Model updated" xfId="155"/>
    <cellStyle name="_ARA_Modelo_1Q06a_P1 Future Launches" xfId="156"/>
    <cellStyle name="_ARA_Modelo_1Q06a_P1 Future Launches 2" xfId="1824"/>
    <cellStyle name="_ARA_Modelo_1Q06a_PDGR Model update" xfId="157"/>
    <cellStyle name="_ARA_Modelo_1Q06a_PDGR Model update 2" xfId="1825"/>
    <cellStyle name="_ARA_Modelo_1Q06a_RSID Model upated" xfId="158"/>
    <cellStyle name="_ARA_Modelo_1Q06a_RSID Model update" xfId="159"/>
    <cellStyle name="_BRML Model" xfId="160"/>
    <cellStyle name="_BRML Model 2" xfId="1826"/>
    <cellStyle name="_Comma" xfId="161"/>
    <cellStyle name="_Comma 2" xfId="1827"/>
    <cellStyle name="_Comma_01 AVP_ Project Infinitum" xfId="162"/>
    <cellStyle name="_Comma_01 AVP_ Project Infinitum 2" xfId="1828"/>
    <cellStyle name="_Comma_02 Backup Charts" xfId="163"/>
    <cellStyle name="_Comma_02 Backup Charts 2" xfId="1829"/>
    <cellStyle name="_Comma_avp" xfId="164"/>
    <cellStyle name="_Comma_avp 2" xfId="1830"/>
    <cellStyle name="_Comma_AVP_ NewCo" xfId="165"/>
    <cellStyle name="_Comma_AVP_ NewCo 2" xfId="1831"/>
    <cellStyle name="_Comma_Brazil bond data" xfId="166"/>
    <cellStyle name="_Comma_Brazil bond data 2" xfId="1832"/>
    <cellStyle name="_Comma_dcf" xfId="167"/>
    <cellStyle name="_Comma_dcf 2" xfId="1833"/>
    <cellStyle name="_Comma_LA WACC Discount_1" xfId="168"/>
    <cellStyle name="_Comma_LA WACC Discount_1 2" xfId="1834"/>
    <cellStyle name="_Comma_Oil &amp; Gas betas" xfId="169"/>
    <cellStyle name="_Comma_Oil &amp; Gas betas 2" xfId="1835"/>
    <cellStyle name="_Comma_WACC Analysis" xfId="170"/>
    <cellStyle name="_Comma_WACC Analysis 2" xfId="1836"/>
    <cellStyle name="_Comma_WACC Analysis_4b_0827_2" xfId="171"/>
    <cellStyle name="_Comma_WACC Analysis_4b_0827_2 2" xfId="1837"/>
    <cellStyle name="_Currency" xfId="172"/>
    <cellStyle name="_Currency 2" xfId="1838"/>
    <cellStyle name="_Currency_01 AVP_ Project Infinitum" xfId="173"/>
    <cellStyle name="_Currency_01 AVP_ Project Infinitum 2" xfId="1839"/>
    <cellStyle name="_Currency_01 AVP_ Project Infinitum_Consolidação" xfId="174"/>
    <cellStyle name="_Currency_01 AVP_ Project Infinitum_Consolidação 2" xfId="1840"/>
    <cellStyle name="_Currency_01 AVP_ Project Infinitum_Consolidação IMOB" xfId="175"/>
    <cellStyle name="_Currency_01 AVP_ Project Infinitum_Consolidação IMOB 2" xfId="1841"/>
    <cellStyle name="_Currency_01 AVP_ Project Infinitum_Estudo de Viabilidade -IMOB Henri" xfId="176"/>
    <cellStyle name="_Currency_01 AVP_ Project Infinitum_Estudo de Viabilidade -IMOB Henri 2" xfId="1842"/>
    <cellStyle name="_Currency_01 AVP_ Project Infinitum_FP 100" xfId="177"/>
    <cellStyle name="_Currency_01 AVP_ Project Infinitum_FP 100 2" xfId="1843"/>
    <cellStyle name="_Currency_01 AVP_ Project Infinitum_Península" xfId="178"/>
    <cellStyle name="_Currency_01 AVP_ Project Infinitum_Península 2" xfId="1844"/>
    <cellStyle name="_Currency_01 AVP_ Project Infinitum_Peninsula_0510" xfId="179"/>
    <cellStyle name="_Currency_01 AVP_ Project Infinitum_Peninsula_0510 2" xfId="1845"/>
    <cellStyle name="_Currency_01 AVP_ Project Infinitum_Resumo Juros e Variações" xfId="180"/>
    <cellStyle name="_Currency_01 AVP_ Project Infinitum_Resumo Juros e Variações 2" xfId="1846"/>
    <cellStyle name="_Currency_01 TMX BR Revenue mix" xfId="181"/>
    <cellStyle name="_Currency_01 TMX BR Revenue mix 2" xfId="1847"/>
    <cellStyle name="_Currency_01 TMX BR Revenue mix_Consolidação" xfId="182"/>
    <cellStyle name="_Currency_01 TMX BR Revenue mix_Consolidação 2" xfId="1848"/>
    <cellStyle name="_Currency_01 TMX BR Revenue mix_Consolidação IMOB" xfId="183"/>
    <cellStyle name="_Currency_01 TMX BR Revenue mix_Consolidação IMOB 2" xfId="1849"/>
    <cellStyle name="_Currency_01 TMX BR Revenue mix_Estudo de Viabilidade -IMOB Henri" xfId="184"/>
    <cellStyle name="_Currency_01 TMX BR Revenue mix_Estudo de Viabilidade -IMOB Henri 2" xfId="1850"/>
    <cellStyle name="_Currency_01 TMX BR Revenue mix_FP 100" xfId="185"/>
    <cellStyle name="_Currency_01 TMX BR Revenue mix_FP 100 2" xfId="1851"/>
    <cellStyle name="_Currency_01 TMX BR Revenue mix_Península" xfId="186"/>
    <cellStyle name="_Currency_01 TMX BR Revenue mix_Península 2" xfId="1852"/>
    <cellStyle name="_Currency_01 TMX BR Revenue mix_Peninsula_0510" xfId="187"/>
    <cellStyle name="_Currency_01 TMX BR Revenue mix_Peninsula_0510 2" xfId="1853"/>
    <cellStyle name="_Currency_01 TMX BR Revenue mix_Resumo Juros e Variações" xfId="188"/>
    <cellStyle name="_Currency_01 TMX BR Revenue mix_Resumo Juros e Variações 2" xfId="1854"/>
    <cellStyle name="_Currency_02 Backup Charts" xfId="189"/>
    <cellStyle name="_Currency_02 Backup Charts 2" xfId="1855"/>
    <cellStyle name="_Currency_02 Backup Charts_Consolidação" xfId="190"/>
    <cellStyle name="_Currency_02 Backup Charts_Consolidação 2" xfId="1856"/>
    <cellStyle name="_Currency_02 Backup Charts_Consolidação IMOB" xfId="191"/>
    <cellStyle name="_Currency_02 Backup Charts_Consolidação IMOB 2" xfId="1857"/>
    <cellStyle name="_Currency_02 Backup Charts_Estudo de Viabilidade -IMOB Henri" xfId="192"/>
    <cellStyle name="_Currency_02 Backup Charts_Estudo de Viabilidade -IMOB Henri 2" xfId="1858"/>
    <cellStyle name="_Currency_02 Backup Charts_FP 100" xfId="193"/>
    <cellStyle name="_Currency_02 Backup Charts_FP 100 2" xfId="1859"/>
    <cellStyle name="_Currency_02 Backup Charts_Península" xfId="194"/>
    <cellStyle name="_Currency_02 Backup Charts_Península 2" xfId="1860"/>
    <cellStyle name="_Currency_02 Backup Charts_Peninsula_0510" xfId="195"/>
    <cellStyle name="_Currency_02 Backup Charts_Peninsula_0510 2" xfId="1861"/>
    <cellStyle name="_Currency_02 Backup Charts_Resumo Juros e Variações" xfId="196"/>
    <cellStyle name="_Currency_02 Backup Charts_Resumo Juros e Variações 2" xfId="1862"/>
    <cellStyle name="_Currency_02 Blended and actual_Telmex_ buying_ NET" xfId="197"/>
    <cellStyle name="_Currency_02 Blended and actual_Telmex_ buying_ NET 2" xfId="1863"/>
    <cellStyle name="_Currency_02 Blended and actual_Telmex_ buying_ NET_Consolidação" xfId="198"/>
    <cellStyle name="_Currency_02 Blended and actual_Telmex_ buying_ NET_Consolidação 2" xfId="1864"/>
    <cellStyle name="_Currency_02 Blended and actual_Telmex_ buying_ NET_Consolidação IMOB" xfId="199"/>
    <cellStyle name="_Currency_02 Blended and actual_Telmex_ buying_ NET_Consolidação IMOB 2" xfId="1865"/>
    <cellStyle name="_Currency_02 Blended and actual_Telmex_ buying_ NET_Estudo de Viabilidade -IMOB Henri" xfId="200"/>
    <cellStyle name="_Currency_02 Blended and actual_Telmex_ buying_ NET_Estudo de Viabilidade -IMOB Henri 2" xfId="1866"/>
    <cellStyle name="_Currency_02 Blended and actual_Telmex_ buying_ NET_FP 100" xfId="201"/>
    <cellStyle name="_Currency_02 Blended and actual_Telmex_ buying_ NET_FP 100 2" xfId="1867"/>
    <cellStyle name="_Currency_02 Blended and actual_Telmex_ buying_ NET_Península" xfId="202"/>
    <cellStyle name="_Currency_02 Blended and actual_Telmex_ buying_ NET_Península 2" xfId="1868"/>
    <cellStyle name="_Currency_02 Blended and actual_Telmex_ buying_ NET_Peninsula_0510" xfId="203"/>
    <cellStyle name="_Currency_02 Blended and actual_Telmex_ buying_ NET_Peninsula_0510 2" xfId="1869"/>
    <cellStyle name="_Currency_02 Blended and actual_Telmex_ buying_ NET_Resumo Juros e Variações" xfId="204"/>
    <cellStyle name="_Currency_02 Blended and actual_Telmex_ buying_ NET_Resumo Juros e Variações 2" xfId="1870"/>
    <cellStyle name="_Currency_02 TMX Brazil Management Projections_R$" xfId="205"/>
    <cellStyle name="_Currency_02 TMX Brazil Management Projections_R$_Consolidação" xfId="206"/>
    <cellStyle name="_Currency_02 TMX Brazil Management Projections_R$_Consolidação IMOB" xfId="207"/>
    <cellStyle name="_Currency_02 TMX Brazil Management Projections_R$_Estudo de Viabilidade -IMOB Henri" xfId="208"/>
    <cellStyle name="_Currency_02 TMX Brazil Management Projections_R$_FP 100" xfId="209"/>
    <cellStyle name="_Currency_02 TMX Brazil Management Projections_R$_Península" xfId="210"/>
    <cellStyle name="_Currency_02 TMX Brazil Management Projections_R$_Peninsula_0510" xfId="211"/>
    <cellStyle name="_Currency_02 TMX Brazil Management Projections_R$_Resumo Juros e Variações" xfId="212"/>
    <cellStyle name="_Currency_03 Projections Comparison - Infinitum" xfId="213"/>
    <cellStyle name="_Currency_03 Projections Comparison - Infinitum 2" xfId="1872"/>
    <cellStyle name="_Currency_03 Projections Comparison - Infinitum_Consolidação" xfId="214"/>
    <cellStyle name="_Currency_03 Projections Comparison - Infinitum_Consolidação 2" xfId="1873"/>
    <cellStyle name="_Currency_03 Projections Comparison - Infinitum_Consolidação IMOB" xfId="215"/>
    <cellStyle name="_Currency_03 Projections Comparison - Infinitum_Consolidação IMOB 2" xfId="1874"/>
    <cellStyle name="_Currency_03 Projections Comparison - Infinitum_Estudo de Viabilidade -IMOB Henri" xfId="216"/>
    <cellStyle name="_Currency_03 Projections Comparison - Infinitum_Estudo de Viabilidade -IMOB Henri 2" xfId="1875"/>
    <cellStyle name="_Currency_03 Projections Comparison - Infinitum_FP 100" xfId="217"/>
    <cellStyle name="_Currency_03 Projections Comparison - Infinitum_FP 100 2" xfId="1876"/>
    <cellStyle name="_Currency_03 Projections Comparison - Infinitum_Península" xfId="218"/>
    <cellStyle name="_Currency_03 Projections Comparison - Infinitum_Península 2" xfId="1877"/>
    <cellStyle name="_Currency_03 Projections Comparison - Infinitum_Peninsula_0510" xfId="219"/>
    <cellStyle name="_Currency_03 Projections Comparison - Infinitum_Peninsula_0510 2" xfId="1878"/>
    <cellStyle name="_Currency_03 Projections Comparison - Infinitum_Resumo Juros e Variações" xfId="220"/>
    <cellStyle name="_Currency_03 Projections Comparison - Infinitum_Resumo Juros e Variações 2" xfId="1879"/>
    <cellStyle name="_Currency_04 WACC Vivax" xfId="221"/>
    <cellStyle name="_Currency_04 WACC Vivax 2" xfId="1880"/>
    <cellStyle name="_Currency_04 WACC Vivax_Consolidação" xfId="222"/>
    <cellStyle name="_Currency_04 WACC Vivax_Consolidação 2" xfId="1881"/>
    <cellStyle name="_Currency_04 WACC Vivax_Consolidação IMOB" xfId="223"/>
    <cellStyle name="_Currency_04 WACC Vivax_Consolidação IMOB 2" xfId="1882"/>
    <cellStyle name="_Currency_04 WACC Vivax_Estudo de Viabilidade -IMOB Henri" xfId="224"/>
    <cellStyle name="_Currency_04 WACC Vivax_Estudo de Viabilidade -IMOB Henri 2" xfId="1883"/>
    <cellStyle name="_Currency_04 WACC Vivax_FP 100" xfId="225"/>
    <cellStyle name="_Currency_04 WACC Vivax_FP 100 2" xfId="1884"/>
    <cellStyle name="_Currency_04 WACC Vivax_Península" xfId="226"/>
    <cellStyle name="_Currency_04 WACC Vivax_Península 2" xfId="1885"/>
    <cellStyle name="_Currency_04 WACC Vivax_Peninsula_0510" xfId="227"/>
    <cellStyle name="_Currency_04 WACC Vivax_Peninsula_0510 2" xfId="1886"/>
    <cellStyle name="_Currency_04 WACC Vivax_Resumo Juros e Variações" xfId="228"/>
    <cellStyle name="_Currency_04 WACC Vivax_Resumo Juros e Variações 2" xfId="1887"/>
    <cellStyle name="_Currency_05 Embratel DCF Model_NEW" xfId="229"/>
    <cellStyle name="_Currency_05 Embratel DCF Model_NEW 2" xfId="1888"/>
    <cellStyle name="_Currency_12 Blended and actual _Telmex_buying_Embratel" xfId="230"/>
    <cellStyle name="_Currency_12 Blended and actual _Telmex_buying_Embratel 2" xfId="1889"/>
    <cellStyle name="_Currency_12 Blended and actual _Telmex_buying_Embratel_Consolidação" xfId="231"/>
    <cellStyle name="_Currency_12 Blended and actual _Telmex_buying_Embratel_Consolidação 2" xfId="1890"/>
    <cellStyle name="_Currency_12 Blended and actual _Telmex_buying_Embratel_Consolidação IMOB" xfId="232"/>
    <cellStyle name="_Currency_12 Blended and actual _Telmex_buying_Embratel_Consolidação IMOB 2" xfId="1891"/>
    <cellStyle name="_Currency_12 Blended and actual _Telmex_buying_Embratel_Estudo de Viabilidade -IMOB Henri" xfId="233"/>
    <cellStyle name="_Currency_12 Blended and actual _Telmex_buying_Embratel_Estudo de Viabilidade -IMOB Henri 2" xfId="1892"/>
    <cellStyle name="_Currency_12 Blended and actual _Telmex_buying_Embratel_FP 100" xfId="234"/>
    <cellStyle name="_Currency_12 Blended and actual _Telmex_buying_Embratel_FP 100 2" xfId="1893"/>
    <cellStyle name="_Currency_12 Blended and actual _Telmex_buying_Embratel_Península" xfId="235"/>
    <cellStyle name="_Currency_12 Blended and actual _Telmex_buying_Embratel_Península 2" xfId="1894"/>
    <cellStyle name="_Currency_12 Blended and actual _Telmex_buying_Embratel_Peninsula_0510" xfId="236"/>
    <cellStyle name="_Currency_12 Blended and actual _Telmex_buying_Embratel_Peninsula_0510 2" xfId="1895"/>
    <cellStyle name="_Currency_12 Blended and actual _Telmex_buying_Embratel_Resumo Juros e Variações" xfId="237"/>
    <cellStyle name="_Currency_12 Blended and actual _Telmex_buying_Embratel_Resumo Juros e Variações 2" xfId="1896"/>
    <cellStyle name="_Currency_avp" xfId="238"/>
    <cellStyle name="_Currency_avp 2" xfId="1897"/>
    <cellStyle name="_Currency_AVP_ NewCo" xfId="239"/>
    <cellStyle name="_Currency_AVP_ NewCo 2" xfId="1898"/>
    <cellStyle name="_Currency_AVP_ NewCo_Consolidação" xfId="240"/>
    <cellStyle name="_Currency_AVP_ NewCo_Consolidação 2" xfId="1899"/>
    <cellStyle name="_Currency_AVP_ NewCo_Consolidação IMOB" xfId="241"/>
    <cellStyle name="_Currency_AVP_ NewCo_Consolidação IMOB 2" xfId="1900"/>
    <cellStyle name="_Currency_AVP_ NewCo_Estudo de Viabilidade -IMOB Henri" xfId="242"/>
    <cellStyle name="_Currency_AVP_ NewCo_Estudo de Viabilidade -IMOB Henri 2" xfId="1901"/>
    <cellStyle name="_Currency_AVP_ NewCo_FP 100" xfId="243"/>
    <cellStyle name="_Currency_AVP_ NewCo_FP 100 2" xfId="1902"/>
    <cellStyle name="_Currency_AVP_ NewCo_Península" xfId="244"/>
    <cellStyle name="_Currency_AVP_ NewCo_Península 2" xfId="1903"/>
    <cellStyle name="_Currency_AVP_ NewCo_Peninsula_0510" xfId="245"/>
    <cellStyle name="_Currency_AVP_ NewCo_Peninsula_0510 2" xfId="1904"/>
    <cellStyle name="_Currency_AVP_ NewCo_Resumo Juros e Variações" xfId="246"/>
    <cellStyle name="_Currency_AVP_ NewCo_Resumo Juros e Variações 2" xfId="1905"/>
    <cellStyle name="_Currency_avp_Consolidação" xfId="247"/>
    <cellStyle name="_Currency_avp_Consolidação 2" xfId="1906"/>
    <cellStyle name="_Currency_avp_Consolidação IMOB" xfId="248"/>
    <cellStyle name="_Currency_avp_Consolidação IMOB 2" xfId="1907"/>
    <cellStyle name="_Currency_avp_Estudo de Viabilidade -IMOB Henri" xfId="249"/>
    <cellStyle name="_Currency_avp_Estudo de Viabilidade -IMOB Henri 2" xfId="1908"/>
    <cellStyle name="_Currency_avp_FP 100" xfId="250"/>
    <cellStyle name="_Currency_avp_FP 100 2" xfId="1909"/>
    <cellStyle name="_Currency_avp_Península" xfId="251"/>
    <cellStyle name="_Currency_avp_Península 2" xfId="1910"/>
    <cellStyle name="_Currency_avp_Peninsula_0510" xfId="252"/>
    <cellStyle name="_Currency_avp_Peninsula_0510 2" xfId="1911"/>
    <cellStyle name="_Currency_avp_Resumo Juros e Variações" xfId="253"/>
    <cellStyle name="_Currency_avp_Resumo Juros e Variações 2" xfId="1912"/>
    <cellStyle name="_Currency_Brazil bond data" xfId="254"/>
    <cellStyle name="_Currency_Brazil bond data 2" xfId="1913"/>
    <cellStyle name="_Currency_Brazil bond data_Consolidação" xfId="255"/>
    <cellStyle name="_Currency_Brazil bond data_Consolidação 2" xfId="1914"/>
    <cellStyle name="_Currency_Brazil bond data_Consolidação IMOB" xfId="256"/>
    <cellStyle name="_Currency_Brazil bond data_Consolidação IMOB 2" xfId="1915"/>
    <cellStyle name="_Currency_Brazil bond data_Estudo de Viabilidade -IMOB Henri" xfId="257"/>
    <cellStyle name="_Currency_Brazil bond data_Estudo de Viabilidade -IMOB Henri 2" xfId="1916"/>
    <cellStyle name="_Currency_Brazil bond data_FP 100" xfId="258"/>
    <cellStyle name="_Currency_Brazil bond data_FP 100 2" xfId="1917"/>
    <cellStyle name="_Currency_Brazil bond data_Península" xfId="259"/>
    <cellStyle name="_Currency_Brazil bond data_Península 2" xfId="1918"/>
    <cellStyle name="_Currency_Brazil bond data_Peninsula_0510" xfId="260"/>
    <cellStyle name="_Currency_Brazil bond data_Peninsula_0510 2" xfId="1919"/>
    <cellStyle name="_Currency_Brazil bond data_Resumo Juros e Variações" xfId="261"/>
    <cellStyle name="_Currency_Brazil bond data_Resumo Juros e Variações 2" xfId="1920"/>
    <cellStyle name="_Currency_Consolidação" xfId="262"/>
    <cellStyle name="_Currency_Consolidação 2" xfId="1921"/>
    <cellStyle name="_Currency_Consolidação IMOB" xfId="263"/>
    <cellStyle name="_Currency_Consolidação IMOB 2" xfId="1922"/>
    <cellStyle name="_Currency_dcf" xfId="264"/>
    <cellStyle name="_Currency_dcf 2" xfId="1923"/>
    <cellStyle name="_Currency_dcf_01_WACC Colombia_Analysis" xfId="265"/>
    <cellStyle name="_Currency_dcf_01_WACC Colombia_Analysis 2" xfId="1924"/>
    <cellStyle name="_Currency_dcf_01_WACC Colombia_Analysis_Consolidação" xfId="266"/>
    <cellStyle name="_Currency_dcf_01_WACC Colombia_Analysis_Consolidação 2" xfId="1925"/>
    <cellStyle name="_Currency_dcf_01_WACC Colombia_Analysis_Consolidação IMOB" xfId="267"/>
    <cellStyle name="_Currency_dcf_01_WACC Colombia_Analysis_Consolidação IMOB 2" xfId="1926"/>
    <cellStyle name="_Currency_dcf_01_WACC Colombia_Analysis_Estudo de Viabilidade -IMOB Henri" xfId="268"/>
    <cellStyle name="_Currency_dcf_01_WACC Colombia_Analysis_Estudo de Viabilidade -IMOB Henri 2" xfId="1927"/>
    <cellStyle name="_Currency_dcf_01_WACC Colombia_Analysis_FP 100" xfId="269"/>
    <cellStyle name="_Currency_dcf_01_WACC Colombia_Analysis_FP 100 2" xfId="1928"/>
    <cellStyle name="_Currency_dcf_01_WACC Colombia_Analysis_Península" xfId="270"/>
    <cellStyle name="_Currency_dcf_01_WACC Colombia_Analysis_Península 2" xfId="1929"/>
    <cellStyle name="_Currency_dcf_01_WACC Colombia_Analysis_Peninsula_0510" xfId="271"/>
    <cellStyle name="_Currency_dcf_01_WACC Colombia_Analysis_Peninsula_0510 2" xfId="1930"/>
    <cellStyle name="_Currency_dcf_01_WACC Colombia_Analysis_Resumo Juros e Variações" xfId="272"/>
    <cellStyle name="_Currency_dcf_01_WACC Colombia_Analysis_Resumo Juros e Variações 2" xfId="1931"/>
    <cellStyle name="_Currency_dcf_04 WACC Vivax" xfId="273"/>
    <cellStyle name="_Currency_dcf_04 WACC Vivax 2" xfId="1932"/>
    <cellStyle name="_Currency_dcf_04 WACC Vivax_Consolidação" xfId="274"/>
    <cellStyle name="_Currency_dcf_04 WACC Vivax_Consolidação 2" xfId="1933"/>
    <cellStyle name="_Currency_dcf_04 WACC Vivax_Consolidação IMOB" xfId="275"/>
    <cellStyle name="_Currency_dcf_04 WACC Vivax_Consolidação IMOB 2" xfId="1934"/>
    <cellStyle name="_Currency_dcf_04 WACC Vivax_Estudo de Viabilidade -IMOB Henri" xfId="276"/>
    <cellStyle name="_Currency_dcf_04 WACC Vivax_Estudo de Viabilidade -IMOB Henri 2" xfId="1935"/>
    <cellStyle name="_Currency_dcf_04 WACC Vivax_FP 100" xfId="277"/>
    <cellStyle name="_Currency_dcf_04 WACC Vivax_FP 100 2" xfId="1936"/>
    <cellStyle name="_Currency_dcf_04 WACC Vivax_Península" xfId="278"/>
    <cellStyle name="_Currency_dcf_04 WACC Vivax_Península 2" xfId="1937"/>
    <cellStyle name="_Currency_dcf_04 WACC Vivax_Peninsula_0510" xfId="279"/>
    <cellStyle name="_Currency_dcf_04 WACC Vivax_Peninsula_0510 2" xfId="1938"/>
    <cellStyle name="_Currency_dcf_04 WACC Vivax_Resumo Juros e Variações" xfId="280"/>
    <cellStyle name="_Currency_dcf_04 WACC Vivax_Resumo Juros e Variações 2" xfId="1939"/>
    <cellStyle name="_Currency_dcf_Consolidação" xfId="281"/>
    <cellStyle name="_Currency_dcf_Consolidação 2" xfId="1940"/>
    <cellStyle name="_Currency_dcf_Consolidação IMOB" xfId="282"/>
    <cellStyle name="_Currency_dcf_Consolidação IMOB 2" xfId="1941"/>
    <cellStyle name="_Currency_dcf_Dados por segmento julho 06" xfId="283"/>
    <cellStyle name="_Currency_dcf_Dados por segmento julho 06 2" xfId="1942"/>
    <cellStyle name="_Currency_dcf_Estudo de Viabilidade - EXP BHS" xfId="284"/>
    <cellStyle name="_Currency_dcf_Estudo de Viabilidade - EXP BHS 2" xfId="1943"/>
    <cellStyle name="_Currency_dcf_Estudo de Viabilidade - EXP BHS_Consolidação" xfId="285"/>
    <cellStyle name="_Currency_dcf_Estudo de Viabilidade - EXP BHS_Consolidação 2" xfId="1944"/>
    <cellStyle name="_Currency_dcf_FP 100" xfId="286"/>
    <cellStyle name="_Currency_dcf_FP 100 2" xfId="1945"/>
    <cellStyle name="_Currency_dcf_Resumo Juros e Variações" xfId="287"/>
    <cellStyle name="_Currency_dcf_Resumo Juros e Variações 2" xfId="1946"/>
    <cellStyle name="_Currency_dcf_Sovereign Bonds 060705" xfId="288"/>
    <cellStyle name="_Currency_dcf_Sovereign Bonds 060705 (version 1)" xfId="289"/>
    <cellStyle name="_Currency_dcf_Sovereign Bonds 060705 (version 1) 2" xfId="1948"/>
    <cellStyle name="_Currency_dcf_Sovereign Bonds 060705 (version 1)_01 NET DCF Model" xfId="290"/>
    <cellStyle name="_Currency_dcf_Sovereign Bonds 060705 (version 1)_01 NET DCF Model 2" xfId="1949"/>
    <cellStyle name="_Currency_dcf_Sovereign Bonds 060705 (version 1)_01 NET DCF Model_Consolidação" xfId="291"/>
    <cellStyle name="_Currency_dcf_Sovereign Bonds 060705 (version 1)_01 NET DCF Model_Consolidação 2" xfId="1950"/>
    <cellStyle name="_Currency_dcf_Sovereign Bonds 060705 (version 1)_01 NET DCF Model_Consolidação IMOB" xfId="292"/>
    <cellStyle name="_Currency_dcf_Sovereign Bonds 060705 (version 1)_01 NET DCF Model_Consolidação IMOB 2" xfId="1951"/>
    <cellStyle name="_Currency_dcf_Sovereign Bonds 060705 (version 1)_01 NET DCF Model_Estudo de Viabilidade -IMOB Henri" xfId="293"/>
    <cellStyle name="_Currency_dcf_Sovereign Bonds 060705 (version 1)_01 NET DCF Model_Estudo de Viabilidade -IMOB Henri 2" xfId="1952"/>
    <cellStyle name="_Currency_dcf_Sovereign Bonds 060705 (version 1)_01 NET DCF Model_FP 100" xfId="294"/>
    <cellStyle name="_Currency_dcf_Sovereign Bonds 060705 (version 1)_01 NET DCF Model_FP 100 2" xfId="1953"/>
    <cellStyle name="_Currency_dcf_Sovereign Bonds 060705 (version 1)_01 NET DCF Model_Península" xfId="295"/>
    <cellStyle name="_Currency_dcf_Sovereign Bonds 060705 (version 1)_01 NET DCF Model_Península 2" xfId="1954"/>
    <cellStyle name="_Currency_dcf_Sovereign Bonds 060705 (version 1)_01 NET DCF Model_Peninsula_0510" xfId="296"/>
    <cellStyle name="_Currency_dcf_Sovereign Bonds 060705 (version 1)_01 NET DCF Model_Peninsula_0510 2" xfId="1955"/>
    <cellStyle name="_Currency_dcf_Sovereign Bonds 060705 (version 1)_01 NET DCF Model_Resumo Juros e Variações" xfId="297"/>
    <cellStyle name="_Currency_dcf_Sovereign Bonds 060705 (version 1)_01 NET DCF Model_Resumo Juros e Variações 2" xfId="1956"/>
    <cellStyle name="_Currency_dcf_Sovereign Bonds 060705 (version 1)_03 Embratel DCF Model_Loscos" xfId="298"/>
    <cellStyle name="_Currency_dcf_Sovereign Bonds 060705 (version 1)_03 Embratel DCF Model_Loscos 2" xfId="1957"/>
    <cellStyle name="_Currency_dcf_Sovereign Bonds 060705 (version 1)_05 NET DCF Model" xfId="299"/>
    <cellStyle name="_Currency_dcf_Sovereign Bonds 060705 (version 1)_05 NET DCF Model 2" xfId="1958"/>
    <cellStyle name="_Currency_dcf_Sovereign Bonds 060705 (version 1)_05 NET DCF Model_Consolidação" xfId="300"/>
    <cellStyle name="_Currency_dcf_Sovereign Bonds 060705 (version 1)_05 NET DCF Model_Consolidação 2" xfId="1959"/>
    <cellStyle name="_Currency_dcf_Sovereign Bonds 060705 (version 1)_05 NET DCF Model_Consolidação IMOB" xfId="301"/>
    <cellStyle name="_Currency_dcf_Sovereign Bonds 060705 (version 1)_05 NET DCF Model_Consolidação IMOB 2" xfId="1960"/>
    <cellStyle name="_Currency_dcf_Sovereign Bonds 060705 (version 1)_05 NET DCF Model_Estudo de Viabilidade -IMOB Henri" xfId="302"/>
    <cellStyle name="_Currency_dcf_Sovereign Bonds 060705 (version 1)_05 NET DCF Model_Estudo de Viabilidade -IMOB Henri 2" xfId="1961"/>
    <cellStyle name="_Currency_dcf_Sovereign Bonds 060705 (version 1)_05 NET DCF Model_FP 100" xfId="303"/>
    <cellStyle name="_Currency_dcf_Sovereign Bonds 060705 (version 1)_05 NET DCF Model_FP 100 2" xfId="1962"/>
    <cellStyle name="_Currency_dcf_Sovereign Bonds 060705 (version 1)_05 NET DCF Model_Península" xfId="304"/>
    <cellStyle name="_Currency_dcf_Sovereign Bonds 060705 (version 1)_05 NET DCF Model_Península 2" xfId="1963"/>
    <cellStyle name="_Currency_dcf_Sovereign Bonds 060705 (version 1)_05 NET DCF Model_Peninsula_0510" xfId="305"/>
    <cellStyle name="_Currency_dcf_Sovereign Bonds 060705 (version 1)_05 NET DCF Model_Peninsula_0510 2" xfId="1964"/>
    <cellStyle name="_Currency_dcf_Sovereign Bonds 060705 (version 1)_05 NET DCF Model_Resumo Juros e Variações" xfId="306"/>
    <cellStyle name="_Currency_dcf_Sovereign Bonds 060705 (version 1)_05 NET DCF Model_Resumo Juros e Variações 2" xfId="1965"/>
    <cellStyle name="_Currency_dcf_Sovereign Bonds 060705 (version 1)_05 TMX Brazil DCF Model" xfId="307"/>
    <cellStyle name="_Currency_dcf_Sovereign Bonds 060705 (version 1)_05 TMX Brazil DCF Model 2" xfId="1966"/>
    <cellStyle name="_Currency_dcf_Sovereign Bonds 060705 (version 1)_05 TMX Brazil DCF Model_Consolidação" xfId="308"/>
    <cellStyle name="_Currency_dcf_Sovereign Bonds 060705 (version 1)_05 TMX Brazil DCF Model_Consolidação 2" xfId="1967"/>
    <cellStyle name="_Currency_dcf_Sovereign Bonds 060705 (version 1)_05 TMX Brazil DCF Model_Consolidação IMOB" xfId="309"/>
    <cellStyle name="_Currency_dcf_Sovereign Bonds 060705 (version 1)_05 TMX Brazil DCF Model_Consolidação IMOB 2" xfId="1968"/>
    <cellStyle name="_Currency_dcf_Sovereign Bonds 060705 (version 1)_05 TMX Brazil DCF Model_Estudo de Viabilidade -IMOB Henri" xfId="310"/>
    <cellStyle name="_Currency_dcf_Sovereign Bonds 060705 (version 1)_05 TMX Brazil DCF Model_Estudo de Viabilidade -IMOB Henri 2" xfId="1969"/>
    <cellStyle name="_Currency_dcf_Sovereign Bonds 060705 (version 1)_05 TMX Brazil DCF Model_FP 100" xfId="311"/>
    <cellStyle name="_Currency_dcf_Sovereign Bonds 060705 (version 1)_05 TMX Brazil DCF Model_FP 100 2" xfId="1970"/>
    <cellStyle name="_Currency_dcf_Sovereign Bonds 060705 (version 1)_05 TMX Brazil DCF Model_Península" xfId="312"/>
    <cellStyle name="_Currency_dcf_Sovereign Bonds 060705 (version 1)_05 TMX Brazil DCF Model_Península 2" xfId="1971"/>
    <cellStyle name="_Currency_dcf_Sovereign Bonds 060705 (version 1)_05 TMX Brazil DCF Model_Peninsula_0510" xfId="313"/>
    <cellStyle name="_Currency_dcf_Sovereign Bonds 060705 (version 1)_05 TMX Brazil DCF Model_Peninsula_0510 2" xfId="1972"/>
    <cellStyle name="_Currency_dcf_Sovereign Bonds 060705 (version 1)_05 TMX Brazil DCF Model_Resumo Juros e Variações" xfId="314"/>
    <cellStyle name="_Currency_dcf_Sovereign Bonds 060705 (version 1)_05 TMX Brazil DCF Model_Resumo Juros e Variações 2" xfId="1973"/>
    <cellStyle name="_Currency_dcf_Sovereign Bonds 060705 10" xfId="3022"/>
    <cellStyle name="_Currency_dcf_Sovereign Bonds 060705 11" xfId="3086"/>
    <cellStyle name="_Currency_dcf_Sovereign Bonds 060705 12" xfId="3164"/>
    <cellStyle name="_Currency_dcf_Sovereign Bonds 060705 13" xfId="3208"/>
    <cellStyle name="_Currency_dcf_Sovereign Bonds 060705 14" xfId="3191"/>
    <cellStyle name="_Currency_dcf_Sovereign Bonds 060705 15" xfId="3102"/>
    <cellStyle name="_Currency_dcf_Sovereign Bonds 060705 16" xfId="3209"/>
    <cellStyle name="_Currency_dcf_Sovereign Bonds 060705 17" xfId="3094"/>
    <cellStyle name="_Currency_dcf_Sovereign Bonds 060705 2" xfId="1947"/>
    <cellStyle name="_Currency_dcf_Sovereign Bonds 060705 3" xfId="2830"/>
    <cellStyle name="_Currency_dcf_Sovereign Bonds 060705 4" xfId="2863"/>
    <cellStyle name="_Currency_dcf_Sovereign Bonds 060705 5" xfId="2913"/>
    <cellStyle name="_Currency_dcf_Sovereign Bonds 060705 6" xfId="2931"/>
    <cellStyle name="_Currency_dcf_Sovereign Bonds 060705 7" xfId="2862"/>
    <cellStyle name="_Currency_dcf_Sovereign Bonds 060705 8" xfId="2951"/>
    <cellStyle name="_Currency_dcf_Sovereign Bonds 060705 9" xfId="2985"/>
    <cellStyle name="_Currency_dcf_Sovereign Bonds 060705_01 NET DCF Model" xfId="315"/>
    <cellStyle name="_Currency_dcf_Sovereign Bonds 060705_01 NET DCF Model 2" xfId="1974"/>
    <cellStyle name="_Currency_dcf_Sovereign Bonds 060705_01 NET DCF Model_Consolidação" xfId="316"/>
    <cellStyle name="_Currency_dcf_Sovereign Bonds 060705_01 NET DCF Model_Consolidação 2" xfId="1975"/>
    <cellStyle name="_Currency_dcf_Sovereign Bonds 060705_01 NET DCF Model_Consolidação IMOB" xfId="317"/>
    <cellStyle name="_Currency_dcf_Sovereign Bonds 060705_01 NET DCF Model_Consolidação IMOB 2" xfId="1976"/>
    <cellStyle name="_Currency_dcf_Sovereign Bonds 060705_01 NET DCF Model_Estudo de Viabilidade -IMOB Henri" xfId="318"/>
    <cellStyle name="_Currency_dcf_Sovereign Bonds 060705_01 NET DCF Model_Estudo de Viabilidade -IMOB Henri 2" xfId="1977"/>
    <cellStyle name="_Currency_dcf_Sovereign Bonds 060705_01 NET DCF Model_FP 100" xfId="319"/>
    <cellStyle name="_Currency_dcf_Sovereign Bonds 060705_01 NET DCF Model_FP 100 2" xfId="1978"/>
    <cellStyle name="_Currency_dcf_Sovereign Bonds 060705_01 NET DCF Model_Península" xfId="320"/>
    <cellStyle name="_Currency_dcf_Sovereign Bonds 060705_01 NET DCF Model_Península 2" xfId="1979"/>
    <cellStyle name="_Currency_dcf_Sovereign Bonds 060705_01 NET DCF Model_Peninsula_0510" xfId="321"/>
    <cellStyle name="_Currency_dcf_Sovereign Bonds 060705_01 NET DCF Model_Peninsula_0510 2" xfId="1980"/>
    <cellStyle name="_Currency_dcf_Sovereign Bonds 060705_01 NET DCF Model_Resumo Juros e Variações" xfId="322"/>
    <cellStyle name="_Currency_dcf_Sovereign Bonds 060705_01 NET DCF Model_Resumo Juros e Variações 2" xfId="1981"/>
    <cellStyle name="_Currency_dcf_Sovereign Bonds 060705_03 Embratel DCF Model_Loscos" xfId="323"/>
    <cellStyle name="_Currency_dcf_Sovereign Bonds 060705_03 Embratel DCF Model_Loscos 2" xfId="1982"/>
    <cellStyle name="_Currency_dcf_Sovereign Bonds 060705_05 NET DCF Model" xfId="324"/>
    <cellStyle name="_Currency_dcf_Sovereign Bonds 060705_05 NET DCF Model 2" xfId="1983"/>
    <cellStyle name="_Currency_dcf_Sovereign Bonds 060705_05 NET DCF Model_Consolidação" xfId="325"/>
    <cellStyle name="_Currency_dcf_Sovereign Bonds 060705_05 NET DCF Model_Consolidação 2" xfId="1984"/>
    <cellStyle name="_Currency_dcf_Sovereign Bonds 060705_05 NET DCF Model_Consolidação IMOB" xfId="326"/>
    <cellStyle name="_Currency_dcf_Sovereign Bonds 060705_05 NET DCF Model_Consolidação IMOB 2" xfId="1985"/>
    <cellStyle name="_Currency_dcf_Sovereign Bonds 060705_05 NET DCF Model_Estudo de Viabilidade -IMOB Henri" xfId="327"/>
    <cellStyle name="_Currency_dcf_Sovereign Bonds 060705_05 NET DCF Model_Estudo de Viabilidade -IMOB Henri 2" xfId="1986"/>
    <cellStyle name="_Currency_dcf_Sovereign Bonds 060705_05 NET DCF Model_FP 100" xfId="328"/>
    <cellStyle name="_Currency_dcf_Sovereign Bonds 060705_05 NET DCF Model_FP 100 2" xfId="1987"/>
    <cellStyle name="_Currency_dcf_Sovereign Bonds 060705_05 NET DCF Model_Península" xfId="329"/>
    <cellStyle name="_Currency_dcf_Sovereign Bonds 060705_05 NET DCF Model_Península 2" xfId="1988"/>
    <cellStyle name="_Currency_dcf_Sovereign Bonds 060705_05 NET DCF Model_Peninsula_0510" xfId="330"/>
    <cellStyle name="_Currency_dcf_Sovereign Bonds 060705_05 NET DCF Model_Peninsula_0510 2" xfId="1989"/>
    <cellStyle name="_Currency_dcf_Sovereign Bonds 060705_05 NET DCF Model_Resumo Juros e Variações" xfId="331"/>
    <cellStyle name="_Currency_dcf_Sovereign Bonds 060705_05 NET DCF Model_Resumo Juros e Variações 2" xfId="1990"/>
    <cellStyle name="_Currency_dcf_Sovereign Bonds 060705_05 TMX Brazil DCF Model" xfId="332"/>
    <cellStyle name="_Currency_dcf_Sovereign Bonds 060705_05 TMX Brazil DCF Model 2" xfId="1991"/>
    <cellStyle name="_Currency_dcf_Sovereign Bonds 060705_05 TMX Brazil DCF Model_Consolidação" xfId="333"/>
    <cellStyle name="_Currency_dcf_Sovereign Bonds 060705_05 TMX Brazil DCF Model_Consolidação 2" xfId="1992"/>
    <cellStyle name="_Currency_dcf_Sovereign Bonds 060705_05 TMX Brazil DCF Model_Consolidação IMOB" xfId="334"/>
    <cellStyle name="_Currency_dcf_Sovereign Bonds 060705_05 TMX Brazil DCF Model_Consolidação IMOB 2" xfId="1993"/>
    <cellStyle name="_Currency_dcf_Sovereign Bonds 060705_05 TMX Brazil DCF Model_Estudo de Viabilidade -IMOB Henri" xfId="335"/>
    <cellStyle name="_Currency_dcf_Sovereign Bonds 060705_05 TMX Brazil DCF Model_Estudo de Viabilidade -IMOB Henri 2" xfId="1994"/>
    <cellStyle name="_Currency_dcf_Sovereign Bonds 060705_05 TMX Brazil DCF Model_FP 100" xfId="336"/>
    <cellStyle name="_Currency_dcf_Sovereign Bonds 060705_05 TMX Brazil DCF Model_FP 100 2" xfId="1995"/>
    <cellStyle name="_Currency_dcf_Sovereign Bonds 060705_05 TMX Brazil DCF Model_Península" xfId="337"/>
    <cellStyle name="_Currency_dcf_Sovereign Bonds 060705_05 TMX Brazil DCF Model_Península 2" xfId="1996"/>
    <cellStyle name="_Currency_dcf_Sovereign Bonds 060705_05 TMX Brazil DCF Model_Peninsula_0510" xfId="338"/>
    <cellStyle name="_Currency_dcf_Sovereign Bonds 060705_05 TMX Brazil DCF Model_Peninsula_0510 2" xfId="1997"/>
    <cellStyle name="_Currency_dcf_Sovereign Bonds 060705_05 TMX Brazil DCF Model_Resumo Juros e Variações" xfId="339"/>
    <cellStyle name="_Currency_dcf_Sovereign Bonds 060705_05 TMX Brazil DCF Model_Resumo Juros e Variações 2" xfId="1998"/>
    <cellStyle name="_Currency_EMT Management Assumptions_v2" xfId="340"/>
    <cellStyle name="_Currency_EMT Management Assumptions_v2 2" xfId="1999"/>
    <cellStyle name="_Currency_EMT Management Assumptions_v2_Consolidação" xfId="341"/>
    <cellStyle name="_Currency_EMT Management Assumptions_v2_Consolidação 2" xfId="2000"/>
    <cellStyle name="_Currency_EMT Management Assumptions_v2_Consolidação IMOB" xfId="342"/>
    <cellStyle name="_Currency_EMT Management Assumptions_v2_Consolidação IMOB 2" xfId="2001"/>
    <cellStyle name="_Currency_EMT Management Assumptions_v2_Estudo de Viabilidade -IMOB Henri" xfId="343"/>
    <cellStyle name="_Currency_EMT Management Assumptions_v2_Estudo de Viabilidade -IMOB Henri 2" xfId="2002"/>
    <cellStyle name="_Currency_EMT Management Assumptions_v2_FP 100" xfId="344"/>
    <cellStyle name="_Currency_EMT Management Assumptions_v2_FP 100 2" xfId="2003"/>
    <cellStyle name="_Currency_EMT Management Assumptions_v2_Península" xfId="345"/>
    <cellStyle name="_Currency_EMT Management Assumptions_v2_Península 2" xfId="2004"/>
    <cellStyle name="_Currency_EMT Management Assumptions_v2_Peninsula_0510" xfId="346"/>
    <cellStyle name="_Currency_EMT Management Assumptions_v2_Peninsula_0510 2" xfId="2005"/>
    <cellStyle name="_Currency_EMT Management Assumptions_v2_Resumo Juros e Variações" xfId="347"/>
    <cellStyle name="_Currency_EMT Management Assumptions_v2_Resumo Juros e Variações 2" xfId="2006"/>
    <cellStyle name="_Currency_Estudo de Viabilidade -IMOB Henri" xfId="348"/>
    <cellStyle name="_Currency_Estudo de Viabilidade -IMOB Henri 2" xfId="2007"/>
    <cellStyle name="_Currency_FP 100" xfId="349"/>
    <cellStyle name="_Currency_FP 100 2" xfId="2008"/>
    <cellStyle name="_Currency_LA WACC Discount_1" xfId="350"/>
    <cellStyle name="_Currency_LA WACC Discount_1 2" xfId="2009"/>
    <cellStyle name="_Currency_LA WACC Discount_1_Consolidação" xfId="351"/>
    <cellStyle name="_Currency_LA WACC Discount_1_Consolidação 2" xfId="2010"/>
    <cellStyle name="_Currency_LA WACC Discount_1_Consolidação IMOB" xfId="352"/>
    <cellStyle name="_Currency_LA WACC Discount_1_Consolidação IMOB 2" xfId="2011"/>
    <cellStyle name="_Currency_LA WACC Discount_1_Dados por segmento julho 06" xfId="353"/>
    <cellStyle name="_Currency_LA WACC Discount_1_Dados por segmento julho 06 2" xfId="2012"/>
    <cellStyle name="_Currency_LA WACC Discount_1_Estudo de Viabilidade - EXP BHS" xfId="354"/>
    <cellStyle name="_Currency_LA WACC Discount_1_Estudo de Viabilidade - EXP BHS 2" xfId="2013"/>
    <cellStyle name="_Currency_LA WACC Discount_1_Estudo de Viabilidade - EXP BHS_Consolidação" xfId="355"/>
    <cellStyle name="_Currency_LA WACC Discount_1_Estudo de Viabilidade - EXP BHS_Consolidação 2" xfId="2014"/>
    <cellStyle name="_Currency_LA WACC Discount_1_FP 100" xfId="356"/>
    <cellStyle name="_Currency_LA WACC Discount_1_FP 100 2" xfId="2015"/>
    <cellStyle name="_Currency_LA WACC Discount_1_Resumo Juros e Variações" xfId="357"/>
    <cellStyle name="_Currency_LA WACC Discount_1_Resumo Juros e Variações 2" xfId="2016"/>
    <cellStyle name="_Currency_LA WACC Discount_1_Sovereign Bonds 060705" xfId="358"/>
    <cellStyle name="_Currency_LA WACC Discount_1_Sovereign Bonds 060705 (version 1)" xfId="359"/>
    <cellStyle name="_Currency_LA WACC Discount_1_Sovereign Bonds 060705 (version 1) 2" xfId="2018"/>
    <cellStyle name="_Currency_LA WACC Discount_1_Sovereign Bonds 060705 (version 1)_01 NET DCF Model" xfId="360"/>
    <cellStyle name="_Currency_LA WACC Discount_1_Sovereign Bonds 060705 (version 1)_01 NET DCF Model 2" xfId="2019"/>
    <cellStyle name="_Currency_LA WACC Discount_1_Sovereign Bonds 060705 (version 1)_01 NET DCF Model_Consolidação" xfId="361"/>
    <cellStyle name="_Currency_LA WACC Discount_1_Sovereign Bonds 060705 (version 1)_01 NET DCF Model_Consolidação 2" xfId="2020"/>
    <cellStyle name="_Currency_LA WACC Discount_1_Sovereign Bonds 060705 (version 1)_01 NET DCF Model_Consolidação IMOB" xfId="362"/>
    <cellStyle name="_Currency_LA WACC Discount_1_Sovereign Bonds 060705 (version 1)_01 NET DCF Model_Consolidação IMOB 2" xfId="2021"/>
    <cellStyle name="_Currency_LA WACC Discount_1_Sovereign Bonds 060705 (version 1)_01 NET DCF Model_Estudo de Viabilidade -IMOB Henri" xfId="363"/>
    <cellStyle name="_Currency_LA WACC Discount_1_Sovereign Bonds 060705 (version 1)_01 NET DCF Model_Estudo de Viabilidade -IMOB Henri 2" xfId="2022"/>
    <cellStyle name="_Currency_LA WACC Discount_1_Sovereign Bonds 060705 (version 1)_01 NET DCF Model_FP 100" xfId="364"/>
    <cellStyle name="_Currency_LA WACC Discount_1_Sovereign Bonds 060705 (version 1)_01 NET DCF Model_FP 100 2" xfId="2023"/>
    <cellStyle name="_Currency_LA WACC Discount_1_Sovereign Bonds 060705 (version 1)_01 NET DCF Model_Península" xfId="365"/>
    <cellStyle name="_Currency_LA WACC Discount_1_Sovereign Bonds 060705 (version 1)_01 NET DCF Model_Península 2" xfId="2024"/>
    <cellStyle name="_Currency_LA WACC Discount_1_Sovereign Bonds 060705 (version 1)_01 NET DCF Model_Peninsula_0510" xfId="366"/>
    <cellStyle name="_Currency_LA WACC Discount_1_Sovereign Bonds 060705 (version 1)_01 NET DCF Model_Peninsula_0510 2" xfId="2025"/>
    <cellStyle name="_Currency_LA WACC Discount_1_Sovereign Bonds 060705 (version 1)_01 NET DCF Model_Resumo Juros e Variações" xfId="367"/>
    <cellStyle name="_Currency_LA WACC Discount_1_Sovereign Bonds 060705 (version 1)_01 NET DCF Model_Resumo Juros e Variações 2" xfId="2026"/>
    <cellStyle name="_Currency_LA WACC Discount_1_Sovereign Bonds 060705 (version 1)_03 Embratel DCF Model_Loscos" xfId="368"/>
    <cellStyle name="_Currency_LA WACC Discount_1_Sovereign Bonds 060705 (version 1)_03 Embratel DCF Model_Loscos 2" xfId="2027"/>
    <cellStyle name="_Currency_LA WACC Discount_1_Sovereign Bonds 060705 (version 1)_05 NET DCF Model" xfId="369"/>
    <cellStyle name="_Currency_LA WACC Discount_1_Sovereign Bonds 060705 (version 1)_05 NET DCF Model 2" xfId="2028"/>
    <cellStyle name="_Currency_LA WACC Discount_1_Sovereign Bonds 060705 (version 1)_05 NET DCF Model_Consolidação" xfId="370"/>
    <cellStyle name="_Currency_LA WACC Discount_1_Sovereign Bonds 060705 (version 1)_05 NET DCF Model_Consolidação 2" xfId="2029"/>
    <cellStyle name="_Currency_LA WACC Discount_1_Sovereign Bonds 060705 (version 1)_05 NET DCF Model_Consolidação IMOB" xfId="371"/>
    <cellStyle name="_Currency_LA WACC Discount_1_Sovereign Bonds 060705 (version 1)_05 NET DCF Model_Consolidação IMOB 2" xfId="2030"/>
    <cellStyle name="_Currency_LA WACC Discount_1_Sovereign Bonds 060705 (version 1)_05 NET DCF Model_Estudo de Viabilidade -IMOB Henri" xfId="372"/>
    <cellStyle name="_Currency_LA WACC Discount_1_Sovereign Bonds 060705 (version 1)_05 NET DCF Model_Estudo de Viabilidade -IMOB Henri 2" xfId="2031"/>
    <cellStyle name="_Currency_LA WACC Discount_1_Sovereign Bonds 060705 (version 1)_05 NET DCF Model_FP 100" xfId="373"/>
    <cellStyle name="_Currency_LA WACC Discount_1_Sovereign Bonds 060705 (version 1)_05 NET DCF Model_FP 100 2" xfId="2032"/>
    <cellStyle name="_Currency_LA WACC Discount_1_Sovereign Bonds 060705 (version 1)_05 NET DCF Model_Península" xfId="374"/>
    <cellStyle name="_Currency_LA WACC Discount_1_Sovereign Bonds 060705 (version 1)_05 NET DCF Model_Península 2" xfId="2033"/>
    <cellStyle name="_Currency_LA WACC Discount_1_Sovereign Bonds 060705 (version 1)_05 NET DCF Model_Peninsula_0510" xfId="375"/>
    <cellStyle name="_Currency_LA WACC Discount_1_Sovereign Bonds 060705 (version 1)_05 NET DCF Model_Peninsula_0510 2" xfId="2034"/>
    <cellStyle name="_Currency_LA WACC Discount_1_Sovereign Bonds 060705 (version 1)_05 NET DCF Model_Resumo Juros e Variações" xfId="376"/>
    <cellStyle name="_Currency_LA WACC Discount_1_Sovereign Bonds 060705 (version 1)_05 NET DCF Model_Resumo Juros e Variações 2" xfId="2035"/>
    <cellStyle name="_Currency_LA WACC Discount_1_Sovereign Bonds 060705 (version 1)_05 TMX Brazil DCF Model" xfId="377"/>
    <cellStyle name="_Currency_LA WACC Discount_1_Sovereign Bonds 060705 (version 1)_05 TMX Brazil DCF Model 2" xfId="2036"/>
    <cellStyle name="_Currency_LA WACC Discount_1_Sovereign Bonds 060705 (version 1)_05 TMX Brazil DCF Model_Consolidação" xfId="378"/>
    <cellStyle name="_Currency_LA WACC Discount_1_Sovereign Bonds 060705 (version 1)_05 TMX Brazil DCF Model_Consolidação 2" xfId="2037"/>
    <cellStyle name="_Currency_LA WACC Discount_1_Sovereign Bonds 060705 (version 1)_05 TMX Brazil DCF Model_Consolidação IMOB" xfId="379"/>
    <cellStyle name="_Currency_LA WACC Discount_1_Sovereign Bonds 060705 (version 1)_05 TMX Brazil DCF Model_Consolidação IMOB 2" xfId="2038"/>
    <cellStyle name="_Currency_LA WACC Discount_1_Sovereign Bonds 060705 (version 1)_05 TMX Brazil DCF Model_Estudo de Viabilidade -IMOB Henri" xfId="380"/>
    <cellStyle name="_Currency_LA WACC Discount_1_Sovereign Bonds 060705 (version 1)_05 TMX Brazil DCF Model_Estudo de Viabilidade -IMOB Henri 2" xfId="2039"/>
    <cellStyle name="_Currency_LA WACC Discount_1_Sovereign Bonds 060705 (version 1)_05 TMX Brazil DCF Model_FP 100" xfId="381"/>
    <cellStyle name="_Currency_LA WACC Discount_1_Sovereign Bonds 060705 (version 1)_05 TMX Brazil DCF Model_FP 100 2" xfId="2040"/>
    <cellStyle name="_Currency_LA WACC Discount_1_Sovereign Bonds 060705 (version 1)_05 TMX Brazil DCF Model_Península" xfId="382"/>
    <cellStyle name="_Currency_LA WACC Discount_1_Sovereign Bonds 060705 (version 1)_05 TMX Brazil DCF Model_Península 2" xfId="2041"/>
    <cellStyle name="_Currency_LA WACC Discount_1_Sovereign Bonds 060705 (version 1)_05 TMX Brazil DCF Model_Peninsula_0510" xfId="383"/>
    <cellStyle name="_Currency_LA WACC Discount_1_Sovereign Bonds 060705 (version 1)_05 TMX Brazil DCF Model_Peninsula_0510 2" xfId="2042"/>
    <cellStyle name="_Currency_LA WACC Discount_1_Sovereign Bonds 060705 (version 1)_05 TMX Brazil DCF Model_Resumo Juros e Variações" xfId="384"/>
    <cellStyle name="_Currency_LA WACC Discount_1_Sovereign Bonds 060705 (version 1)_05 TMX Brazil DCF Model_Resumo Juros e Variações 2" xfId="2043"/>
    <cellStyle name="_Currency_LA WACC Discount_1_Sovereign Bonds 060705 10" xfId="3023"/>
    <cellStyle name="_Currency_LA WACC Discount_1_Sovereign Bonds 060705 11" xfId="3089"/>
    <cellStyle name="_Currency_LA WACC Discount_1_Sovereign Bonds 060705 12" xfId="3177"/>
    <cellStyle name="_Currency_LA WACC Discount_1_Sovereign Bonds 060705 13" xfId="3106"/>
    <cellStyle name="_Currency_LA WACC Discount_1_Sovereign Bonds 060705 14" xfId="3088"/>
    <cellStyle name="_Currency_LA WACC Discount_1_Sovereign Bonds 060705 15" xfId="3210"/>
    <cellStyle name="_Currency_LA WACC Discount_1_Sovereign Bonds 060705 16" xfId="3199"/>
    <cellStyle name="_Currency_LA WACC Discount_1_Sovereign Bonds 060705 17" xfId="3193"/>
    <cellStyle name="_Currency_LA WACC Discount_1_Sovereign Bonds 060705 2" xfId="2017"/>
    <cellStyle name="_Currency_LA WACC Discount_1_Sovereign Bonds 060705 3" xfId="2831"/>
    <cellStyle name="_Currency_LA WACC Discount_1_Sovereign Bonds 060705 4" xfId="2865"/>
    <cellStyle name="_Currency_LA WACC Discount_1_Sovereign Bonds 060705 5" xfId="2922"/>
    <cellStyle name="_Currency_LA WACC Discount_1_Sovereign Bonds 060705 6" xfId="2929"/>
    <cellStyle name="_Currency_LA WACC Discount_1_Sovereign Bonds 060705 7" xfId="2908"/>
    <cellStyle name="_Currency_LA WACC Discount_1_Sovereign Bonds 060705 8" xfId="2952"/>
    <cellStyle name="_Currency_LA WACC Discount_1_Sovereign Bonds 060705 9" xfId="2986"/>
    <cellStyle name="_Currency_LA WACC Discount_1_Sovereign Bonds 060705_01 NET DCF Model" xfId="385"/>
    <cellStyle name="_Currency_LA WACC Discount_1_Sovereign Bonds 060705_01 NET DCF Model 2" xfId="2044"/>
    <cellStyle name="_Currency_LA WACC Discount_1_Sovereign Bonds 060705_01 NET DCF Model_Consolidação" xfId="386"/>
    <cellStyle name="_Currency_LA WACC Discount_1_Sovereign Bonds 060705_01 NET DCF Model_Consolidação 2" xfId="2045"/>
    <cellStyle name="_Currency_LA WACC Discount_1_Sovereign Bonds 060705_01 NET DCF Model_Consolidação IMOB" xfId="387"/>
    <cellStyle name="_Currency_LA WACC Discount_1_Sovereign Bonds 060705_01 NET DCF Model_Consolidação IMOB 2" xfId="2046"/>
    <cellStyle name="_Currency_LA WACC Discount_1_Sovereign Bonds 060705_01 NET DCF Model_Estudo de Viabilidade -IMOB Henri" xfId="388"/>
    <cellStyle name="_Currency_LA WACC Discount_1_Sovereign Bonds 060705_01 NET DCF Model_Estudo de Viabilidade -IMOB Henri 2" xfId="2047"/>
    <cellStyle name="_Currency_LA WACC Discount_1_Sovereign Bonds 060705_01 NET DCF Model_FP 100" xfId="389"/>
    <cellStyle name="_Currency_LA WACC Discount_1_Sovereign Bonds 060705_01 NET DCF Model_FP 100 2" xfId="2048"/>
    <cellStyle name="_Currency_LA WACC Discount_1_Sovereign Bonds 060705_01 NET DCF Model_Península" xfId="390"/>
    <cellStyle name="_Currency_LA WACC Discount_1_Sovereign Bonds 060705_01 NET DCF Model_Península 2" xfId="2049"/>
    <cellStyle name="_Currency_LA WACC Discount_1_Sovereign Bonds 060705_01 NET DCF Model_Peninsula_0510" xfId="391"/>
    <cellStyle name="_Currency_LA WACC Discount_1_Sovereign Bonds 060705_01 NET DCF Model_Peninsula_0510 2" xfId="2050"/>
    <cellStyle name="_Currency_LA WACC Discount_1_Sovereign Bonds 060705_01 NET DCF Model_Resumo Juros e Variações" xfId="392"/>
    <cellStyle name="_Currency_LA WACC Discount_1_Sovereign Bonds 060705_01 NET DCF Model_Resumo Juros e Variações 2" xfId="2051"/>
    <cellStyle name="_Currency_LA WACC Discount_1_Sovereign Bonds 060705_03 Embratel DCF Model_Loscos" xfId="393"/>
    <cellStyle name="_Currency_LA WACC Discount_1_Sovereign Bonds 060705_03 Embratel DCF Model_Loscos 2" xfId="2052"/>
    <cellStyle name="_Currency_LA WACC Discount_1_Sovereign Bonds 060705_05 NET DCF Model" xfId="394"/>
    <cellStyle name="_Currency_LA WACC Discount_1_Sovereign Bonds 060705_05 NET DCF Model 2" xfId="2053"/>
    <cellStyle name="_Currency_LA WACC Discount_1_Sovereign Bonds 060705_05 NET DCF Model_Consolidação" xfId="395"/>
    <cellStyle name="_Currency_LA WACC Discount_1_Sovereign Bonds 060705_05 NET DCF Model_Consolidação 2" xfId="2054"/>
    <cellStyle name="_Currency_LA WACC Discount_1_Sovereign Bonds 060705_05 NET DCF Model_Consolidação IMOB" xfId="396"/>
    <cellStyle name="_Currency_LA WACC Discount_1_Sovereign Bonds 060705_05 NET DCF Model_Consolidação IMOB 2" xfId="2055"/>
    <cellStyle name="_Currency_LA WACC Discount_1_Sovereign Bonds 060705_05 NET DCF Model_Estudo de Viabilidade -IMOB Henri" xfId="397"/>
    <cellStyle name="_Currency_LA WACC Discount_1_Sovereign Bonds 060705_05 NET DCF Model_Estudo de Viabilidade -IMOB Henri 2" xfId="2056"/>
    <cellStyle name="_Currency_LA WACC Discount_1_Sovereign Bonds 060705_05 NET DCF Model_FP 100" xfId="398"/>
    <cellStyle name="_Currency_LA WACC Discount_1_Sovereign Bonds 060705_05 NET DCF Model_FP 100 2" xfId="2057"/>
    <cellStyle name="_Currency_LA WACC Discount_1_Sovereign Bonds 060705_05 NET DCF Model_Península" xfId="399"/>
    <cellStyle name="_Currency_LA WACC Discount_1_Sovereign Bonds 060705_05 NET DCF Model_Península 2" xfId="2058"/>
    <cellStyle name="_Currency_LA WACC Discount_1_Sovereign Bonds 060705_05 NET DCF Model_Peninsula_0510" xfId="400"/>
    <cellStyle name="_Currency_LA WACC Discount_1_Sovereign Bonds 060705_05 NET DCF Model_Peninsula_0510 2" xfId="2059"/>
    <cellStyle name="_Currency_LA WACC Discount_1_Sovereign Bonds 060705_05 NET DCF Model_Resumo Juros e Variações" xfId="401"/>
    <cellStyle name="_Currency_LA WACC Discount_1_Sovereign Bonds 060705_05 NET DCF Model_Resumo Juros e Variações 2" xfId="2060"/>
    <cellStyle name="_Currency_LA WACC Discount_1_Sovereign Bonds 060705_05 TMX Brazil DCF Model" xfId="402"/>
    <cellStyle name="_Currency_LA WACC Discount_1_Sovereign Bonds 060705_05 TMX Brazil DCF Model 2" xfId="2061"/>
    <cellStyle name="_Currency_LA WACC Discount_1_Sovereign Bonds 060705_05 TMX Brazil DCF Model_Consolidação" xfId="403"/>
    <cellStyle name="_Currency_LA WACC Discount_1_Sovereign Bonds 060705_05 TMX Brazil DCF Model_Consolidação 2" xfId="2062"/>
    <cellStyle name="_Currency_LA WACC Discount_1_Sovereign Bonds 060705_05 TMX Brazil DCF Model_Consolidação IMOB" xfId="404"/>
    <cellStyle name="_Currency_LA WACC Discount_1_Sovereign Bonds 060705_05 TMX Brazil DCF Model_Consolidação IMOB 2" xfId="2063"/>
    <cellStyle name="_Currency_LA WACC Discount_1_Sovereign Bonds 060705_05 TMX Brazil DCF Model_Estudo de Viabilidade -IMOB Henri" xfId="405"/>
    <cellStyle name="_Currency_LA WACC Discount_1_Sovereign Bonds 060705_05 TMX Brazil DCF Model_Estudo de Viabilidade -IMOB Henri 2" xfId="2064"/>
    <cellStyle name="_Currency_LA WACC Discount_1_Sovereign Bonds 060705_05 TMX Brazil DCF Model_FP 100" xfId="406"/>
    <cellStyle name="_Currency_LA WACC Discount_1_Sovereign Bonds 060705_05 TMX Brazil DCF Model_FP 100 2" xfId="2065"/>
    <cellStyle name="_Currency_LA WACC Discount_1_Sovereign Bonds 060705_05 TMX Brazil DCF Model_Península" xfId="407"/>
    <cellStyle name="_Currency_LA WACC Discount_1_Sovereign Bonds 060705_05 TMX Brazil DCF Model_Península 2" xfId="2066"/>
    <cellStyle name="_Currency_LA WACC Discount_1_Sovereign Bonds 060705_05 TMX Brazil DCF Model_Peninsula_0510" xfId="408"/>
    <cellStyle name="_Currency_LA WACC Discount_1_Sovereign Bonds 060705_05 TMX Brazil DCF Model_Peninsula_0510 2" xfId="2067"/>
    <cellStyle name="_Currency_LA WACC Discount_1_Sovereign Bonds 060705_05 TMX Brazil DCF Model_Resumo Juros e Variações" xfId="409"/>
    <cellStyle name="_Currency_LA WACC Discount_1_Sovereign Bonds 060705_05 TMX Brazil DCF Model_Resumo Juros e Variações 2" xfId="2068"/>
    <cellStyle name="_Currency_Net Management Projections_2" xfId="410"/>
    <cellStyle name="_Currency_Net Management Projections_2 2" xfId="2069"/>
    <cellStyle name="_Currency_Net Management Projections_2_Consolidação" xfId="411"/>
    <cellStyle name="_Currency_Net Management Projections_2_Consolidação 2" xfId="2070"/>
    <cellStyle name="_Currency_Net Management Projections_2_Consolidação IMOB" xfId="412"/>
    <cellStyle name="_Currency_Net Management Projections_2_Consolidação IMOB 2" xfId="2071"/>
    <cellStyle name="_Currency_Net Management Projections_2_Estudo de Viabilidade -IMOB Henri" xfId="413"/>
    <cellStyle name="_Currency_Net Management Projections_2_Estudo de Viabilidade -IMOB Henri 2" xfId="2072"/>
    <cellStyle name="_Currency_Net Management Projections_2_FP 100" xfId="414"/>
    <cellStyle name="_Currency_Net Management Projections_2_FP 100 2" xfId="2073"/>
    <cellStyle name="_Currency_Net Management Projections_2_Península" xfId="415"/>
    <cellStyle name="_Currency_Net Management Projections_2_Península 2" xfId="2074"/>
    <cellStyle name="_Currency_Net Management Projections_2_Peninsula_0510" xfId="416"/>
    <cellStyle name="_Currency_Net Management Projections_2_Peninsula_0510 2" xfId="2075"/>
    <cellStyle name="_Currency_Net Management Projections_2_Resumo Juros e Variações" xfId="417"/>
    <cellStyle name="_Currency_Net Management Projections_2_Resumo Juros e Variações 2" xfId="2076"/>
    <cellStyle name="_Currency_Oil &amp; Gas betas" xfId="418"/>
    <cellStyle name="_Currency_Oil &amp; Gas betas 2" xfId="2077"/>
    <cellStyle name="_Currency_Oil &amp; Gas betas_Consolidação" xfId="419"/>
    <cellStyle name="_Currency_Oil &amp; Gas betas_Consolidação 2" xfId="2078"/>
    <cellStyle name="_Currency_Oil &amp; Gas betas_Consolidação IMOB" xfId="420"/>
    <cellStyle name="_Currency_Oil &amp; Gas betas_Consolidação IMOB 2" xfId="2079"/>
    <cellStyle name="_Currency_Oil &amp; Gas betas_Estudo de Viabilidade -IMOB Henri" xfId="421"/>
    <cellStyle name="_Currency_Oil &amp; Gas betas_Estudo de Viabilidade -IMOB Henri 2" xfId="2080"/>
    <cellStyle name="_Currency_Oil &amp; Gas betas_FP 100" xfId="422"/>
    <cellStyle name="_Currency_Oil &amp; Gas betas_FP 100 2" xfId="2081"/>
    <cellStyle name="_Currency_Oil &amp; Gas betas_Península" xfId="423"/>
    <cellStyle name="_Currency_Oil &amp; Gas betas_Península 2" xfId="2082"/>
    <cellStyle name="_Currency_Oil &amp; Gas betas_Peninsula_0510" xfId="424"/>
    <cellStyle name="_Currency_Oil &amp; Gas betas_Peninsula_0510 2" xfId="2083"/>
    <cellStyle name="_Currency_Oil &amp; Gas betas_Resumo Juros e Variações" xfId="425"/>
    <cellStyle name="_Currency_Oil &amp; Gas betas_Resumo Juros e Variações 2" xfId="2084"/>
    <cellStyle name="_Currency_Pay TV Subscribers" xfId="426"/>
    <cellStyle name="_Currency_Pay TV Subscribers 2" xfId="2085"/>
    <cellStyle name="_Currency_Pay TV Subscribers_Consolidação" xfId="427"/>
    <cellStyle name="_Currency_Pay TV Subscribers_Consolidação 2" xfId="2086"/>
    <cellStyle name="_Currency_Pay TV Subscribers_Consolidação IMOB" xfId="428"/>
    <cellStyle name="_Currency_Pay TV Subscribers_Consolidação IMOB 2" xfId="2087"/>
    <cellStyle name="_Currency_Pay TV Subscribers_Estudo de Viabilidade -IMOB Henri" xfId="429"/>
    <cellStyle name="_Currency_Pay TV Subscribers_Estudo de Viabilidade -IMOB Henri 2" xfId="2088"/>
    <cellStyle name="_Currency_Pay TV Subscribers_FP 100" xfId="430"/>
    <cellStyle name="_Currency_Pay TV Subscribers_FP 100 2" xfId="2089"/>
    <cellStyle name="_Currency_Pay TV Subscribers_Península" xfId="431"/>
    <cellStyle name="_Currency_Pay TV Subscribers_Península 2" xfId="2090"/>
    <cellStyle name="_Currency_Pay TV Subscribers_Peninsula_0510" xfId="432"/>
    <cellStyle name="_Currency_Pay TV Subscribers_Peninsula_0510 2" xfId="2091"/>
    <cellStyle name="_Currency_Pay TV Subscribers_Resumo Juros e Variações" xfId="433"/>
    <cellStyle name="_Currency_Pay TV Subscribers_Resumo Juros e Variações 2" xfId="2092"/>
    <cellStyle name="_Currency_Península" xfId="434"/>
    <cellStyle name="_Currency_Península 2" xfId="2093"/>
    <cellStyle name="_Currency_Peninsula_0510" xfId="435"/>
    <cellStyle name="_Currency_Peninsula_0510 2" xfId="2094"/>
    <cellStyle name="_Currency_Resumo Juros e Variações" xfId="436"/>
    <cellStyle name="_Currency_Resumo Juros e Variações 2" xfId="2095"/>
    <cellStyle name="_Currency_Revenue Mix Chart" xfId="437"/>
    <cellStyle name="_Currency_Revenue Mix Chart 2" xfId="2096"/>
    <cellStyle name="_Currency_Revenue Mix Chart_Consolidação" xfId="438"/>
    <cellStyle name="_Currency_Revenue Mix Chart_Consolidação 2" xfId="2097"/>
    <cellStyle name="_Currency_Revenue Mix Chart_Consolidação IMOB" xfId="439"/>
    <cellStyle name="_Currency_Revenue Mix Chart_Consolidação IMOB 2" xfId="2098"/>
    <cellStyle name="_Currency_Revenue Mix Chart_Estudo de Viabilidade -IMOB Henri" xfId="440"/>
    <cellStyle name="_Currency_Revenue Mix Chart_Estudo de Viabilidade -IMOB Henri 2" xfId="2099"/>
    <cellStyle name="_Currency_Revenue Mix Chart_FP 100" xfId="441"/>
    <cellStyle name="_Currency_Revenue Mix Chart_FP 100 2" xfId="2100"/>
    <cellStyle name="_Currency_Revenue Mix Chart_Península" xfId="442"/>
    <cellStyle name="_Currency_Revenue Mix Chart_Península 2" xfId="2101"/>
    <cellStyle name="_Currency_Revenue Mix Chart_Peninsula_0510" xfId="443"/>
    <cellStyle name="_Currency_Revenue Mix Chart_Peninsula_0510 2" xfId="2102"/>
    <cellStyle name="_Currency_Revenue Mix Chart_Resumo Juros e Variações" xfId="444"/>
    <cellStyle name="_Currency_Revenue Mix Chart_Resumo Juros e Variações 2" xfId="2103"/>
    <cellStyle name="_Currency_Sovereign Bonds 060705" xfId="445"/>
    <cellStyle name="_Currency_Sovereign Bonds 060705 (version 1)" xfId="446"/>
    <cellStyle name="_Currency_Sovereign Bonds 060705 (version 1) 2" xfId="2105"/>
    <cellStyle name="_Currency_Sovereign Bonds 060705 (version 1)_Consolidação" xfId="447"/>
    <cellStyle name="_Currency_Sovereign Bonds 060705 (version 1)_Consolidação 2" xfId="2106"/>
    <cellStyle name="_Currency_Sovereign Bonds 060705 (version 1)_Consolidação IMOB" xfId="448"/>
    <cellStyle name="_Currency_Sovereign Bonds 060705 (version 1)_Consolidação IMOB 2" xfId="2107"/>
    <cellStyle name="_Currency_Sovereign Bonds 060705 (version 1)_Estudo de Viabilidade -IMOB Henri" xfId="449"/>
    <cellStyle name="_Currency_Sovereign Bonds 060705 (version 1)_Estudo de Viabilidade -IMOB Henri 2" xfId="2108"/>
    <cellStyle name="_Currency_Sovereign Bonds 060705 (version 1)_FP 100" xfId="450"/>
    <cellStyle name="_Currency_Sovereign Bonds 060705 (version 1)_FP 100 2" xfId="2109"/>
    <cellStyle name="_Currency_Sovereign Bonds 060705 (version 1)_Península" xfId="451"/>
    <cellStyle name="_Currency_Sovereign Bonds 060705 (version 1)_Península 2" xfId="2110"/>
    <cellStyle name="_Currency_Sovereign Bonds 060705 (version 1)_Peninsula_0510" xfId="452"/>
    <cellStyle name="_Currency_Sovereign Bonds 060705 (version 1)_Peninsula_0510 2" xfId="2111"/>
    <cellStyle name="_Currency_Sovereign Bonds 060705 (version 1)_Resumo Juros e Variações" xfId="453"/>
    <cellStyle name="_Currency_Sovereign Bonds 060705 (version 1)_Resumo Juros e Variações 2" xfId="2112"/>
    <cellStyle name="_Currency_Sovereign Bonds 060705 10" xfId="3024"/>
    <cellStyle name="_Currency_Sovereign Bonds 060705 11" xfId="3093"/>
    <cellStyle name="_Currency_Sovereign Bonds 060705 12" xfId="3221"/>
    <cellStyle name="_Currency_Sovereign Bonds 060705 13" xfId="3189"/>
    <cellStyle name="_Currency_Sovereign Bonds 060705 14" xfId="3085"/>
    <cellStyle name="_Currency_Sovereign Bonds 060705 15" xfId="3203"/>
    <cellStyle name="_Currency_Sovereign Bonds 060705 16" xfId="3120"/>
    <cellStyle name="_Currency_Sovereign Bonds 060705 17" xfId="3180"/>
    <cellStyle name="_Currency_Sovereign Bonds 060705 2" xfId="2104"/>
    <cellStyle name="_Currency_Sovereign Bonds 060705 3" xfId="2832"/>
    <cellStyle name="_Currency_Sovereign Bonds 060705 4" xfId="2866"/>
    <cellStyle name="_Currency_Sovereign Bonds 060705 5" xfId="2938"/>
    <cellStyle name="_Currency_Sovereign Bonds 060705 6" xfId="2948"/>
    <cellStyle name="_Currency_Sovereign Bonds 060705 7" xfId="2915"/>
    <cellStyle name="_Currency_Sovereign Bonds 060705 8" xfId="2953"/>
    <cellStyle name="_Currency_Sovereign Bonds 060705 9" xfId="2987"/>
    <cellStyle name="_Currency_Sovereign Bonds 060705_1" xfId="454"/>
    <cellStyle name="_Currency_Sovereign Bonds 060705_1 2" xfId="2113"/>
    <cellStyle name="_Currency_Sovereign Bonds 060705_1_Consolidação" xfId="455"/>
    <cellStyle name="_Currency_Sovereign Bonds 060705_1_Consolidação 2" xfId="2114"/>
    <cellStyle name="_Currency_Sovereign Bonds 060705_1_Consolidação IMOB" xfId="456"/>
    <cellStyle name="_Currency_Sovereign Bonds 060705_1_Consolidação IMOB 2" xfId="2115"/>
    <cellStyle name="_Currency_Sovereign Bonds 060705_1_Estudo de Viabilidade -IMOB Henri" xfId="457"/>
    <cellStyle name="_Currency_Sovereign Bonds 060705_1_Estudo de Viabilidade -IMOB Henri 2" xfId="2116"/>
    <cellStyle name="_Currency_Sovereign Bonds 060705_1_FP 100" xfId="458"/>
    <cellStyle name="_Currency_Sovereign Bonds 060705_1_FP 100 2" xfId="2117"/>
    <cellStyle name="_Currency_Sovereign Bonds 060705_1_Península" xfId="459"/>
    <cellStyle name="_Currency_Sovereign Bonds 060705_1_Península 2" xfId="2118"/>
    <cellStyle name="_Currency_Sovereign Bonds 060705_1_Peninsula_0510" xfId="460"/>
    <cellStyle name="_Currency_Sovereign Bonds 060705_1_Peninsula_0510 2" xfId="2119"/>
    <cellStyle name="_Currency_Sovereign Bonds 060705_1_Resumo Juros e Variações" xfId="461"/>
    <cellStyle name="_Currency_Sovereign Bonds 060705_1_Resumo Juros e Variações 2" xfId="2120"/>
    <cellStyle name="_Currency_Sovereign Bonds 060705_Consolidação" xfId="462"/>
    <cellStyle name="_Currency_Sovereign Bonds 060705_Consolidação 2" xfId="2121"/>
    <cellStyle name="_Currency_Sovereign Bonds 060705_Dados por segmento julho 06" xfId="463"/>
    <cellStyle name="_Currency_Sovereign Bonds 060705_Dados por segmento julho 06 2" xfId="2122"/>
    <cellStyle name="_Currency_Sovereign Bonds 060705_Estudo de Viabilidade - EXP BHS" xfId="464"/>
    <cellStyle name="_Currency_Sovereign Bonds 060705_Estudo de Viabilidade - EXP BHS 2" xfId="2123"/>
    <cellStyle name="_Currency_Sovereign Bonds 060705_FP 100" xfId="465"/>
    <cellStyle name="_Currency_Sovereign Bonds 060705_FP 100 2" xfId="2124"/>
    <cellStyle name="_Currency_Urca Final Model" xfId="466"/>
    <cellStyle name="_Currency_Urca Final Model 2" xfId="2125"/>
    <cellStyle name="_Currency_Urca Final Model_01_WACC Colombia_Analysis" xfId="467"/>
    <cellStyle name="_Currency_Urca Final Model_01_WACC Colombia_Analysis 2" xfId="2126"/>
    <cellStyle name="_Currency_Urca Final Model_01_WACC Colombia_Analysis_Consolidação" xfId="468"/>
    <cellStyle name="_Currency_Urca Final Model_01_WACC Colombia_Analysis_Consolidação 2" xfId="2127"/>
    <cellStyle name="_Currency_Urca Final Model_01_WACC Colombia_Analysis_Consolidação IMOB" xfId="469"/>
    <cellStyle name="_Currency_Urca Final Model_01_WACC Colombia_Analysis_Consolidação IMOB 2" xfId="2128"/>
    <cellStyle name="_Currency_Urca Final Model_01_WACC Colombia_Analysis_Estudo de Viabilidade -IMOB Henri" xfId="470"/>
    <cellStyle name="_Currency_Urca Final Model_01_WACC Colombia_Analysis_Estudo de Viabilidade -IMOB Henri 2" xfId="2129"/>
    <cellStyle name="_Currency_Urca Final Model_01_WACC Colombia_Analysis_FP 100" xfId="471"/>
    <cellStyle name="_Currency_Urca Final Model_01_WACC Colombia_Analysis_FP 100 2" xfId="2130"/>
    <cellStyle name="_Currency_Urca Final Model_01_WACC Colombia_Analysis_Península" xfId="472"/>
    <cellStyle name="_Currency_Urca Final Model_01_WACC Colombia_Analysis_Península 2" xfId="2131"/>
    <cellStyle name="_Currency_Urca Final Model_01_WACC Colombia_Analysis_Peninsula_0510" xfId="473"/>
    <cellStyle name="_Currency_Urca Final Model_01_WACC Colombia_Analysis_Peninsula_0510 2" xfId="2132"/>
    <cellStyle name="_Currency_Urca Final Model_01_WACC Colombia_Analysis_Resumo Juros e Variações" xfId="474"/>
    <cellStyle name="_Currency_Urca Final Model_01_WACC Colombia_Analysis_Resumo Juros e Variações 2" xfId="2133"/>
    <cellStyle name="_Currency_Urca Final Model_04 WACC Vivax" xfId="475"/>
    <cellStyle name="_Currency_Urca Final Model_04 WACC Vivax 2" xfId="2134"/>
    <cellStyle name="_Currency_Urca Final Model_04 WACC Vivax_Consolidação" xfId="476"/>
    <cellStyle name="_Currency_Urca Final Model_04 WACC Vivax_Consolidação 2" xfId="2135"/>
    <cellStyle name="_Currency_Urca Final Model_04 WACC Vivax_Consolidação IMOB" xfId="477"/>
    <cellStyle name="_Currency_Urca Final Model_04 WACC Vivax_Consolidação IMOB 2" xfId="2136"/>
    <cellStyle name="_Currency_Urca Final Model_04 WACC Vivax_Estudo de Viabilidade -IMOB Henri" xfId="478"/>
    <cellStyle name="_Currency_Urca Final Model_04 WACC Vivax_Estudo de Viabilidade -IMOB Henri 2" xfId="2137"/>
    <cellStyle name="_Currency_Urca Final Model_04 WACC Vivax_FP 100" xfId="479"/>
    <cellStyle name="_Currency_Urca Final Model_04 WACC Vivax_FP 100 2" xfId="2138"/>
    <cellStyle name="_Currency_Urca Final Model_04 WACC Vivax_Península" xfId="480"/>
    <cellStyle name="_Currency_Urca Final Model_04 WACC Vivax_Península 2" xfId="2139"/>
    <cellStyle name="_Currency_Urca Final Model_04 WACC Vivax_Peninsula_0510" xfId="481"/>
    <cellStyle name="_Currency_Urca Final Model_04 WACC Vivax_Peninsula_0510 2" xfId="2140"/>
    <cellStyle name="_Currency_Urca Final Model_04 WACC Vivax_Resumo Juros e Variações" xfId="482"/>
    <cellStyle name="_Currency_Urca Final Model_04 WACC Vivax_Resumo Juros e Variações 2" xfId="2141"/>
    <cellStyle name="_Currency_Urca Final Model_Consolidação" xfId="483"/>
    <cellStyle name="_Currency_Urca Final Model_Consolidação 2" xfId="2142"/>
    <cellStyle name="_Currency_Urca Final Model_Consolidação IMOB" xfId="484"/>
    <cellStyle name="_Currency_Urca Final Model_Consolidação IMOB 2" xfId="2143"/>
    <cellStyle name="_Currency_Urca Final Model_Dados por segmento julho 06" xfId="485"/>
    <cellStyle name="_Currency_Urca Final Model_Dados por segmento julho 06 2" xfId="2144"/>
    <cellStyle name="_Currency_Urca Final Model_Estudo de Viabilidade - EXP BHS" xfId="486"/>
    <cellStyle name="_Currency_Urca Final Model_Estudo de Viabilidade - EXP BHS 2" xfId="2145"/>
    <cellStyle name="_Currency_Urca Final Model_Estudo de Viabilidade - EXP BHS_Consolidação" xfId="487"/>
    <cellStyle name="_Currency_Urca Final Model_Estudo de Viabilidade - EXP BHS_Consolidação 2" xfId="2146"/>
    <cellStyle name="_Currency_Urca Final Model_FP 100" xfId="488"/>
    <cellStyle name="_Currency_Urca Final Model_FP 100 2" xfId="2147"/>
    <cellStyle name="_Currency_Urca Final Model_Resumo Juros e Variações" xfId="489"/>
    <cellStyle name="_Currency_Urca Final Model_Resumo Juros e Variações 2" xfId="2148"/>
    <cellStyle name="_Currency_Urca Final Model_Sovereign Bonds 060705" xfId="490"/>
    <cellStyle name="_Currency_Urca Final Model_Sovereign Bonds 060705 (version 1)" xfId="491"/>
    <cellStyle name="_Currency_Urca Final Model_Sovereign Bonds 060705 (version 1) 2" xfId="2150"/>
    <cellStyle name="_Currency_Urca Final Model_Sovereign Bonds 060705 (version 1)_01 NET DCF Model" xfId="492"/>
    <cellStyle name="_Currency_Urca Final Model_Sovereign Bonds 060705 (version 1)_01 NET DCF Model 2" xfId="2151"/>
    <cellStyle name="_Currency_Urca Final Model_Sovereign Bonds 060705 (version 1)_01 NET DCF Model_Consolidação" xfId="493"/>
    <cellStyle name="_Currency_Urca Final Model_Sovereign Bonds 060705 (version 1)_01 NET DCF Model_Consolidação 2" xfId="2152"/>
    <cellStyle name="_Currency_Urca Final Model_Sovereign Bonds 060705 (version 1)_01 NET DCF Model_Consolidação IMOB" xfId="494"/>
    <cellStyle name="_Currency_Urca Final Model_Sovereign Bonds 060705 (version 1)_01 NET DCF Model_Consolidação IMOB 2" xfId="2153"/>
    <cellStyle name="_Currency_Urca Final Model_Sovereign Bonds 060705 (version 1)_01 NET DCF Model_Estudo de Viabilidade -IMOB Henri" xfId="495"/>
    <cellStyle name="_Currency_Urca Final Model_Sovereign Bonds 060705 (version 1)_01 NET DCF Model_Estudo de Viabilidade -IMOB Henri 2" xfId="2154"/>
    <cellStyle name="_Currency_Urca Final Model_Sovereign Bonds 060705 (version 1)_01 NET DCF Model_FP 100" xfId="496"/>
    <cellStyle name="_Currency_Urca Final Model_Sovereign Bonds 060705 (version 1)_01 NET DCF Model_FP 100 2" xfId="2155"/>
    <cellStyle name="_Currency_Urca Final Model_Sovereign Bonds 060705 (version 1)_01 NET DCF Model_Península" xfId="497"/>
    <cellStyle name="_Currency_Urca Final Model_Sovereign Bonds 060705 (version 1)_01 NET DCF Model_Península 2" xfId="2156"/>
    <cellStyle name="_Currency_Urca Final Model_Sovereign Bonds 060705 (version 1)_01 NET DCF Model_Peninsula_0510" xfId="498"/>
    <cellStyle name="_Currency_Urca Final Model_Sovereign Bonds 060705 (version 1)_01 NET DCF Model_Peninsula_0510 2" xfId="2157"/>
    <cellStyle name="_Currency_Urca Final Model_Sovereign Bonds 060705 (version 1)_01 NET DCF Model_Resumo Juros e Variações" xfId="499"/>
    <cellStyle name="_Currency_Urca Final Model_Sovereign Bonds 060705 (version 1)_01 NET DCF Model_Resumo Juros e Variações 2" xfId="2158"/>
    <cellStyle name="_Currency_Urca Final Model_Sovereign Bonds 060705 (version 1)_03 Embratel DCF Model_Loscos" xfId="500"/>
    <cellStyle name="_Currency_Urca Final Model_Sovereign Bonds 060705 (version 1)_03 Embratel DCF Model_Loscos 2" xfId="2159"/>
    <cellStyle name="_Currency_Urca Final Model_Sovereign Bonds 060705 (version 1)_05 NET DCF Model" xfId="501"/>
    <cellStyle name="_Currency_Urca Final Model_Sovereign Bonds 060705 (version 1)_05 NET DCF Model 2" xfId="2160"/>
    <cellStyle name="_Currency_Urca Final Model_Sovereign Bonds 060705 (version 1)_05 NET DCF Model_Consolidação" xfId="502"/>
    <cellStyle name="_Currency_Urca Final Model_Sovereign Bonds 060705 (version 1)_05 NET DCF Model_Consolidação 2" xfId="2161"/>
    <cellStyle name="_Currency_Urca Final Model_Sovereign Bonds 060705 (version 1)_05 NET DCF Model_Consolidação IMOB" xfId="503"/>
    <cellStyle name="_Currency_Urca Final Model_Sovereign Bonds 060705 (version 1)_05 NET DCF Model_Consolidação IMOB 2" xfId="2162"/>
    <cellStyle name="_Currency_Urca Final Model_Sovereign Bonds 060705 (version 1)_05 NET DCF Model_Estudo de Viabilidade -IMOB Henri" xfId="504"/>
    <cellStyle name="_Currency_Urca Final Model_Sovereign Bonds 060705 (version 1)_05 NET DCF Model_Estudo de Viabilidade -IMOB Henri 2" xfId="2163"/>
    <cellStyle name="_Currency_Urca Final Model_Sovereign Bonds 060705 (version 1)_05 NET DCF Model_FP 100" xfId="505"/>
    <cellStyle name="_Currency_Urca Final Model_Sovereign Bonds 060705 (version 1)_05 NET DCF Model_FP 100 2" xfId="2164"/>
    <cellStyle name="_Currency_Urca Final Model_Sovereign Bonds 060705 (version 1)_05 NET DCF Model_Península" xfId="506"/>
    <cellStyle name="_Currency_Urca Final Model_Sovereign Bonds 060705 (version 1)_05 NET DCF Model_Península 2" xfId="2165"/>
    <cellStyle name="_Currency_Urca Final Model_Sovereign Bonds 060705 (version 1)_05 NET DCF Model_Peninsula_0510" xfId="507"/>
    <cellStyle name="_Currency_Urca Final Model_Sovereign Bonds 060705 (version 1)_05 NET DCF Model_Peninsula_0510 2" xfId="2166"/>
    <cellStyle name="_Currency_Urca Final Model_Sovereign Bonds 060705 (version 1)_05 NET DCF Model_Resumo Juros e Variações" xfId="508"/>
    <cellStyle name="_Currency_Urca Final Model_Sovereign Bonds 060705 (version 1)_05 NET DCF Model_Resumo Juros e Variações 2" xfId="2167"/>
    <cellStyle name="_Currency_Urca Final Model_Sovereign Bonds 060705 (version 1)_05 TMX Brazil DCF Model" xfId="509"/>
    <cellStyle name="_Currency_Urca Final Model_Sovereign Bonds 060705 (version 1)_05 TMX Brazil DCF Model 2" xfId="2168"/>
    <cellStyle name="_Currency_Urca Final Model_Sovereign Bonds 060705 (version 1)_05 TMX Brazil DCF Model_Consolidação" xfId="510"/>
    <cellStyle name="_Currency_Urca Final Model_Sovereign Bonds 060705 (version 1)_05 TMX Brazil DCF Model_Consolidação 2" xfId="2169"/>
    <cellStyle name="_Currency_Urca Final Model_Sovereign Bonds 060705 (version 1)_05 TMX Brazil DCF Model_Consolidação IMOB" xfId="511"/>
    <cellStyle name="_Currency_Urca Final Model_Sovereign Bonds 060705 (version 1)_05 TMX Brazil DCF Model_Consolidação IMOB 2" xfId="2170"/>
    <cellStyle name="_Currency_Urca Final Model_Sovereign Bonds 060705 (version 1)_05 TMX Brazil DCF Model_Estudo de Viabilidade -IMOB Henri" xfId="512"/>
    <cellStyle name="_Currency_Urca Final Model_Sovereign Bonds 060705 (version 1)_05 TMX Brazil DCF Model_Estudo de Viabilidade -IMOB Henri 2" xfId="2171"/>
    <cellStyle name="_Currency_Urca Final Model_Sovereign Bonds 060705 (version 1)_05 TMX Brazil DCF Model_FP 100" xfId="513"/>
    <cellStyle name="_Currency_Urca Final Model_Sovereign Bonds 060705 (version 1)_05 TMX Brazil DCF Model_FP 100 2" xfId="2172"/>
    <cellStyle name="_Currency_Urca Final Model_Sovereign Bonds 060705 (version 1)_05 TMX Brazil DCF Model_Península" xfId="514"/>
    <cellStyle name="_Currency_Urca Final Model_Sovereign Bonds 060705 (version 1)_05 TMX Brazil DCF Model_Península 2" xfId="2173"/>
    <cellStyle name="_Currency_Urca Final Model_Sovereign Bonds 060705 (version 1)_05 TMX Brazil DCF Model_Peninsula_0510" xfId="515"/>
    <cellStyle name="_Currency_Urca Final Model_Sovereign Bonds 060705 (version 1)_05 TMX Brazil DCF Model_Peninsula_0510 2" xfId="2174"/>
    <cellStyle name="_Currency_Urca Final Model_Sovereign Bonds 060705 (version 1)_05 TMX Brazil DCF Model_Resumo Juros e Variações" xfId="516"/>
    <cellStyle name="_Currency_Urca Final Model_Sovereign Bonds 060705 (version 1)_05 TMX Brazil DCF Model_Resumo Juros e Variações 2" xfId="2175"/>
    <cellStyle name="_Currency_Urca Final Model_Sovereign Bonds 060705 10" xfId="3025"/>
    <cellStyle name="_Currency_Urca Final Model_Sovereign Bonds 060705 11" xfId="3095"/>
    <cellStyle name="_Currency_Urca Final Model_Sovereign Bonds 060705 12" xfId="3162"/>
    <cellStyle name="_Currency_Urca Final Model_Sovereign Bonds 060705 13" xfId="3118"/>
    <cellStyle name="_Currency_Urca Final Model_Sovereign Bonds 060705 14" xfId="3169"/>
    <cellStyle name="_Currency_Urca Final Model_Sovereign Bonds 060705 15" xfId="3178"/>
    <cellStyle name="_Currency_Urca Final Model_Sovereign Bonds 060705 16" xfId="3144"/>
    <cellStyle name="_Currency_Urca Final Model_Sovereign Bonds 060705 17" xfId="3128"/>
    <cellStyle name="_Currency_Urca Final Model_Sovereign Bonds 060705 2" xfId="2149"/>
    <cellStyle name="_Currency_Urca Final Model_Sovereign Bonds 060705 3" xfId="2833"/>
    <cellStyle name="_Currency_Urca Final Model_Sovereign Bonds 060705 4" xfId="2867"/>
    <cellStyle name="_Currency_Urca Final Model_Sovereign Bonds 060705 5" xfId="2912"/>
    <cellStyle name="_Currency_Urca Final Model_Sovereign Bonds 060705 6" xfId="2858"/>
    <cellStyle name="_Currency_Urca Final Model_Sovereign Bonds 060705 7" xfId="2902"/>
    <cellStyle name="_Currency_Urca Final Model_Sovereign Bonds 060705 8" xfId="2954"/>
    <cellStyle name="_Currency_Urca Final Model_Sovereign Bonds 060705 9" xfId="2988"/>
    <cellStyle name="_Currency_Urca Final Model_Sovereign Bonds 060705_01 NET DCF Model" xfId="517"/>
    <cellStyle name="_Currency_Urca Final Model_Sovereign Bonds 060705_01 NET DCF Model 2" xfId="2176"/>
    <cellStyle name="_Currency_Urca Final Model_Sovereign Bonds 060705_01 NET DCF Model_Consolidação" xfId="518"/>
    <cellStyle name="_Currency_Urca Final Model_Sovereign Bonds 060705_01 NET DCF Model_Consolidação 2" xfId="2177"/>
    <cellStyle name="_Currency_Urca Final Model_Sovereign Bonds 060705_01 NET DCF Model_Consolidação IMOB" xfId="519"/>
    <cellStyle name="_Currency_Urca Final Model_Sovereign Bonds 060705_01 NET DCF Model_Consolidação IMOB 2" xfId="2178"/>
    <cellStyle name="_Currency_Urca Final Model_Sovereign Bonds 060705_01 NET DCF Model_Estudo de Viabilidade -IMOB Henri" xfId="520"/>
    <cellStyle name="_Currency_Urca Final Model_Sovereign Bonds 060705_01 NET DCF Model_Estudo de Viabilidade -IMOB Henri 2" xfId="2179"/>
    <cellStyle name="_Currency_Urca Final Model_Sovereign Bonds 060705_01 NET DCF Model_FP 100" xfId="521"/>
    <cellStyle name="_Currency_Urca Final Model_Sovereign Bonds 060705_01 NET DCF Model_FP 100 2" xfId="2180"/>
    <cellStyle name="_Currency_Urca Final Model_Sovereign Bonds 060705_01 NET DCF Model_Península" xfId="522"/>
    <cellStyle name="_Currency_Urca Final Model_Sovereign Bonds 060705_01 NET DCF Model_Península 2" xfId="2181"/>
    <cellStyle name="_Currency_Urca Final Model_Sovereign Bonds 060705_01 NET DCF Model_Peninsula_0510" xfId="523"/>
    <cellStyle name="_Currency_Urca Final Model_Sovereign Bonds 060705_01 NET DCF Model_Peninsula_0510 2" xfId="2182"/>
    <cellStyle name="_Currency_Urca Final Model_Sovereign Bonds 060705_01 NET DCF Model_Resumo Juros e Variações" xfId="524"/>
    <cellStyle name="_Currency_Urca Final Model_Sovereign Bonds 060705_01 NET DCF Model_Resumo Juros e Variações 2" xfId="2183"/>
    <cellStyle name="_Currency_Urca Final Model_Sovereign Bonds 060705_03 Embratel DCF Model_Loscos" xfId="525"/>
    <cellStyle name="_Currency_Urca Final Model_Sovereign Bonds 060705_03 Embratel DCF Model_Loscos 2" xfId="2184"/>
    <cellStyle name="_Currency_Urca Final Model_Sovereign Bonds 060705_05 NET DCF Model" xfId="526"/>
    <cellStyle name="_Currency_Urca Final Model_Sovereign Bonds 060705_05 NET DCF Model 2" xfId="2185"/>
    <cellStyle name="_Currency_Urca Final Model_Sovereign Bonds 060705_05 NET DCF Model_Consolidação" xfId="527"/>
    <cellStyle name="_Currency_Urca Final Model_Sovereign Bonds 060705_05 NET DCF Model_Consolidação 2" xfId="2186"/>
    <cellStyle name="_Currency_Urca Final Model_Sovereign Bonds 060705_05 NET DCF Model_Consolidação IMOB" xfId="528"/>
    <cellStyle name="_Currency_Urca Final Model_Sovereign Bonds 060705_05 NET DCF Model_Consolidação IMOB 2" xfId="2187"/>
    <cellStyle name="_Currency_Urca Final Model_Sovereign Bonds 060705_05 NET DCF Model_Estudo de Viabilidade -IMOB Henri" xfId="529"/>
    <cellStyle name="_Currency_Urca Final Model_Sovereign Bonds 060705_05 NET DCF Model_Estudo de Viabilidade -IMOB Henri 2" xfId="2188"/>
    <cellStyle name="_Currency_Urca Final Model_Sovereign Bonds 060705_05 NET DCF Model_FP 100" xfId="530"/>
    <cellStyle name="_Currency_Urca Final Model_Sovereign Bonds 060705_05 NET DCF Model_FP 100 2" xfId="2189"/>
    <cellStyle name="_Currency_Urca Final Model_Sovereign Bonds 060705_05 NET DCF Model_Península" xfId="531"/>
    <cellStyle name="_Currency_Urca Final Model_Sovereign Bonds 060705_05 NET DCF Model_Península 2" xfId="2190"/>
    <cellStyle name="_Currency_Urca Final Model_Sovereign Bonds 060705_05 NET DCF Model_Peninsula_0510" xfId="532"/>
    <cellStyle name="_Currency_Urca Final Model_Sovereign Bonds 060705_05 NET DCF Model_Peninsula_0510 2" xfId="2191"/>
    <cellStyle name="_Currency_Urca Final Model_Sovereign Bonds 060705_05 NET DCF Model_Resumo Juros e Variações" xfId="533"/>
    <cellStyle name="_Currency_Urca Final Model_Sovereign Bonds 060705_05 NET DCF Model_Resumo Juros e Variações 2" xfId="2192"/>
    <cellStyle name="_Currency_Urca Final Model_Sovereign Bonds 060705_05 TMX Brazil DCF Model" xfId="534"/>
    <cellStyle name="_Currency_Urca Final Model_Sovereign Bonds 060705_05 TMX Brazil DCF Model 2" xfId="2193"/>
    <cellStyle name="_Currency_Urca Final Model_Sovereign Bonds 060705_05 TMX Brazil DCF Model_Consolidação" xfId="535"/>
    <cellStyle name="_Currency_Urca Final Model_Sovereign Bonds 060705_05 TMX Brazil DCF Model_Consolidação 2" xfId="2194"/>
    <cellStyle name="_Currency_Urca Final Model_Sovereign Bonds 060705_05 TMX Brazil DCF Model_Consolidação IMOB" xfId="536"/>
    <cellStyle name="_Currency_Urca Final Model_Sovereign Bonds 060705_05 TMX Brazil DCF Model_Consolidação IMOB 2" xfId="2195"/>
    <cellStyle name="_Currency_Urca Final Model_Sovereign Bonds 060705_05 TMX Brazil DCF Model_Estudo de Viabilidade -IMOB Henri" xfId="537"/>
    <cellStyle name="_Currency_Urca Final Model_Sovereign Bonds 060705_05 TMX Brazil DCF Model_Estudo de Viabilidade -IMOB Henri 2" xfId="2196"/>
    <cellStyle name="_Currency_Urca Final Model_Sovereign Bonds 060705_05 TMX Brazil DCF Model_FP 100" xfId="538"/>
    <cellStyle name="_Currency_Urca Final Model_Sovereign Bonds 060705_05 TMX Brazil DCF Model_FP 100 2" xfId="2197"/>
    <cellStyle name="_Currency_Urca Final Model_Sovereign Bonds 060705_05 TMX Brazil DCF Model_Península" xfId="539"/>
    <cellStyle name="_Currency_Urca Final Model_Sovereign Bonds 060705_05 TMX Brazil DCF Model_Península 2" xfId="2198"/>
    <cellStyle name="_Currency_Urca Final Model_Sovereign Bonds 060705_05 TMX Brazil DCF Model_Peninsula_0510" xfId="540"/>
    <cellStyle name="_Currency_Urca Final Model_Sovereign Bonds 060705_05 TMX Brazil DCF Model_Peninsula_0510 2" xfId="2199"/>
    <cellStyle name="_Currency_Urca Final Model_Sovereign Bonds 060705_05 TMX Brazil DCF Model_Resumo Juros e Variações" xfId="541"/>
    <cellStyle name="_Currency_Urca Final Model_Sovereign Bonds 060705_05 TMX Brazil DCF Model_Resumo Juros e Variações 2" xfId="2200"/>
    <cellStyle name="_Currency_WACC Analysis" xfId="542"/>
    <cellStyle name="_Currency_WACC Analysis 2" xfId="2201"/>
    <cellStyle name="_Currency_WACC Analysis_4b_0827_2" xfId="543"/>
    <cellStyle name="_Currency_WACC Analysis_4b_0827_2 2" xfId="2202"/>
    <cellStyle name="_Currency_WACC Analysis_4b_0827_2_Consolidação" xfId="544"/>
    <cellStyle name="_Currency_WACC Analysis_4b_0827_2_Consolidação 2" xfId="2203"/>
    <cellStyle name="_Currency_WACC Analysis_4b_0827_2_Consolidação IMOB" xfId="545"/>
    <cellStyle name="_Currency_WACC Analysis_4b_0827_2_Consolidação IMOB 2" xfId="2204"/>
    <cellStyle name="_Currency_WACC Analysis_4b_0827_2_Dados por segmento julho 06" xfId="546"/>
    <cellStyle name="_Currency_WACC Analysis_4b_0827_2_Dados por segmento julho 06 2" xfId="2205"/>
    <cellStyle name="_Currency_WACC Analysis_4b_0827_2_Estudo de Viabilidade - EXP BHS" xfId="547"/>
    <cellStyle name="_Currency_WACC Analysis_4b_0827_2_Estudo de Viabilidade - EXP BHS 2" xfId="2206"/>
    <cellStyle name="_Currency_WACC Analysis_4b_0827_2_Estudo de Viabilidade - EXP BHS_Consolidação" xfId="548"/>
    <cellStyle name="_Currency_WACC Analysis_4b_0827_2_Estudo de Viabilidade - EXP BHS_Consolidação 2" xfId="2207"/>
    <cellStyle name="_Currency_WACC Analysis_4b_0827_2_FP 100" xfId="549"/>
    <cellStyle name="_Currency_WACC Analysis_4b_0827_2_FP 100 2" xfId="2208"/>
    <cellStyle name="_Currency_WACC Analysis_4b_0827_2_Resumo Juros e Variações" xfId="550"/>
    <cellStyle name="_Currency_WACC Analysis_4b_0827_2_Resumo Juros e Variações 2" xfId="2209"/>
    <cellStyle name="_Currency_WACC Analysis_4b_0827_2_Sovereign Bonds 060705" xfId="551"/>
    <cellStyle name="_Currency_WACC Analysis_4b_0827_2_Sovereign Bonds 060705 (version 1)" xfId="552"/>
    <cellStyle name="_Currency_WACC Analysis_4b_0827_2_Sovereign Bonds 060705 (version 1) 2" xfId="2211"/>
    <cellStyle name="_Currency_WACC Analysis_4b_0827_2_Sovereign Bonds 060705 (version 1)_01 NET DCF Model" xfId="553"/>
    <cellStyle name="_Currency_WACC Analysis_4b_0827_2_Sovereign Bonds 060705 (version 1)_01 NET DCF Model 2" xfId="2212"/>
    <cellStyle name="_Currency_WACC Analysis_4b_0827_2_Sovereign Bonds 060705 (version 1)_01 NET DCF Model_Consolidação" xfId="554"/>
    <cellStyle name="_Currency_WACC Analysis_4b_0827_2_Sovereign Bonds 060705 (version 1)_01 NET DCF Model_Consolidação 2" xfId="2213"/>
    <cellStyle name="_Currency_WACC Analysis_4b_0827_2_Sovereign Bonds 060705 (version 1)_01 NET DCF Model_Consolidação IMOB" xfId="555"/>
    <cellStyle name="_Currency_WACC Analysis_4b_0827_2_Sovereign Bonds 060705 (version 1)_01 NET DCF Model_Consolidação IMOB 2" xfId="2214"/>
    <cellStyle name="_Currency_WACC Analysis_4b_0827_2_Sovereign Bonds 060705 (version 1)_01 NET DCF Model_Estudo de Viabilidade -IMOB Henri" xfId="556"/>
    <cellStyle name="_Currency_WACC Analysis_4b_0827_2_Sovereign Bonds 060705 (version 1)_01 NET DCF Model_Estudo de Viabilidade -IMOB Henri 2" xfId="2215"/>
    <cellStyle name="_Currency_WACC Analysis_4b_0827_2_Sovereign Bonds 060705 (version 1)_01 NET DCF Model_FP 100" xfId="557"/>
    <cellStyle name="_Currency_WACC Analysis_4b_0827_2_Sovereign Bonds 060705 (version 1)_01 NET DCF Model_FP 100 2" xfId="2216"/>
    <cellStyle name="_Currency_WACC Analysis_4b_0827_2_Sovereign Bonds 060705 (version 1)_01 NET DCF Model_Península" xfId="558"/>
    <cellStyle name="_Currency_WACC Analysis_4b_0827_2_Sovereign Bonds 060705 (version 1)_01 NET DCF Model_Península 2" xfId="2217"/>
    <cellStyle name="_Currency_WACC Analysis_4b_0827_2_Sovereign Bonds 060705 (version 1)_01 NET DCF Model_Peninsula_0510" xfId="559"/>
    <cellStyle name="_Currency_WACC Analysis_4b_0827_2_Sovereign Bonds 060705 (version 1)_01 NET DCF Model_Peninsula_0510 2" xfId="2218"/>
    <cellStyle name="_Currency_WACC Analysis_4b_0827_2_Sovereign Bonds 060705 (version 1)_01 NET DCF Model_Resumo Juros e Variações" xfId="560"/>
    <cellStyle name="_Currency_WACC Analysis_4b_0827_2_Sovereign Bonds 060705 (version 1)_01 NET DCF Model_Resumo Juros e Variações 2" xfId="2219"/>
    <cellStyle name="_Currency_WACC Analysis_4b_0827_2_Sovereign Bonds 060705 (version 1)_03 Embratel DCF Model_Loscos" xfId="561"/>
    <cellStyle name="_Currency_WACC Analysis_4b_0827_2_Sovereign Bonds 060705 (version 1)_03 Embratel DCF Model_Loscos 2" xfId="2220"/>
    <cellStyle name="_Currency_WACC Analysis_4b_0827_2_Sovereign Bonds 060705 (version 1)_05 NET DCF Model" xfId="562"/>
    <cellStyle name="_Currency_WACC Analysis_4b_0827_2_Sovereign Bonds 060705 (version 1)_05 NET DCF Model 2" xfId="2221"/>
    <cellStyle name="_Currency_WACC Analysis_4b_0827_2_Sovereign Bonds 060705 (version 1)_05 NET DCF Model_Consolidação" xfId="563"/>
    <cellStyle name="_Currency_WACC Analysis_4b_0827_2_Sovereign Bonds 060705 (version 1)_05 NET DCF Model_Consolidação 2" xfId="2222"/>
    <cellStyle name="_Currency_WACC Analysis_4b_0827_2_Sovereign Bonds 060705 (version 1)_05 NET DCF Model_Consolidação IMOB" xfId="564"/>
    <cellStyle name="_Currency_WACC Analysis_4b_0827_2_Sovereign Bonds 060705 (version 1)_05 NET DCF Model_Consolidação IMOB 2" xfId="2223"/>
    <cellStyle name="_Currency_WACC Analysis_4b_0827_2_Sovereign Bonds 060705 (version 1)_05 NET DCF Model_Estudo de Viabilidade -IMOB Henri" xfId="565"/>
    <cellStyle name="_Currency_WACC Analysis_4b_0827_2_Sovereign Bonds 060705 (version 1)_05 NET DCF Model_Estudo de Viabilidade -IMOB Henri 2" xfId="2224"/>
    <cellStyle name="_Currency_WACC Analysis_4b_0827_2_Sovereign Bonds 060705 (version 1)_05 NET DCF Model_FP 100" xfId="566"/>
    <cellStyle name="_Currency_WACC Analysis_4b_0827_2_Sovereign Bonds 060705 (version 1)_05 NET DCF Model_FP 100 2" xfId="2225"/>
    <cellStyle name="_Currency_WACC Analysis_4b_0827_2_Sovereign Bonds 060705 (version 1)_05 NET DCF Model_Península" xfId="567"/>
    <cellStyle name="_Currency_WACC Analysis_4b_0827_2_Sovereign Bonds 060705 (version 1)_05 NET DCF Model_Península 2" xfId="2226"/>
    <cellStyle name="_Currency_WACC Analysis_4b_0827_2_Sovereign Bonds 060705 (version 1)_05 NET DCF Model_Peninsula_0510" xfId="568"/>
    <cellStyle name="_Currency_WACC Analysis_4b_0827_2_Sovereign Bonds 060705 (version 1)_05 NET DCF Model_Peninsula_0510 2" xfId="2227"/>
    <cellStyle name="_Currency_WACC Analysis_4b_0827_2_Sovereign Bonds 060705 (version 1)_05 NET DCF Model_Resumo Juros e Variações" xfId="569"/>
    <cellStyle name="_Currency_WACC Analysis_4b_0827_2_Sovereign Bonds 060705 (version 1)_05 NET DCF Model_Resumo Juros e Variações 2" xfId="2228"/>
    <cellStyle name="_Currency_WACC Analysis_4b_0827_2_Sovereign Bonds 060705 (version 1)_05 TMX Brazil DCF Model" xfId="570"/>
    <cellStyle name="_Currency_WACC Analysis_4b_0827_2_Sovereign Bonds 060705 (version 1)_05 TMX Brazil DCF Model 2" xfId="2229"/>
    <cellStyle name="_Currency_WACC Analysis_4b_0827_2_Sovereign Bonds 060705 (version 1)_05 TMX Brazil DCF Model_Consolidação" xfId="571"/>
    <cellStyle name="_Currency_WACC Analysis_4b_0827_2_Sovereign Bonds 060705 (version 1)_05 TMX Brazil DCF Model_Consolidação 2" xfId="2230"/>
    <cellStyle name="_Currency_WACC Analysis_4b_0827_2_Sovereign Bonds 060705 (version 1)_05 TMX Brazil DCF Model_Consolidação IMOB" xfId="572"/>
    <cellStyle name="_Currency_WACC Analysis_4b_0827_2_Sovereign Bonds 060705 (version 1)_05 TMX Brazil DCF Model_Consolidação IMOB 2" xfId="2231"/>
    <cellStyle name="_Currency_WACC Analysis_4b_0827_2_Sovereign Bonds 060705 (version 1)_05 TMX Brazil DCF Model_Estudo de Viabilidade -IMOB Henri" xfId="573"/>
    <cellStyle name="_Currency_WACC Analysis_4b_0827_2_Sovereign Bonds 060705 (version 1)_05 TMX Brazil DCF Model_Estudo de Viabilidade -IMOB Henri 2" xfId="2232"/>
    <cellStyle name="_Currency_WACC Analysis_4b_0827_2_Sovereign Bonds 060705 (version 1)_05 TMX Brazil DCF Model_FP 100" xfId="574"/>
    <cellStyle name="_Currency_WACC Analysis_4b_0827_2_Sovereign Bonds 060705 (version 1)_05 TMX Brazil DCF Model_FP 100 2" xfId="2233"/>
    <cellStyle name="_Currency_WACC Analysis_4b_0827_2_Sovereign Bonds 060705 (version 1)_05 TMX Brazil DCF Model_Península" xfId="575"/>
    <cellStyle name="_Currency_WACC Analysis_4b_0827_2_Sovereign Bonds 060705 (version 1)_05 TMX Brazil DCF Model_Península 2" xfId="2234"/>
    <cellStyle name="_Currency_WACC Analysis_4b_0827_2_Sovereign Bonds 060705 (version 1)_05 TMX Brazil DCF Model_Peninsula_0510" xfId="576"/>
    <cellStyle name="_Currency_WACC Analysis_4b_0827_2_Sovereign Bonds 060705 (version 1)_05 TMX Brazil DCF Model_Peninsula_0510 2" xfId="2235"/>
    <cellStyle name="_Currency_WACC Analysis_4b_0827_2_Sovereign Bonds 060705 (version 1)_05 TMX Brazil DCF Model_Resumo Juros e Variações" xfId="577"/>
    <cellStyle name="_Currency_WACC Analysis_4b_0827_2_Sovereign Bonds 060705 (version 1)_05 TMX Brazil DCF Model_Resumo Juros e Variações 2" xfId="2236"/>
    <cellStyle name="_Currency_WACC Analysis_4b_0827_2_Sovereign Bonds 060705 10" xfId="3026"/>
    <cellStyle name="_Currency_WACC Analysis_4b_0827_2_Sovereign Bonds 060705 11" xfId="3097"/>
    <cellStyle name="_Currency_WACC Analysis_4b_0827_2_Sovereign Bonds 060705 12" xfId="3223"/>
    <cellStyle name="_Currency_WACC Analysis_4b_0827_2_Sovereign Bonds 060705 13" xfId="3081"/>
    <cellStyle name="_Currency_WACC Analysis_4b_0827_2_Sovereign Bonds 060705 14" xfId="3151"/>
    <cellStyle name="_Currency_WACC Analysis_4b_0827_2_Sovereign Bonds 060705 15" xfId="3183"/>
    <cellStyle name="_Currency_WACC Analysis_4b_0827_2_Sovereign Bonds 060705 16" xfId="3192"/>
    <cellStyle name="_Currency_WACC Analysis_4b_0827_2_Sovereign Bonds 060705 17" xfId="3087"/>
    <cellStyle name="_Currency_WACC Analysis_4b_0827_2_Sovereign Bonds 060705 2" xfId="2210"/>
    <cellStyle name="_Currency_WACC Analysis_4b_0827_2_Sovereign Bonds 060705 3" xfId="2834"/>
    <cellStyle name="_Currency_WACC Analysis_4b_0827_2_Sovereign Bonds 060705 4" xfId="2868"/>
    <cellStyle name="_Currency_WACC Analysis_4b_0827_2_Sovereign Bonds 060705 5" xfId="2911"/>
    <cellStyle name="_Currency_WACC Analysis_4b_0827_2_Sovereign Bonds 060705 6" xfId="2884"/>
    <cellStyle name="_Currency_WACC Analysis_4b_0827_2_Sovereign Bonds 060705 7" xfId="2861"/>
    <cellStyle name="_Currency_WACC Analysis_4b_0827_2_Sovereign Bonds 060705 8" xfId="2955"/>
    <cellStyle name="_Currency_WACC Analysis_4b_0827_2_Sovereign Bonds 060705 9" xfId="2989"/>
    <cellStyle name="_Currency_WACC Analysis_4b_0827_2_Sovereign Bonds 060705_01 NET DCF Model" xfId="578"/>
    <cellStyle name="_Currency_WACC Analysis_4b_0827_2_Sovereign Bonds 060705_01 NET DCF Model 2" xfId="2237"/>
    <cellStyle name="_Currency_WACC Analysis_4b_0827_2_Sovereign Bonds 060705_01 NET DCF Model_Consolidação" xfId="579"/>
    <cellStyle name="_Currency_WACC Analysis_4b_0827_2_Sovereign Bonds 060705_01 NET DCF Model_Consolidação 2" xfId="2238"/>
    <cellStyle name="_Currency_WACC Analysis_4b_0827_2_Sovereign Bonds 060705_01 NET DCF Model_Consolidação IMOB" xfId="580"/>
    <cellStyle name="_Currency_WACC Analysis_4b_0827_2_Sovereign Bonds 060705_01 NET DCF Model_Consolidação IMOB 2" xfId="2239"/>
    <cellStyle name="_Currency_WACC Analysis_4b_0827_2_Sovereign Bonds 060705_01 NET DCF Model_Estudo de Viabilidade -IMOB Henri" xfId="581"/>
    <cellStyle name="_Currency_WACC Analysis_4b_0827_2_Sovereign Bonds 060705_01 NET DCF Model_Estudo de Viabilidade -IMOB Henri 2" xfId="2240"/>
    <cellStyle name="_Currency_WACC Analysis_4b_0827_2_Sovereign Bonds 060705_01 NET DCF Model_FP 100" xfId="582"/>
    <cellStyle name="_Currency_WACC Analysis_4b_0827_2_Sovereign Bonds 060705_01 NET DCF Model_FP 100 2" xfId="2241"/>
    <cellStyle name="_Currency_WACC Analysis_4b_0827_2_Sovereign Bonds 060705_01 NET DCF Model_Península" xfId="583"/>
    <cellStyle name="_Currency_WACC Analysis_4b_0827_2_Sovereign Bonds 060705_01 NET DCF Model_Península 2" xfId="2242"/>
    <cellStyle name="_Currency_WACC Analysis_4b_0827_2_Sovereign Bonds 060705_01 NET DCF Model_Peninsula_0510" xfId="584"/>
    <cellStyle name="_Currency_WACC Analysis_4b_0827_2_Sovereign Bonds 060705_01 NET DCF Model_Peninsula_0510 2" xfId="2243"/>
    <cellStyle name="_Currency_WACC Analysis_4b_0827_2_Sovereign Bonds 060705_01 NET DCF Model_Resumo Juros e Variações" xfId="585"/>
    <cellStyle name="_Currency_WACC Analysis_4b_0827_2_Sovereign Bonds 060705_01 NET DCF Model_Resumo Juros e Variações 2" xfId="2244"/>
    <cellStyle name="_Currency_WACC Analysis_4b_0827_2_Sovereign Bonds 060705_03 Embratel DCF Model_Loscos" xfId="586"/>
    <cellStyle name="_Currency_WACC Analysis_4b_0827_2_Sovereign Bonds 060705_03 Embratel DCF Model_Loscos 2" xfId="2245"/>
    <cellStyle name="_Currency_WACC Analysis_4b_0827_2_Sovereign Bonds 060705_05 NET DCF Model" xfId="587"/>
    <cellStyle name="_Currency_WACC Analysis_4b_0827_2_Sovereign Bonds 060705_05 NET DCF Model 2" xfId="2246"/>
    <cellStyle name="_Currency_WACC Analysis_4b_0827_2_Sovereign Bonds 060705_05 NET DCF Model_Consolidação" xfId="588"/>
    <cellStyle name="_Currency_WACC Analysis_4b_0827_2_Sovereign Bonds 060705_05 NET DCF Model_Consolidação 2" xfId="2247"/>
    <cellStyle name="_Currency_WACC Analysis_4b_0827_2_Sovereign Bonds 060705_05 NET DCF Model_Consolidação IMOB" xfId="589"/>
    <cellStyle name="_Currency_WACC Analysis_4b_0827_2_Sovereign Bonds 060705_05 NET DCF Model_Consolidação IMOB 2" xfId="2248"/>
    <cellStyle name="_Currency_WACC Analysis_4b_0827_2_Sovereign Bonds 060705_05 NET DCF Model_Estudo de Viabilidade -IMOB Henri" xfId="590"/>
    <cellStyle name="_Currency_WACC Analysis_4b_0827_2_Sovereign Bonds 060705_05 NET DCF Model_Estudo de Viabilidade -IMOB Henri 2" xfId="2249"/>
    <cellStyle name="_Currency_WACC Analysis_4b_0827_2_Sovereign Bonds 060705_05 NET DCF Model_FP 100" xfId="591"/>
    <cellStyle name="_Currency_WACC Analysis_4b_0827_2_Sovereign Bonds 060705_05 NET DCF Model_FP 100 2" xfId="2250"/>
    <cellStyle name="_Currency_WACC Analysis_4b_0827_2_Sovereign Bonds 060705_05 NET DCF Model_Península" xfId="592"/>
    <cellStyle name="_Currency_WACC Analysis_4b_0827_2_Sovereign Bonds 060705_05 NET DCF Model_Península 2" xfId="2251"/>
    <cellStyle name="_Currency_WACC Analysis_4b_0827_2_Sovereign Bonds 060705_05 NET DCF Model_Peninsula_0510" xfId="593"/>
    <cellStyle name="_Currency_WACC Analysis_4b_0827_2_Sovereign Bonds 060705_05 NET DCF Model_Peninsula_0510 2" xfId="2252"/>
    <cellStyle name="_Currency_WACC Analysis_4b_0827_2_Sovereign Bonds 060705_05 NET DCF Model_Resumo Juros e Variações" xfId="594"/>
    <cellStyle name="_Currency_WACC Analysis_4b_0827_2_Sovereign Bonds 060705_05 NET DCF Model_Resumo Juros e Variações 2" xfId="2253"/>
    <cellStyle name="_Currency_WACC Analysis_4b_0827_2_Sovereign Bonds 060705_05 TMX Brazil DCF Model" xfId="595"/>
    <cellStyle name="_Currency_WACC Analysis_4b_0827_2_Sovereign Bonds 060705_05 TMX Brazil DCF Model 2" xfId="2254"/>
    <cellStyle name="_Currency_WACC Analysis_4b_0827_2_Sovereign Bonds 060705_05 TMX Brazil DCF Model_Consolidação" xfId="596"/>
    <cellStyle name="_Currency_WACC Analysis_4b_0827_2_Sovereign Bonds 060705_05 TMX Brazil DCF Model_Consolidação 2" xfId="2255"/>
    <cellStyle name="_Currency_WACC Analysis_4b_0827_2_Sovereign Bonds 060705_05 TMX Brazil DCF Model_Consolidação IMOB" xfId="597"/>
    <cellStyle name="_Currency_WACC Analysis_4b_0827_2_Sovereign Bonds 060705_05 TMX Brazil DCF Model_Consolidação IMOB 2" xfId="2256"/>
    <cellStyle name="_Currency_WACC Analysis_4b_0827_2_Sovereign Bonds 060705_05 TMX Brazil DCF Model_Estudo de Viabilidade -IMOB Henri" xfId="598"/>
    <cellStyle name="_Currency_WACC Analysis_4b_0827_2_Sovereign Bonds 060705_05 TMX Brazil DCF Model_Estudo de Viabilidade -IMOB Henri 2" xfId="2257"/>
    <cellStyle name="_Currency_WACC Analysis_4b_0827_2_Sovereign Bonds 060705_05 TMX Brazil DCF Model_FP 100" xfId="599"/>
    <cellStyle name="_Currency_WACC Analysis_4b_0827_2_Sovereign Bonds 060705_05 TMX Brazil DCF Model_FP 100 2" xfId="2258"/>
    <cellStyle name="_Currency_WACC Analysis_4b_0827_2_Sovereign Bonds 060705_05 TMX Brazil DCF Model_Península" xfId="600"/>
    <cellStyle name="_Currency_WACC Analysis_4b_0827_2_Sovereign Bonds 060705_05 TMX Brazil DCF Model_Península 2" xfId="2259"/>
    <cellStyle name="_Currency_WACC Analysis_4b_0827_2_Sovereign Bonds 060705_05 TMX Brazil DCF Model_Peninsula_0510" xfId="601"/>
    <cellStyle name="_Currency_WACC Analysis_4b_0827_2_Sovereign Bonds 060705_05 TMX Brazil DCF Model_Peninsula_0510 2" xfId="2260"/>
    <cellStyle name="_Currency_WACC Analysis_4b_0827_2_Sovereign Bonds 060705_05 TMX Brazil DCF Model_Resumo Juros e Variações" xfId="602"/>
    <cellStyle name="_Currency_WACC Analysis_4b_0827_2_Sovereign Bonds 060705_05 TMX Brazil DCF Model_Resumo Juros e Variações 2" xfId="2261"/>
    <cellStyle name="_Currency_WACC Analysis_Consolidação" xfId="603"/>
    <cellStyle name="_Currency_WACC Analysis_Consolidação 2" xfId="2262"/>
    <cellStyle name="_Currency_WACC Analysis_Consolidação IMOB" xfId="604"/>
    <cellStyle name="_Currency_WACC Analysis_Consolidação IMOB 2" xfId="2263"/>
    <cellStyle name="_Currency_WACC Analysis_Estudo de Viabilidade -IMOB Henri" xfId="605"/>
    <cellStyle name="_Currency_WACC Analysis_Estudo de Viabilidade -IMOB Henri 2" xfId="2264"/>
    <cellStyle name="_Currency_WACC Analysis_FP 100" xfId="606"/>
    <cellStyle name="_Currency_WACC Analysis_FP 100 2" xfId="2265"/>
    <cellStyle name="_Currency_WACC Analysis_Península" xfId="607"/>
    <cellStyle name="_Currency_WACC Analysis_Península 2" xfId="2266"/>
    <cellStyle name="_Currency_WACC Analysis_Peninsula_0510" xfId="608"/>
    <cellStyle name="_Currency_WACC Analysis_Peninsula_0510 2" xfId="2267"/>
    <cellStyle name="_Currency_WACC Analysis_Resumo Juros e Variações" xfId="609"/>
    <cellStyle name="_Currency_WACC Analysis_Resumo Juros e Variações 2" xfId="2268"/>
    <cellStyle name="_CurrencySpace" xfId="610"/>
    <cellStyle name="_CurrencySpace 2" xfId="2269"/>
    <cellStyle name="_CurrencySpace_01 AVP_ Project Infinitum" xfId="611"/>
    <cellStyle name="_CurrencySpace_01 AVP_ Project Infinitum 2" xfId="2270"/>
    <cellStyle name="_CurrencySpace_01 TMX BR Revenue mix" xfId="612"/>
    <cellStyle name="_CurrencySpace_01 TMX BR Revenue mix 2" xfId="2271"/>
    <cellStyle name="_CurrencySpace_02 Backup Charts" xfId="613"/>
    <cellStyle name="_CurrencySpace_02 Backup Charts 2" xfId="2272"/>
    <cellStyle name="_CurrencySpace_02 Blended and actual_Telmex_ buying_ NET" xfId="614"/>
    <cellStyle name="_CurrencySpace_02 Blended and actual_Telmex_ buying_ NET 2" xfId="2273"/>
    <cellStyle name="_CurrencySpace_02 TMX Brazil Management Projections_R$" xfId="615"/>
    <cellStyle name="_CurrencySpace_03 Projections Comparison - Infinitum" xfId="616"/>
    <cellStyle name="_CurrencySpace_03 Projections Comparison - Infinitum 2" xfId="2275"/>
    <cellStyle name="_CurrencySpace_04 WACC Vivax" xfId="617"/>
    <cellStyle name="_CurrencySpace_04 WACC Vivax 2" xfId="2276"/>
    <cellStyle name="_CurrencySpace_05 Embratel DCF Model_NEW" xfId="618"/>
    <cellStyle name="_CurrencySpace_05 Embratel DCF Model_NEW 2" xfId="2277"/>
    <cellStyle name="_CurrencySpace_12 Blended and actual _Telmex_buying_Embratel" xfId="619"/>
    <cellStyle name="_CurrencySpace_12 Blended and actual _Telmex_buying_Embratel 2" xfId="2278"/>
    <cellStyle name="_CurrencySpace_avp" xfId="620"/>
    <cellStyle name="_CurrencySpace_avp 2" xfId="2279"/>
    <cellStyle name="_CurrencySpace_AVP_ NewCo" xfId="621"/>
    <cellStyle name="_CurrencySpace_AVP_ NewCo 2" xfId="2280"/>
    <cellStyle name="_CurrencySpace_Brazil bond data" xfId="622"/>
    <cellStyle name="_CurrencySpace_Brazil bond data 2" xfId="2281"/>
    <cellStyle name="_CurrencySpace_dcf" xfId="623"/>
    <cellStyle name="_CurrencySpace_dcf 2" xfId="2282"/>
    <cellStyle name="_CurrencySpace_EMT Management Assumptions_v2" xfId="624"/>
    <cellStyle name="_CurrencySpace_EMT Management Assumptions_v2 2" xfId="2283"/>
    <cellStyle name="_CurrencySpace_LA WACC Discount_1" xfId="625"/>
    <cellStyle name="_CurrencySpace_LA WACC Discount_1 2" xfId="2284"/>
    <cellStyle name="_CurrencySpace_merval_argent_correl" xfId="626"/>
    <cellStyle name="_CurrencySpace_merval_argent_correl 2" xfId="2285"/>
    <cellStyle name="_CurrencySpace_Net Management Projections_2" xfId="627"/>
    <cellStyle name="_CurrencySpace_Net Management Projections_2 2" xfId="2286"/>
    <cellStyle name="_CurrencySpace_Oil &amp; Gas betas" xfId="628"/>
    <cellStyle name="_CurrencySpace_Oil &amp; Gas betas 2" xfId="2287"/>
    <cellStyle name="_CurrencySpace_Pay TV Subscribers" xfId="629"/>
    <cellStyle name="_CurrencySpace_Pay TV Subscribers 2" xfId="2288"/>
    <cellStyle name="_CurrencySpace_Revenue Mix Chart" xfId="630"/>
    <cellStyle name="_CurrencySpace_Revenue Mix Chart 2" xfId="2289"/>
    <cellStyle name="_CurrencySpace_Sovereign Bonds 060705" xfId="631"/>
    <cellStyle name="_CurrencySpace_Sovereign Bonds 060705 (version 1)" xfId="632"/>
    <cellStyle name="_CurrencySpace_Sovereign Bonds 060705 (version 1) 2" xfId="2291"/>
    <cellStyle name="_CurrencySpace_Sovereign Bonds 060705 10" xfId="3027"/>
    <cellStyle name="_CurrencySpace_Sovereign Bonds 060705 11" xfId="3101"/>
    <cellStyle name="_CurrencySpace_Sovereign Bonds 060705 12" xfId="3160"/>
    <cellStyle name="_CurrencySpace_Sovereign Bonds 060705 13" xfId="3122"/>
    <cellStyle name="_CurrencySpace_Sovereign Bonds 060705 14" xfId="3215"/>
    <cellStyle name="_CurrencySpace_Sovereign Bonds 060705 15" xfId="3165"/>
    <cellStyle name="_CurrencySpace_Sovereign Bonds 060705 16" xfId="3166"/>
    <cellStyle name="_CurrencySpace_Sovereign Bonds 060705 17" xfId="3079"/>
    <cellStyle name="_CurrencySpace_Sovereign Bonds 060705 2" xfId="2290"/>
    <cellStyle name="_CurrencySpace_Sovereign Bonds 060705 3" xfId="2835"/>
    <cellStyle name="_CurrencySpace_Sovereign Bonds 060705 4" xfId="2869"/>
    <cellStyle name="_CurrencySpace_Sovereign Bonds 060705 5" xfId="2910"/>
    <cellStyle name="_CurrencySpace_Sovereign Bonds 060705 6" xfId="2885"/>
    <cellStyle name="_CurrencySpace_Sovereign Bonds 060705 7" xfId="2901"/>
    <cellStyle name="_CurrencySpace_Sovereign Bonds 060705 8" xfId="2956"/>
    <cellStyle name="_CurrencySpace_Sovereign Bonds 060705 9" xfId="2990"/>
    <cellStyle name="_CurrencySpace_Sovereign Bonds 060705_1" xfId="633"/>
    <cellStyle name="_CurrencySpace_Sovereign Bonds 060705_1 2" xfId="2292"/>
    <cellStyle name="_CurrencySpace_Sovereign Bonds 060705_Consolidação" xfId="634"/>
    <cellStyle name="_CurrencySpace_Sovereign Bonds 060705_Consolidação 2" xfId="2293"/>
    <cellStyle name="_CurrencySpace_Sovereign Bonds 060705_Dados por segmento julho 06" xfId="635"/>
    <cellStyle name="_CurrencySpace_Sovereign Bonds 060705_Dados por segmento julho 06 2" xfId="2294"/>
    <cellStyle name="_CurrencySpace_Sovereign Bonds 060705_Estudo de Viabilidade - EXP BHS" xfId="636"/>
    <cellStyle name="_CurrencySpace_Sovereign Bonds 060705_Estudo de Viabilidade - EXP BHS 2" xfId="2295"/>
    <cellStyle name="_CurrencySpace_Sovereign Bonds 060705_FP 100" xfId="637"/>
    <cellStyle name="_CurrencySpace_Sovereign Bonds 060705_FP 100 2" xfId="2296"/>
    <cellStyle name="_CurrencySpace_WACC Analysis" xfId="638"/>
    <cellStyle name="_CurrencySpace_WACC Analysis 2" xfId="2297"/>
    <cellStyle name="_CurrencySpace_WACC Analysis_4b_0827_2" xfId="639"/>
    <cellStyle name="_CurrencySpace_WACC Analysis_4b_0827_2 2" xfId="2298"/>
    <cellStyle name="_Euro" xfId="640"/>
    <cellStyle name="_Euro 2" xfId="2299"/>
    <cellStyle name="_Euro_01 AVP_ Project Infinitum" xfId="641"/>
    <cellStyle name="_Euro_01 AVP_ Project Infinitum 2" xfId="2300"/>
    <cellStyle name="_Euro_01 TMX BR Revenue mix" xfId="642"/>
    <cellStyle name="_Euro_01 TMX BR Revenue mix 2" xfId="2301"/>
    <cellStyle name="_Euro_02 Blended and actual_Telmex_ buying_ NET" xfId="643"/>
    <cellStyle name="_Euro_02 Blended and actual_Telmex_ buying_ NET 2" xfId="2302"/>
    <cellStyle name="_Euro_02 TMX Brazil Management Projections_R$" xfId="644"/>
    <cellStyle name="_Euro_03 Projections Comparison - Infinitum" xfId="645"/>
    <cellStyle name="_Euro_03 Projections Comparison - Infinitum 2" xfId="2303"/>
    <cellStyle name="_Euro_04 WACC Vivax" xfId="646"/>
    <cellStyle name="_Euro_04 WACC Vivax 2" xfId="2304"/>
    <cellStyle name="_Euro_05 Embratel DCF Model_NEW" xfId="647"/>
    <cellStyle name="_Euro_05 Embratel DCF Model_NEW 2" xfId="2305"/>
    <cellStyle name="_Euro_12 Blended and actual _Telmex_buying_Embratel" xfId="648"/>
    <cellStyle name="_Euro_12 Blended and actual _Telmex_buying_Embratel 2" xfId="2306"/>
    <cellStyle name="_Euro_EMT Management Assumptions_v2" xfId="649"/>
    <cellStyle name="_Euro_EMT Management Assumptions_v2 2" xfId="2307"/>
    <cellStyle name="_Euro_Net Management Projections_2" xfId="650"/>
    <cellStyle name="_Euro_Net Management Projections_2 2" xfId="2308"/>
    <cellStyle name="_Euro_Pay TV Subscribers" xfId="651"/>
    <cellStyle name="_Euro_Pay TV Subscribers 2" xfId="2309"/>
    <cellStyle name="_Euro_Revenue Mix Chart" xfId="652"/>
    <cellStyle name="_Euro_Revenue Mix Chart 2" xfId="2310"/>
    <cellStyle name="_Euro_Sovereign Bonds 060705" xfId="653"/>
    <cellStyle name="_Euro_Sovereign Bonds 060705 (version 1)" xfId="654"/>
    <cellStyle name="_Euro_Sovereign Bonds 060705 (version 1) 2" xfId="2312"/>
    <cellStyle name="_Euro_Sovereign Bonds 060705 10" xfId="3028"/>
    <cellStyle name="_Euro_Sovereign Bonds 060705 11" xfId="3103"/>
    <cellStyle name="_Euro_Sovereign Bonds 060705 12" xfId="3159"/>
    <cellStyle name="_Euro_Sovereign Bonds 060705 13" xfId="3124"/>
    <cellStyle name="_Euro_Sovereign Bonds 060705 14" xfId="3150"/>
    <cellStyle name="_Euro_Sovereign Bonds 060705 15" xfId="3134"/>
    <cellStyle name="_Euro_Sovereign Bonds 060705 16" xfId="3184"/>
    <cellStyle name="_Euro_Sovereign Bonds 060705 17" xfId="3140"/>
    <cellStyle name="_Euro_Sovereign Bonds 060705 2" xfId="2311"/>
    <cellStyle name="_Euro_Sovereign Bonds 060705 3" xfId="2836"/>
    <cellStyle name="_Euro_Sovereign Bonds 060705 4" xfId="2871"/>
    <cellStyle name="_Euro_Sovereign Bonds 060705 5" xfId="2942"/>
    <cellStyle name="_Euro_Sovereign Bonds 060705 6" xfId="2886"/>
    <cellStyle name="_Euro_Sovereign Bonds 060705 7" xfId="2928"/>
    <cellStyle name="_Euro_Sovereign Bonds 060705 8" xfId="2957"/>
    <cellStyle name="_Euro_Sovereign Bonds 060705 9" xfId="2991"/>
    <cellStyle name="_Euro_Sovereign Bonds 060705_1" xfId="655"/>
    <cellStyle name="_Euro_Sovereign Bonds 060705_1 2" xfId="2313"/>
    <cellStyle name="_Euro_Sovereign Bonds 060705_Consolidação" xfId="656"/>
    <cellStyle name="_Euro_Sovereign Bonds 060705_Consolidação 2" xfId="2314"/>
    <cellStyle name="_Euro_Sovereign Bonds 060705_Dados por segmento julho 06" xfId="657"/>
    <cellStyle name="_Euro_Sovereign Bonds 060705_Dados por segmento julho 06 2" xfId="2315"/>
    <cellStyle name="_Euro_Sovereign Bonds 060705_Estudo de Viabilidade - EXP BHS" xfId="658"/>
    <cellStyle name="_Euro_Sovereign Bonds 060705_Estudo de Viabilidade - EXP BHS 2" xfId="2316"/>
    <cellStyle name="_Euro_Sovereign Bonds 060705_FP 100" xfId="659"/>
    <cellStyle name="_Euro_Sovereign Bonds 060705_FP 100 2" xfId="2317"/>
    <cellStyle name="_Heading" xfId="660"/>
    <cellStyle name="_Heading_02 TMX Brazil Management Projections_R$" xfId="661"/>
    <cellStyle name="_Heading_02 TMX Brazil Management Projections_R$ 2" xfId="2318"/>
    <cellStyle name="_Heading_02 WACC" xfId="662"/>
    <cellStyle name="_Heading_02 WACC 2" xfId="2319"/>
    <cellStyle name="_Heading_05 WACC" xfId="663"/>
    <cellStyle name="_Heading_05 WACC 2" xfId="2320"/>
    <cellStyle name="_Heading_10 yr UST data" xfId="664"/>
    <cellStyle name="_Heading_Beatles WACC Calculation" xfId="665"/>
    <cellStyle name="_Heading_Beatles WACC Calculation 2" xfId="2321"/>
    <cellStyle name="_Heading_prestemp" xfId="666"/>
    <cellStyle name="_Headline" xfId="667"/>
    <cellStyle name="_Headline 2" xfId="2322"/>
    <cellStyle name="_Highlight" xfId="668"/>
    <cellStyle name="_Highlight 2" xfId="2323"/>
    <cellStyle name="_Multiple" xfId="669"/>
    <cellStyle name="_Multiple 2" xfId="2324"/>
    <cellStyle name="_Multiple_01 AVP_ Project Infinitum" xfId="670"/>
    <cellStyle name="_Multiple_01 AVP_ Project Infinitum 2" xfId="2325"/>
    <cellStyle name="_Multiple_01 TMX BR Revenue mix" xfId="671"/>
    <cellStyle name="_Multiple_01 TMX BR Revenue mix 2" xfId="2326"/>
    <cellStyle name="_Multiple_02 Backup Charts" xfId="672"/>
    <cellStyle name="_Multiple_02 Backup Charts 2" xfId="2327"/>
    <cellStyle name="_Multiple_02 Blended and actual_Telmex_ buying_ NET" xfId="673"/>
    <cellStyle name="_Multiple_02 Blended and actual_Telmex_ buying_ NET 2" xfId="2328"/>
    <cellStyle name="_Multiple_02 TMX Brazil Management Projections_R$" xfId="674"/>
    <cellStyle name="_Multiple_03 Projections Comparison - Infinitum" xfId="675"/>
    <cellStyle name="_Multiple_03 Projections Comparison - Infinitum 2" xfId="2329"/>
    <cellStyle name="_Multiple_04 WACC Vivax" xfId="676"/>
    <cellStyle name="_Multiple_04 WACC Vivax 2" xfId="2330"/>
    <cellStyle name="_Multiple_05 Embratel DCF Model_NEW" xfId="677"/>
    <cellStyle name="_Multiple_05 Embratel DCF Model_NEW 2" xfId="2331"/>
    <cellStyle name="_Multiple_12 Blended and actual _Telmex_buying_Embratel" xfId="678"/>
    <cellStyle name="_Multiple_12 Blended and actual _Telmex_buying_Embratel 2" xfId="2332"/>
    <cellStyle name="_Multiple_avp" xfId="679"/>
    <cellStyle name="_Multiple_avp 2" xfId="2333"/>
    <cellStyle name="_Multiple_AVP_ NewCo" xfId="680"/>
    <cellStyle name="_Multiple_AVP_ NewCo 2" xfId="2334"/>
    <cellStyle name="_Multiple_Brazil bond data" xfId="681"/>
    <cellStyle name="_Multiple_Brazil bond data 2" xfId="2335"/>
    <cellStyle name="_Multiple_dcf" xfId="682"/>
    <cellStyle name="_Multiple_dcf 2" xfId="2336"/>
    <cellStyle name="_Multiple_dcf_01_WACC Colombia_Analysis" xfId="683"/>
    <cellStyle name="_Multiple_dcf_01_WACC Colombia_Analysis 2" xfId="2337"/>
    <cellStyle name="_Multiple_dcf_04 WACC Vivax" xfId="684"/>
    <cellStyle name="_Multiple_dcf_04 WACC Vivax 2" xfId="2338"/>
    <cellStyle name="_Multiple_dcf_Sovereign Bonds 060705" xfId="685"/>
    <cellStyle name="_Multiple_dcf_Sovereign Bonds 060705 (version 1)" xfId="686"/>
    <cellStyle name="_Multiple_dcf_Sovereign Bonds 060705 (version 1) 2" xfId="2340"/>
    <cellStyle name="_Multiple_dcf_Sovereign Bonds 060705 (version 1)_01 NET DCF Model" xfId="687"/>
    <cellStyle name="_Multiple_dcf_Sovereign Bonds 060705 (version 1)_01 NET DCF Model 2" xfId="2341"/>
    <cellStyle name="_Multiple_dcf_Sovereign Bonds 060705 (version 1)_03 Embratel DCF Model_Loscos" xfId="688"/>
    <cellStyle name="_Multiple_dcf_Sovereign Bonds 060705 (version 1)_03 Embratel DCF Model_Loscos 2" xfId="2342"/>
    <cellStyle name="_Multiple_dcf_Sovereign Bonds 060705 (version 1)_05 NET DCF Model" xfId="689"/>
    <cellStyle name="_Multiple_dcf_Sovereign Bonds 060705 (version 1)_05 NET DCF Model 2" xfId="2343"/>
    <cellStyle name="_Multiple_dcf_Sovereign Bonds 060705 (version 1)_05 TMX Brazil DCF Model" xfId="690"/>
    <cellStyle name="_Multiple_dcf_Sovereign Bonds 060705 (version 1)_05 TMX Brazil DCF Model 2" xfId="2344"/>
    <cellStyle name="_Multiple_dcf_Sovereign Bonds 060705 10" xfId="3029"/>
    <cellStyle name="_Multiple_dcf_Sovereign Bonds 060705 11" xfId="3107"/>
    <cellStyle name="_Multiple_dcf_Sovereign Bonds 060705 12" xfId="3158"/>
    <cellStyle name="_Multiple_dcf_Sovereign Bonds 060705 13" xfId="3082"/>
    <cellStyle name="_Multiple_dcf_Sovereign Bonds 060705 14" xfId="3098"/>
    <cellStyle name="_Multiple_dcf_Sovereign Bonds 060705 15" xfId="3207"/>
    <cellStyle name="_Multiple_dcf_Sovereign Bonds 060705 16" xfId="3196"/>
    <cellStyle name="_Multiple_dcf_Sovereign Bonds 060705 17" xfId="3226"/>
    <cellStyle name="_Multiple_dcf_Sovereign Bonds 060705 2" xfId="2339"/>
    <cellStyle name="_Multiple_dcf_Sovereign Bonds 060705 3" xfId="2837"/>
    <cellStyle name="_Multiple_dcf_Sovereign Bonds 060705 4" xfId="2873"/>
    <cellStyle name="_Multiple_dcf_Sovereign Bonds 060705 5" xfId="2937"/>
    <cellStyle name="_Multiple_dcf_Sovereign Bonds 060705 6" xfId="2926"/>
    <cellStyle name="_Multiple_dcf_Sovereign Bonds 060705 7" xfId="2916"/>
    <cellStyle name="_Multiple_dcf_Sovereign Bonds 060705 8" xfId="2958"/>
    <cellStyle name="_Multiple_dcf_Sovereign Bonds 060705 9" xfId="2992"/>
    <cellStyle name="_Multiple_dcf_Sovereign Bonds 060705_01 NET DCF Model" xfId="691"/>
    <cellStyle name="_Multiple_dcf_Sovereign Bonds 060705_01 NET DCF Model 2" xfId="2345"/>
    <cellStyle name="_Multiple_dcf_Sovereign Bonds 060705_03 Embratel DCF Model_Loscos" xfId="692"/>
    <cellStyle name="_Multiple_dcf_Sovereign Bonds 060705_03 Embratel DCF Model_Loscos 2" xfId="2346"/>
    <cellStyle name="_Multiple_dcf_Sovereign Bonds 060705_05 NET DCF Model" xfId="693"/>
    <cellStyle name="_Multiple_dcf_Sovereign Bonds 060705_05 NET DCF Model 2" xfId="2347"/>
    <cellStyle name="_Multiple_dcf_Sovereign Bonds 060705_05 TMX Brazil DCF Model" xfId="694"/>
    <cellStyle name="_Multiple_dcf_Sovereign Bonds 060705_05 TMX Brazil DCF Model 2" xfId="2348"/>
    <cellStyle name="_Multiple_EMT Management Assumptions_v2" xfId="695"/>
    <cellStyle name="_Multiple_EMT Management Assumptions_v2 2" xfId="2349"/>
    <cellStyle name="_Multiple_LA WACC Discount_1" xfId="696"/>
    <cellStyle name="_Multiple_LA WACC Discount_1 2" xfId="2350"/>
    <cellStyle name="_Multiple_LA WACC Discount_1_Sovereign Bonds 060705" xfId="697"/>
    <cellStyle name="_Multiple_LA WACC Discount_1_Sovereign Bonds 060705 (version 1)" xfId="698"/>
    <cellStyle name="_Multiple_LA WACC Discount_1_Sovereign Bonds 060705 (version 1) 2" xfId="2352"/>
    <cellStyle name="_Multiple_LA WACC Discount_1_Sovereign Bonds 060705 (version 1)_01 NET DCF Model" xfId="699"/>
    <cellStyle name="_Multiple_LA WACC Discount_1_Sovereign Bonds 060705 (version 1)_01 NET DCF Model 2" xfId="2353"/>
    <cellStyle name="_Multiple_LA WACC Discount_1_Sovereign Bonds 060705 (version 1)_03 Embratel DCF Model_Loscos" xfId="700"/>
    <cellStyle name="_Multiple_LA WACC Discount_1_Sovereign Bonds 060705 (version 1)_03 Embratel DCF Model_Loscos 2" xfId="2354"/>
    <cellStyle name="_Multiple_LA WACC Discount_1_Sovereign Bonds 060705 (version 1)_05 NET DCF Model" xfId="701"/>
    <cellStyle name="_Multiple_LA WACC Discount_1_Sovereign Bonds 060705 (version 1)_05 NET DCF Model 2" xfId="2355"/>
    <cellStyle name="_Multiple_LA WACC Discount_1_Sovereign Bonds 060705 (version 1)_05 TMX Brazil DCF Model" xfId="702"/>
    <cellStyle name="_Multiple_LA WACC Discount_1_Sovereign Bonds 060705 (version 1)_05 TMX Brazil DCF Model 2" xfId="2356"/>
    <cellStyle name="_Multiple_LA WACC Discount_1_Sovereign Bonds 060705 10" xfId="3030"/>
    <cellStyle name="_Multiple_LA WACC Discount_1_Sovereign Bonds 060705 11" xfId="3108"/>
    <cellStyle name="_Multiple_LA WACC Discount_1_Sovereign Bonds 060705 12" xfId="3219"/>
    <cellStyle name="_Multiple_LA WACC Discount_1_Sovereign Bonds 060705 13" xfId="3188"/>
    <cellStyle name="_Multiple_LA WACC Discount_1_Sovereign Bonds 060705 14" xfId="3149"/>
    <cellStyle name="_Multiple_LA WACC Discount_1_Sovereign Bonds 060705 15" xfId="3135"/>
    <cellStyle name="_Multiple_LA WACC Discount_1_Sovereign Bonds 060705 16" xfId="3104"/>
    <cellStyle name="_Multiple_LA WACC Discount_1_Sovereign Bonds 060705 17" xfId="3141"/>
    <cellStyle name="_Multiple_LA WACC Discount_1_Sovereign Bonds 060705 2" xfId="2351"/>
    <cellStyle name="_Multiple_LA WACC Discount_1_Sovereign Bonds 060705 3" xfId="2838"/>
    <cellStyle name="_Multiple_LA WACC Discount_1_Sovereign Bonds 060705 4" xfId="2874"/>
    <cellStyle name="_Multiple_LA WACC Discount_1_Sovereign Bonds 060705 5" xfId="2909"/>
    <cellStyle name="_Multiple_LA WACC Discount_1_Sovereign Bonds 060705 6" xfId="2932"/>
    <cellStyle name="_Multiple_LA WACC Discount_1_Sovereign Bonds 060705 7" xfId="2927"/>
    <cellStyle name="_Multiple_LA WACC Discount_1_Sovereign Bonds 060705 8" xfId="2959"/>
    <cellStyle name="_Multiple_LA WACC Discount_1_Sovereign Bonds 060705 9" xfId="2993"/>
    <cellStyle name="_Multiple_LA WACC Discount_1_Sovereign Bonds 060705_01 NET DCF Model" xfId="703"/>
    <cellStyle name="_Multiple_LA WACC Discount_1_Sovereign Bonds 060705_01 NET DCF Model 2" xfId="2357"/>
    <cellStyle name="_Multiple_LA WACC Discount_1_Sovereign Bonds 060705_03 Embratel DCF Model_Loscos" xfId="704"/>
    <cellStyle name="_Multiple_LA WACC Discount_1_Sovereign Bonds 060705_03 Embratel DCF Model_Loscos 2" xfId="2358"/>
    <cellStyle name="_Multiple_LA WACC Discount_1_Sovereign Bonds 060705_05 NET DCF Model" xfId="705"/>
    <cellStyle name="_Multiple_LA WACC Discount_1_Sovereign Bonds 060705_05 NET DCF Model 2" xfId="2359"/>
    <cellStyle name="_Multiple_LA WACC Discount_1_Sovereign Bonds 060705_05 TMX Brazil DCF Model" xfId="706"/>
    <cellStyle name="_Multiple_LA WACC Discount_1_Sovereign Bonds 060705_05 TMX Brazil DCF Model 2" xfId="2360"/>
    <cellStyle name="_Multiple_Net Management Projections_2" xfId="707"/>
    <cellStyle name="_Multiple_Net Management Projections_2 2" xfId="2361"/>
    <cellStyle name="_Multiple_Oil &amp; Gas betas" xfId="708"/>
    <cellStyle name="_Multiple_Oil &amp; Gas betas 2" xfId="2362"/>
    <cellStyle name="_Multiple_Pay TV Subscribers" xfId="709"/>
    <cellStyle name="_Multiple_Pay TV Subscribers 2" xfId="2363"/>
    <cellStyle name="_Multiple_Revenue Mix Chart" xfId="710"/>
    <cellStyle name="_Multiple_Revenue Mix Chart 2" xfId="2364"/>
    <cellStyle name="_Multiple_Sovereign Bonds 060705" xfId="711"/>
    <cellStyle name="_Multiple_Sovereign Bonds 060705 (version 1)" xfId="712"/>
    <cellStyle name="_Multiple_Sovereign Bonds 060705 (version 1) 2" xfId="2366"/>
    <cellStyle name="_Multiple_Sovereign Bonds 060705 10" xfId="3031"/>
    <cellStyle name="_Multiple_Sovereign Bonds 060705 11" xfId="3109"/>
    <cellStyle name="_Multiple_Sovereign Bonds 060705 12" xfId="3218"/>
    <cellStyle name="_Multiple_Sovereign Bonds 060705 13" xfId="3211"/>
    <cellStyle name="_Multiple_Sovereign Bonds 060705 14" xfId="3168"/>
    <cellStyle name="_Multiple_Sovereign Bonds 060705 15" xfId="3080"/>
    <cellStyle name="_Multiple_Sovereign Bonds 060705 16" xfId="3186"/>
    <cellStyle name="_Multiple_Sovereign Bonds 060705 17" xfId="3161"/>
    <cellStyle name="_Multiple_Sovereign Bonds 060705 2" xfId="2365"/>
    <cellStyle name="_Multiple_Sovereign Bonds 060705 3" xfId="2839"/>
    <cellStyle name="_Multiple_Sovereign Bonds 060705 4" xfId="2875"/>
    <cellStyle name="_Multiple_Sovereign Bonds 060705 5" xfId="2907"/>
    <cellStyle name="_Multiple_Sovereign Bonds 060705 6" xfId="2859"/>
    <cellStyle name="_Multiple_Sovereign Bonds 060705 7" xfId="2934"/>
    <cellStyle name="_Multiple_Sovereign Bonds 060705 8" xfId="2960"/>
    <cellStyle name="_Multiple_Sovereign Bonds 060705 9" xfId="2994"/>
    <cellStyle name="_Multiple_Sovereign Bonds 060705_1" xfId="713"/>
    <cellStyle name="_Multiple_Sovereign Bonds 060705_1 2" xfId="2367"/>
    <cellStyle name="_Multiple_Sovereign Bonds 060705_Consolidação" xfId="714"/>
    <cellStyle name="_Multiple_Sovereign Bonds 060705_Consolidação 2" xfId="2368"/>
    <cellStyle name="_Multiple_Sovereign Bonds 060705_Dados por segmento julho 06" xfId="715"/>
    <cellStyle name="_Multiple_Sovereign Bonds 060705_Dados por segmento julho 06 2" xfId="2369"/>
    <cellStyle name="_Multiple_Sovereign Bonds 060705_Estudo de Viabilidade - EXP BHS" xfId="716"/>
    <cellStyle name="_Multiple_Sovereign Bonds 060705_Estudo de Viabilidade - EXP BHS 2" xfId="2370"/>
    <cellStyle name="_Multiple_Sovereign Bonds 060705_FP 100" xfId="717"/>
    <cellStyle name="_Multiple_Sovereign Bonds 060705_FP 100 2" xfId="2371"/>
    <cellStyle name="_Multiple_v4_Dealcomp_distribution" xfId="718"/>
    <cellStyle name="_Multiple_v4_Dealcomp_distribution 2" xfId="2372"/>
    <cellStyle name="_Multiple_WACC Analysis" xfId="719"/>
    <cellStyle name="_Multiple_WACC Analysis 2" xfId="2373"/>
    <cellStyle name="_Multiple_WACC Analysis_4b_0827_2" xfId="720"/>
    <cellStyle name="_Multiple_WACC Analysis_4b_0827_2 2" xfId="2374"/>
    <cellStyle name="_Multiple_WACC Analysis_4b_0827_2_Sovereign Bonds 060705" xfId="721"/>
    <cellStyle name="_Multiple_WACC Analysis_4b_0827_2_Sovereign Bonds 060705 (version 1)" xfId="722"/>
    <cellStyle name="_Multiple_WACC Analysis_4b_0827_2_Sovereign Bonds 060705 (version 1) 2" xfId="2376"/>
    <cellStyle name="_Multiple_WACC Analysis_4b_0827_2_Sovereign Bonds 060705 (version 1)_01 NET DCF Model" xfId="723"/>
    <cellStyle name="_Multiple_WACC Analysis_4b_0827_2_Sovereign Bonds 060705 (version 1)_01 NET DCF Model 2" xfId="2377"/>
    <cellStyle name="_Multiple_WACC Analysis_4b_0827_2_Sovereign Bonds 060705 (version 1)_03 Embratel DCF Model_Loscos" xfId="724"/>
    <cellStyle name="_Multiple_WACC Analysis_4b_0827_2_Sovereign Bonds 060705 (version 1)_03 Embratel DCF Model_Loscos 2" xfId="2378"/>
    <cellStyle name="_Multiple_WACC Analysis_4b_0827_2_Sovereign Bonds 060705 (version 1)_05 NET DCF Model" xfId="725"/>
    <cellStyle name="_Multiple_WACC Analysis_4b_0827_2_Sovereign Bonds 060705 (version 1)_05 NET DCF Model 2" xfId="2379"/>
    <cellStyle name="_Multiple_WACC Analysis_4b_0827_2_Sovereign Bonds 060705 (version 1)_05 TMX Brazil DCF Model" xfId="726"/>
    <cellStyle name="_Multiple_WACC Analysis_4b_0827_2_Sovereign Bonds 060705 (version 1)_05 TMX Brazil DCF Model 2" xfId="2380"/>
    <cellStyle name="_Multiple_WACC Analysis_4b_0827_2_Sovereign Bonds 060705 10" xfId="3032"/>
    <cellStyle name="_Multiple_WACC Analysis_4b_0827_2_Sovereign Bonds 060705 11" xfId="3110"/>
    <cellStyle name="_Multiple_WACC Analysis_4b_0827_2_Sovereign Bonds 060705 12" xfId="3157"/>
    <cellStyle name="_Multiple_WACC Analysis_4b_0827_2_Sovereign Bonds 060705 13" xfId="3212"/>
    <cellStyle name="_Multiple_WACC Analysis_4b_0827_2_Sovereign Bonds 060705 14" xfId="3167"/>
    <cellStyle name="_Multiple_WACC Analysis_4b_0827_2_Sovereign Bonds 060705 15" xfId="3113"/>
    <cellStyle name="_Multiple_WACC Analysis_4b_0827_2_Sovereign Bonds 060705 16" xfId="3217"/>
    <cellStyle name="_Multiple_WACC Analysis_4b_0827_2_Sovereign Bonds 060705 17" xfId="3130"/>
    <cellStyle name="_Multiple_WACC Analysis_4b_0827_2_Sovereign Bonds 060705 2" xfId="2375"/>
    <cellStyle name="_Multiple_WACC Analysis_4b_0827_2_Sovereign Bonds 060705 3" xfId="2840"/>
    <cellStyle name="_Multiple_WACC Analysis_4b_0827_2_Sovereign Bonds 060705 4" xfId="2876"/>
    <cellStyle name="_Multiple_WACC Analysis_4b_0827_2_Sovereign Bonds 060705 5" xfId="2936"/>
    <cellStyle name="_Multiple_WACC Analysis_4b_0827_2_Sovereign Bonds 060705 6" xfId="2924"/>
    <cellStyle name="_Multiple_WACC Analysis_4b_0827_2_Sovereign Bonds 060705 7" xfId="2900"/>
    <cellStyle name="_Multiple_WACC Analysis_4b_0827_2_Sovereign Bonds 060705 8" xfId="2961"/>
    <cellStyle name="_Multiple_WACC Analysis_4b_0827_2_Sovereign Bonds 060705 9" xfId="2995"/>
    <cellStyle name="_Multiple_WACC Analysis_4b_0827_2_Sovereign Bonds 060705_01 NET DCF Model" xfId="727"/>
    <cellStyle name="_Multiple_WACC Analysis_4b_0827_2_Sovereign Bonds 060705_01 NET DCF Model 2" xfId="2381"/>
    <cellStyle name="_Multiple_WACC Analysis_4b_0827_2_Sovereign Bonds 060705_03 Embratel DCF Model_Loscos" xfId="728"/>
    <cellStyle name="_Multiple_WACC Analysis_4b_0827_2_Sovereign Bonds 060705_03 Embratel DCF Model_Loscos 2" xfId="2382"/>
    <cellStyle name="_Multiple_WACC Analysis_4b_0827_2_Sovereign Bonds 060705_05 NET DCF Model" xfId="729"/>
    <cellStyle name="_Multiple_WACC Analysis_4b_0827_2_Sovereign Bonds 060705_05 NET DCF Model 2" xfId="2383"/>
    <cellStyle name="_Multiple_WACC Analysis_4b_0827_2_Sovereign Bonds 060705_05 TMX Brazil DCF Model" xfId="730"/>
    <cellStyle name="_Multiple_WACC Analysis_4b_0827_2_Sovereign Bonds 060705_05 TMX Brazil DCF Model 2" xfId="2384"/>
    <cellStyle name="_MultipleSpace" xfId="731"/>
    <cellStyle name="_MultipleSpace 2" xfId="2385"/>
    <cellStyle name="_MultipleSpace_01 AVP_ Project Infinitum" xfId="732"/>
    <cellStyle name="_MultipleSpace_01 AVP_ Project Infinitum 2" xfId="2386"/>
    <cellStyle name="_MultipleSpace_01 TMX BR Revenue mix" xfId="733"/>
    <cellStyle name="_MultipleSpace_01 TMX BR Revenue mix 2" xfId="2387"/>
    <cellStyle name="_MultipleSpace_02 Backup Charts" xfId="734"/>
    <cellStyle name="_MultipleSpace_02 Backup Charts 2" xfId="2388"/>
    <cellStyle name="_MultipleSpace_02 Blended and actual_Telmex_ buying_ NET" xfId="735"/>
    <cellStyle name="_MultipleSpace_02 Blended and actual_Telmex_ buying_ NET 2" xfId="2389"/>
    <cellStyle name="_MultipleSpace_02 TMX Brazil Management Projections_R$" xfId="736"/>
    <cellStyle name="_MultipleSpace_03 Projections Comparison - Infinitum" xfId="737"/>
    <cellStyle name="_MultipleSpace_03 Projections Comparison - Infinitum 2" xfId="2390"/>
    <cellStyle name="_MultipleSpace_04 WACC Vivax" xfId="738"/>
    <cellStyle name="_MultipleSpace_04 WACC Vivax 2" xfId="2391"/>
    <cellStyle name="_MultipleSpace_05 Embratel DCF Model_NEW" xfId="739"/>
    <cellStyle name="_MultipleSpace_05 Embratel DCF Model_NEW 2" xfId="2392"/>
    <cellStyle name="_MultipleSpace_12 Blended and actual _Telmex_buying_Embratel" xfId="740"/>
    <cellStyle name="_MultipleSpace_12 Blended and actual _Telmex_buying_Embratel 2" xfId="2393"/>
    <cellStyle name="_MultipleSpace_avp" xfId="741"/>
    <cellStyle name="_MultipleSpace_avp 2" xfId="2394"/>
    <cellStyle name="_MultipleSpace_AVP_ NewCo" xfId="742"/>
    <cellStyle name="_MultipleSpace_AVP_ NewCo 2" xfId="2395"/>
    <cellStyle name="_MultipleSpace_Brazil bond data" xfId="743"/>
    <cellStyle name="_MultipleSpace_Brazil bond data 2" xfId="2396"/>
    <cellStyle name="_MultipleSpace_dcf" xfId="744"/>
    <cellStyle name="_MultipleSpace_dcf 2" xfId="2397"/>
    <cellStyle name="_MultipleSpace_dcf_01_WACC Colombia_Analysis" xfId="745"/>
    <cellStyle name="_MultipleSpace_dcf_01_WACC Colombia_Analysis 2" xfId="2398"/>
    <cellStyle name="_MultipleSpace_dcf_04 WACC Vivax" xfId="746"/>
    <cellStyle name="_MultipleSpace_dcf_04 WACC Vivax 2" xfId="2399"/>
    <cellStyle name="_MultipleSpace_dcf_Sovereign Bonds 060705" xfId="747"/>
    <cellStyle name="_MultipleSpace_dcf_Sovereign Bonds 060705 (version 1)" xfId="748"/>
    <cellStyle name="_MultipleSpace_dcf_Sovereign Bonds 060705 (version 1) 2" xfId="2401"/>
    <cellStyle name="_MultipleSpace_dcf_Sovereign Bonds 060705 (version 1)_01 NET DCF Model" xfId="749"/>
    <cellStyle name="_MultipleSpace_dcf_Sovereign Bonds 060705 (version 1)_01 NET DCF Model 2" xfId="2402"/>
    <cellStyle name="_MultipleSpace_dcf_Sovereign Bonds 060705 (version 1)_03 Embratel DCF Model_Loscos" xfId="750"/>
    <cellStyle name="_MultipleSpace_dcf_Sovereign Bonds 060705 (version 1)_03 Embratel DCF Model_Loscos 2" xfId="2403"/>
    <cellStyle name="_MultipleSpace_dcf_Sovereign Bonds 060705 (version 1)_05 NET DCF Model" xfId="751"/>
    <cellStyle name="_MultipleSpace_dcf_Sovereign Bonds 060705 (version 1)_05 NET DCF Model 2" xfId="2404"/>
    <cellStyle name="_MultipleSpace_dcf_Sovereign Bonds 060705 (version 1)_05 TMX Brazil DCF Model" xfId="752"/>
    <cellStyle name="_MultipleSpace_dcf_Sovereign Bonds 060705 (version 1)_05 TMX Brazil DCF Model 2" xfId="2405"/>
    <cellStyle name="_MultipleSpace_dcf_Sovereign Bonds 060705 10" xfId="3033"/>
    <cellStyle name="_MultipleSpace_dcf_Sovereign Bonds 060705 11" xfId="3111"/>
    <cellStyle name="_MultipleSpace_dcf_Sovereign Bonds 060705 12" xfId="3154"/>
    <cellStyle name="_MultipleSpace_dcf_Sovereign Bonds 060705 13" xfId="3125"/>
    <cellStyle name="_MultipleSpace_dcf_Sovereign Bonds 060705 14" xfId="3099"/>
    <cellStyle name="_MultipleSpace_dcf_Sovereign Bonds 060705 15" xfId="3114"/>
    <cellStyle name="_MultipleSpace_dcf_Sovereign Bonds 060705 16" xfId="3198"/>
    <cellStyle name="_MultipleSpace_dcf_Sovereign Bonds 060705 17" xfId="3084"/>
    <cellStyle name="_MultipleSpace_dcf_Sovereign Bonds 060705 2" xfId="2400"/>
    <cellStyle name="_MultipleSpace_dcf_Sovereign Bonds 060705 3" xfId="2841"/>
    <cellStyle name="_MultipleSpace_dcf_Sovereign Bonds 060705 4" xfId="2878"/>
    <cellStyle name="_MultipleSpace_dcf_Sovereign Bonds 060705 5" xfId="2905"/>
    <cellStyle name="_MultipleSpace_dcf_Sovereign Bonds 060705 6" xfId="2925"/>
    <cellStyle name="_MultipleSpace_dcf_Sovereign Bonds 060705 7" xfId="2898"/>
    <cellStyle name="_MultipleSpace_dcf_Sovereign Bonds 060705 8" xfId="2962"/>
    <cellStyle name="_MultipleSpace_dcf_Sovereign Bonds 060705 9" xfId="2996"/>
    <cellStyle name="_MultipleSpace_dcf_Sovereign Bonds 060705_01 NET DCF Model" xfId="753"/>
    <cellStyle name="_MultipleSpace_dcf_Sovereign Bonds 060705_01 NET DCF Model 2" xfId="2406"/>
    <cellStyle name="_MultipleSpace_dcf_Sovereign Bonds 060705_03 Embratel DCF Model_Loscos" xfId="754"/>
    <cellStyle name="_MultipleSpace_dcf_Sovereign Bonds 060705_03 Embratel DCF Model_Loscos 2" xfId="2407"/>
    <cellStyle name="_MultipleSpace_dcf_Sovereign Bonds 060705_05 NET DCF Model" xfId="755"/>
    <cellStyle name="_MultipleSpace_dcf_Sovereign Bonds 060705_05 NET DCF Model 2" xfId="2408"/>
    <cellStyle name="_MultipleSpace_dcf_Sovereign Bonds 060705_05 TMX Brazil DCF Model" xfId="756"/>
    <cellStyle name="_MultipleSpace_dcf_Sovereign Bonds 060705_05 TMX Brazil DCF Model 2" xfId="2409"/>
    <cellStyle name="_MultipleSpace_EMT Management Assumptions_v2" xfId="757"/>
    <cellStyle name="_MultipleSpace_EMT Management Assumptions_v2 2" xfId="2410"/>
    <cellStyle name="_MultipleSpace_LA WACC Discount_1" xfId="758"/>
    <cellStyle name="_MultipleSpace_LA WACC Discount_1 2" xfId="2411"/>
    <cellStyle name="_MultipleSpace_LA WACC Discount_1_Sovereign Bonds 060705" xfId="759"/>
    <cellStyle name="_MultipleSpace_LA WACC Discount_1_Sovereign Bonds 060705 (version 1)" xfId="760"/>
    <cellStyle name="_MultipleSpace_LA WACC Discount_1_Sovereign Bonds 060705 (version 1) 2" xfId="2413"/>
    <cellStyle name="_MultipleSpace_LA WACC Discount_1_Sovereign Bonds 060705 (version 1)_01 NET DCF Model" xfId="761"/>
    <cellStyle name="_MultipleSpace_LA WACC Discount_1_Sovereign Bonds 060705 (version 1)_01 NET DCF Model 2" xfId="2414"/>
    <cellStyle name="_MultipleSpace_LA WACC Discount_1_Sovereign Bonds 060705 (version 1)_03 Embratel DCF Model_Loscos" xfId="762"/>
    <cellStyle name="_MultipleSpace_LA WACC Discount_1_Sovereign Bonds 060705 (version 1)_03 Embratel DCF Model_Loscos 2" xfId="2415"/>
    <cellStyle name="_MultipleSpace_LA WACC Discount_1_Sovereign Bonds 060705 (version 1)_05 NET DCF Model" xfId="763"/>
    <cellStyle name="_MultipleSpace_LA WACC Discount_1_Sovereign Bonds 060705 (version 1)_05 NET DCF Model 2" xfId="2416"/>
    <cellStyle name="_MultipleSpace_LA WACC Discount_1_Sovereign Bonds 060705 (version 1)_05 TMX Brazil DCF Model" xfId="764"/>
    <cellStyle name="_MultipleSpace_LA WACC Discount_1_Sovereign Bonds 060705 (version 1)_05 TMX Brazil DCF Model 2" xfId="2417"/>
    <cellStyle name="_MultipleSpace_LA WACC Discount_1_Sovereign Bonds 060705 10" xfId="3034"/>
    <cellStyle name="_MultipleSpace_LA WACC Discount_1_Sovereign Bonds 060705 11" xfId="3112"/>
    <cellStyle name="_MultipleSpace_LA WACC Discount_1_Sovereign Bonds 060705 12" xfId="3216"/>
    <cellStyle name="_MultipleSpace_LA WACC Discount_1_Sovereign Bonds 060705 13" xfId="3127"/>
    <cellStyle name="_MultipleSpace_LA WACC Discount_1_Sovereign Bonds 060705 14" xfId="3147"/>
    <cellStyle name="_MultipleSpace_LA WACC Discount_1_Sovereign Bonds 060705 15" xfId="3137"/>
    <cellStyle name="_MultipleSpace_LA WACC Discount_1_Sovereign Bonds 060705 16" xfId="3174"/>
    <cellStyle name="_MultipleSpace_LA WACC Discount_1_Sovereign Bonds 060705 17" xfId="3200"/>
    <cellStyle name="_MultipleSpace_LA WACC Discount_1_Sovereign Bonds 060705 2" xfId="2412"/>
    <cellStyle name="_MultipleSpace_LA WACC Discount_1_Sovereign Bonds 060705 3" xfId="2842"/>
    <cellStyle name="_MultipleSpace_LA WACC Discount_1_Sovereign Bonds 060705 4" xfId="2879"/>
    <cellStyle name="_MultipleSpace_LA WACC Discount_1_Sovereign Bonds 060705 5" xfId="2935"/>
    <cellStyle name="_MultipleSpace_LA WACC Discount_1_Sovereign Bonds 060705 6" xfId="2888"/>
    <cellStyle name="_MultipleSpace_LA WACC Discount_1_Sovereign Bonds 060705 7" xfId="2933"/>
    <cellStyle name="_MultipleSpace_LA WACC Discount_1_Sovereign Bonds 060705 8" xfId="2963"/>
    <cellStyle name="_MultipleSpace_LA WACC Discount_1_Sovereign Bonds 060705 9" xfId="2997"/>
    <cellStyle name="_MultipleSpace_LA WACC Discount_1_Sovereign Bonds 060705_01 NET DCF Model" xfId="765"/>
    <cellStyle name="_MultipleSpace_LA WACC Discount_1_Sovereign Bonds 060705_01 NET DCF Model 2" xfId="2418"/>
    <cellStyle name="_MultipleSpace_LA WACC Discount_1_Sovereign Bonds 060705_03 Embratel DCF Model_Loscos" xfId="766"/>
    <cellStyle name="_MultipleSpace_LA WACC Discount_1_Sovereign Bonds 060705_03 Embratel DCF Model_Loscos 2" xfId="2419"/>
    <cellStyle name="_MultipleSpace_LA WACC Discount_1_Sovereign Bonds 060705_05 NET DCF Model" xfId="767"/>
    <cellStyle name="_MultipleSpace_LA WACC Discount_1_Sovereign Bonds 060705_05 NET DCF Model 2" xfId="2420"/>
    <cellStyle name="_MultipleSpace_LA WACC Discount_1_Sovereign Bonds 060705_05 TMX Brazil DCF Model" xfId="768"/>
    <cellStyle name="_MultipleSpace_LA WACC Discount_1_Sovereign Bonds 060705_05 TMX Brazil DCF Model 2" xfId="2421"/>
    <cellStyle name="_MultipleSpace_Net Management Projections_2" xfId="769"/>
    <cellStyle name="_MultipleSpace_Net Management Projections_2 2" xfId="2422"/>
    <cellStyle name="_MultipleSpace_Oil &amp; Gas betas" xfId="770"/>
    <cellStyle name="_MultipleSpace_Oil &amp; Gas betas 2" xfId="2423"/>
    <cellStyle name="_MultipleSpace_Pay TV Subscribers" xfId="771"/>
    <cellStyle name="_MultipleSpace_Pay TV Subscribers 2" xfId="2424"/>
    <cellStyle name="_MultipleSpace_Revenue Mix Chart" xfId="772"/>
    <cellStyle name="_MultipleSpace_Revenue Mix Chart 2" xfId="2425"/>
    <cellStyle name="_MultipleSpace_Sovereign Bonds 060705" xfId="773"/>
    <cellStyle name="_MultipleSpace_Sovereign Bonds 060705 (version 1)" xfId="774"/>
    <cellStyle name="_MultipleSpace_Sovereign Bonds 060705 (version 1) 2" xfId="2427"/>
    <cellStyle name="_MultipleSpace_Sovereign Bonds 060705 (version 1)_01 NET DCF Model" xfId="775"/>
    <cellStyle name="_MultipleSpace_Sovereign Bonds 060705 (version 1)_01 NET DCF Model 2" xfId="2428"/>
    <cellStyle name="_MultipleSpace_Sovereign Bonds 060705 (version 1)_03 Embratel DCF Model_Loscos" xfId="776"/>
    <cellStyle name="_MultipleSpace_Sovereign Bonds 060705 (version 1)_03 Embratel DCF Model_Loscos 2" xfId="2429"/>
    <cellStyle name="_MultipleSpace_Sovereign Bonds 060705 (version 1)_05 NET DCF Model" xfId="777"/>
    <cellStyle name="_MultipleSpace_Sovereign Bonds 060705 (version 1)_05 NET DCF Model 2" xfId="2430"/>
    <cellStyle name="_MultipleSpace_Sovereign Bonds 060705 (version 1)_05 TMX Brazil DCF Model" xfId="778"/>
    <cellStyle name="_MultipleSpace_Sovereign Bonds 060705 (version 1)_05 TMX Brazil DCF Model 2" xfId="2431"/>
    <cellStyle name="_MultipleSpace_Sovereign Bonds 060705 (version 1)_Consolidação" xfId="779"/>
    <cellStyle name="_MultipleSpace_Sovereign Bonds 060705 (version 1)_Consolidação 2" xfId="2432"/>
    <cellStyle name="_MultipleSpace_Sovereign Bonds 060705 (version 1)_Consolidação IMOB" xfId="780"/>
    <cellStyle name="_MultipleSpace_Sovereign Bonds 060705 (version 1)_Consolidação IMOB 2" xfId="2433"/>
    <cellStyle name="_MultipleSpace_Sovereign Bonds 060705 (version 1)_Estudo de Viabilidade -IMOB Henri" xfId="781"/>
    <cellStyle name="_MultipleSpace_Sovereign Bonds 060705 (version 1)_Estudo de Viabilidade -IMOB Henri 2" xfId="2434"/>
    <cellStyle name="_MultipleSpace_Sovereign Bonds 060705 (version 1)_FP 100" xfId="782"/>
    <cellStyle name="_MultipleSpace_Sovereign Bonds 060705 (version 1)_FP 100 2" xfId="2435"/>
    <cellStyle name="_MultipleSpace_Sovereign Bonds 060705 (version 1)_Península" xfId="783"/>
    <cellStyle name="_MultipleSpace_Sovereign Bonds 060705 (version 1)_Península 2" xfId="2436"/>
    <cellStyle name="_MultipleSpace_Sovereign Bonds 060705 (version 1)_Peninsula_0510" xfId="784"/>
    <cellStyle name="_MultipleSpace_Sovereign Bonds 060705 (version 1)_Peninsula_0510 2" xfId="2437"/>
    <cellStyle name="_MultipleSpace_Sovereign Bonds 060705 (version 1)_Resumo Juros e Variações" xfId="785"/>
    <cellStyle name="_MultipleSpace_Sovereign Bonds 060705 (version 1)_Resumo Juros e Variações 2" xfId="2438"/>
    <cellStyle name="_MultipleSpace_Sovereign Bonds 060705 10" xfId="3035"/>
    <cellStyle name="_MultipleSpace_Sovereign Bonds 060705 11" xfId="3115"/>
    <cellStyle name="_MultipleSpace_Sovereign Bonds 060705 12" xfId="3224"/>
    <cellStyle name="_MultipleSpace_Sovereign Bonds 060705 13" xfId="3129"/>
    <cellStyle name="_MultipleSpace_Sovereign Bonds 060705 14" xfId="3146"/>
    <cellStyle name="_MultipleSpace_Sovereign Bonds 060705 15" xfId="3222"/>
    <cellStyle name="_MultipleSpace_Sovereign Bonds 060705 16" xfId="3077"/>
    <cellStyle name="_MultipleSpace_Sovereign Bonds 060705 17" xfId="3172"/>
    <cellStyle name="_MultipleSpace_Sovereign Bonds 060705 2" xfId="2426"/>
    <cellStyle name="_MultipleSpace_Sovereign Bonds 060705 3" xfId="2843"/>
    <cellStyle name="_MultipleSpace_Sovereign Bonds 060705 4" xfId="2880"/>
    <cellStyle name="_MultipleSpace_Sovereign Bonds 060705 5" xfId="2940"/>
    <cellStyle name="_MultipleSpace_Sovereign Bonds 060705 6" xfId="2889"/>
    <cellStyle name="_MultipleSpace_Sovereign Bonds 060705 7" xfId="2897"/>
    <cellStyle name="_MultipleSpace_Sovereign Bonds 060705 8" xfId="2964"/>
    <cellStyle name="_MultipleSpace_Sovereign Bonds 060705 9" xfId="2998"/>
    <cellStyle name="_MultipleSpace_Sovereign Bonds 060705_1" xfId="786"/>
    <cellStyle name="_MultipleSpace_Sovereign Bonds 060705_1 2" xfId="2439"/>
    <cellStyle name="_MultipleSpace_Sovereign Bonds 060705_1_01 NET DCF Model" xfId="787"/>
    <cellStyle name="_MultipleSpace_Sovereign Bonds 060705_1_01 NET DCF Model 2" xfId="2440"/>
    <cellStyle name="_MultipleSpace_Sovereign Bonds 060705_1_03 Embratel DCF Model_Loscos" xfId="788"/>
    <cellStyle name="_MultipleSpace_Sovereign Bonds 060705_1_03 Embratel DCF Model_Loscos 2" xfId="2441"/>
    <cellStyle name="_MultipleSpace_Sovereign Bonds 060705_1_05 NET DCF Model" xfId="789"/>
    <cellStyle name="_MultipleSpace_Sovereign Bonds 060705_1_05 NET DCF Model 2" xfId="2442"/>
    <cellStyle name="_MultipleSpace_Sovereign Bonds 060705_1_05 TMX Brazil DCF Model" xfId="790"/>
    <cellStyle name="_MultipleSpace_Sovereign Bonds 060705_1_05 TMX Brazil DCF Model 2" xfId="2443"/>
    <cellStyle name="_MultipleSpace_Sovereign Bonds 060705_1_Consolidação" xfId="791"/>
    <cellStyle name="_MultipleSpace_Sovereign Bonds 060705_1_Consolidação 2" xfId="2444"/>
    <cellStyle name="_MultipleSpace_Sovereign Bonds 060705_1_Consolidação IMOB" xfId="792"/>
    <cellStyle name="_MultipleSpace_Sovereign Bonds 060705_1_Consolidação IMOB 2" xfId="2445"/>
    <cellStyle name="_MultipleSpace_Sovereign Bonds 060705_1_Estudo de Viabilidade -IMOB Henri" xfId="793"/>
    <cellStyle name="_MultipleSpace_Sovereign Bonds 060705_1_Estudo de Viabilidade -IMOB Henri 2" xfId="2446"/>
    <cellStyle name="_MultipleSpace_Sovereign Bonds 060705_1_FP 100" xfId="794"/>
    <cellStyle name="_MultipleSpace_Sovereign Bonds 060705_1_FP 100 2" xfId="2447"/>
    <cellStyle name="_MultipleSpace_Sovereign Bonds 060705_1_Península" xfId="795"/>
    <cellStyle name="_MultipleSpace_Sovereign Bonds 060705_1_Península 2" xfId="2448"/>
    <cellStyle name="_MultipleSpace_Sovereign Bonds 060705_1_Peninsula_0510" xfId="796"/>
    <cellStyle name="_MultipleSpace_Sovereign Bonds 060705_1_Peninsula_0510 2" xfId="2449"/>
    <cellStyle name="_MultipleSpace_Sovereign Bonds 060705_1_Resumo Juros e Variações" xfId="797"/>
    <cellStyle name="_MultipleSpace_Sovereign Bonds 060705_1_Resumo Juros e Variações 2" xfId="2450"/>
    <cellStyle name="_MultipleSpace_Sovereign Bonds 060705_Consolidação" xfId="798"/>
    <cellStyle name="_MultipleSpace_Sovereign Bonds 060705_Consolidação 2" xfId="2451"/>
    <cellStyle name="_MultipleSpace_Sovereign Bonds 060705_Consolidação IMOB" xfId="799"/>
    <cellStyle name="_MultipleSpace_Sovereign Bonds 060705_Consolidação IMOB 2" xfId="2452"/>
    <cellStyle name="_MultipleSpace_Sovereign Bonds 060705_Dados por segmento julho 06" xfId="800"/>
    <cellStyle name="_MultipleSpace_Sovereign Bonds 060705_Dados por segmento julho 06 2" xfId="2453"/>
    <cellStyle name="_MultipleSpace_Sovereign Bonds 060705_Estudo de Viabilidade - EXP BHS" xfId="801"/>
    <cellStyle name="_MultipleSpace_Sovereign Bonds 060705_Estudo de Viabilidade - EXP BHS 2" xfId="2454"/>
    <cellStyle name="_MultipleSpace_Sovereign Bonds 060705_Estudo de Viabilidade - EXP BHS_Consolidação" xfId="802"/>
    <cellStyle name="_MultipleSpace_Sovereign Bonds 060705_Estudo de Viabilidade - EXP BHS_Consolidação 2" xfId="2455"/>
    <cellStyle name="_MultipleSpace_Sovereign Bonds 060705_FP 100" xfId="803"/>
    <cellStyle name="_MultipleSpace_Sovereign Bonds 060705_FP 100 2" xfId="2456"/>
    <cellStyle name="_MultipleSpace_Sovereign Bonds 060705_Resumo Juros e Variações" xfId="804"/>
    <cellStyle name="_MultipleSpace_Sovereign Bonds 060705_Resumo Juros e Variações 2" xfId="2457"/>
    <cellStyle name="_MultipleSpace_WACC Analysis" xfId="805"/>
    <cellStyle name="_MultipleSpace_WACC Analysis 2" xfId="2458"/>
    <cellStyle name="_MultipleSpace_WACC Analysis_4b_0827_2" xfId="806"/>
    <cellStyle name="_MultipleSpace_WACC Analysis_4b_0827_2 2" xfId="2459"/>
    <cellStyle name="_MultipleSpace_WACC Analysis_4b_0827_2_Sovereign Bonds 060705" xfId="807"/>
    <cellStyle name="_MultipleSpace_WACC Analysis_4b_0827_2_Sovereign Bonds 060705 (version 1)" xfId="808"/>
    <cellStyle name="_MultipleSpace_WACC Analysis_4b_0827_2_Sovereign Bonds 060705 (version 1) 2" xfId="2461"/>
    <cellStyle name="_MultipleSpace_WACC Analysis_4b_0827_2_Sovereign Bonds 060705 (version 1)_01 NET DCF Model" xfId="809"/>
    <cellStyle name="_MultipleSpace_WACC Analysis_4b_0827_2_Sovereign Bonds 060705 (version 1)_01 NET DCF Model 2" xfId="2462"/>
    <cellStyle name="_MultipleSpace_WACC Analysis_4b_0827_2_Sovereign Bonds 060705 (version 1)_03 Embratel DCF Model_Loscos" xfId="810"/>
    <cellStyle name="_MultipleSpace_WACC Analysis_4b_0827_2_Sovereign Bonds 060705 (version 1)_03 Embratel DCF Model_Loscos 2" xfId="2463"/>
    <cellStyle name="_MultipleSpace_WACC Analysis_4b_0827_2_Sovereign Bonds 060705 (version 1)_05 NET DCF Model" xfId="811"/>
    <cellStyle name="_MultipleSpace_WACC Analysis_4b_0827_2_Sovereign Bonds 060705 (version 1)_05 NET DCF Model 2" xfId="2464"/>
    <cellStyle name="_MultipleSpace_WACC Analysis_4b_0827_2_Sovereign Bonds 060705 (version 1)_05 TMX Brazil DCF Model" xfId="812"/>
    <cellStyle name="_MultipleSpace_WACC Analysis_4b_0827_2_Sovereign Bonds 060705 (version 1)_05 TMX Brazil DCF Model 2" xfId="2465"/>
    <cellStyle name="_MultipleSpace_WACC Analysis_4b_0827_2_Sovereign Bonds 060705 10" xfId="3036"/>
    <cellStyle name="_MultipleSpace_WACC Analysis_4b_0827_2_Sovereign Bonds 060705 11" xfId="3116"/>
    <cellStyle name="_MultipleSpace_WACC Analysis_4b_0827_2_Sovereign Bonds 060705 12" xfId="3179"/>
    <cellStyle name="_MultipleSpace_WACC Analysis_4b_0827_2_Sovereign Bonds 060705 13" xfId="3202"/>
    <cellStyle name="_MultipleSpace_WACC Analysis_4b_0827_2_Sovereign Bonds 060705 14" xfId="3090"/>
    <cellStyle name="_MultipleSpace_WACC Analysis_4b_0827_2_Sovereign Bonds 060705 15" xfId="3123"/>
    <cellStyle name="_MultipleSpace_WACC Analysis_4b_0827_2_Sovereign Bonds 060705 16" xfId="3092"/>
    <cellStyle name="_MultipleSpace_WACC Analysis_4b_0827_2_Sovereign Bonds 060705 17" xfId="3175"/>
    <cellStyle name="_MultipleSpace_WACC Analysis_4b_0827_2_Sovereign Bonds 060705 2" xfId="2460"/>
    <cellStyle name="_MultipleSpace_WACC Analysis_4b_0827_2_Sovereign Bonds 060705 3" xfId="2844"/>
    <cellStyle name="_MultipleSpace_WACC Analysis_4b_0827_2_Sovereign Bonds 060705 4" xfId="2881"/>
    <cellStyle name="_MultipleSpace_WACC Analysis_4b_0827_2_Sovereign Bonds 060705 5" xfId="2923"/>
    <cellStyle name="_MultipleSpace_WACC Analysis_4b_0827_2_Sovereign Bonds 060705 6" xfId="2870"/>
    <cellStyle name="_MultipleSpace_WACC Analysis_4b_0827_2_Sovereign Bonds 060705 7" xfId="2941"/>
    <cellStyle name="_MultipleSpace_WACC Analysis_4b_0827_2_Sovereign Bonds 060705 8" xfId="2965"/>
    <cellStyle name="_MultipleSpace_WACC Analysis_4b_0827_2_Sovereign Bonds 060705 9" xfId="2999"/>
    <cellStyle name="_MultipleSpace_WACC Analysis_4b_0827_2_Sovereign Bonds 060705_01 NET DCF Model" xfId="813"/>
    <cellStyle name="_MultipleSpace_WACC Analysis_4b_0827_2_Sovereign Bonds 060705_01 NET DCF Model 2" xfId="2466"/>
    <cellStyle name="_MultipleSpace_WACC Analysis_4b_0827_2_Sovereign Bonds 060705_03 Embratel DCF Model_Loscos" xfId="814"/>
    <cellStyle name="_MultipleSpace_WACC Analysis_4b_0827_2_Sovereign Bonds 060705_03 Embratel DCF Model_Loscos 2" xfId="2467"/>
    <cellStyle name="_MultipleSpace_WACC Analysis_4b_0827_2_Sovereign Bonds 060705_05 NET DCF Model" xfId="815"/>
    <cellStyle name="_MultipleSpace_WACC Analysis_4b_0827_2_Sovereign Bonds 060705_05 NET DCF Model 2" xfId="2468"/>
    <cellStyle name="_MultipleSpace_WACC Analysis_4b_0827_2_Sovereign Bonds 060705_05 TMX Brazil DCF Model" xfId="816"/>
    <cellStyle name="_MultipleSpace_WACC Analysis_4b_0827_2_Sovereign Bonds 060705_05 TMX Brazil DCF Model 2" xfId="2469"/>
    <cellStyle name="_Percent" xfId="817"/>
    <cellStyle name="_Percent 2" xfId="2470"/>
    <cellStyle name="_Percent_01 AVP_ Project Infinitum" xfId="818"/>
    <cellStyle name="_Percent_01 AVP_ Project Infinitum 2" xfId="2471"/>
    <cellStyle name="_Percent_01_WACC Colombia_Analysis" xfId="819"/>
    <cellStyle name="_Percent_01_WACC Colombia_Analysis 2" xfId="2472"/>
    <cellStyle name="_Percent_04 WACC Vivax" xfId="820"/>
    <cellStyle name="_Percent_04 WACC Vivax 2" xfId="2473"/>
    <cellStyle name="_Percent_avp" xfId="821"/>
    <cellStyle name="_Percent_avp 2" xfId="2474"/>
    <cellStyle name="_Percent_AVP_ NewCo" xfId="822"/>
    <cellStyle name="_Percent_AVP_ NewCo 2" xfId="2475"/>
    <cellStyle name="_Percent_Sovereign Bonds 060705" xfId="823"/>
    <cellStyle name="_Percent_Sovereign Bonds 060705 (version 1)" xfId="824"/>
    <cellStyle name="_Percent_Sovereign Bonds 060705 (version 1) 2" xfId="2477"/>
    <cellStyle name="_Percent_Sovereign Bonds 060705 (version 1)_01 NET DCF Model" xfId="825"/>
    <cellStyle name="_Percent_Sovereign Bonds 060705 (version 1)_01 NET DCF Model 2" xfId="2478"/>
    <cellStyle name="_Percent_Sovereign Bonds 060705 (version 1)_03 Embratel DCF Model_Loscos" xfId="826"/>
    <cellStyle name="_Percent_Sovereign Bonds 060705 (version 1)_03 Embratel DCF Model_Loscos 2" xfId="2479"/>
    <cellStyle name="_Percent_Sovereign Bonds 060705 (version 1)_03 Embratel DCF Model_Loscos_Consolidação" xfId="827"/>
    <cellStyle name="_Percent_Sovereign Bonds 060705 (version 1)_03 Embratel DCF Model_Loscos_Consolidação 2" xfId="2480"/>
    <cellStyle name="_Percent_Sovereign Bonds 060705 (version 1)_03 Embratel DCF Model_Loscos_Consolidação IMOB" xfId="828"/>
    <cellStyle name="_Percent_Sovereign Bonds 060705 (version 1)_03 Embratel DCF Model_Loscos_Consolidação IMOB 2" xfId="2481"/>
    <cellStyle name="_Percent_Sovereign Bonds 060705 (version 1)_03 Embratel DCF Model_Loscos_Estudo de Viabilidade -IMOB Henri" xfId="829"/>
    <cellStyle name="_Percent_Sovereign Bonds 060705 (version 1)_03 Embratel DCF Model_Loscos_Estudo de Viabilidade -IMOB Henri 2" xfId="2482"/>
    <cellStyle name="_Percent_Sovereign Bonds 060705 (version 1)_03 Embratel DCF Model_Loscos_FP 100" xfId="830"/>
    <cellStyle name="_Percent_Sovereign Bonds 060705 (version 1)_03 Embratel DCF Model_Loscos_FP 100 2" xfId="2483"/>
    <cellStyle name="_Percent_Sovereign Bonds 060705 (version 1)_03 Embratel DCF Model_Loscos_Península" xfId="831"/>
    <cellStyle name="_Percent_Sovereign Bonds 060705 (version 1)_03 Embratel DCF Model_Loscos_Península 2" xfId="2484"/>
    <cellStyle name="_Percent_Sovereign Bonds 060705 (version 1)_03 Embratel DCF Model_Loscos_Peninsula_0510" xfId="832"/>
    <cellStyle name="_Percent_Sovereign Bonds 060705 (version 1)_03 Embratel DCF Model_Loscos_Peninsula_0510 2" xfId="2485"/>
    <cellStyle name="_Percent_Sovereign Bonds 060705 (version 1)_03 Embratel DCF Model_Loscos_Resumo Juros e Variações" xfId="833"/>
    <cellStyle name="_Percent_Sovereign Bonds 060705 (version 1)_03 Embratel DCF Model_Loscos_Resumo Juros e Variações 2" xfId="2486"/>
    <cellStyle name="_Percent_Sovereign Bonds 060705 (version 1)_05 NET DCF Model" xfId="834"/>
    <cellStyle name="_Percent_Sovereign Bonds 060705 (version 1)_05 NET DCF Model 2" xfId="2487"/>
    <cellStyle name="_Percent_Sovereign Bonds 060705 (version 1)_05 TMX Brazil DCF Model" xfId="835"/>
    <cellStyle name="_Percent_Sovereign Bonds 060705 (version 1)_05 TMX Brazil DCF Model 2" xfId="2488"/>
    <cellStyle name="_Percent_Sovereign Bonds 060705 10" xfId="3037"/>
    <cellStyle name="_Percent_Sovereign Bonds 060705 11" xfId="3117"/>
    <cellStyle name="_Percent_Sovereign Bonds 060705 12" xfId="3176"/>
    <cellStyle name="_Percent_Sovereign Bonds 060705 13" xfId="3132"/>
    <cellStyle name="_Percent_Sovereign Bonds 060705 14" xfId="3220"/>
    <cellStyle name="_Percent_Sovereign Bonds 060705 15" xfId="3197"/>
    <cellStyle name="_Percent_Sovereign Bonds 060705 16" xfId="3234"/>
    <cellStyle name="_Percent_Sovereign Bonds 060705 17" xfId="3187"/>
    <cellStyle name="_Percent_Sovereign Bonds 060705 2" xfId="2476"/>
    <cellStyle name="_Percent_Sovereign Bonds 060705 3" xfId="2845"/>
    <cellStyle name="_Percent_Sovereign Bonds 060705 4" xfId="2882"/>
    <cellStyle name="_Percent_Sovereign Bonds 060705 5" xfId="2921"/>
    <cellStyle name="_Percent_Sovereign Bonds 060705 6" xfId="2872"/>
    <cellStyle name="_Percent_Sovereign Bonds 060705 7" xfId="2949"/>
    <cellStyle name="_Percent_Sovereign Bonds 060705 8" xfId="2966"/>
    <cellStyle name="_Percent_Sovereign Bonds 060705 9" xfId="3000"/>
    <cellStyle name="_Percent_Sovereign Bonds 060705_01 NET DCF Model" xfId="836"/>
    <cellStyle name="_Percent_Sovereign Bonds 060705_01 NET DCF Model 2" xfId="2489"/>
    <cellStyle name="_Percent_Sovereign Bonds 060705_03 Embratel DCF Model_Loscos" xfId="837"/>
    <cellStyle name="_Percent_Sovereign Bonds 060705_03 Embratel DCF Model_Loscos 2" xfId="2490"/>
    <cellStyle name="_Percent_Sovereign Bonds 060705_03 Embratel DCF Model_Loscos_Consolidação" xfId="838"/>
    <cellStyle name="_Percent_Sovereign Bonds 060705_03 Embratel DCF Model_Loscos_Consolidação 2" xfId="2491"/>
    <cellStyle name="_Percent_Sovereign Bonds 060705_03 Embratel DCF Model_Loscos_Consolidação IMOB" xfId="839"/>
    <cellStyle name="_Percent_Sovereign Bonds 060705_03 Embratel DCF Model_Loscos_Consolidação IMOB 2" xfId="2492"/>
    <cellStyle name="_Percent_Sovereign Bonds 060705_03 Embratel DCF Model_Loscos_Estudo de Viabilidade -IMOB Henri" xfId="840"/>
    <cellStyle name="_Percent_Sovereign Bonds 060705_03 Embratel DCF Model_Loscos_Estudo de Viabilidade -IMOB Henri 2" xfId="2493"/>
    <cellStyle name="_Percent_Sovereign Bonds 060705_03 Embratel DCF Model_Loscos_FP 100" xfId="841"/>
    <cellStyle name="_Percent_Sovereign Bonds 060705_03 Embratel DCF Model_Loscos_FP 100 2" xfId="2494"/>
    <cellStyle name="_Percent_Sovereign Bonds 060705_03 Embratel DCF Model_Loscos_Península" xfId="842"/>
    <cellStyle name="_Percent_Sovereign Bonds 060705_03 Embratel DCF Model_Loscos_Península 2" xfId="2495"/>
    <cellStyle name="_Percent_Sovereign Bonds 060705_03 Embratel DCF Model_Loscos_Peninsula_0510" xfId="843"/>
    <cellStyle name="_Percent_Sovereign Bonds 060705_03 Embratel DCF Model_Loscos_Peninsula_0510 2" xfId="2496"/>
    <cellStyle name="_Percent_Sovereign Bonds 060705_03 Embratel DCF Model_Loscos_Resumo Juros e Variações" xfId="844"/>
    <cellStyle name="_Percent_Sovereign Bonds 060705_03 Embratel DCF Model_Loscos_Resumo Juros e Variações 2" xfId="2497"/>
    <cellStyle name="_Percent_Sovereign Bonds 060705_05 NET DCF Model" xfId="845"/>
    <cellStyle name="_Percent_Sovereign Bonds 060705_05 NET DCF Model 2" xfId="2498"/>
    <cellStyle name="_Percent_Sovereign Bonds 060705_05 TMX Brazil DCF Model" xfId="846"/>
    <cellStyle name="_Percent_Sovereign Bonds 060705_05 TMX Brazil DCF Model 2" xfId="2499"/>
    <cellStyle name="_PercentSpace" xfId="847"/>
    <cellStyle name="_PercentSpace 2" xfId="2500"/>
    <cellStyle name="_PercentSpace_01 AVP_ Project Infinitum" xfId="848"/>
    <cellStyle name="_PercentSpace_01 AVP_ Project Infinitum 2" xfId="2501"/>
    <cellStyle name="_PercentSpace_01_WACC Colombia_Analysis" xfId="849"/>
    <cellStyle name="_PercentSpace_01_WACC Colombia_Analysis 2" xfId="2502"/>
    <cellStyle name="_PercentSpace_04 WACC Vivax" xfId="850"/>
    <cellStyle name="_PercentSpace_04 WACC Vivax 2" xfId="2503"/>
    <cellStyle name="_PercentSpace_avp" xfId="851"/>
    <cellStyle name="_PercentSpace_avp 2" xfId="2504"/>
    <cellStyle name="_PercentSpace_AVP_ NewCo" xfId="852"/>
    <cellStyle name="_PercentSpace_AVP_ NewCo 2" xfId="2505"/>
    <cellStyle name="_PercentSpace_Sovereign Bonds 060705" xfId="853"/>
    <cellStyle name="_PercentSpace_Sovereign Bonds 060705 (version 1)" xfId="854"/>
    <cellStyle name="_PercentSpace_Sovereign Bonds 060705 (version 1) 2" xfId="2507"/>
    <cellStyle name="_PercentSpace_Sovereign Bonds 060705 (version 1)_01 NET DCF Model" xfId="855"/>
    <cellStyle name="_PercentSpace_Sovereign Bonds 060705 (version 1)_01 NET DCF Model 2" xfId="2508"/>
    <cellStyle name="_PercentSpace_Sovereign Bonds 060705 (version 1)_03 Embratel DCF Model_Loscos" xfId="856"/>
    <cellStyle name="_PercentSpace_Sovereign Bonds 060705 (version 1)_03 Embratel DCF Model_Loscos 2" xfId="2509"/>
    <cellStyle name="_PercentSpace_Sovereign Bonds 060705 (version 1)_03 Embratel DCF Model_Loscos_Consolidação" xfId="857"/>
    <cellStyle name="_PercentSpace_Sovereign Bonds 060705 (version 1)_03 Embratel DCF Model_Loscos_Consolidação 2" xfId="2510"/>
    <cellStyle name="_PercentSpace_Sovereign Bonds 060705 (version 1)_03 Embratel DCF Model_Loscos_Consolidação IMOB" xfId="858"/>
    <cellStyle name="_PercentSpace_Sovereign Bonds 060705 (version 1)_03 Embratel DCF Model_Loscos_Consolidação IMOB 2" xfId="2511"/>
    <cellStyle name="_PercentSpace_Sovereign Bonds 060705 (version 1)_03 Embratel DCF Model_Loscos_Estudo de Viabilidade -IMOB Henri" xfId="859"/>
    <cellStyle name="_PercentSpace_Sovereign Bonds 060705 (version 1)_03 Embratel DCF Model_Loscos_Estudo de Viabilidade -IMOB Henri 2" xfId="2512"/>
    <cellStyle name="_PercentSpace_Sovereign Bonds 060705 (version 1)_03 Embratel DCF Model_Loscos_FP 100" xfId="860"/>
    <cellStyle name="_PercentSpace_Sovereign Bonds 060705 (version 1)_03 Embratel DCF Model_Loscos_FP 100 2" xfId="2513"/>
    <cellStyle name="_PercentSpace_Sovereign Bonds 060705 (version 1)_03 Embratel DCF Model_Loscos_Península" xfId="861"/>
    <cellStyle name="_PercentSpace_Sovereign Bonds 060705 (version 1)_03 Embratel DCF Model_Loscos_Península 2" xfId="2514"/>
    <cellStyle name="_PercentSpace_Sovereign Bonds 060705 (version 1)_03 Embratel DCF Model_Loscos_Peninsula_0510" xfId="862"/>
    <cellStyle name="_PercentSpace_Sovereign Bonds 060705 (version 1)_03 Embratel DCF Model_Loscos_Peninsula_0510 2" xfId="2515"/>
    <cellStyle name="_PercentSpace_Sovereign Bonds 060705 (version 1)_03 Embratel DCF Model_Loscos_Resumo Juros e Variações" xfId="863"/>
    <cellStyle name="_PercentSpace_Sovereign Bonds 060705 (version 1)_03 Embratel DCF Model_Loscos_Resumo Juros e Variações 2" xfId="2516"/>
    <cellStyle name="_PercentSpace_Sovereign Bonds 060705 (version 1)_05 NET DCF Model" xfId="864"/>
    <cellStyle name="_PercentSpace_Sovereign Bonds 060705 (version 1)_05 NET DCF Model 2" xfId="2517"/>
    <cellStyle name="_PercentSpace_Sovereign Bonds 060705 (version 1)_05 TMX Brazil DCF Model" xfId="865"/>
    <cellStyle name="_PercentSpace_Sovereign Bonds 060705 (version 1)_05 TMX Brazil DCF Model 2" xfId="2518"/>
    <cellStyle name="_PercentSpace_Sovereign Bonds 060705 10" xfId="3038"/>
    <cellStyle name="_PercentSpace_Sovereign Bonds 060705 11" xfId="3119"/>
    <cellStyle name="_PercentSpace_Sovereign Bonds 060705 12" xfId="3152"/>
    <cellStyle name="_PercentSpace_Sovereign Bonds 060705 13" xfId="3133"/>
    <cellStyle name="_PercentSpace_Sovereign Bonds 060705 14" xfId="3145"/>
    <cellStyle name="_PercentSpace_Sovereign Bonds 060705 15" xfId="3225"/>
    <cellStyle name="_PercentSpace_Sovereign Bonds 060705 16" xfId="3181"/>
    <cellStyle name="_PercentSpace_Sovereign Bonds 060705 17" xfId="3201"/>
    <cellStyle name="_PercentSpace_Sovereign Bonds 060705 2" xfId="2506"/>
    <cellStyle name="_PercentSpace_Sovereign Bonds 060705 3" xfId="2846"/>
    <cellStyle name="_PercentSpace_Sovereign Bonds 060705 4" xfId="2883"/>
    <cellStyle name="_PercentSpace_Sovereign Bonds 060705 5" xfId="2903"/>
    <cellStyle name="_PercentSpace_Sovereign Bonds 060705 6" xfId="2891"/>
    <cellStyle name="_PercentSpace_Sovereign Bonds 060705 7" xfId="2895"/>
    <cellStyle name="_PercentSpace_Sovereign Bonds 060705 8" xfId="2967"/>
    <cellStyle name="_PercentSpace_Sovereign Bonds 060705 9" xfId="3001"/>
    <cellStyle name="_PercentSpace_Sovereign Bonds 060705_01 NET DCF Model" xfId="866"/>
    <cellStyle name="_PercentSpace_Sovereign Bonds 060705_01 NET DCF Model 2" xfId="2519"/>
    <cellStyle name="_PercentSpace_Sovereign Bonds 060705_03 Embratel DCF Model_Loscos" xfId="867"/>
    <cellStyle name="_PercentSpace_Sovereign Bonds 060705_03 Embratel DCF Model_Loscos 2" xfId="2520"/>
    <cellStyle name="_PercentSpace_Sovereign Bonds 060705_03 Embratel DCF Model_Loscos_Consolidação" xfId="868"/>
    <cellStyle name="_PercentSpace_Sovereign Bonds 060705_03 Embratel DCF Model_Loscos_Consolidação 2" xfId="2521"/>
    <cellStyle name="_PercentSpace_Sovereign Bonds 060705_03 Embratel DCF Model_Loscos_Consolidação IMOB" xfId="869"/>
    <cellStyle name="_PercentSpace_Sovereign Bonds 060705_03 Embratel DCF Model_Loscos_Consolidação IMOB 2" xfId="2522"/>
    <cellStyle name="_PercentSpace_Sovereign Bonds 060705_03 Embratel DCF Model_Loscos_Estudo de Viabilidade -IMOB Henri" xfId="870"/>
    <cellStyle name="_PercentSpace_Sovereign Bonds 060705_03 Embratel DCF Model_Loscos_Estudo de Viabilidade -IMOB Henri 2" xfId="2523"/>
    <cellStyle name="_PercentSpace_Sovereign Bonds 060705_03 Embratel DCF Model_Loscos_FP 100" xfId="871"/>
    <cellStyle name="_PercentSpace_Sovereign Bonds 060705_03 Embratel DCF Model_Loscos_FP 100 2" xfId="2524"/>
    <cellStyle name="_PercentSpace_Sovereign Bonds 060705_03 Embratel DCF Model_Loscos_Península" xfId="872"/>
    <cellStyle name="_PercentSpace_Sovereign Bonds 060705_03 Embratel DCF Model_Loscos_Península 2" xfId="2525"/>
    <cellStyle name="_PercentSpace_Sovereign Bonds 060705_03 Embratel DCF Model_Loscos_Peninsula_0510" xfId="873"/>
    <cellStyle name="_PercentSpace_Sovereign Bonds 060705_03 Embratel DCF Model_Loscos_Peninsula_0510 2" xfId="2526"/>
    <cellStyle name="_PercentSpace_Sovereign Bonds 060705_03 Embratel DCF Model_Loscos_Resumo Juros e Variações" xfId="874"/>
    <cellStyle name="_PercentSpace_Sovereign Bonds 060705_03 Embratel DCF Model_Loscos_Resumo Juros e Variações 2" xfId="2527"/>
    <cellStyle name="_PercentSpace_Sovereign Bonds 060705_05 NET DCF Model" xfId="875"/>
    <cellStyle name="_PercentSpace_Sovereign Bonds 060705_05 NET DCF Model 2" xfId="2528"/>
    <cellStyle name="_PercentSpace_Sovereign Bonds 060705_05 TMX Brazil DCF Model" xfId="876"/>
    <cellStyle name="_PercentSpace_Sovereign Bonds 060705_05 TMX Brazil DCF Model 2" xfId="2529"/>
    <cellStyle name="_SubHeading" xfId="877"/>
    <cellStyle name="_SubHeading_02 TMX Brazil Management Projections_R$" xfId="878"/>
    <cellStyle name="_SubHeading_02 TMX Brazil Management Projections_R$ 2" xfId="2530"/>
    <cellStyle name="_SubHeading_02 WACC" xfId="879"/>
    <cellStyle name="_SubHeading_02 WACC 2" xfId="2531"/>
    <cellStyle name="_SubHeading_05 WACC" xfId="880"/>
    <cellStyle name="_SubHeading_05 WACC 2" xfId="2532"/>
    <cellStyle name="_SubHeading_10 yr UST data" xfId="881"/>
    <cellStyle name="_SubHeading_Beatles WACC Calculation" xfId="882"/>
    <cellStyle name="_SubHeading_Beatles WACC Calculation 2" xfId="2533"/>
    <cellStyle name="_SubHeading_prestemp" xfId="883"/>
    <cellStyle name="_Table" xfId="884"/>
    <cellStyle name="_Table 2" xfId="2534"/>
    <cellStyle name="_Table_01 AVP_ Project Infinitum" xfId="885"/>
    <cellStyle name="_Table_02 TMX Brazil Management Projections_R$" xfId="886"/>
    <cellStyle name="_Table_02 WACC" xfId="887"/>
    <cellStyle name="_Table_05 WACC" xfId="888"/>
    <cellStyle name="_Table_10 yr UST data" xfId="889"/>
    <cellStyle name="_Table_10 yr UST data 2" xfId="2535"/>
    <cellStyle name="_Table_AVP_ NewCo" xfId="890"/>
    <cellStyle name="_Table_Beatles WACC Calculation" xfId="891"/>
    <cellStyle name="_TableHead" xfId="892"/>
    <cellStyle name="_TableHead_01 AVP_ Project Infinitum" xfId="893"/>
    <cellStyle name="_TableHead_01 AVP_ Project Infinitum 2" xfId="2536"/>
    <cellStyle name="_TableHead_02 TMX Brazil Management Projections_R$" xfId="894"/>
    <cellStyle name="_TableHead_02 TMX Brazil Management Projections_R$ 2" xfId="2537"/>
    <cellStyle name="_TableHead_02 WACC" xfId="895"/>
    <cellStyle name="_TableHead_02 WACC 2" xfId="2538"/>
    <cellStyle name="_TableHead_05 WACC" xfId="896"/>
    <cellStyle name="_TableHead_05 WACC 2" xfId="2539"/>
    <cellStyle name="_TableHead_10 yr UST data" xfId="897"/>
    <cellStyle name="_TableHead_AVP_ NewCo" xfId="898"/>
    <cellStyle name="_TableHead_AVP_ NewCo 2" xfId="2540"/>
    <cellStyle name="_TableHead_Beatles WACC Calculation" xfId="899"/>
    <cellStyle name="_TableHead_Beatles WACC Calculation 2" xfId="2541"/>
    <cellStyle name="_TableHead_KIARA Valuation Model" xfId="900"/>
    <cellStyle name="_TableHead_KIARA Valuation Model 2" xfId="2542"/>
    <cellStyle name="_TableHeading" xfId="901"/>
    <cellStyle name="_TableHeading 2" xfId="2543"/>
    <cellStyle name="_TableRowBorder" xfId="902"/>
    <cellStyle name="_TableRowBorder 2" xfId="2544"/>
    <cellStyle name="_TableRowHead" xfId="903"/>
    <cellStyle name="_TableRowHead_01 AVP_ Project Infinitum" xfId="904"/>
    <cellStyle name="_TableRowHead_01 AVP_ Project Infinitum 2" xfId="2545"/>
    <cellStyle name="_TableRowHead_02 TMX Brazil Management Projections_R$" xfId="905"/>
    <cellStyle name="_TableRowHead_02 TMX Brazil Management Projections_R$ 2" xfId="2546"/>
    <cellStyle name="_TableRowHead_02 WACC" xfId="906"/>
    <cellStyle name="_TableRowHead_02 WACC 2" xfId="2547"/>
    <cellStyle name="_TableRowHead_05 WACC" xfId="907"/>
    <cellStyle name="_TableRowHead_05 WACC 2" xfId="2548"/>
    <cellStyle name="_TableRowHead_10 yr UST data" xfId="908"/>
    <cellStyle name="_TableRowHead_AVP_ NewCo" xfId="909"/>
    <cellStyle name="_TableRowHead_AVP_ NewCo 2" xfId="2549"/>
    <cellStyle name="_TableRowHead_Beatles WACC Calculation" xfId="910"/>
    <cellStyle name="_TableRowHead_Beatles WACC Calculation 2" xfId="2550"/>
    <cellStyle name="_TableRowHeading" xfId="911"/>
    <cellStyle name="_TableRowHeading 2" xfId="2551"/>
    <cellStyle name="_TableSuperHead" xfId="912"/>
    <cellStyle name="_TableSuperHead_01 AVP_ Project Infinitum" xfId="913"/>
    <cellStyle name="_TableSuperHead_01 AVP_ Project Infinitum 2" xfId="2552"/>
    <cellStyle name="_TableSuperHead_02 TMX Brazil Management Projections_R$" xfId="914"/>
    <cellStyle name="_TableSuperHead_02 TMX Brazil Management Projections_R$ 2" xfId="2553"/>
    <cellStyle name="_TableSuperHead_02 WACC" xfId="915"/>
    <cellStyle name="_TableSuperHead_02 WACC 2" xfId="2554"/>
    <cellStyle name="_TableSuperHead_05 WACC" xfId="916"/>
    <cellStyle name="_TableSuperHead_05 WACC 2" xfId="2555"/>
    <cellStyle name="_TableSuperHead_10 yr UST data" xfId="917"/>
    <cellStyle name="_TableSuperHead_AVP_ NewCo" xfId="918"/>
    <cellStyle name="_TableSuperHead_AVP_ NewCo 2" xfId="2556"/>
    <cellStyle name="_TableSuperHead_Beatles WACC Calculation" xfId="919"/>
    <cellStyle name="_TableSuperHead_Beatles WACC Calculation 2" xfId="2557"/>
    <cellStyle name="_TableSuperHeading" xfId="920"/>
    <cellStyle name="_TableSuperHeading 2" xfId="2558"/>
    <cellStyle name="_TableText" xfId="921"/>
    <cellStyle name="£ BP" xfId="922"/>
    <cellStyle name="¥ JY" xfId="923"/>
    <cellStyle name="0  + -" xfId="924"/>
    <cellStyle name="0%" xfId="925"/>
    <cellStyle name="0,000" xfId="926"/>
    <cellStyle name="0,000 2" xfId="2559"/>
    <cellStyle name="0,000.0" xfId="927"/>
    <cellStyle name="0,000.00" xfId="928"/>
    <cellStyle name="0,000.000" xfId="929"/>
    <cellStyle name="0,000.000 2" xfId="2560"/>
    <cellStyle name="0,000.0000" xfId="930"/>
    <cellStyle name="0.0" xfId="931"/>
    <cellStyle name="0.0%" xfId="932"/>
    <cellStyle name="0.00" xfId="933"/>
    <cellStyle name="0.00%" xfId="934"/>
    <cellStyle name="0.000" xfId="935"/>
    <cellStyle name="0.0x" xfId="936"/>
    <cellStyle name="0+ -" xfId="937"/>
    <cellStyle name="0+   -" xfId="938"/>
    <cellStyle name="1 Decimal" xfId="939"/>
    <cellStyle name="2 Decimals" xfId="940"/>
    <cellStyle name="20% - Accent1 2" xfId="941"/>
    <cellStyle name="20% - Accent1 3" xfId="3237"/>
    <cellStyle name="20% - Accent2 2" xfId="942"/>
    <cellStyle name="20% - Accent2 3" xfId="3238"/>
    <cellStyle name="20% - Accent3 2" xfId="943"/>
    <cellStyle name="20% - Accent3 3" xfId="3239"/>
    <cellStyle name="20% - Accent4 2" xfId="944"/>
    <cellStyle name="20% - Accent4 3" xfId="3240"/>
    <cellStyle name="20% - Accent5 2" xfId="945"/>
    <cellStyle name="20% - Accent6 2" xfId="946"/>
    <cellStyle name="20% - Accent6 3" xfId="3241"/>
    <cellStyle name="20% - Ênfase1" xfId="947"/>
    <cellStyle name="20% - Ênfase2" xfId="948"/>
    <cellStyle name="20% - Ênfase3" xfId="949"/>
    <cellStyle name="20% - Ênfase4" xfId="950"/>
    <cellStyle name="20% - Ênfase5" xfId="951"/>
    <cellStyle name="20% - Ênfase6" xfId="952"/>
    <cellStyle name="3 Decimals" xfId="953"/>
    <cellStyle name="40% - Accent1 2" xfId="954"/>
    <cellStyle name="40% - Accent1 3" xfId="3242"/>
    <cellStyle name="40% - Accent2 2" xfId="955"/>
    <cellStyle name="40% - Accent3 2" xfId="956"/>
    <cellStyle name="40% - Accent3 3" xfId="3243"/>
    <cellStyle name="40% - Accent4 2" xfId="957"/>
    <cellStyle name="40% - Accent4 3" xfId="3244"/>
    <cellStyle name="40% - Accent5 2" xfId="958"/>
    <cellStyle name="40% - Accent5 3" xfId="3245"/>
    <cellStyle name="40% - Accent6 2" xfId="959"/>
    <cellStyle name="40% - Accent6 3" xfId="3246"/>
    <cellStyle name="40% - Ênfase1" xfId="960"/>
    <cellStyle name="40% - Ênfase2" xfId="961"/>
    <cellStyle name="40% - Ênfase3" xfId="962"/>
    <cellStyle name="40% - Ênfase4" xfId="963"/>
    <cellStyle name="40% - Ênfase5" xfId="964"/>
    <cellStyle name="40% - Ênfase6" xfId="965"/>
    <cellStyle name="60% - Accent1 2" xfId="966"/>
    <cellStyle name="60% - Accent1 3" xfId="3247"/>
    <cellStyle name="60% - Accent2 2" xfId="967"/>
    <cellStyle name="60% - Accent2 3" xfId="3248"/>
    <cellStyle name="60% - Accent3 2" xfId="968"/>
    <cellStyle name="60% - Accent3 3" xfId="3249"/>
    <cellStyle name="60% - Accent4 2" xfId="969"/>
    <cellStyle name="60% - Accent4 3" xfId="3250"/>
    <cellStyle name="60% - Accent5 2" xfId="970"/>
    <cellStyle name="60% - Accent5 3" xfId="3251"/>
    <cellStyle name="60% - Accent6 2" xfId="971"/>
    <cellStyle name="60% - Accent6 3" xfId="3252"/>
    <cellStyle name="60% - Ênfase1" xfId="972"/>
    <cellStyle name="60% - Ênfase2" xfId="973"/>
    <cellStyle name="60% - Ênfase3" xfId="974"/>
    <cellStyle name="60% - Ênfase4" xfId="975"/>
    <cellStyle name="60% - Ênfase5" xfId="976"/>
    <cellStyle name="60% - Ênfase6" xfId="977"/>
    <cellStyle name="8" xfId="978"/>
    <cellStyle name="8 2" xfId="2564"/>
    <cellStyle name="8_EMT Financial Projections" xfId="979"/>
    <cellStyle name="8_EMT Financial Projections 2" xfId="2565"/>
    <cellStyle name="8_EMT model base case 20_09" xfId="980"/>
    <cellStyle name="8_EMT model base case 20_09 2" xfId="2566"/>
    <cellStyle name="8_Executive Summary Nova projeção" xfId="981"/>
    <cellStyle name="8_Executive Summary Nova projeção 2" xfId="2567"/>
    <cellStyle name="8_Executive Summary Nova projeção1" xfId="982"/>
    <cellStyle name="8_Executive Summary Nova projeção1 2" xfId="2568"/>
    <cellStyle name="A3 297 x 420 mm" xfId="983"/>
    <cellStyle name="Above" xfId="984"/>
    <cellStyle name="Accent1 2" xfId="985"/>
    <cellStyle name="Accent1 3" xfId="3253"/>
    <cellStyle name="Accent2 2" xfId="986"/>
    <cellStyle name="Accent2 3" xfId="3254"/>
    <cellStyle name="Accent3 2" xfId="987"/>
    <cellStyle name="Accent3 3" xfId="3255"/>
    <cellStyle name="Accent4 2" xfId="988"/>
    <cellStyle name="Accent4 3" xfId="3256"/>
    <cellStyle name="Accent5 2" xfId="989"/>
    <cellStyle name="Accent6 2" xfId="990"/>
    <cellStyle name="Accent6 3" xfId="3257"/>
    <cellStyle name="Acctg" xfId="991"/>
    <cellStyle name="Acctg$" xfId="992"/>
    <cellStyle name="Acctg_Consolidação" xfId="993"/>
    <cellStyle name="AFE" xfId="994"/>
    <cellStyle name="AFINE" xfId="995"/>
    <cellStyle name="Año" xfId="996"/>
    <cellStyle name="ARIAL" xfId="997"/>
    <cellStyle name="Arial 10" xfId="998"/>
    <cellStyle name="Arial 12" xfId="999"/>
    <cellStyle name="Array" xfId="1000"/>
    <cellStyle name="Array 2" xfId="2569"/>
    <cellStyle name="Availability" xfId="1001"/>
    <cellStyle name="background" xfId="99"/>
    <cellStyle name="Bad 2" xfId="1002"/>
    <cellStyle name="Bad 3" xfId="3258"/>
    <cellStyle name="Banner" xfId="1003"/>
    <cellStyle name="Black" xfId="1004"/>
    <cellStyle name="Black Text" xfId="3"/>
    <cellStyle name="Black Text (No Wrap)" xfId="4"/>
    <cellStyle name="Blue" xfId="1005"/>
    <cellStyle name="Blue Text" xfId="5"/>
    <cellStyle name="Blue Text - Ariel 10" xfId="6"/>
    <cellStyle name="Body" xfId="1006"/>
    <cellStyle name="Bold/Border" xfId="1007"/>
    <cellStyle name="Bol-Data" xfId="7"/>
    <cellStyle name="bolet" xfId="8"/>
    <cellStyle name="bolet 2" xfId="1008"/>
    <cellStyle name="bolet_Dados Operacionais" xfId="1009"/>
    <cellStyle name="Boletim" xfId="9"/>
    <cellStyle name="Bom" xfId="1010"/>
    <cellStyle name="Border Heavy" xfId="1011"/>
    <cellStyle name="Border Thin" xfId="1012"/>
    <cellStyle name="British Pound" xfId="1013"/>
    <cellStyle name="British Pound 2" xfId="2570"/>
    <cellStyle name="Bullet" xfId="1014"/>
    <cellStyle name="c" xfId="1015"/>
    <cellStyle name="CABEÇALHO" xfId="1016"/>
    <cellStyle name="CABEÇALHO2" xfId="1017"/>
    <cellStyle name="Calc Currency (0)" xfId="1018"/>
    <cellStyle name="Calculation 2" xfId="1019"/>
    <cellStyle name="Calculation 3" xfId="3259"/>
    <cellStyle name="Cálculo" xfId="1020"/>
    <cellStyle name="Célula de Verificação" xfId="1021"/>
    <cellStyle name="Célula Vinculada" xfId="1022"/>
    <cellStyle name="Changeable" xfId="1023"/>
    <cellStyle name="Check Cell 2" xfId="1024"/>
    <cellStyle name="CLEAR" xfId="10"/>
    <cellStyle name="Code" xfId="1025"/>
    <cellStyle name="Code 2" xfId="2575"/>
    <cellStyle name="Code Section" xfId="1026"/>
    <cellStyle name="ColHeading" xfId="11"/>
    <cellStyle name="ColHeading 2" xfId="1027"/>
    <cellStyle name="ColHeading_CUSMask" xfId="1028"/>
    <cellStyle name="Comma  - Style1" xfId="13"/>
    <cellStyle name="Comma  - Style2" xfId="14"/>
    <cellStyle name="Comma  - Style3" xfId="15"/>
    <cellStyle name="Comma  - Style4" xfId="16"/>
    <cellStyle name="Comma  - Style5" xfId="17"/>
    <cellStyle name="Comma  - Style6" xfId="18"/>
    <cellStyle name="Comma  - Style7" xfId="19"/>
    <cellStyle name="Comma  - Style8" xfId="20"/>
    <cellStyle name="Comma 0" xfId="1029"/>
    <cellStyle name="Comma 0*" xfId="1030"/>
    <cellStyle name="Comma 0_Budget 2001 - Business Plan" xfId="1031"/>
    <cellStyle name="Comma 10" xfId="1032"/>
    <cellStyle name="Comma 100" xfId="2693"/>
    <cellStyle name="Comma 101" xfId="2683"/>
    <cellStyle name="Comma 102" xfId="2672"/>
    <cellStyle name="Comma 103" xfId="2660"/>
    <cellStyle name="Comma 104" xfId="2649"/>
    <cellStyle name="Comma 105" xfId="2615"/>
    <cellStyle name="Comma 106" xfId="2599"/>
    <cellStyle name="Comma 107" xfId="2581"/>
    <cellStyle name="Comma 108" xfId="2574"/>
    <cellStyle name="Comma 109" xfId="2563"/>
    <cellStyle name="Comma 11" xfId="1033"/>
    <cellStyle name="Comma 110" xfId="2274"/>
    <cellStyle name="Comma 111" xfId="2751"/>
    <cellStyle name="Comma 112" xfId="2754"/>
    <cellStyle name="Comma 113" xfId="2757"/>
    <cellStyle name="Comma 114" xfId="2760"/>
    <cellStyle name="Comma 115" xfId="2763"/>
    <cellStyle name="Comma 116" xfId="2765"/>
    <cellStyle name="Comma 117" xfId="2777"/>
    <cellStyle name="Comma 118" xfId="2773"/>
    <cellStyle name="Comma 119" xfId="2778"/>
    <cellStyle name="Comma 12" xfId="1034"/>
    <cellStyle name="Comma 120" xfId="2772"/>
    <cellStyle name="Comma 121" xfId="2779"/>
    <cellStyle name="Comma 122" xfId="2776"/>
    <cellStyle name="Comma 123" xfId="2780"/>
    <cellStyle name="Comma 124" xfId="2775"/>
    <cellStyle name="Comma 125" xfId="2782"/>
    <cellStyle name="Comma 126" xfId="2774"/>
    <cellStyle name="Comma 127" xfId="2784"/>
    <cellStyle name="Comma 128" xfId="2771"/>
    <cellStyle name="Comma 129" xfId="2816"/>
    <cellStyle name="Comma 13" xfId="1035"/>
    <cellStyle name="Comma 130" xfId="2819"/>
    <cellStyle name="Comma 131" xfId="2822"/>
    <cellStyle name="Comma 132" xfId="2825"/>
    <cellStyle name="Comma 133" xfId="2828"/>
    <cellStyle name="Comma 134" xfId="2853"/>
    <cellStyle name="Comma 135" xfId="2856"/>
    <cellStyle name="Comma 136" xfId="2981"/>
    <cellStyle name="Comma 136 2" xfId="3062"/>
    <cellStyle name="Comma 137" xfId="2983"/>
    <cellStyle name="Comma 137 2" xfId="3064"/>
    <cellStyle name="Comma 138" xfId="3008"/>
    <cellStyle name="Comma 138 2" xfId="3067"/>
    <cellStyle name="Comma 139" xfId="3007"/>
    <cellStyle name="Comma 139 2" xfId="3066"/>
    <cellStyle name="Comma 14" xfId="1036"/>
    <cellStyle name="Comma 140" xfId="3006"/>
    <cellStyle name="Comma 140 2" xfId="3065"/>
    <cellStyle name="Comma 141" xfId="3018"/>
    <cellStyle name="Comma 142" xfId="3260"/>
    <cellStyle name="Comma 15" xfId="1037"/>
    <cellStyle name="Comma 16" xfId="1038"/>
    <cellStyle name="Comma 17" xfId="1039"/>
    <cellStyle name="Comma 18" xfId="1040"/>
    <cellStyle name="Comma 19" xfId="1041"/>
    <cellStyle name="Comma 2" xfId="21"/>
    <cellStyle name="Comma 2 2" xfId="98"/>
    <cellStyle name="Comma 2 2 2" xfId="1043"/>
    <cellStyle name="Comma 2 3" xfId="1042"/>
    <cellStyle name="Comma 2_Dados Operacionais" xfId="1044"/>
    <cellStyle name="Comma 20" xfId="1045"/>
    <cellStyle name="Comma 21" xfId="1046"/>
    <cellStyle name="Comma 22" xfId="1047"/>
    <cellStyle name="Comma 23" xfId="1048"/>
    <cellStyle name="Comma 24" xfId="1049"/>
    <cellStyle name="Comma 25" xfId="1050"/>
    <cellStyle name="Comma 26" xfId="1051"/>
    <cellStyle name="Comma 27" xfId="1052"/>
    <cellStyle name="Comma 28" xfId="1053"/>
    <cellStyle name="Comma 29" xfId="1054"/>
    <cellStyle name="Comma 3" xfId="12"/>
    <cellStyle name="Comma 3 2" xfId="2576"/>
    <cellStyle name="Comma 30" xfId="1055"/>
    <cellStyle name="Comma 31" xfId="1056"/>
    <cellStyle name="Comma 32" xfId="1057"/>
    <cellStyle name="Comma 33" xfId="1058"/>
    <cellStyle name="Comma 34" xfId="1059"/>
    <cellStyle name="Comma 35" xfId="1060"/>
    <cellStyle name="Comma 36" xfId="1061"/>
    <cellStyle name="Comma 37" xfId="1062"/>
    <cellStyle name="Comma 38" xfId="1063"/>
    <cellStyle name="Comma 39" xfId="1064"/>
    <cellStyle name="Comma 4" xfId="78"/>
    <cellStyle name="Comma 4 2" xfId="2579"/>
    <cellStyle name="Comma 40" xfId="1065"/>
    <cellStyle name="Comma 41" xfId="1066"/>
    <cellStyle name="Comma 42" xfId="1067"/>
    <cellStyle name="Comma 43" xfId="1068"/>
    <cellStyle name="Comma 44" xfId="1069"/>
    <cellStyle name="Comma 45" xfId="1070"/>
    <cellStyle name="Comma 46" xfId="1071"/>
    <cellStyle name="Comma 47" xfId="1072"/>
    <cellStyle name="Comma 48" xfId="1073"/>
    <cellStyle name="Comma 49" xfId="1074"/>
    <cellStyle name="Comma 5" xfId="79"/>
    <cellStyle name="Comma 5 2" xfId="97"/>
    <cellStyle name="Comma 5 2 2" xfId="2582"/>
    <cellStyle name="Comma 50" xfId="1075"/>
    <cellStyle name="Comma 51" xfId="1076"/>
    <cellStyle name="Comma 52" xfId="1627"/>
    <cellStyle name="Comma 53" xfId="1635"/>
    <cellStyle name="Comma 54" xfId="1639"/>
    <cellStyle name="Comma 55" xfId="1643"/>
    <cellStyle name="Comma 56" xfId="1647"/>
    <cellStyle name="Comma 57" xfId="1651"/>
    <cellStyle name="Comma 58" xfId="1655"/>
    <cellStyle name="Comma 59" xfId="1659"/>
    <cellStyle name="Comma 6" xfId="96"/>
    <cellStyle name="Comma 6 2" xfId="2583"/>
    <cellStyle name="Comma 6 3" xfId="1077"/>
    <cellStyle name="Comma 60" xfId="1663"/>
    <cellStyle name="Comma 61" xfId="1667"/>
    <cellStyle name="Comma 62" xfId="1671"/>
    <cellStyle name="Comma 63" xfId="1675"/>
    <cellStyle name="Comma 64" xfId="1679"/>
    <cellStyle name="Comma 65" xfId="1683"/>
    <cellStyle name="Comma 66" xfId="1687"/>
    <cellStyle name="Comma 67" xfId="1691"/>
    <cellStyle name="Comma 68" xfId="1695"/>
    <cellStyle name="Comma 69" xfId="1699"/>
    <cellStyle name="Comma 7" xfId="95"/>
    <cellStyle name="Comma 7 2" xfId="2584"/>
    <cellStyle name="Comma 7 3" xfId="1078"/>
    <cellStyle name="Comma 70" xfId="1703"/>
    <cellStyle name="Comma 71" xfId="1706"/>
    <cellStyle name="Comma 72" xfId="1710"/>
    <cellStyle name="Comma 73" xfId="1713"/>
    <cellStyle name="Comma 74" xfId="1717"/>
    <cellStyle name="Comma 75" xfId="1720"/>
    <cellStyle name="Comma 76" xfId="1724"/>
    <cellStyle name="Comma 77" xfId="1727"/>
    <cellStyle name="Comma 78" xfId="1731"/>
    <cellStyle name="Comma 79" xfId="1743"/>
    <cellStyle name="Comma 8" xfId="85"/>
    <cellStyle name="Comma 8 2" xfId="2585"/>
    <cellStyle name="Comma 8 3" xfId="1079"/>
    <cellStyle name="Comma 80" xfId="1747"/>
    <cellStyle name="Comma 81" xfId="1751"/>
    <cellStyle name="Comma 82" xfId="1755"/>
    <cellStyle name="Comma 83" xfId="1759"/>
    <cellStyle name="Comma 84" xfId="1763"/>
    <cellStyle name="Comma 85" xfId="1767"/>
    <cellStyle name="Comma 86" xfId="1771"/>
    <cellStyle name="Comma 87" xfId="1775"/>
    <cellStyle name="Comma 88" xfId="1779"/>
    <cellStyle name="Comma 89" xfId="1783"/>
    <cellStyle name="Comma 9" xfId="1080"/>
    <cellStyle name="Comma 90" xfId="1787"/>
    <cellStyle name="Comma 91" xfId="1791"/>
    <cellStyle name="Comma 92" xfId="1795"/>
    <cellStyle name="Comma 93" xfId="1799"/>
    <cellStyle name="Comma 94" xfId="1802"/>
    <cellStyle name="Comma 95" xfId="1806"/>
    <cellStyle name="Comma 96" xfId="1809"/>
    <cellStyle name="Comma 97" xfId="1812"/>
    <cellStyle name="Comma 98" xfId="1815"/>
    <cellStyle name="Comma 99" xfId="1819"/>
    <cellStyle name="Comma0" xfId="22"/>
    <cellStyle name="Company" xfId="23"/>
    <cellStyle name="Company 2" xfId="1081"/>
    <cellStyle name="Company_CUSMask" xfId="1082"/>
    <cellStyle name="COMUN" xfId="1083"/>
    <cellStyle name="COMUN 2" xfId="2586"/>
    <cellStyle name="Conferência" xfId="1084"/>
    <cellStyle name="CurRatio" xfId="24"/>
    <cellStyle name="CurRatio 2" xfId="1085"/>
    <cellStyle name="CurRatio_Dados Operacionais" xfId="1086"/>
    <cellStyle name="Currency [1]" xfId="1087"/>
    <cellStyle name="Currency [1] 2" xfId="2587"/>
    <cellStyle name="Currency [2]" xfId="1088"/>
    <cellStyle name="Currency [2] 2" xfId="2588"/>
    <cellStyle name="Currency 0" xfId="1089"/>
    <cellStyle name="Currency 2" xfId="1090"/>
    <cellStyle name="Currency0" xfId="25"/>
    <cellStyle name="Currency0 2" xfId="92"/>
    <cellStyle name="CUS.Work.Area" xfId="26"/>
    <cellStyle name="Dash" xfId="1091"/>
    <cellStyle name="Date" xfId="1092"/>
    <cellStyle name="Date [d-mmm-yy]" xfId="1093"/>
    <cellStyle name="Date [mm-d-yy]" xfId="1094"/>
    <cellStyle name="Date [mm-d-yyyy]" xfId="1095"/>
    <cellStyle name="Date [mmm-d-yyyy]" xfId="1096"/>
    <cellStyle name="Date [mmm-yy]" xfId="1097"/>
    <cellStyle name="Date [mmm-yyyy]" xfId="1098"/>
    <cellStyle name="Date [mmm-yyyy] 2" xfId="2590"/>
    <cellStyle name="Date 10" xfId="3039"/>
    <cellStyle name="Date 11" xfId="3143"/>
    <cellStyle name="Date 12" xfId="3139"/>
    <cellStyle name="Date 13" xfId="3142"/>
    <cellStyle name="Date 14" xfId="3105"/>
    <cellStyle name="Date 15" xfId="3194"/>
    <cellStyle name="Date 16" xfId="3083"/>
    <cellStyle name="Date 17" xfId="3100"/>
    <cellStyle name="Date 2" xfId="2589"/>
    <cellStyle name="Date 3" xfId="2847"/>
    <cellStyle name="Date 4" xfId="2894"/>
    <cellStyle name="Date 5" xfId="2892"/>
    <cellStyle name="Date 6" xfId="2893"/>
    <cellStyle name="Date 7" xfId="2860"/>
    <cellStyle name="Date 8" xfId="2968"/>
    <cellStyle name="Date 9" xfId="3002"/>
    <cellStyle name="Date Aligned" xfId="1099"/>
    <cellStyle name="Date, mmm-yy" xfId="27"/>
    <cellStyle name="Date, mmm-yy 2" xfId="77"/>
    <cellStyle name="Date, mmm-yy 2 2" xfId="1100"/>
    <cellStyle name="Date_BRML Model" xfId="1101"/>
    <cellStyle name="Date2" xfId="1102"/>
    <cellStyle name="default" xfId="1103"/>
    <cellStyle name="default 2" xfId="2591"/>
    <cellStyle name="Diseño" xfId="1104"/>
    <cellStyle name="División" xfId="1105"/>
    <cellStyle name="Dollar" xfId="1106"/>
    <cellStyle name="Dollar 2" xfId="2592"/>
    <cellStyle name="dollars" xfId="1107"/>
    <cellStyle name="dollars 2" xfId="2593"/>
    <cellStyle name="Dotted Line" xfId="1108"/>
    <cellStyle name="Double Accounting" xfId="1109"/>
    <cellStyle name="En miles" xfId="28"/>
    <cellStyle name="En millones" xfId="29"/>
    <cellStyle name="Ênfase1" xfId="1110"/>
    <cellStyle name="Ênfase2" xfId="1111"/>
    <cellStyle name="Ênfase3" xfId="1112"/>
    <cellStyle name="Ênfase4" xfId="1113"/>
    <cellStyle name="Ênfase5" xfId="1114"/>
    <cellStyle name="Ênfase6" xfId="1115"/>
    <cellStyle name="Entrada" xfId="1116"/>
    <cellStyle name="Estilo 1" xfId="94"/>
    <cellStyle name="Estilo 1 2" xfId="2594"/>
    <cellStyle name="Estilo 1 3" xfId="1117"/>
    <cellStyle name="Estilo 2" xfId="1118"/>
    <cellStyle name="Estilo 2 2" xfId="2595"/>
    <cellStyle name="Euro" xfId="30"/>
    <cellStyle name="Euro 2" xfId="90"/>
    <cellStyle name="Euro 3" xfId="2596"/>
    <cellStyle name="Euro_Dados Operacionais" xfId="1119"/>
    <cellStyle name="Explanatory Text 2" xfId="1120"/>
    <cellStyle name="EY House" xfId="1121"/>
    <cellStyle name="F2" xfId="31"/>
    <cellStyle name="F3" xfId="32"/>
    <cellStyle name="F4" xfId="33"/>
    <cellStyle name="F5" xfId="34"/>
    <cellStyle name="F6" xfId="35"/>
    <cellStyle name="F7" xfId="36"/>
    <cellStyle name="F8" xfId="37"/>
    <cellStyle name="F8 - Estilo5" xfId="1122"/>
    <cellStyle name="facha" xfId="38"/>
    <cellStyle name="Fill-in" xfId="1123"/>
    <cellStyle name="Fill-in 2" xfId="2600"/>
    <cellStyle name="Fixed" xfId="1124"/>
    <cellStyle name="Fixed [0]" xfId="1125"/>
    <cellStyle name="Fixed [0] 2" xfId="2602"/>
    <cellStyle name="Fixed 10" xfId="3040"/>
    <cellStyle name="Fixed 11" xfId="3148"/>
    <cellStyle name="Fixed 12" xfId="3138"/>
    <cellStyle name="Fixed 13" xfId="3182"/>
    <cellStyle name="Fixed 14" xfId="3171"/>
    <cellStyle name="Fixed 15" xfId="3156"/>
    <cellStyle name="Fixed 16" xfId="3121"/>
    <cellStyle name="Fixed 17" xfId="3126"/>
    <cellStyle name="Fixed 2" xfId="2601"/>
    <cellStyle name="Fixed 3" xfId="2848"/>
    <cellStyle name="Fixed 4" xfId="2899"/>
    <cellStyle name="Fixed 5" xfId="2939"/>
    <cellStyle name="Fixed 6" xfId="2920"/>
    <cellStyle name="Fixed 7" xfId="2918"/>
    <cellStyle name="Fixed 8" xfId="2969"/>
    <cellStyle name="Fixed 9" xfId="3003"/>
    <cellStyle name="Fixed_BRML Model" xfId="1126"/>
    <cellStyle name="Footnote" xfId="1127"/>
    <cellStyle name="forma" xfId="1128"/>
    <cellStyle name="Fraction Change" xfId="39"/>
    <cellStyle name="Fractions" xfId="40"/>
    <cellStyle name="fundoamarelo" xfId="1129"/>
    <cellStyle name="fundoazul" xfId="1130"/>
    <cellStyle name="fundocinza" xfId="1131"/>
    <cellStyle name="fundodeentrada" xfId="1132"/>
    <cellStyle name="fundoentrada" xfId="1133"/>
    <cellStyle name="G1_2001 figures .0" xfId="1134"/>
    <cellStyle name="Good 2" xfId="1135"/>
    <cellStyle name="Good 3" xfId="3261"/>
    <cellStyle name="Green" xfId="1136"/>
    <cellStyle name="Grey" xfId="1137"/>
    <cellStyle name="Grey 2" xfId="2603"/>
    <cellStyle name="Growth Rates/Margins" xfId="41"/>
    <cellStyle name="GWN Table Body" xfId="1138"/>
    <cellStyle name="GWN Table Header" xfId="1139"/>
    <cellStyle name="GWN Table Left Header" xfId="1140"/>
    <cellStyle name="GWN Table Note" xfId="1141"/>
    <cellStyle name="GWN Table Title" xfId="1142"/>
    <cellStyle name="H1_2000 figures .0" xfId="1143"/>
    <cellStyle name="Hard Percent" xfId="1144"/>
    <cellStyle name="Header" xfId="1145"/>
    <cellStyle name="Header1" xfId="91"/>
    <cellStyle name="Header2" xfId="83"/>
    <cellStyle name="Heading" xfId="1146"/>
    <cellStyle name="Heading 1 2" xfId="1617"/>
    <cellStyle name="Heading 1 3" xfId="2604"/>
    <cellStyle name="Heading 1 4" xfId="1147"/>
    <cellStyle name="Heading 1 5" xfId="3262"/>
    <cellStyle name="Heading 2 2" xfId="1618"/>
    <cellStyle name="Heading 2 3" xfId="2605"/>
    <cellStyle name="Heading 2 4" xfId="1148"/>
    <cellStyle name="Heading 2 5" xfId="3263"/>
    <cellStyle name="Heading 3 2" xfId="1149"/>
    <cellStyle name="Heading 3 3" xfId="3264"/>
    <cellStyle name="Heading 4 2" xfId="1150"/>
    <cellStyle name="Heading 4 3" xfId="3265"/>
    <cellStyle name="Helv" xfId="1151"/>
    <cellStyle name="Hipervínculo" xfId="42"/>
    <cellStyle name="HK$#,##0" xfId="1152"/>
    <cellStyle name="HK$#,##0.00" xfId="1153"/>
    <cellStyle name="Hyperliᯮk segui᫤o" xfId="1154"/>
    <cellStyle name="Hyperlink seguido" xfId="43"/>
    <cellStyle name="Hyperlink seguido 2" xfId="1155"/>
    <cellStyle name="Hyperlink seguido 3" xfId="2606"/>
    <cellStyle name="Hyperlink seguido_Dados Operacionais" xfId="1156"/>
    <cellStyle name="Hyp᧥rlink_A᫬exandre" xfId="1157"/>
    <cellStyle name="Incorreto" xfId="1158"/>
    <cellStyle name="Indefinido" xfId="1159"/>
    <cellStyle name="Input (%)" xfId="1161"/>
    <cellStyle name="Input (%) 2" xfId="2607"/>
    <cellStyle name="Input (£m)" xfId="1162"/>
    <cellStyle name="Input (£m) 2" xfId="2608"/>
    <cellStyle name="Input (No)" xfId="1163"/>
    <cellStyle name="Input (No) 2" xfId="2609"/>
    <cellStyle name="Input (x)" xfId="1164"/>
    <cellStyle name="Input (x) 2" xfId="2610"/>
    <cellStyle name="Input [yellow]" xfId="1165"/>
    <cellStyle name="Input [yellow] 2" xfId="2611"/>
    <cellStyle name="Input 10" xfId="1166"/>
    <cellStyle name="Input 100" xfId="2745"/>
    <cellStyle name="Input 101" xfId="2696"/>
    <cellStyle name="Input 102" xfId="2682"/>
    <cellStyle name="Input 103" xfId="2695"/>
    <cellStyle name="Input 104" xfId="2614"/>
    <cellStyle name="Input 105" xfId="2703"/>
    <cellStyle name="Input 106" xfId="2580"/>
    <cellStyle name="Input 107" xfId="2702"/>
    <cellStyle name="Input 108" xfId="2562"/>
    <cellStyle name="Input 109" xfId="2692"/>
    <cellStyle name="Input 11" xfId="1167"/>
    <cellStyle name="Input 110" xfId="2781"/>
    <cellStyle name="Input 111" xfId="2769"/>
    <cellStyle name="Input 112" xfId="2783"/>
    <cellStyle name="Input 113" xfId="2768"/>
    <cellStyle name="Input 114" xfId="2792"/>
    <cellStyle name="Input 115" xfId="2770"/>
    <cellStyle name="Input 116" xfId="2795"/>
    <cellStyle name="Input 117" xfId="2767"/>
    <cellStyle name="Input 118" xfId="2796"/>
    <cellStyle name="Input 119" xfId="2788"/>
    <cellStyle name="Input 12" xfId="1168"/>
    <cellStyle name="Input 120" xfId="2798"/>
    <cellStyle name="Input 121" xfId="2801"/>
    <cellStyle name="input 122" xfId="1160"/>
    <cellStyle name="Input 123" xfId="3266"/>
    <cellStyle name="Input 13" xfId="1169"/>
    <cellStyle name="Input 14" xfId="1170"/>
    <cellStyle name="Input 15" xfId="1171"/>
    <cellStyle name="Input 16" xfId="1172"/>
    <cellStyle name="Input 17" xfId="1173"/>
    <cellStyle name="Input 18" xfId="1174"/>
    <cellStyle name="Input 19" xfId="1175"/>
    <cellStyle name="Input 2" xfId="1176"/>
    <cellStyle name="Input 20" xfId="1177"/>
    <cellStyle name="Input 21" xfId="1178"/>
    <cellStyle name="Input 22" xfId="1179"/>
    <cellStyle name="Input 23" xfId="1180"/>
    <cellStyle name="Input 24" xfId="1181"/>
    <cellStyle name="Input 25" xfId="1182"/>
    <cellStyle name="Input 26" xfId="1183"/>
    <cellStyle name="Input 27" xfId="1184"/>
    <cellStyle name="Input 28" xfId="1185"/>
    <cellStyle name="Input 29" xfId="1186"/>
    <cellStyle name="Input 3" xfId="1187"/>
    <cellStyle name="Input 30" xfId="1188"/>
    <cellStyle name="Input 31" xfId="1189"/>
    <cellStyle name="Input 32" xfId="1190"/>
    <cellStyle name="Input 33" xfId="1191"/>
    <cellStyle name="Input 34" xfId="1192"/>
    <cellStyle name="Input 35" xfId="1193"/>
    <cellStyle name="Input 36" xfId="1194"/>
    <cellStyle name="Input 37" xfId="1195"/>
    <cellStyle name="Input 38" xfId="1196"/>
    <cellStyle name="Input 39" xfId="1197"/>
    <cellStyle name="Input 4" xfId="1198"/>
    <cellStyle name="Input 40" xfId="1199"/>
    <cellStyle name="Input 41" xfId="1200"/>
    <cellStyle name="Input 42" xfId="1201"/>
    <cellStyle name="Input 43" xfId="1202"/>
    <cellStyle name="Input 44" xfId="1203"/>
    <cellStyle name="Input 45" xfId="1621"/>
    <cellStyle name="Input 46" xfId="1593"/>
    <cellStyle name="Input 47" xfId="1619"/>
    <cellStyle name="Input 48" xfId="1592"/>
    <cellStyle name="Input 49" xfId="1620"/>
    <cellStyle name="Input 5" xfId="1204"/>
    <cellStyle name="Input 50" xfId="1631"/>
    <cellStyle name="Input 51" xfId="1622"/>
    <cellStyle name="Input 52" xfId="1632"/>
    <cellStyle name="Input 53" xfId="1623"/>
    <cellStyle name="Input 54" xfId="1633"/>
    <cellStyle name="Input 55" xfId="1625"/>
    <cellStyle name="Input 56" xfId="1636"/>
    <cellStyle name="Input 57" xfId="1640"/>
    <cellStyle name="Input 58" xfId="1644"/>
    <cellStyle name="Input 59" xfId="1648"/>
    <cellStyle name="Input 6" xfId="1205"/>
    <cellStyle name="Input 60" xfId="1652"/>
    <cellStyle name="Input 61" xfId="1656"/>
    <cellStyle name="Input 62" xfId="1660"/>
    <cellStyle name="Input 63" xfId="1664"/>
    <cellStyle name="Input 64" xfId="1668"/>
    <cellStyle name="Input 65" xfId="1672"/>
    <cellStyle name="Input 66" xfId="1676"/>
    <cellStyle name="Input 67" xfId="1680"/>
    <cellStyle name="Input 68" xfId="1684"/>
    <cellStyle name="Input 69" xfId="1688"/>
    <cellStyle name="Input 7" xfId="1206"/>
    <cellStyle name="Input 70" xfId="1692"/>
    <cellStyle name="Input 71" xfId="1696"/>
    <cellStyle name="Input 72" xfId="1737"/>
    <cellStyle name="Input 73" xfId="1610"/>
    <cellStyle name="Input 74" xfId="1739"/>
    <cellStyle name="Input 75" xfId="1609"/>
    <cellStyle name="Input 76" xfId="1740"/>
    <cellStyle name="Input 77" xfId="1611"/>
    <cellStyle name="Input 78" xfId="1741"/>
    <cellStyle name="Input 79" xfId="1614"/>
    <cellStyle name="Input 8" xfId="1207"/>
    <cellStyle name="Input 80" xfId="1736"/>
    <cellStyle name="Input 81" xfId="1756"/>
    <cellStyle name="Input 82" xfId="1738"/>
    <cellStyle name="Input 83" xfId="1764"/>
    <cellStyle name="Input 84" xfId="1744"/>
    <cellStyle name="Input 85" xfId="1765"/>
    <cellStyle name="Input 86" xfId="1745"/>
    <cellStyle name="Input 87" xfId="1769"/>
    <cellStyle name="Input 88" xfId="1752"/>
    <cellStyle name="Input 89" xfId="1772"/>
    <cellStyle name="Input 9" xfId="1208"/>
    <cellStyle name="Input 90" xfId="1776"/>
    <cellStyle name="Input 91" xfId="1780"/>
    <cellStyle name="Input 92" xfId="1784"/>
    <cellStyle name="Input 93" xfId="2700"/>
    <cellStyle name="Input 94" xfId="2741"/>
    <cellStyle name="Input 95" xfId="2699"/>
    <cellStyle name="Input 96" xfId="2742"/>
    <cellStyle name="Input 97" xfId="2701"/>
    <cellStyle name="Input 98" xfId="2744"/>
    <cellStyle name="Input 99" xfId="2698"/>
    <cellStyle name="Input Box" xfId="44"/>
    <cellStyle name="Input Currency" xfId="1209"/>
    <cellStyle name="Input Currency 2" xfId="2616"/>
    <cellStyle name="Input Date" xfId="1210"/>
    <cellStyle name="Input Date 2" xfId="2617"/>
    <cellStyle name="Input Fixed [0]" xfId="1211"/>
    <cellStyle name="Input Fixed [0] 2" xfId="2618"/>
    <cellStyle name="Input Normal" xfId="1212"/>
    <cellStyle name="Input Normal 2" xfId="2619"/>
    <cellStyle name="Input Percent" xfId="1213"/>
    <cellStyle name="Input Percent [2]" xfId="1214"/>
    <cellStyle name="Input Percent [2] 2" xfId="2621"/>
    <cellStyle name="Input Percent 10" xfId="3041"/>
    <cellStyle name="Input Percent 11" xfId="3153"/>
    <cellStyle name="Input Percent 12" xfId="3131"/>
    <cellStyle name="Input Percent 13" xfId="3190"/>
    <cellStyle name="Input Percent 14" xfId="3213"/>
    <cellStyle name="Input Percent 15" xfId="3078"/>
    <cellStyle name="Input Percent 16" xfId="3227"/>
    <cellStyle name="Input Percent 17" xfId="3205"/>
    <cellStyle name="Input Percent 2" xfId="2620"/>
    <cellStyle name="Input Percent 3" xfId="2849"/>
    <cellStyle name="Input Percent 4" xfId="2904"/>
    <cellStyle name="Input Percent 5" xfId="2890"/>
    <cellStyle name="Input Percent 6" xfId="2896"/>
    <cellStyle name="Input Percent 7" xfId="2914"/>
    <cellStyle name="Input Percent 8" xfId="2970"/>
    <cellStyle name="Input Percent 9" xfId="3004"/>
    <cellStyle name="Input Percent_~2144771" xfId="1215"/>
    <cellStyle name="Input Titles" xfId="1216"/>
    <cellStyle name="InputBlueFont" xfId="1217"/>
    <cellStyle name="InputNormal" xfId="1218"/>
    <cellStyle name="InputPct" xfId="1219"/>
    <cellStyle name="Integer" xfId="45"/>
    <cellStyle name="Integer 2" xfId="1220"/>
    <cellStyle name="Integer_Dados Operacionais" xfId="1221"/>
    <cellStyle name="Item" xfId="46"/>
    <cellStyle name="Item 2" xfId="1222"/>
    <cellStyle name="Item_Dados Operacionais" xfId="1223"/>
    <cellStyle name="Items_Optional" xfId="1224"/>
    <cellStyle name="ItemTypeClass" xfId="47"/>
    <cellStyle name="ItemTypeClass 2" xfId="1225"/>
    <cellStyle name="ItemTypeClass_Dados Operacionais" xfId="1226"/>
    <cellStyle name="jo[" xfId="48"/>
    <cellStyle name="jo[ 2" xfId="1227"/>
    <cellStyle name="jo[_Dados Operacionais" xfId="1228"/>
    <cellStyle name="Linked Cell 2" xfId="1229"/>
    <cellStyle name="Linked Cell 3" xfId="3267"/>
    <cellStyle name="M S SANS SERIF" xfId="1230"/>
    <cellStyle name="M S SANS SERIF 2" xfId="2622"/>
    <cellStyle name="MacroCode" xfId="1231"/>
    <cellStyle name="MacroCode 2" xfId="2623"/>
    <cellStyle name="Mike" xfId="1232"/>
    <cellStyle name="Mike 2" xfId="2624"/>
    <cellStyle name="Millares [0]_19 02 01" xfId="49"/>
    <cellStyle name="Millares [2]" xfId="50"/>
    <cellStyle name="Millares_19 02 01" xfId="51"/>
    <cellStyle name="Moedaᦠ[0]" xfId="1233"/>
    <cellStyle name="Moedaᦠ[0] 2" xfId="2625"/>
    <cellStyle name="Moneda [0]_19 02 01" xfId="52"/>
    <cellStyle name="Moneda_19 02 01" xfId="53"/>
    <cellStyle name="Morgan" xfId="1234"/>
    <cellStyle name="Multiple" xfId="1235"/>
    <cellStyle name="Multiple [0]" xfId="1236"/>
    <cellStyle name="Multiple [0] 2" xfId="2626"/>
    <cellStyle name="Multiple [1]" xfId="1237"/>
    <cellStyle name="Multiple [1] 2" xfId="2627"/>
    <cellStyle name="Multiple [2]" xfId="1238"/>
    <cellStyle name="Multiple [2] 2" xfId="2628"/>
    <cellStyle name="NA is zero" xfId="1239"/>
    <cellStyle name="NA is zero 2" xfId="2629"/>
    <cellStyle name="Neutra" xfId="1240"/>
    <cellStyle name="Neutral 2" xfId="1241"/>
    <cellStyle name="Neutral 3" xfId="3268"/>
    <cellStyle name="no dec" xfId="1242"/>
    <cellStyle name="No Decimal" xfId="1243"/>
    <cellStyle name="No Decimal 2" xfId="2630"/>
    <cellStyle name="No-definido" xfId="54"/>
    <cellStyle name="Normal" xfId="0" builtinId="0"/>
    <cellStyle name="Normal - Estilo1" xfId="1244"/>
    <cellStyle name="Normal - Estilo1 2" xfId="2631"/>
    <cellStyle name="Normal - Estilo2" xfId="1245"/>
    <cellStyle name="Normal - Estilo2 2" xfId="2632"/>
    <cellStyle name="Normal - Estilo3" xfId="1246"/>
    <cellStyle name="Normal - Estilo3 2" xfId="2633"/>
    <cellStyle name="Normal - Estilo4" xfId="1247"/>
    <cellStyle name="Normal - Estilo4 2" xfId="2634"/>
    <cellStyle name="Normal - Estilo5" xfId="1248"/>
    <cellStyle name="Normal - Estilo5 2" xfId="2635"/>
    <cellStyle name="Normal - Estilo6" xfId="1249"/>
    <cellStyle name="Normal - Estilo6 2" xfId="2636"/>
    <cellStyle name="Normal - Estilo7" xfId="1250"/>
    <cellStyle name="Normal - Estilo7 2" xfId="2637"/>
    <cellStyle name="Normal - Estilo8" xfId="1251"/>
    <cellStyle name="Normal - Estilo8 2" xfId="2638"/>
    <cellStyle name="Normal - Style1" xfId="55"/>
    <cellStyle name="Normal (%)" xfId="1252"/>
    <cellStyle name="Normal (%) 2" xfId="1253"/>
    <cellStyle name="Normal (%) 3" xfId="2639"/>
    <cellStyle name="Normal (%)_Dados Operacionais" xfId="1254"/>
    <cellStyle name="Normal (£m)" xfId="1255"/>
    <cellStyle name="Normal (£m) 2" xfId="2641"/>
    <cellStyle name="Normal (No)" xfId="1256"/>
    <cellStyle name="Normal (No) 2" xfId="1257"/>
    <cellStyle name="Normal (No) 3" xfId="2642"/>
    <cellStyle name="Normal (No)_Dados Operacionais" xfId="1258"/>
    <cellStyle name="Normal (x)" xfId="1259"/>
    <cellStyle name="Normal (x) 2" xfId="2644"/>
    <cellStyle name="Normal [0]" xfId="1260"/>
    <cellStyle name="Normal [0] 2" xfId="2645"/>
    <cellStyle name="Normal [1]" xfId="1261"/>
    <cellStyle name="Normal [1] 2" xfId="2646"/>
    <cellStyle name="Normal [2]" xfId="1262"/>
    <cellStyle name="Normal [2] 2" xfId="2647"/>
    <cellStyle name="Normal [3]" xfId="1263"/>
    <cellStyle name="Normal [3] 2" xfId="2648"/>
    <cellStyle name="Normal 10" xfId="1264"/>
    <cellStyle name="Normal 100" xfId="2655"/>
    <cellStyle name="Normal 101" xfId="2640"/>
    <cellStyle name="Normal 102" xfId="2612"/>
    <cellStyle name="Normal 103" xfId="2597"/>
    <cellStyle name="Normal 104" xfId="2577"/>
    <cellStyle name="Normal 105" xfId="2571"/>
    <cellStyle name="Normal 106" xfId="2561"/>
    <cellStyle name="Normal 107" xfId="1871"/>
    <cellStyle name="Normal 108" xfId="2753"/>
    <cellStyle name="Normal 109" xfId="2756"/>
    <cellStyle name="Normal 11" xfId="1265"/>
    <cellStyle name="Normal 110" xfId="2759"/>
    <cellStyle name="Normal 111" xfId="2762"/>
    <cellStyle name="Normal 112" xfId="2764"/>
    <cellStyle name="Normal 113" xfId="2766"/>
    <cellStyle name="Normal 114" xfId="2786"/>
    <cellStyle name="Normal 115" xfId="2790"/>
    <cellStyle name="Normal 116" xfId="2793"/>
    <cellStyle name="Normal 117" xfId="2789"/>
    <cellStyle name="Normal 118" xfId="2799"/>
    <cellStyle name="Normal 119" xfId="2802"/>
    <cellStyle name="Normal 12" xfId="1266"/>
    <cellStyle name="Normal 120" xfId="2804"/>
    <cellStyle name="Normal 121" xfId="2806"/>
    <cellStyle name="Normal 122" xfId="2808"/>
    <cellStyle name="Normal 123" xfId="2810"/>
    <cellStyle name="Normal 124" xfId="2812"/>
    <cellStyle name="Normal 125" xfId="2814"/>
    <cellStyle name="Normal 125 2" xfId="2943"/>
    <cellStyle name="Normal 125 2 2" xfId="3050"/>
    <cellStyle name="Normal 125 3" xfId="2972"/>
    <cellStyle name="Normal 125 3 2" xfId="3055"/>
    <cellStyle name="Normal 125 4" xfId="3012"/>
    <cellStyle name="Normal 125 4 2" xfId="3071"/>
    <cellStyle name="Normal 125 5" xfId="3043"/>
    <cellStyle name="Normal 125 6" xfId="3228"/>
    <cellStyle name="Normal 126" xfId="2817"/>
    <cellStyle name="Normal 126 2" xfId="2944"/>
    <cellStyle name="Normal 126 2 2" xfId="3051"/>
    <cellStyle name="Normal 126 3" xfId="2973"/>
    <cellStyle name="Normal 126 3 2" xfId="3056"/>
    <cellStyle name="Normal 126 4" xfId="3013"/>
    <cellStyle name="Normal 126 4 2" xfId="3072"/>
    <cellStyle name="Normal 126 5" xfId="3044"/>
    <cellStyle name="Normal 126 6" xfId="3229"/>
    <cellStyle name="Normal 127" xfId="2820"/>
    <cellStyle name="Normal 127 2" xfId="2945"/>
    <cellStyle name="Normal 127 2 2" xfId="3052"/>
    <cellStyle name="Normal 127 3" xfId="2974"/>
    <cellStyle name="Normal 127 3 2" xfId="3057"/>
    <cellStyle name="Normal 127 4" xfId="3014"/>
    <cellStyle name="Normal 127 4 2" xfId="3073"/>
    <cellStyle name="Normal 127 5" xfId="3045"/>
    <cellStyle name="Normal 127 6" xfId="3230"/>
    <cellStyle name="Normal 128" xfId="2823"/>
    <cellStyle name="Normal 128 2" xfId="2946"/>
    <cellStyle name="Normal 128 2 2" xfId="3053"/>
    <cellStyle name="Normal 128 3" xfId="2975"/>
    <cellStyle name="Normal 128 3 2" xfId="3058"/>
    <cellStyle name="Normal 128 4" xfId="3015"/>
    <cellStyle name="Normal 128 4 2" xfId="3074"/>
    <cellStyle name="Normal 128 5" xfId="3046"/>
    <cellStyle name="Normal 128 6" xfId="3231"/>
    <cellStyle name="Normal 129" xfId="2826"/>
    <cellStyle name="Normal 129 2" xfId="2947"/>
    <cellStyle name="Normal 129 2 2" xfId="3054"/>
    <cellStyle name="Normal 129 3" xfId="2976"/>
    <cellStyle name="Normal 129 3 2" xfId="3059"/>
    <cellStyle name="Normal 129 4" xfId="3016"/>
    <cellStyle name="Normal 129 4 2" xfId="3075"/>
    <cellStyle name="Normal 129 5" xfId="3047"/>
    <cellStyle name="Normal 129 6" xfId="3232"/>
    <cellStyle name="Normal 13" xfId="1267"/>
    <cellStyle name="Normal 130" xfId="2851"/>
    <cellStyle name="Normal 130 2" xfId="3048"/>
    <cellStyle name="Normal 131" xfId="2854"/>
    <cellStyle name="Normal 131 2" xfId="3049"/>
    <cellStyle name="Normal 132" xfId="2977"/>
    <cellStyle name="Normal 132 2" xfId="3060"/>
    <cellStyle name="Normal 133" xfId="2982"/>
    <cellStyle name="Normal 133 2" xfId="3063"/>
    <cellStyle name="Normal 134" xfId="3011"/>
    <cellStyle name="Normal 134 2" xfId="3070"/>
    <cellStyle name="Normal 135" xfId="3009"/>
    <cellStyle name="Normal 135 2" xfId="3068"/>
    <cellStyle name="Normal 136" xfId="3010"/>
    <cellStyle name="Normal 136 2" xfId="3069"/>
    <cellStyle name="Normal 137" xfId="3017"/>
    <cellStyle name="Normal 138" xfId="101"/>
    <cellStyle name="Normal 139" xfId="3236"/>
    <cellStyle name="Normal 14" xfId="1268"/>
    <cellStyle name="Normal 15" xfId="1269"/>
    <cellStyle name="Normal 16" xfId="1270"/>
    <cellStyle name="Normal 17" xfId="1271"/>
    <cellStyle name="Normal 18" xfId="1272"/>
    <cellStyle name="Normal 19" xfId="1273"/>
    <cellStyle name="Normal 2" xfId="56"/>
    <cellStyle name="Normal 2 2" xfId="86"/>
    <cellStyle name="Normal 2 3" xfId="3021"/>
    <cellStyle name="Normal 2 4" xfId="1274"/>
    <cellStyle name="Normal 2_Dados Operacionais" xfId="1275"/>
    <cellStyle name="Normal 20" xfId="1276"/>
    <cellStyle name="Normal 21" xfId="1277"/>
    <cellStyle name="Normal 22" xfId="1278"/>
    <cellStyle name="Normal 23" xfId="1279"/>
    <cellStyle name="Normal 24" xfId="1280"/>
    <cellStyle name="Normal 25" xfId="1281"/>
    <cellStyle name="Normal 26" xfId="1282"/>
    <cellStyle name="Normal 27" xfId="1283"/>
    <cellStyle name="Normal 28" xfId="1284"/>
    <cellStyle name="Normal 29" xfId="1285"/>
    <cellStyle name="Normal 3" xfId="57"/>
    <cellStyle name="Normal 30" xfId="1286"/>
    <cellStyle name="Normal 31" xfId="1287"/>
    <cellStyle name="Normal 32" xfId="1288"/>
    <cellStyle name="Normal 33" xfId="1289"/>
    <cellStyle name="Normal 34" xfId="1290"/>
    <cellStyle name="Normal 35" xfId="1291"/>
    <cellStyle name="Normal 36" xfId="1292"/>
    <cellStyle name="Normal 37" xfId="1293"/>
    <cellStyle name="Normal 38" xfId="1294"/>
    <cellStyle name="Normal 39" xfId="1295"/>
    <cellStyle name="Normal 4" xfId="2"/>
    <cellStyle name="Normal 4 2" xfId="88"/>
    <cellStyle name="Normal 4 3" xfId="1296"/>
    <cellStyle name="Normal 40" xfId="1297"/>
    <cellStyle name="Normal 41" xfId="1298"/>
    <cellStyle name="Normal 42" xfId="1299"/>
    <cellStyle name="Normal 43" xfId="1300"/>
    <cellStyle name="Normal 44" xfId="1301"/>
    <cellStyle name="Normal 45" xfId="1302"/>
    <cellStyle name="Normal 46" xfId="1589"/>
    <cellStyle name="Normal 47" xfId="1590"/>
    <cellStyle name="Normal 48" xfId="1591"/>
    <cellStyle name="Normal 49" xfId="1630"/>
    <cellStyle name="Normal 5" xfId="76"/>
    <cellStyle name="Normal 5 2" xfId="1303"/>
    <cellStyle name="Normal 50" xfId="1638"/>
    <cellStyle name="Normal 51" xfId="1642"/>
    <cellStyle name="Normal 52" xfId="1646"/>
    <cellStyle name="Normal 53" xfId="1650"/>
    <cellStyle name="Normal 54" xfId="1654"/>
    <cellStyle name="Normal 55" xfId="1658"/>
    <cellStyle name="Normal 56" xfId="1662"/>
    <cellStyle name="Normal 57" xfId="1666"/>
    <cellStyle name="Normal 58" xfId="1670"/>
    <cellStyle name="Normal 59" xfId="1674"/>
    <cellStyle name="Normal 6" xfId="80"/>
    <cellStyle name="Normal 6 2" xfId="1304"/>
    <cellStyle name="Normal 60" xfId="1678"/>
    <cellStyle name="Normal 61" xfId="1682"/>
    <cellStyle name="Normal 62" xfId="1686"/>
    <cellStyle name="Normal 63" xfId="1690"/>
    <cellStyle name="Normal 64" xfId="1694"/>
    <cellStyle name="Normal 65" xfId="1698"/>
    <cellStyle name="Normal 66" xfId="1702"/>
    <cellStyle name="Normal 67" xfId="1705"/>
    <cellStyle name="Normal 68" xfId="1709"/>
    <cellStyle name="Normal 69" xfId="1712"/>
    <cellStyle name="Normal 7" xfId="100"/>
    <cellStyle name="Normal 7 2" xfId="1305"/>
    <cellStyle name="Normal 70" xfId="1716"/>
    <cellStyle name="Normal 71" xfId="1719"/>
    <cellStyle name="Normal 72" xfId="1723"/>
    <cellStyle name="Normal 73" xfId="1726"/>
    <cellStyle name="Normal 74" xfId="1730"/>
    <cellStyle name="Normal 75" xfId="1616"/>
    <cellStyle name="Normal 76" xfId="1746"/>
    <cellStyle name="Normal 77" xfId="1749"/>
    <cellStyle name="Normal 78" xfId="1754"/>
    <cellStyle name="Normal 79" xfId="1758"/>
    <cellStyle name="Normal 8" xfId="1306"/>
    <cellStyle name="Normal 80" xfId="1762"/>
    <cellStyle name="Normal 81" xfId="1766"/>
    <cellStyle name="Normal 82" xfId="1768"/>
    <cellStyle name="Normal 83" xfId="1774"/>
    <cellStyle name="Normal 84" xfId="1778"/>
    <cellStyle name="Normal 85" xfId="1782"/>
    <cellStyle name="Normal 86" xfId="1786"/>
    <cellStyle name="Normal 87" xfId="1790"/>
    <cellStyle name="Normal 88" xfId="1794"/>
    <cellStyle name="Normal 89" xfId="1798"/>
    <cellStyle name="Normal 9" xfId="1307"/>
    <cellStyle name="Normal 90" xfId="1801"/>
    <cellStyle name="Normal 91" xfId="1805"/>
    <cellStyle name="Normal 92" xfId="1808"/>
    <cellStyle name="Normal 93" xfId="1811"/>
    <cellStyle name="Normal 94" xfId="1814"/>
    <cellStyle name="Normal 95" xfId="1818"/>
    <cellStyle name="Normal 96" xfId="2749"/>
    <cellStyle name="Normal 97" xfId="2690"/>
    <cellStyle name="Normal 98" xfId="2681"/>
    <cellStyle name="Normal 99" xfId="2665"/>
    <cellStyle name="Normal Bold" xfId="1308"/>
    <cellStyle name="Normal Pct" xfId="1309"/>
    <cellStyle name="Normal Pct 2" xfId="2650"/>
    <cellStyle name="NormalBold" xfId="1310"/>
    <cellStyle name="NormalGB" xfId="1311"/>
    <cellStyle name="NormalGB 2" xfId="2651"/>
    <cellStyle name="Nota" xfId="1312"/>
    <cellStyle name="Nota 2" xfId="2652"/>
    <cellStyle name="Note 2" xfId="1624"/>
    <cellStyle name="Note 3" xfId="2653"/>
    <cellStyle name="Note 4" xfId="1313"/>
    <cellStyle name="Notes" xfId="1314"/>
    <cellStyle name="notetotal" xfId="1315"/>
    <cellStyle name="NPPESalesPct" xfId="1316"/>
    <cellStyle name="NPPESalesPct 2" xfId="2654"/>
    <cellStyle name="Nulos" xfId="58"/>
    <cellStyle name="Number" xfId="1317"/>
    <cellStyle name="Number [0]" xfId="1318"/>
    <cellStyle name="Number [0] 2" xfId="2656"/>
    <cellStyle name="Number [1]" xfId="1319"/>
    <cellStyle name="Number [1] 2" xfId="2657"/>
    <cellStyle name="Number [2]" xfId="1320"/>
    <cellStyle name="Number [2] 2" xfId="2658"/>
    <cellStyle name="Number 10" xfId="1321"/>
    <cellStyle name="Number 11" xfId="1322"/>
    <cellStyle name="Number 12" xfId="1323"/>
    <cellStyle name="Number 13" xfId="1324"/>
    <cellStyle name="Number 14" xfId="1325"/>
    <cellStyle name="Number 15" xfId="1326"/>
    <cellStyle name="Number 16" xfId="1327"/>
    <cellStyle name="Number 17" xfId="1328"/>
    <cellStyle name="Number 18" xfId="1329"/>
    <cellStyle name="Number 19" xfId="1330"/>
    <cellStyle name="Number 2" xfId="1331"/>
    <cellStyle name="Number 20" xfId="1332"/>
    <cellStyle name="Number 21" xfId="1333"/>
    <cellStyle name="Number 22" xfId="1334"/>
    <cellStyle name="Number 23" xfId="1335"/>
    <cellStyle name="Number 24" xfId="1336"/>
    <cellStyle name="Number 25" xfId="1337"/>
    <cellStyle name="Number 26" xfId="1338"/>
    <cellStyle name="Number 27" xfId="1339"/>
    <cellStyle name="Number 28" xfId="1340"/>
    <cellStyle name="Number 29" xfId="1341"/>
    <cellStyle name="Number 3" xfId="1342"/>
    <cellStyle name="Number 30" xfId="1343"/>
    <cellStyle name="Number 31" xfId="1344"/>
    <cellStyle name="Number 32" xfId="1345"/>
    <cellStyle name="Number 33" xfId="1346"/>
    <cellStyle name="Number 34" xfId="1347"/>
    <cellStyle name="Number 35" xfId="1348"/>
    <cellStyle name="Number 36" xfId="1349"/>
    <cellStyle name="Number 37" xfId="1350"/>
    <cellStyle name="Number 38" xfId="1351"/>
    <cellStyle name="Number 39" xfId="1352"/>
    <cellStyle name="Number 4" xfId="1353"/>
    <cellStyle name="Number 40" xfId="1354"/>
    <cellStyle name="Number 41" xfId="1355"/>
    <cellStyle name="Number 42" xfId="1356"/>
    <cellStyle name="Number 43" xfId="1357"/>
    <cellStyle name="Number 44" xfId="1358"/>
    <cellStyle name="Number 5" xfId="1359"/>
    <cellStyle name="Number 6" xfId="1360"/>
    <cellStyle name="Number 7" xfId="1361"/>
    <cellStyle name="Number 8" xfId="1362"/>
    <cellStyle name="Number 9" xfId="1363"/>
    <cellStyle name="Number[2]" xfId="1364"/>
    <cellStyle name="Number[2] 2" xfId="2662"/>
    <cellStyle name="Number_Dados Operacionais" xfId="1365"/>
    <cellStyle name="NumberX" xfId="1366"/>
    <cellStyle name="numero0" xfId="1367"/>
    <cellStyle name="Numero1" xfId="1368"/>
    <cellStyle name="Número2" xfId="1369"/>
    <cellStyle name="NWI%S" xfId="1370"/>
    <cellStyle name="NWI%S 2" xfId="2663"/>
    <cellStyle name="N嗯rmal_Workbook1 Chart 2" xfId="1371"/>
    <cellStyle name="Œ…‹æØ‚è [0.00]_GE 3 MINIMUM" xfId="1372"/>
    <cellStyle name="Œ…‹æØ‚è_GE 3 MINIMUM" xfId="1373"/>
    <cellStyle name="Oficio" xfId="59"/>
    <cellStyle name="OT" xfId="89"/>
    <cellStyle name="Output 2" xfId="1374"/>
    <cellStyle name="Output 3" xfId="3269"/>
    <cellStyle name="Output Amounts" xfId="1375"/>
    <cellStyle name="Output Column Headings" xfId="1376"/>
    <cellStyle name="Output Labels" xfId="1377"/>
    <cellStyle name="Output Line Items" xfId="1378"/>
    <cellStyle name="Output Report Heading" xfId="1379"/>
    <cellStyle name="Output Report Title" xfId="1380"/>
    <cellStyle name="Page Number" xfId="1381"/>
    <cellStyle name="Pagina" xfId="1382"/>
    <cellStyle name="pc1" xfId="1383"/>
    <cellStyle name="pc1 2" xfId="2664"/>
    <cellStyle name="Percent [0%]" xfId="1384"/>
    <cellStyle name="Percent [0%] 2" xfId="2666"/>
    <cellStyle name="Percent [0.00%]" xfId="1385"/>
    <cellStyle name="Percent [0.00%] 2" xfId="2667"/>
    <cellStyle name="Percent [0]" xfId="1386"/>
    <cellStyle name="Percent [0] 2" xfId="2668"/>
    <cellStyle name="Percent [1]" xfId="1387"/>
    <cellStyle name="Percent [1] 2" xfId="2669"/>
    <cellStyle name="Percent [2]" xfId="1388"/>
    <cellStyle name="Percent [2] 2" xfId="2670"/>
    <cellStyle name="Percent 10" xfId="1389"/>
    <cellStyle name="Percent 100" xfId="2694"/>
    <cellStyle name="Percent 101" xfId="2746"/>
    <cellStyle name="Percent 102" xfId="2691"/>
    <cellStyle name="Percent 103" xfId="2661"/>
    <cellStyle name="Percent 104" xfId="2671"/>
    <cellStyle name="Percent 105" xfId="2659"/>
    <cellStyle name="Percent 106" xfId="2643"/>
    <cellStyle name="Percent 107" xfId="2613"/>
    <cellStyle name="Percent 108" xfId="2598"/>
    <cellStyle name="Percent 109" xfId="2578"/>
    <cellStyle name="Percent 11" xfId="1390"/>
    <cellStyle name="Percent 110" xfId="2572"/>
    <cellStyle name="Percent 111" xfId="2750"/>
    <cellStyle name="Percent 112" xfId="2573"/>
    <cellStyle name="Percent 113" xfId="2752"/>
    <cellStyle name="Percent 114" xfId="2755"/>
    <cellStyle name="Percent 115" xfId="2758"/>
    <cellStyle name="Percent 116" xfId="2761"/>
    <cellStyle name="Percent 117" xfId="2785"/>
    <cellStyle name="Percent 118" xfId="2787"/>
    <cellStyle name="Percent 119" xfId="2791"/>
    <cellStyle name="Percent 12" xfId="1391"/>
    <cellStyle name="Percent 120" xfId="2794"/>
    <cellStyle name="Percent 121" xfId="2797"/>
    <cellStyle name="Percent 122" xfId="2800"/>
    <cellStyle name="Percent 123" xfId="2803"/>
    <cellStyle name="Percent 124" xfId="2805"/>
    <cellStyle name="Percent 125" xfId="2807"/>
    <cellStyle name="Percent 126" xfId="2809"/>
    <cellStyle name="Percent 127" xfId="2811"/>
    <cellStyle name="Percent 128" xfId="2813"/>
    <cellStyle name="Percent 129" xfId="2815"/>
    <cellStyle name="Percent 13" xfId="1392"/>
    <cellStyle name="Percent 130" xfId="2818"/>
    <cellStyle name="Percent 131" xfId="2821"/>
    <cellStyle name="Percent 132" xfId="2824"/>
    <cellStyle name="Percent 133" xfId="2827"/>
    <cellStyle name="Percent 134" xfId="2852"/>
    <cellStyle name="Percent 135" xfId="2855"/>
    <cellStyle name="Percent 136" xfId="3019"/>
    <cellStyle name="Percent 137" xfId="3270"/>
    <cellStyle name="Percent 14" xfId="1393"/>
    <cellStyle name="Percent 15" xfId="1394"/>
    <cellStyle name="Percent 16" xfId="1395"/>
    <cellStyle name="Percent 17" xfId="1396"/>
    <cellStyle name="Percent 18" xfId="1397"/>
    <cellStyle name="Percent 19" xfId="1398"/>
    <cellStyle name="Percent 2" xfId="61"/>
    <cellStyle name="Percent 2 2" xfId="81"/>
    <cellStyle name="Percent 20" xfId="1399"/>
    <cellStyle name="Percent 21" xfId="1400"/>
    <cellStyle name="Percent 22" xfId="1401"/>
    <cellStyle name="Percent 23" xfId="1402"/>
    <cellStyle name="Percent 24" xfId="1403"/>
    <cellStyle name="Percent 25" xfId="1404"/>
    <cellStyle name="Percent 26" xfId="1405"/>
    <cellStyle name="Percent 27" xfId="1406"/>
    <cellStyle name="Percent 28" xfId="1407"/>
    <cellStyle name="Percent 29" xfId="1408"/>
    <cellStyle name="Percent 3" xfId="62"/>
    <cellStyle name="Percent 3 2" xfId="2673"/>
    <cellStyle name="Percent 3 3" xfId="1409"/>
    <cellStyle name="Percent 30" xfId="1410"/>
    <cellStyle name="Percent 31" xfId="1411"/>
    <cellStyle name="Percent 32" xfId="1412"/>
    <cellStyle name="Percent 33" xfId="1413"/>
    <cellStyle name="Percent 34" xfId="1414"/>
    <cellStyle name="Percent 35" xfId="1415"/>
    <cellStyle name="Percent 36" xfId="1416"/>
    <cellStyle name="Percent 37" xfId="1417"/>
    <cellStyle name="Percent 38" xfId="1418"/>
    <cellStyle name="Percent 39" xfId="1419"/>
    <cellStyle name="Percent 4" xfId="60"/>
    <cellStyle name="Percent 4 2" xfId="2674"/>
    <cellStyle name="Percent 40" xfId="1420"/>
    <cellStyle name="Percent 41" xfId="1421"/>
    <cellStyle name="Percent 42" xfId="1422"/>
    <cellStyle name="Percent 43" xfId="1423"/>
    <cellStyle name="Percent 44" xfId="1424"/>
    <cellStyle name="Percent 45" xfId="1425"/>
    <cellStyle name="Percent 46" xfId="1426"/>
    <cellStyle name="Percent 47" xfId="1427"/>
    <cellStyle name="Percent 48" xfId="1428"/>
    <cellStyle name="Percent 49" xfId="1429"/>
    <cellStyle name="Percent 5" xfId="82"/>
    <cellStyle name="Percent 5 2" xfId="2675"/>
    <cellStyle name="Percent 5 3" xfId="1430"/>
    <cellStyle name="Percent 50" xfId="1431"/>
    <cellStyle name="Percent 51" xfId="1432"/>
    <cellStyle name="Percent 52" xfId="1626"/>
    <cellStyle name="Percent 53" xfId="1634"/>
    <cellStyle name="Percent 54" xfId="1628"/>
    <cellStyle name="Percent 55" xfId="1637"/>
    <cellStyle name="Percent 56" xfId="1641"/>
    <cellStyle name="Percent 57" xfId="1645"/>
    <cellStyle name="Percent 58" xfId="1649"/>
    <cellStyle name="Percent 59" xfId="1653"/>
    <cellStyle name="Percent 6" xfId="93"/>
    <cellStyle name="Percent 6 2" xfId="2676"/>
    <cellStyle name="Percent 6 3" xfId="1433"/>
    <cellStyle name="Percent 60" xfId="1657"/>
    <cellStyle name="Percent 61" xfId="1661"/>
    <cellStyle name="Percent 62" xfId="1665"/>
    <cellStyle name="Percent 63" xfId="1669"/>
    <cellStyle name="Percent 64" xfId="1673"/>
    <cellStyle name="Percent 65" xfId="1677"/>
    <cellStyle name="Percent 66" xfId="1681"/>
    <cellStyle name="Percent 67" xfId="1685"/>
    <cellStyle name="Percent 68" xfId="1689"/>
    <cellStyle name="Percent 69" xfId="1693"/>
    <cellStyle name="Percent 7" xfId="87"/>
    <cellStyle name="Percent 7 2" xfId="2677"/>
    <cellStyle name="Percent 7 3" xfId="1434"/>
    <cellStyle name="Percent 70" xfId="1697"/>
    <cellStyle name="Percent 71" xfId="1701"/>
    <cellStyle name="Percent 72" xfId="1704"/>
    <cellStyle name="Percent 73" xfId="1708"/>
    <cellStyle name="Percent 74" xfId="1711"/>
    <cellStyle name="Percent 75" xfId="1715"/>
    <cellStyle name="Percent 76" xfId="1718"/>
    <cellStyle name="Percent 77" xfId="1722"/>
    <cellStyle name="Percent 78" xfId="1725"/>
    <cellStyle name="Percent 79" xfId="1742"/>
    <cellStyle name="Percent 8" xfId="84"/>
    <cellStyle name="Percent 8 2" xfId="2678"/>
    <cellStyle name="Percent 8 3" xfId="1435"/>
    <cellStyle name="Percent 80" xfId="1615"/>
    <cellStyle name="Percent 81" xfId="1750"/>
    <cellStyle name="Percent 82" xfId="1748"/>
    <cellStyle name="Percent 83" xfId="1753"/>
    <cellStyle name="Percent 84" xfId="1757"/>
    <cellStyle name="Percent 85" xfId="1761"/>
    <cellStyle name="Percent 86" xfId="1770"/>
    <cellStyle name="Percent 87" xfId="1760"/>
    <cellStyle name="Percent 88" xfId="1773"/>
    <cellStyle name="Percent 89" xfId="1777"/>
    <cellStyle name="Percent 9" xfId="1436"/>
    <cellStyle name="Percent 90" xfId="1781"/>
    <cellStyle name="Percent 91" xfId="1785"/>
    <cellStyle name="Percent 92" xfId="1789"/>
    <cellStyle name="Percent 93" xfId="1793"/>
    <cellStyle name="Percent 94" xfId="1797"/>
    <cellStyle name="Percent 95" xfId="1800"/>
    <cellStyle name="Percent 96" xfId="1804"/>
    <cellStyle name="Percent 97" xfId="1807"/>
    <cellStyle name="Percent 98" xfId="1810"/>
    <cellStyle name="Percent 99" xfId="1813"/>
    <cellStyle name="PercentChange" xfId="63"/>
    <cellStyle name="PercentChange 2" xfId="1437"/>
    <cellStyle name="PercentChange_Dados Operacionais" xfId="1438"/>
    <cellStyle name="PercentSales" xfId="1439"/>
    <cellStyle name="PercentSales 2" xfId="2679"/>
    <cellStyle name="planilhas" xfId="1440"/>
    <cellStyle name="Porcentagem" xfId="1" builtinId="5"/>
    <cellStyle name="Porcentagem 2" xfId="1441"/>
    <cellStyle name="Porcentagem 2 2" xfId="2978"/>
    <cellStyle name="Porcentagem 2 2 2" xfId="3061"/>
    <cellStyle name="Porcentagem 3" xfId="2979"/>
    <cellStyle name="Porcentagem%" xfId="1442"/>
    <cellStyle name="Porcentagem% 2" xfId="2680"/>
    <cellStyle name="Porcentual_mov_dolar" xfId="64"/>
    <cellStyle name="Premissas" xfId="1443"/>
    <cellStyle name="Projeções" xfId="1444"/>
    <cellStyle name="Punto0" xfId="1445"/>
    <cellStyle name="Punto0 - Estilo6" xfId="1446"/>
    <cellStyle name="Ratio" xfId="65"/>
    <cellStyle name="RatioX" xfId="66"/>
    <cellStyle name="RatioX 2" xfId="1447"/>
    <cellStyle name="RatioX_Dados Operacionais" xfId="1448"/>
    <cellStyle name="Red" xfId="1449"/>
    <cellStyle name="Red font" xfId="1450"/>
    <cellStyle name="Red Text" xfId="67"/>
    <cellStyle name="Roadrunner" xfId="1451"/>
    <cellStyle name="Roadrunner 2" xfId="2684"/>
    <cellStyle name="s" xfId="1452"/>
    <cellStyle name="s_Dados Operacionais" xfId="1453"/>
    <cellStyle name="s_DCFLBO Code" xfId="1454"/>
    <cellStyle name="s_DCFLBO Code_1" xfId="1455"/>
    <cellStyle name="s_DCFLBO Code_1_Dados Operacionais" xfId="1456"/>
    <cellStyle name="s_DCFLBO Code_1_Sheet1" xfId="1457"/>
    <cellStyle name="s_Sheet1" xfId="1458"/>
    <cellStyle name="Saída" xfId="1459"/>
    <cellStyle name="Salomon Logo" xfId="1460"/>
    <cellStyle name="Salomon Logo 2" xfId="2685"/>
    <cellStyle name="SAPBEXaggData" xfId="1461"/>
    <cellStyle name="SAPBEXaggDataEmph" xfId="1462"/>
    <cellStyle name="SAPBEXaggItem" xfId="1463"/>
    <cellStyle name="SAPBEXchaText" xfId="1464"/>
    <cellStyle name="SAPBEXexcBad7" xfId="1465"/>
    <cellStyle name="SAPBEXexcBad8" xfId="1466"/>
    <cellStyle name="SAPBEXexcBad9" xfId="1467"/>
    <cellStyle name="SAPBEXexcCritical4" xfId="1468"/>
    <cellStyle name="SAPBEXexcCritical5" xfId="1469"/>
    <cellStyle name="SAPBEXexcCritical6" xfId="1470"/>
    <cellStyle name="SAPBEXexcGood1" xfId="1471"/>
    <cellStyle name="SAPBEXexcGood2" xfId="1472"/>
    <cellStyle name="SAPBEXexcGood3" xfId="1473"/>
    <cellStyle name="SAPBEXfilterDrill" xfId="1474"/>
    <cellStyle name="SAPBEXfilterItem" xfId="1475"/>
    <cellStyle name="SAPBEXfilterText" xfId="1476"/>
    <cellStyle name="SAPBEXformats" xfId="1477"/>
    <cellStyle name="SAPBEXheaderItem" xfId="1478"/>
    <cellStyle name="SAPBEXheaderItem 2" xfId="2686"/>
    <cellStyle name="SAPBEXheaderText" xfId="1479"/>
    <cellStyle name="SAPBEXheaderText 2" xfId="2687"/>
    <cellStyle name="SAPBEXresData" xfId="1480"/>
    <cellStyle name="SAPBEXresDataEmph" xfId="1481"/>
    <cellStyle name="SAPBEXresItem" xfId="1482"/>
    <cellStyle name="SAPBEXstdData" xfId="1483"/>
    <cellStyle name="SAPBEXstdDataEmph" xfId="1484"/>
    <cellStyle name="SAPBEXstdItem" xfId="1485"/>
    <cellStyle name="SAPBEXtitle" xfId="1486"/>
    <cellStyle name="SAPBEXundefined" xfId="1487"/>
    <cellStyle name="ScripFactor" xfId="68"/>
    <cellStyle name="SectionHeading" xfId="69"/>
    <cellStyle name="SectionHeading 2" xfId="1488"/>
    <cellStyle name="SectionHeading_CUSMask" xfId="1489"/>
    <cellStyle name="Sep. milhar [0]" xfId="70"/>
    <cellStyle name="Separador de milhares" xfId="3235" builtinId="3"/>
    <cellStyle name="Separador de milhares 2" xfId="1490"/>
    <cellStyle name="Separador de milhares 2 2" xfId="2980"/>
    <cellStyle name="Shading" xfId="71"/>
    <cellStyle name="Single Accounting" xfId="1491"/>
    <cellStyle name="Source" xfId="1492"/>
    <cellStyle name="Standard" xfId="72"/>
    <cellStyle name="Strange" xfId="1493"/>
    <cellStyle name="Strange 2" xfId="2688"/>
    <cellStyle name="Style 1" xfId="1494"/>
    <cellStyle name="Style 1 2" xfId="1495"/>
    <cellStyle name="Style 1 3" xfId="2689"/>
    <cellStyle name="Style 1_Dados Operacionais" xfId="1496"/>
    <cellStyle name="Style 21" xfId="1497"/>
    <cellStyle name="Style 22" xfId="1498"/>
    <cellStyle name="Style 23" xfId="1499"/>
    <cellStyle name="Style 24" xfId="1500"/>
    <cellStyle name="Style 25" xfId="1501"/>
    <cellStyle name="Style 26" xfId="1502"/>
    <cellStyle name="Style 27" xfId="1503"/>
    <cellStyle name="Style 28" xfId="1504"/>
    <cellStyle name="Style 29" xfId="1505"/>
    <cellStyle name="Style 30" xfId="1506"/>
    <cellStyle name="Style 31" xfId="1507"/>
    <cellStyle name="Table Head" xfId="1508"/>
    <cellStyle name="Table Head Aligned" xfId="1509"/>
    <cellStyle name="Table Head Blue" xfId="1510"/>
    <cellStyle name="Table Head Green" xfId="1511"/>
    <cellStyle name="Table Head_IPQ Comps" xfId="1512"/>
    <cellStyle name="Table Text" xfId="1513"/>
    <cellStyle name="Table Text 2" xfId="2697"/>
    <cellStyle name="Table Title" xfId="1514"/>
    <cellStyle name="Table Title 2" xfId="1515"/>
    <cellStyle name="Table Title_Dados Operacionais" xfId="1516"/>
    <cellStyle name="Table Units" xfId="1517"/>
    <cellStyle name="Table Units 2" xfId="1518"/>
    <cellStyle name="Table Units_Dados Operacionais" xfId="1519"/>
    <cellStyle name="Table_Header" xfId="1520"/>
    <cellStyle name="Test [green]" xfId="1521"/>
    <cellStyle name="Test [green] 2" xfId="2704"/>
    <cellStyle name="Text 1" xfId="1522"/>
    <cellStyle name="Text 1 2" xfId="2705"/>
    <cellStyle name="Text Head 1" xfId="1523"/>
    <cellStyle name="Text Head 1 2" xfId="2706"/>
    <cellStyle name="Texto de Aviso" xfId="1524"/>
    <cellStyle name="Texto Explicativo" xfId="1525"/>
    <cellStyle name="TFCF" xfId="1526"/>
    <cellStyle name="Times 10" xfId="1527"/>
    <cellStyle name="Times 10 2" xfId="2707"/>
    <cellStyle name="Times 12" xfId="1528"/>
    <cellStyle name="Title 2" xfId="1530"/>
    <cellStyle name="Title 3" xfId="1529"/>
    <cellStyle name="Title 4" xfId="3271"/>
    <cellStyle name="Titles" xfId="73"/>
    <cellStyle name="Titles 2" xfId="1531"/>
    <cellStyle name="Titles_cusLUPA" xfId="1532"/>
    <cellStyle name="Título" xfId="1533"/>
    <cellStyle name="Título 1" xfId="1534"/>
    <cellStyle name="Título 2" xfId="1535"/>
    <cellStyle name="Título 3" xfId="1536"/>
    <cellStyle name="Título 4" xfId="1537"/>
    <cellStyle name="TopGrey" xfId="1538"/>
    <cellStyle name="TopGrey 2" xfId="2708"/>
    <cellStyle name="Total 2" xfId="1629"/>
    <cellStyle name="Total 3" xfId="2709"/>
    <cellStyle name="Total 4" xfId="1539"/>
    <cellStyle name="Total 5" xfId="3272"/>
    <cellStyle name="ubordinated Debt" xfId="1540"/>
    <cellStyle name="Underline_Single" xfId="1541"/>
    <cellStyle name="US$#,##0" xfId="1542"/>
    <cellStyle name="US$#,##0.00" xfId="1543"/>
    <cellStyle name="vaca" xfId="74"/>
    <cellStyle name="Warning Text 2" xfId="1544"/>
    <cellStyle name="White" xfId="1545"/>
    <cellStyle name="x" xfId="1546"/>
    <cellStyle name="x 2" xfId="2710"/>
    <cellStyle name="x_01 AVP_ Project Infinitum" xfId="1547"/>
    <cellStyle name="x_01 AVP_ Project Infinitum 2" xfId="2711"/>
    <cellStyle name="x_01_WACC Colombia_Analysis" xfId="1548"/>
    <cellStyle name="x_01_WACC Colombia_Analysis 2" xfId="2712"/>
    <cellStyle name="x_04 WACC Vivax" xfId="1549"/>
    <cellStyle name="x_04 WACC Vivax 2" xfId="2713"/>
    <cellStyle name="x_avp" xfId="1550"/>
    <cellStyle name="x_avp 2" xfId="2714"/>
    <cellStyle name="x_AVP_ NewCo" xfId="1551"/>
    <cellStyle name="x_AVP_ NewCo 2" xfId="2715"/>
    <cellStyle name="x_Sovereign Bonds 060705" xfId="1552"/>
    <cellStyle name="x_Sovereign Bonds 060705 (version 1)" xfId="1553"/>
    <cellStyle name="x_Sovereign Bonds 060705 (version 1) 2" xfId="2717"/>
    <cellStyle name="x_Sovereign Bonds 060705 (version 1)_01 NET DCF Model" xfId="1554"/>
    <cellStyle name="x_Sovereign Bonds 060705 (version 1)_01 NET DCF Model 2" xfId="2718"/>
    <cellStyle name="x_Sovereign Bonds 060705 (version 1)_03 Embratel DCF Model_Loscos" xfId="1555"/>
    <cellStyle name="x_Sovereign Bonds 060705 (version 1)_03 Embratel DCF Model_Loscos 2" xfId="2719"/>
    <cellStyle name="x_Sovereign Bonds 060705 (version 1)_05 NET DCF Model" xfId="1556"/>
    <cellStyle name="x_Sovereign Bonds 060705 (version 1)_05 NET DCF Model 2" xfId="2720"/>
    <cellStyle name="x_Sovereign Bonds 060705 (version 1)_05 TMX Brazil DCF Model" xfId="1557"/>
    <cellStyle name="x_Sovereign Bonds 060705 (version 1)_05 TMX Brazil DCF Model 2" xfId="2721"/>
    <cellStyle name="x_Sovereign Bonds 060705 (version 1)_Consolidação" xfId="1558"/>
    <cellStyle name="x_Sovereign Bonds 060705 (version 1)_Consolidação 2" xfId="2722"/>
    <cellStyle name="x_Sovereign Bonds 060705 (version 1)_Consolidação IMOB" xfId="1559"/>
    <cellStyle name="x_Sovereign Bonds 060705 (version 1)_Consolidação IMOB 2" xfId="2723"/>
    <cellStyle name="x_Sovereign Bonds 060705 (version 1)_Estudo de Viabilidade -IMOB Henri" xfId="1560"/>
    <cellStyle name="x_Sovereign Bonds 060705 (version 1)_Estudo de Viabilidade -IMOB Henri 2" xfId="2724"/>
    <cellStyle name="x_Sovereign Bonds 060705 (version 1)_FP 100" xfId="1561"/>
    <cellStyle name="x_Sovereign Bonds 060705 (version 1)_FP 100 2" xfId="2725"/>
    <cellStyle name="x_Sovereign Bonds 060705 (version 1)_Península" xfId="1562"/>
    <cellStyle name="x_Sovereign Bonds 060705 (version 1)_Península 2" xfId="2726"/>
    <cellStyle name="x_Sovereign Bonds 060705 (version 1)_Peninsula_0510" xfId="1563"/>
    <cellStyle name="x_Sovereign Bonds 060705 (version 1)_Peninsula_0510 2" xfId="2727"/>
    <cellStyle name="x_Sovereign Bonds 060705 (version 1)_Resumo Juros e Variações" xfId="1564"/>
    <cellStyle name="x_Sovereign Bonds 060705 (version 1)_Resumo Juros e Variações 2" xfId="2728"/>
    <cellStyle name="x_Sovereign Bonds 060705 10" xfId="3042"/>
    <cellStyle name="x_Sovereign Bonds 060705 11" xfId="3170"/>
    <cellStyle name="x_Sovereign Bonds 060705 12" xfId="3206"/>
    <cellStyle name="x_Sovereign Bonds 060705 13" xfId="3233"/>
    <cellStyle name="x_Sovereign Bonds 060705 14" xfId="3163"/>
    <cellStyle name="x_Sovereign Bonds 060705 15" xfId="3195"/>
    <cellStyle name="x_Sovereign Bonds 060705 16" xfId="3091"/>
    <cellStyle name="x_Sovereign Bonds 060705 17" xfId="3096"/>
    <cellStyle name="x_Sovereign Bonds 060705 2" xfId="2716"/>
    <cellStyle name="x_Sovereign Bonds 060705 3" xfId="2850"/>
    <cellStyle name="x_Sovereign Bonds 060705 4" xfId="2917"/>
    <cellStyle name="x_Sovereign Bonds 060705 5" xfId="2877"/>
    <cellStyle name="x_Sovereign Bonds 060705 6" xfId="2864"/>
    <cellStyle name="x_Sovereign Bonds 060705 7" xfId="2887"/>
    <cellStyle name="x_Sovereign Bonds 060705 8" xfId="2971"/>
    <cellStyle name="x_Sovereign Bonds 060705 9" xfId="3005"/>
    <cellStyle name="x_Sovereign Bonds 060705_1" xfId="1565"/>
    <cellStyle name="x_Sovereign Bonds 060705_1 2" xfId="2729"/>
    <cellStyle name="x_Sovereign Bonds 060705_1_01 NET DCF Model" xfId="1566"/>
    <cellStyle name="x_Sovereign Bonds 060705_1_01 NET DCF Model 2" xfId="2730"/>
    <cellStyle name="x_Sovereign Bonds 060705_1_03 Embratel DCF Model_Loscos" xfId="1567"/>
    <cellStyle name="x_Sovereign Bonds 060705_1_03 Embratel DCF Model_Loscos 2" xfId="2731"/>
    <cellStyle name="x_Sovereign Bonds 060705_1_05 NET DCF Model" xfId="1568"/>
    <cellStyle name="x_Sovereign Bonds 060705_1_05 NET DCF Model 2" xfId="2732"/>
    <cellStyle name="x_Sovereign Bonds 060705_1_05 TMX Brazil DCF Model" xfId="1569"/>
    <cellStyle name="x_Sovereign Bonds 060705_1_05 TMX Brazil DCF Model 2" xfId="2733"/>
    <cellStyle name="x_Sovereign Bonds 060705_1_Consolidação" xfId="1570"/>
    <cellStyle name="x_Sovereign Bonds 060705_1_Consolidação 2" xfId="2734"/>
    <cellStyle name="x_Sovereign Bonds 060705_1_Consolidação IMOB" xfId="1571"/>
    <cellStyle name="x_Sovereign Bonds 060705_1_Consolidação IMOB 2" xfId="2735"/>
    <cellStyle name="x_Sovereign Bonds 060705_1_Estudo de Viabilidade -IMOB Henri" xfId="1572"/>
    <cellStyle name="x_Sovereign Bonds 060705_1_Estudo de Viabilidade -IMOB Henri 2" xfId="2736"/>
    <cellStyle name="x_Sovereign Bonds 060705_1_FP 100" xfId="1573"/>
    <cellStyle name="x_Sovereign Bonds 060705_1_FP 100 2" xfId="2737"/>
    <cellStyle name="x_Sovereign Bonds 060705_1_Península" xfId="1574"/>
    <cellStyle name="x_Sovereign Bonds 060705_1_Península 2" xfId="2738"/>
    <cellStyle name="x_Sovereign Bonds 060705_1_Peninsula_0510" xfId="1575"/>
    <cellStyle name="x_Sovereign Bonds 060705_1_Peninsula_0510 2" xfId="2739"/>
    <cellStyle name="x_Sovereign Bonds 060705_1_Resumo Juros e Variações" xfId="1576"/>
    <cellStyle name="x_Sovereign Bonds 060705_1_Resumo Juros e Variações 2" xfId="2740"/>
    <cellStyle name="year" xfId="1577"/>
    <cellStyle name="Year 2" xfId="1578"/>
    <cellStyle name="Year Estimate" xfId="1579"/>
    <cellStyle name="Year_Dados Operacionais" xfId="1580"/>
    <cellStyle name="YearlyColumn" xfId="1581"/>
    <cellStyle name="Yellow" xfId="75"/>
    <cellStyle name="Yen" xfId="1582"/>
    <cellStyle name="Yen 2" xfId="2743"/>
    <cellStyle name="ZERO" xfId="1583"/>
    <cellStyle name="zero = - [0]" xfId="1584"/>
    <cellStyle name="ZERO = - [1]" xfId="1585"/>
    <cellStyle name="zero = - [2]" xfId="1586"/>
    <cellStyle name="zero = - [2] 2" xfId="2747"/>
    <cellStyle name="ZERO = [-]" xfId="1587"/>
    <cellStyle name="ZERO = [-] 2" xfId="2748"/>
    <cellStyle name="ZERO_CYRE Model update" xfId="1588"/>
  </cellStyles>
  <dxfs count="0"/>
  <tableStyles count="0" defaultTableStyle="TableStyleMedium9" defaultPivotStyle="PivotStyleLight16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Curva de Tráfego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Resumo!$B$3:$R$3</c:f>
              <c:strCache>
                <c:ptCount val="17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2015E</c:v>
                </c:pt>
                <c:pt idx="4">
                  <c:v>2016E</c:v>
                </c:pt>
                <c:pt idx="5">
                  <c:v>2017E</c:v>
                </c:pt>
                <c:pt idx="6">
                  <c:v>2018E</c:v>
                </c:pt>
                <c:pt idx="7">
                  <c:v>2019E</c:v>
                </c:pt>
                <c:pt idx="8">
                  <c:v>2020E</c:v>
                </c:pt>
                <c:pt idx="9">
                  <c:v>2021E</c:v>
                </c:pt>
                <c:pt idx="10">
                  <c:v>2022E</c:v>
                </c:pt>
                <c:pt idx="11">
                  <c:v>2023E</c:v>
                </c:pt>
                <c:pt idx="12">
                  <c:v>2024E</c:v>
                </c:pt>
                <c:pt idx="13">
                  <c:v>2025E</c:v>
                </c:pt>
                <c:pt idx="14">
                  <c:v>2026E</c:v>
                </c:pt>
                <c:pt idx="15">
                  <c:v>2027E</c:v>
                </c:pt>
                <c:pt idx="16">
                  <c:v>2028E</c:v>
                </c:pt>
              </c:strCache>
            </c:strRef>
          </c:cat>
          <c:val>
            <c:numRef>
              <c:f>Resumo!$B$4:$R$4</c:f>
              <c:numCache>
                <c:formatCode>#,##0</c:formatCode>
                <c:ptCount val="17"/>
                <c:pt idx="0">
                  <c:v>43011.532999999996</c:v>
                </c:pt>
                <c:pt idx="1">
                  <c:v>46302.8</c:v>
                </c:pt>
                <c:pt idx="2">
                  <c:v>48528.447000000007</c:v>
                </c:pt>
                <c:pt idx="3">
                  <c:v>46736.441040000005</c:v>
                </c:pt>
                <c:pt idx="4">
                  <c:v>48379.367863163941</c:v>
                </c:pt>
                <c:pt idx="5">
                  <c:v>51329.814705150027</c:v>
                </c:pt>
                <c:pt idx="6">
                  <c:v>55382.484469774485</c:v>
                </c:pt>
                <c:pt idx="7">
                  <c:v>58661.514557716109</c:v>
                </c:pt>
                <c:pt idx="8">
                  <c:v>62201.8364272213</c:v>
                </c:pt>
                <c:pt idx="9">
                  <c:v>64811.76067691233</c:v>
                </c:pt>
                <c:pt idx="10">
                  <c:v>67487.011300848404</c:v>
                </c:pt>
                <c:pt idx="11">
                  <c:v>70207.187238280923</c:v>
                </c:pt>
                <c:pt idx="12">
                  <c:v>72975.525419272453</c:v>
                </c:pt>
                <c:pt idx="13">
                  <c:v>75789.238770312135</c:v>
                </c:pt>
                <c:pt idx="14">
                  <c:v>78645.165212784152</c:v>
                </c:pt>
                <c:pt idx="15">
                  <c:v>81540.137665520248</c:v>
                </c:pt>
                <c:pt idx="16">
                  <c:v>83187.57028019616</c:v>
                </c:pt>
              </c:numCache>
            </c:numRef>
          </c:val>
        </c:ser>
        <c:axId val="167887232"/>
        <c:axId val="167889920"/>
      </c:barChart>
      <c:catAx>
        <c:axId val="167887232"/>
        <c:scaling>
          <c:orientation val="minMax"/>
        </c:scaling>
        <c:axPos val="b"/>
        <c:majorTickMark val="none"/>
        <c:tickLblPos val="nextTo"/>
        <c:crossAx val="167889920"/>
        <c:crosses val="autoZero"/>
        <c:auto val="1"/>
        <c:lblAlgn val="ctr"/>
        <c:lblOffset val="100"/>
      </c:catAx>
      <c:valAx>
        <c:axId val="167889920"/>
        <c:scaling>
          <c:orientation val="minMax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1"/>
        <c:majorTickMark val="none"/>
        <c:tickLblPos val="nextTo"/>
        <c:crossAx val="167887232"/>
        <c:crosses val="autoZero"/>
        <c:crossBetween val="between"/>
      </c:valAx>
    </c:plotArea>
    <c:plotVisOnly val="1"/>
    <c:dispBlanksAs val="gap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Crescimento anual de tráfego e elasticidade PIB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Resumo!$A$5</c:f>
              <c:strCache>
                <c:ptCount val="1"/>
                <c:pt idx="0">
                  <c:v>YoY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dLbls>
            <c:txPr>
              <a:bodyPr/>
              <a:lstStyle/>
              <a:p>
                <a:pPr>
                  <a:defRPr sz="800" b="1"/>
                </a:pPr>
                <a:endParaRPr lang="pt-BR"/>
              </a:p>
            </c:txPr>
            <c:dLblPos val="ctr"/>
            <c:showVal val="1"/>
          </c:dLbls>
          <c:cat>
            <c:strRef>
              <c:f>Resumo!$C$3:$R$3</c:f>
              <c:strCache>
                <c:ptCount val="16"/>
                <c:pt idx="0">
                  <c:v>2013</c:v>
                </c:pt>
                <c:pt idx="1">
                  <c:v>2014</c:v>
                </c:pt>
                <c:pt idx="2">
                  <c:v>2015E</c:v>
                </c:pt>
                <c:pt idx="3">
                  <c:v>2016E</c:v>
                </c:pt>
                <c:pt idx="4">
                  <c:v>2017E</c:v>
                </c:pt>
                <c:pt idx="5">
                  <c:v>2018E</c:v>
                </c:pt>
                <c:pt idx="6">
                  <c:v>2019E</c:v>
                </c:pt>
                <c:pt idx="7">
                  <c:v>2020E</c:v>
                </c:pt>
                <c:pt idx="8">
                  <c:v>2021E</c:v>
                </c:pt>
                <c:pt idx="9">
                  <c:v>2022E</c:v>
                </c:pt>
                <c:pt idx="10">
                  <c:v>2023E</c:v>
                </c:pt>
                <c:pt idx="11">
                  <c:v>2024E</c:v>
                </c:pt>
                <c:pt idx="12">
                  <c:v>2025E</c:v>
                </c:pt>
                <c:pt idx="13">
                  <c:v>2026E</c:v>
                </c:pt>
                <c:pt idx="14">
                  <c:v>2027E</c:v>
                </c:pt>
                <c:pt idx="15">
                  <c:v>2028E</c:v>
                </c:pt>
              </c:strCache>
            </c:strRef>
          </c:cat>
          <c:val>
            <c:numRef>
              <c:f>Resumo!$C$5:$R$5</c:f>
              <c:numCache>
                <c:formatCode>0.0%</c:formatCode>
                <c:ptCount val="16"/>
                <c:pt idx="0">
                  <c:v>7.652056949469821E-2</c:v>
                </c:pt>
                <c:pt idx="1">
                  <c:v>4.8067222716552838E-2</c:v>
                </c:pt>
                <c:pt idx="2">
                  <c:v>-3.6926917525302305E-2</c:v>
                </c:pt>
                <c:pt idx="3">
                  <c:v>3.5153015219062445E-2</c:v>
                </c:pt>
                <c:pt idx="4">
                  <c:v>6.0985642688245134E-2</c:v>
                </c:pt>
                <c:pt idx="5">
                  <c:v>7.8953524143889897E-2</c:v>
                </c:pt>
                <c:pt idx="6">
                  <c:v>5.9206987901223362E-2</c:v>
                </c:pt>
                <c:pt idx="7">
                  <c:v>6.0351695591185806E-2</c:v>
                </c:pt>
                <c:pt idx="8">
                  <c:v>4.1958958120870804E-2</c:v>
                </c:pt>
                <c:pt idx="9">
                  <c:v>4.1277240364943069E-2</c:v>
                </c:pt>
                <c:pt idx="10">
                  <c:v>4.0306658792553796E-2</c:v>
                </c:pt>
                <c:pt idx="11">
                  <c:v>3.9430979788378062E-2</c:v>
                </c:pt>
                <c:pt idx="12">
                  <c:v>3.8556945426207134E-2</c:v>
                </c:pt>
                <c:pt idx="13">
                  <c:v>3.7682479581662376E-2</c:v>
                </c:pt>
                <c:pt idx="14">
                  <c:v>3.6810558473663324E-2</c:v>
                </c:pt>
                <c:pt idx="15">
                  <c:v>2.0203946937564998E-2</c:v>
                </c:pt>
              </c:numCache>
            </c:numRef>
          </c:val>
        </c:ser>
        <c:gapWidth val="75"/>
        <c:overlap val="-25"/>
        <c:axId val="186070528"/>
        <c:axId val="186279808"/>
      </c:barChart>
      <c:lineChart>
        <c:grouping val="standard"/>
        <c:ser>
          <c:idx val="1"/>
          <c:order val="1"/>
          <c:tx>
            <c:strRef>
              <c:f>Resumo!$A$6</c:f>
              <c:strCache>
                <c:ptCount val="1"/>
                <c:pt idx="0">
                  <c:v>Elasticidade PIB</c:v>
                </c:pt>
              </c:strCache>
            </c:strRef>
          </c:tx>
          <c:marker>
            <c:symbol val="none"/>
          </c:marker>
          <c:dLbls>
            <c:dLblPos val="t"/>
            <c:showVal val="1"/>
          </c:dLbls>
          <c:val>
            <c:numRef>
              <c:f>Resumo!$C$6:$R$6</c:f>
              <c:numCache>
                <c:formatCode>0.0</c:formatCode>
                <c:ptCount val="16"/>
                <c:pt idx="0">
                  <c:v>2.788919965714443</c:v>
                </c:pt>
                <c:pt idx="1">
                  <c:v>33.245213919671322</c:v>
                </c:pt>
                <c:pt idx="2">
                  <c:v>1.1911908879129776</c:v>
                </c:pt>
                <c:pt idx="3">
                  <c:v>-1.7576507609531222</c:v>
                </c:pt>
                <c:pt idx="4">
                  <c:v>6.0985642688245134</c:v>
                </c:pt>
                <c:pt idx="5">
                  <c:v>3.9476762071944949</c:v>
                </c:pt>
                <c:pt idx="6">
                  <c:v>2.9603493950611681</c:v>
                </c:pt>
                <c:pt idx="7">
                  <c:v>3.0175847795592903</c:v>
                </c:pt>
                <c:pt idx="8">
                  <c:v>2.0979479060435402</c:v>
                </c:pt>
                <c:pt idx="9">
                  <c:v>2.0638620182471534</c:v>
                </c:pt>
                <c:pt idx="10">
                  <c:v>2.0153329396276898</c:v>
                </c:pt>
                <c:pt idx="11">
                  <c:v>1.9715489894189031</c:v>
                </c:pt>
                <c:pt idx="12">
                  <c:v>1.9278472713103567</c:v>
                </c:pt>
                <c:pt idx="13">
                  <c:v>1.8841239790831188</c:v>
                </c:pt>
                <c:pt idx="14">
                  <c:v>1.8405279236831662</c:v>
                </c:pt>
                <c:pt idx="15">
                  <c:v>1.0101973468782499</c:v>
                </c:pt>
              </c:numCache>
            </c:numRef>
          </c:val>
        </c:ser>
        <c:marker val="1"/>
        <c:axId val="186317056"/>
        <c:axId val="186304000"/>
      </c:lineChart>
      <c:catAx>
        <c:axId val="186070528"/>
        <c:scaling>
          <c:orientation val="minMax"/>
        </c:scaling>
        <c:axPos val="b"/>
        <c:majorTickMark val="none"/>
        <c:tickLblPos val="nextTo"/>
        <c:crossAx val="186279808"/>
        <c:crosses val="autoZero"/>
        <c:auto val="1"/>
        <c:lblAlgn val="ctr"/>
        <c:lblOffset val="100"/>
      </c:catAx>
      <c:valAx>
        <c:axId val="186279808"/>
        <c:scaling>
          <c:orientation val="minMax"/>
        </c:scaling>
        <c:axPos val="l"/>
        <c:majorGridlines>
          <c:spPr>
            <a:ln>
              <a:solidFill>
                <a:sysClr val="window" lastClr="FFFFFF">
                  <a:lumMod val="85000"/>
                </a:sysClr>
              </a:solidFill>
            </a:ln>
          </c:spPr>
        </c:majorGridlines>
        <c:numFmt formatCode="0.0%" sourceLinked="1"/>
        <c:majorTickMark val="none"/>
        <c:tickLblPos val="nextTo"/>
        <c:spPr>
          <a:ln w="9525">
            <a:noFill/>
          </a:ln>
        </c:spPr>
        <c:crossAx val="186070528"/>
        <c:crosses val="autoZero"/>
        <c:crossBetween val="between"/>
      </c:valAx>
      <c:valAx>
        <c:axId val="186304000"/>
        <c:scaling>
          <c:orientation val="minMax"/>
        </c:scaling>
        <c:axPos val="r"/>
        <c:numFmt formatCode="0.0" sourceLinked="1"/>
        <c:tickLblPos val="nextTo"/>
        <c:crossAx val="186317056"/>
        <c:crosses val="max"/>
        <c:crossBetween val="between"/>
      </c:valAx>
      <c:catAx>
        <c:axId val="186317056"/>
        <c:scaling>
          <c:orientation val="minMax"/>
        </c:scaling>
        <c:delete val="1"/>
        <c:axPos val="b"/>
        <c:tickLblPos val="none"/>
        <c:crossAx val="186304000"/>
        <c:crosses val="autoZero"/>
        <c:auto val="1"/>
        <c:lblAlgn val="ctr"/>
        <c:lblOffset val="100"/>
      </c:catAx>
    </c:plotArea>
    <c:legend>
      <c:legendPos val="b"/>
      <c:layout/>
    </c:legend>
    <c:plotVisOnly val="1"/>
    <c:dispBlanksAs val="gap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Receita Bruta de Pedágio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Resumo!$B$3:$R$3</c:f>
              <c:strCache>
                <c:ptCount val="17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2015E</c:v>
                </c:pt>
                <c:pt idx="4">
                  <c:v>2016E</c:v>
                </c:pt>
                <c:pt idx="5">
                  <c:v>2017E</c:v>
                </c:pt>
                <c:pt idx="6">
                  <c:v>2018E</c:v>
                </c:pt>
                <c:pt idx="7">
                  <c:v>2019E</c:v>
                </c:pt>
                <c:pt idx="8">
                  <c:v>2020E</c:v>
                </c:pt>
                <c:pt idx="9">
                  <c:v>2021E</c:v>
                </c:pt>
                <c:pt idx="10">
                  <c:v>2022E</c:v>
                </c:pt>
                <c:pt idx="11">
                  <c:v>2023E</c:v>
                </c:pt>
                <c:pt idx="12">
                  <c:v>2024E</c:v>
                </c:pt>
                <c:pt idx="13">
                  <c:v>2025E</c:v>
                </c:pt>
                <c:pt idx="14">
                  <c:v>2026E</c:v>
                </c:pt>
                <c:pt idx="15">
                  <c:v>2027E</c:v>
                </c:pt>
                <c:pt idx="16">
                  <c:v>2028E</c:v>
                </c:pt>
              </c:strCache>
            </c:strRef>
          </c:cat>
          <c:val>
            <c:numRef>
              <c:f>Resumo!$B$15:$R$15</c:f>
              <c:numCache>
                <c:formatCode>#,##0</c:formatCode>
                <c:ptCount val="17"/>
                <c:pt idx="0">
                  <c:v>172.4</c:v>
                </c:pt>
                <c:pt idx="1">
                  <c:v>186.10000000000002</c:v>
                </c:pt>
                <c:pt idx="2">
                  <c:v>203.452</c:v>
                </c:pt>
                <c:pt idx="3">
                  <c:v>211.33738127157568</c:v>
                </c:pt>
                <c:pt idx="4">
                  <c:v>248.1903691626444</c:v>
                </c:pt>
                <c:pt idx="5">
                  <c:v>280.91898268216079</c:v>
                </c:pt>
                <c:pt idx="6">
                  <c:v>325.0264594902759</c:v>
                </c:pt>
                <c:pt idx="7">
                  <c:v>362.68458761232</c:v>
                </c:pt>
                <c:pt idx="8">
                  <c:v>401.75518226932667</c:v>
                </c:pt>
                <c:pt idx="9">
                  <c:v>437.46643183537242</c:v>
                </c:pt>
                <c:pt idx="10">
                  <c:v>476.01931326453445</c:v>
                </c:pt>
                <c:pt idx="11">
                  <c:v>517.97107567795683</c:v>
                </c:pt>
                <c:pt idx="12">
                  <c:v>562.77874529601434</c:v>
                </c:pt>
                <c:pt idx="13">
                  <c:v>610.7775184534305</c:v>
                </c:pt>
                <c:pt idx="14">
                  <c:v>662.30837501731548</c:v>
                </c:pt>
                <c:pt idx="15">
                  <c:v>717.57960648878384</c:v>
                </c:pt>
                <c:pt idx="16">
                  <c:v>765.00711554914005</c:v>
                </c:pt>
              </c:numCache>
            </c:numRef>
          </c:val>
        </c:ser>
        <c:axId val="188677120"/>
        <c:axId val="188806272"/>
      </c:barChart>
      <c:catAx>
        <c:axId val="188677120"/>
        <c:scaling>
          <c:orientation val="minMax"/>
        </c:scaling>
        <c:axPos val="b"/>
        <c:majorTickMark val="none"/>
        <c:tickLblPos val="nextTo"/>
        <c:crossAx val="188806272"/>
        <c:crosses val="autoZero"/>
        <c:auto val="1"/>
        <c:lblAlgn val="ctr"/>
        <c:lblOffset val="100"/>
      </c:catAx>
      <c:valAx>
        <c:axId val="188806272"/>
        <c:scaling>
          <c:orientation val="minMax"/>
        </c:scaling>
        <c:axPos val="l"/>
        <c:majorGridlines>
          <c:spPr>
            <a:ln>
              <a:solidFill>
                <a:sysClr val="window" lastClr="FFFFFF">
                  <a:lumMod val="85000"/>
                </a:sysClr>
              </a:solidFill>
            </a:ln>
          </c:spPr>
        </c:majorGridlines>
        <c:numFmt formatCode="#,##0" sourceLinked="1"/>
        <c:majorTickMark val="none"/>
        <c:tickLblPos val="nextTo"/>
        <c:crossAx val="188677120"/>
        <c:crosses val="autoZero"/>
        <c:crossBetween val="between"/>
      </c:valAx>
    </c:plotArea>
    <c:plotVisOnly val="1"/>
    <c:dispBlanksAs val="gap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Ebitda e Margens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Resumo!$A$17</c:f>
              <c:strCache>
                <c:ptCount val="1"/>
                <c:pt idx="0">
                  <c:v>EBITDA Ajustado</c:v>
                </c:pt>
              </c:strCache>
            </c:strRef>
          </c:tx>
          <c:cat>
            <c:strRef>
              <c:f>Resumo!$B$14:$R$14</c:f>
              <c:strCache>
                <c:ptCount val="17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2015E</c:v>
                </c:pt>
                <c:pt idx="4">
                  <c:v>2016E</c:v>
                </c:pt>
                <c:pt idx="5">
                  <c:v>2017E</c:v>
                </c:pt>
                <c:pt idx="6">
                  <c:v>2018E</c:v>
                </c:pt>
                <c:pt idx="7">
                  <c:v>2019E</c:v>
                </c:pt>
                <c:pt idx="8">
                  <c:v>2020E</c:v>
                </c:pt>
                <c:pt idx="9">
                  <c:v>2021E</c:v>
                </c:pt>
                <c:pt idx="10">
                  <c:v>2022E</c:v>
                </c:pt>
                <c:pt idx="11">
                  <c:v>2023E</c:v>
                </c:pt>
                <c:pt idx="12">
                  <c:v>2024E</c:v>
                </c:pt>
                <c:pt idx="13">
                  <c:v>2025E</c:v>
                </c:pt>
                <c:pt idx="14">
                  <c:v>2026E</c:v>
                </c:pt>
                <c:pt idx="15">
                  <c:v>2027E</c:v>
                </c:pt>
                <c:pt idx="16">
                  <c:v>2028E</c:v>
                </c:pt>
              </c:strCache>
            </c:strRef>
          </c:cat>
          <c:val>
            <c:numRef>
              <c:f>Resumo!$B$17:$R$17</c:f>
              <c:numCache>
                <c:formatCode>#,##0</c:formatCode>
                <c:ptCount val="17"/>
                <c:pt idx="0">
                  <c:v>93.046999999999969</c:v>
                </c:pt>
                <c:pt idx="1">
                  <c:v>99.085000000000022</c:v>
                </c:pt>
                <c:pt idx="2">
                  <c:v>116.53100000000003</c:v>
                </c:pt>
                <c:pt idx="3">
                  <c:v>117.23564838140166</c:v>
                </c:pt>
                <c:pt idx="4">
                  <c:v>162.9279245333409</c:v>
                </c:pt>
                <c:pt idx="5">
                  <c:v>196.92391586747692</c:v>
                </c:pt>
                <c:pt idx="6">
                  <c:v>232.15607611679445</c:v>
                </c:pt>
                <c:pt idx="7">
                  <c:v>263.03210144821645</c:v>
                </c:pt>
                <c:pt idx="8">
                  <c:v>295.00341392253858</c:v>
                </c:pt>
                <c:pt idx="9">
                  <c:v>323.2086938152683</c:v>
                </c:pt>
                <c:pt idx="10">
                  <c:v>353.75075915779871</c:v>
                </c:pt>
                <c:pt idx="11">
                  <c:v>387.10746047464738</c:v>
                </c:pt>
                <c:pt idx="12">
                  <c:v>422.80127415673201</c:v>
                </c:pt>
                <c:pt idx="13">
                  <c:v>461.11674174594134</c:v>
                </c:pt>
                <c:pt idx="14">
                  <c:v>502.34313497362001</c:v>
                </c:pt>
                <c:pt idx="15">
                  <c:v>546.65423464614219</c:v>
                </c:pt>
                <c:pt idx="16">
                  <c:v>583.98648218296046</c:v>
                </c:pt>
              </c:numCache>
            </c:numRef>
          </c:val>
        </c:ser>
        <c:gapWidth val="75"/>
        <c:overlap val="-25"/>
        <c:axId val="195552768"/>
        <c:axId val="195554688"/>
      </c:barChart>
      <c:lineChart>
        <c:grouping val="standard"/>
        <c:ser>
          <c:idx val="1"/>
          <c:order val="1"/>
          <c:tx>
            <c:strRef>
              <c:f>Resumo!$A$18</c:f>
              <c:strCache>
                <c:ptCount val="1"/>
                <c:pt idx="0">
                  <c:v>Margem Ebitda Ajustada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>
                  <a:defRPr sz="800"/>
                </a:pPr>
                <a:endParaRPr lang="pt-BR"/>
              </a:p>
            </c:txPr>
            <c:dLblPos val="t"/>
            <c:showVal val="1"/>
          </c:dLbls>
          <c:val>
            <c:numRef>
              <c:f>Resumo!$B$18:$R$18</c:f>
              <c:numCache>
                <c:formatCode>0%</c:formatCode>
                <c:ptCount val="17"/>
                <c:pt idx="0">
                  <c:v>0.57532306931305244</c:v>
                </c:pt>
                <c:pt idx="1">
                  <c:v>0.56652372784448257</c:v>
                </c:pt>
                <c:pt idx="2">
                  <c:v>0.61093198701918305</c:v>
                </c:pt>
                <c:pt idx="3">
                  <c:v>0.59167947644812491</c:v>
                </c:pt>
                <c:pt idx="4">
                  <c:v>0.70306382296040526</c:v>
                </c:pt>
                <c:pt idx="5">
                  <c:v>0.73747485069796814</c:v>
                </c:pt>
                <c:pt idx="6">
                  <c:v>0.75770891706978438</c:v>
                </c:pt>
                <c:pt idx="7">
                  <c:v>0.77192093204753709</c:v>
                </c:pt>
                <c:pt idx="8">
                  <c:v>0.78376349799338441</c:v>
                </c:pt>
                <c:pt idx="9">
                  <c:v>0.79027191063902646</c:v>
                </c:pt>
                <c:pt idx="10">
                  <c:v>0.79644953747505853</c:v>
                </c:pt>
                <c:pt idx="11">
                  <c:v>0.8024174336538914</c:v>
                </c:pt>
                <c:pt idx="12">
                  <c:v>0.80796563042902103</c:v>
                </c:pt>
                <c:pt idx="13">
                  <c:v>0.81317343072505077</c:v>
                </c:pt>
                <c:pt idx="14">
                  <c:v>0.81809787406182555</c:v>
                </c:pt>
                <c:pt idx="15">
                  <c:v>0.82275468990025247</c:v>
                </c:pt>
                <c:pt idx="16">
                  <c:v>0.82522226631554041</c:v>
                </c:pt>
              </c:numCache>
            </c:numRef>
          </c:val>
        </c:ser>
        <c:marker val="1"/>
        <c:axId val="195821568"/>
        <c:axId val="195733760"/>
      </c:lineChart>
      <c:catAx>
        <c:axId val="195552768"/>
        <c:scaling>
          <c:orientation val="minMax"/>
        </c:scaling>
        <c:axPos val="b"/>
        <c:majorTickMark val="none"/>
        <c:tickLblPos val="nextTo"/>
        <c:crossAx val="195554688"/>
        <c:crosses val="autoZero"/>
        <c:auto val="1"/>
        <c:lblAlgn val="ctr"/>
        <c:lblOffset val="100"/>
      </c:catAx>
      <c:valAx>
        <c:axId val="195554688"/>
        <c:scaling>
          <c:orientation val="minMax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1"/>
        <c:majorTickMark val="none"/>
        <c:tickLblPos val="nextTo"/>
        <c:spPr>
          <a:ln w="9525">
            <a:noFill/>
          </a:ln>
        </c:spPr>
        <c:crossAx val="195552768"/>
        <c:crosses val="autoZero"/>
        <c:crossBetween val="between"/>
      </c:valAx>
      <c:valAx>
        <c:axId val="195733760"/>
        <c:scaling>
          <c:orientation val="minMax"/>
        </c:scaling>
        <c:axPos val="r"/>
        <c:numFmt formatCode="0%" sourceLinked="1"/>
        <c:tickLblPos val="nextTo"/>
        <c:crossAx val="195821568"/>
        <c:crosses val="max"/>
        <c:crossBetween val="between"/>
      </c:valAx>
      <c:catAx>
        <c:axId val="195821568"/>
        <c:scaling>
          <c:orientation val="minMax"/>
        </c:scaling>
        <c:delete val="1"/>
        <c:axPos val="b"/>
        <c:tickLblPos val="none"/>
        <c:crossAx val="195733760"/>
        <c:crosses val="autoZero"/>
        <c:auto val="1"/>
        <c:lblAlgn val="ctr"/>
        <c:lblOffset val="100"/>
      </c:catAx>
    </c:plotArea>
    <c:legend>
      <c:legendPos val="b"/>
      <c:layout/>
    </c:legend>
    <c:plotVisOnly val="1"/>
    <c:dispBlanksAs val="gap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autoTitleDeleted val="1"/>
    <c:plotArea>
      <c:layout/>
      <c:lineChart>
        <c:grouping val="standard"/>
        <c:ser>
          <c:idx val="0"/>
          <c:order val="0"/>
          <c:tx>
            <c:strRef>
              <c:f>Resumo!$A$27</c:f>
              <c:strCache>
                <c:ptCount val="1"/>
                <c:pt idx="0">
                  <c:v>ICSD</c:v>
                </c:pt>
              </c:strCache>
            </c:strRef>
          </c:tx>
          <c:spPr>
            <a:ln>
              <a:solidFill>
                <a:srgbClr val="002B55"/>
              </a:solidFill>
              <a:prstDash val="solid"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800" b="1"/>
                </a:pPr>
                <a:endParaRPr lang="pt-BR"/>
              </a:p>
            </c:txPr>
            <c:dLblPos val="t"/>
            <c:showVal val="1"/>
          </c:dLbls>
          <c:cat>
            <c:strRef>
              <c:f>Resumo!$E$14:$R$14</c:f>
              <c:strCache>
                <c:ptCount val="14"/>
                <c:pt idx="0">
                  <c:v>2015E</c:v>
                </c:pt>
                <c:pt idx="1">
                  <c:v>2016E</c:v>
                </c:pt>
                <c:pt idx="2">
                  <c:v>2017E</c:v>
                </c:pt>
                <c:pt idx="3">
                  <c:v>2018E</c:v>
                </c:pt>
                <c:pt idx="4">
                  <c:v>2019E</c:v>
                </c:pt>
                <c:pt idx="5">
                  <c:v>2020E</c:v>
                </c:pt>
                <c:pt idx="6">
                  <c:v>2021E</c:v>
                </c:pt>
                <c:pt idx="7">
                  <c:v>2022E</c:v>
                </c:pt>
                <c:pt idx="8">
                  <c:v>2023E</c:v>
                </c:pt>
                <c:pt idx="9">
                  <c:v>2024E</c:v>
                </c:pt>
                <c:pt idx="10">
                  <c:v>2025E</c:v>
                </c:pt>
                <c:pt idx="11">
                  <c:v>2026E</c:v>
                </c:pt>
                <c:pt idx="12">
                  <c:v>2027E</c:v>
                </c:pt>
                <c:pt idx="13">
                  <c:v>2028E</c:v>
                </c:pt>
              </c:strCache>
            </c:strRef>
          </c:cat>
          <c:val>
            <c:numRef>
              <c:f>Resumo!$E$27:$R$27</c:f>
              <c:numCache>
                <c:formatCode>0.00</c:formatCode>
                <c:ptCount val="14"/>
                <c:pt idx="0">
                  <c:v>2.2558048705969269</c:v>
                </c:pt>
                <c:pt idx="1">
                  <c:v>1.011879378281235</c:v>
                </c:pt>
                <c:pt idx="2">
                  <c:v>1.1577708599841672</c:v>
                </c:pt>
                <c:pt idx="3">
                  <c:v>1.3129102712950675</c:v>
                </c:pt>
                <c:pt idx="4">
                  <c:v>1.242541474135556</c:v>
                </c:pt>
                <c:pt idx="5">
                  <c:v>1.2845538209845322</c:v>
                </c:pt>
                <c:pt idx="6">
                  <c:v>1.1483316515766413</c:v>
                </c:pt>
                <c:pt idx="7">
                  <c:v>1.167768869516383</c:v>
                </c:pt>
                <c:pt idx="8">
                  <c:v>1.1501675399037246</c:v>
                </c:pt>
                <c:pt idx="9">
                  <c:v>1.1750363985377121</c:v>
                </c:pt>
                <c:pt idx="10">
                  <c:v>1.2454026029010974</c:v>
                </c:pt>
                <c:pt idx="11">
                  <c:v>1.3093175621446838</c:v>
                </c:pt>
                <c:pt idx="12">
                  <c:v>1.1915590036188333</c:v>
                </c:pt>
                <c:pt idx="13">
                  <c:v>2.5874853832949549</c:v>
                </c:pt>
              </c:numCache>
            </c:numRef>
          </c:val>
        </c:ser>
        <c:ser>
          <c:idx val="1"/>
          <c:order val="1"/>
          <c:tx>
            <c:strRef>
              <c:f>Resumo!$A$28</c:f>
              <c:strCache>
                <c:ptCount val="1"/>
                <c:pt idx="0">
                  <c:v>Limite Covenant</c:v>
                </c:pt>
              </c:strCache>
            </c:strRef>
          </c:tx>
          <c:spPr>
            <a:ln>
              <a:solidFill>
                <a:srgbClr val="95CAFF"/>
              </a:solidFill>
              <a:prstDash val="solid"/>
            </a:ln>
          </c:spPr>
          <c:marker>
            <c:symbol val="none"/>
          </c:marker>
          <c:val>
            <c:numRef>
              <c:f>Resumo!$E$28:$R$28</c:f>
              <c:numCache>
                <c:formatCode>0.00</c:formatCode>
                <c:ptCount val="14"/>
                <c:pt idx="0">
                  <c:v>1.1499999999999999</c:v>
                </c:pt>
                <c:pt idx="1">
                  <c:v>1.1499999999999999</c:v>
                </c:pt>
                <c:pt idx="2">
                  <c:v>1.1499999999999999</c:v>
                </c:pt>
                <c:pt idx="3">
                  <c:v>1.1499999999999999</c:v>
                </c:pt>
                <c:pt idx="4">
                  <c:v>1.1499999999999999</c:v>
                </c:pt>
                <c:pt idx="5">
                  <c:v>1.1499999999999999</c:v>
                </c:pt>
                <c:pt idx="6">
                  <c:v>1.1499999999999999</c:v>
                </c:pt>
                <c:pt idx="7">
                  <c:v>1.1499999999999999</c:v>
                </c:pt>
                <c:pt idx="8">
                  <c:v>1.1499999999999999</c:v>
                </c:pt>
                <c:pt idx="9">
                  <c:v>1.1499999999999999</c:v>
                </c:pt>
                <c:pt idx="10">
                  <c:v>1.1499999999999999</c:v>
                </c:pt>
                <c:pt idx="11">
                  <c:v>1.1499999999999999</c:v>
                </c:pt>
                <c:pt idx="12">
                  <c:v>1.1499999999999999</c:v>
                </c:pt>
                <c:pt idx="13">
                  <c:v>1.1499999999999999</c:v>
                </c:pt>
              </c:numCache>
            </c:numRef>
          </c:val>
        </c:ser>
        <c:marker val="1"/>
        <c:axId val="197552000"/>
        <c:axId val="197553536"/>
      </c:lineChart>
      <c:catAx>
        <c:axId val="197552000"/>
        <c:scaling>
          <c:orientation val="minMax"/>
        </c:scaling>
        <c:axPos val="b"/>
        <c:majorTickMark val="none"/>
        <c:tickLblPos val="nextTo"/>
        <c:spPr>
          <a:effectLst/>
        </c:spPr>
        <c:txPr>
          <a:bodyPr rot="-5400000" vert="horz"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97553536"/>
        <c:crosses val="autoZero"/>
        <c:auto val="1"/>
        <c:lblAlgn val="ctr"/>
        <c:lblOffset val="100"/>
      </c:catAx>
      <c:valAx>
        <c:axId val="197553536"/>
        <c:scaling>
          <c:orientation val="minMax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.00" sourceLinked="1"/>
        <c:majorTickMark val="none"/>
        <c:tickLblPos val="nextTo"/>
        <c:spPr>
          <a:ln w="9525">
            <a:noFill/>
          </a:ln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97552000"/>
        <c:crosses val="autoZero"/>
        <c:crossBetween val="between"/>
      </c:valAx>
    </c:plotArea>
    <c:legend>
      <c:legendPos val="b"/>
      <c:layout/>
      <c:spPr>
        <a:effectLst/>
      </c:spPr>
      <c:txPr>
        <a:bodyPr/>
        <a:lstStyle/>
        <a:p>
          <a:pPr>
            <a:defRPr sz="950" b="0" i="0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pt-BR"/>
        </a:p>
      </c:txPr>
    </c:legend>
    <c:plotVisOnly val="1"/>
    <c:dispBlanksAs val="gap"/>
  </c:chart>
  <c:spPr>
    <a:solidFill>
      <a:srgbClr val="FFFFFF"/>
    </a:solidFill>
    <a:ln w="25400">
      <a:noFill/>
    </a:ln>
    <a:effectLst/>
  </c:spPr>
  <c:txPr>
    <a:bodyPr/>
    <a:lstStyle/>
    <a:p>
      <a:pPr>
        <a:defRPr sz="950" b="0" i="0" strike="noStrike" baseline="0">
          <a:latin typeface="Arial Narrow"/>
          <a:ea typeface="Arial Narrow"/>
          <a:cs typeface="Arial Narrow"/>
        </a:defRPr>
      </a:pPr>
      <a:endParaRPr lang="pt-BR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autoTitleDeleted val="1"/>
    <c:plotArea>
      <c:layout/>
      <c:barChart>
        <c:barDir val="col"/>
        <c:grouping val="clustered"/>
        <c:ser>
          <c:idx val="0"/>
          <c:order val="0"/>
          <c:tx>
            <c:strRef>
              <c:f>Resumo!$A$30</c:f>
              <c:strCache>
                <c:ptCount val="1"/>
                <c:pt idx="0">
                  <c:v>Dívida Bruta / Capital Total</c:v>
                </c:pt>
              </c:strCache>
            </c:strRef>
          </c:tx>
          <c:spPr>
            <a:solidFill>
              <a:srgbClr val="002B55"/>
            </a:solidFill>
            <a:ln>
              <a:solidFill>
                <a:srgbClr val="002B55"/>
              </a:solidFill>
              <a:prstDash val="solid"/>
            </a:ln>
          </c:spPr>
          <c:dLbls>
            <c:txPr>
              <a:bodyPr/>
              <a:lstStyle/>
              <a:p>
                <a:pPr>
                  <a:defRPr sz="800" b="1"/>
                </a:pPr>
                <a:endParaRPr lang="pt-BR"/>
              </a:p>
            </c:txPr>
            <c:showVal val="1"/>
          </c:dLbls>
          <c:val>
            <c:numRef>
              <c:f>Resumo!$C$30:$R$30</c:f>
              <c:numCache>
                <c:formatCode>0%</c:formatCode>
                <c:ptCount val="16"/>
                <c:pt idx="0">
                  <c:v>0.84082608237756595</c:v>
                </c:pt>
                <c:pt idx="1">
                  <c:v>0.84350314895186018</c:v>
                </c:pt>
                <c:pt idx="2">
                  <c:v>0.86265546319605579</c:v>
                </c:pt>
                <c:pt idx="3">
                  <c:v>0.86408773940747385</c:v>
                </c:pt>
                <c:pt idx="4" formatCode="0.0%">
                  <c:v>0.84444334450136249</c:v>
                </c:pt>
                <c:pt idx="5">
                  <c:v>0.80432644823293442</c:v>
                </c:pt>
                <c:pt idx="6">
                  <c:v>0.74701594660682158</c:v>
                </c:pt>
                <c:pt idx="7">
                  <c:v>0.688216294886561</c:v>
                </c:pt>
                <c:pt idx="8">
                  <c:v>0.62380025976304443</c:v>
                </c:pt>
                <c:pt idx="9">
                  <c:v>0.55720350614187586</c:v>
                </c:pt>
                <c:pt idx="10">
                  <c:v>0.47517378246393854</c:v>
                </c:pt>
                <c:pt idx="11">
                  <c:v>0.38594286414483886</c:v>
                </c:pt>
                <c:pt idx="12">
                  <c:v>0.28437282499251609</c:v>
                </c:pt>
                <c:pt idx="13">
                  <c:v>0.17288424044017392</c:v>
                </c:pt>
                <c:pt idx="14">
                  <c:v>5.6946732680234535E-2</c:v>
                </c:pt>
                <c:pt idx="15">
                  <c:v>0</c:v>
                </c:pt>
              </c:numCache>
            </c:numRef>
          </c:val>
        </c:ser>
        <c:gapWidth val="75"/>
        <c:overlap val="-25"/>
        <c:axId val="197822720"/>
        <c:axId val="197836800"/>
      </c:barChart>
      <c:lineChart>
        <c:grouping val="standard"/>
        <c:ser>
          <c:idx val="1"/>
          <c:order val="1"/>
          <c:tx>
            <c:strRef>
              <c:f>Resumo!$A$31</c:f>
              <c:strCache>
                <c:ptCount val="1"/>
                <c:pt idx="0">
                  <c:v>Limite Covenant</c:v>
                </c:pt>
              </c:strCache>
            </c:strRef>
          </c:tx>
          <c:spPr>
            <a:ln>
              <a:solidFill>
                <a:srgbClr val="95CAFF"/>
              </a:solidFill>
              <a:prstDash val="solid"/>
            </a:ln>
          </c:spPr>
          <c:marker>
            <c:symbol val="none"/>
          </c:marker>
          <c:cat>
            <c:strRef>
              <c:f>Resumo!$C$3:$R$3</c:f>
              <c:strCache>
                <c:ptCount val="16"/>
                <c:pt idx="0">
                  <c:v>2013</c:v>
                </c:pt>
                <c:pt idx="1">
                  <c:v>2014</c:v>
                </c:pt>
                <c:pt idx="2">
                  <c:v>2015E</c:v>
                </c:pt>
                <c:pt idx="3">
                  <c:v>2016E</c:v>
                </c:pt>
                <c:pt idx="4">
                  <c:v>2017E</c:v>
                </c:pt>
                <c:pt idx="5">
                  <c:v>2018E</c:v>
                </c:pt>
                <c:pt idx="6">
                  <c:v>2019E</c:v>
                </c:pt>
                <c:pt idx="7">
                  <c:v>2020E</c:v>
                </c:pt>
                <c:pt idx="8">
                  <c:v>2021E</c:v>
                </c:pt>
                <c:pt idx="9">
                  <c:v>2022E</c:v>
                </c:pt>
                <c:pt idx="10">
                  <c:v>2023E</c:v>
                </c:pt>
                <c:pt idx="11">
                  <c:v>2024E</c:v>
                </c:pt>
                <c:pt idx="12">
                  <c:v>2025E</c:v>
                </c:pt>
                <c:pt idx="13">
                  <c:v>2026E</c:v>
                </c:pt>
                <c:pt idx="14">
                  <c:v>2027E</c:v>
                </c:pt>
                <c:pt idx="15">
                  <c:v>2028E</c:v>
                </c:pt>
              </c:strCache>
            </c:strRef>
          </c:cat>
          <c:val>
            <c:numRef>
              <c:f>Resumo!$C$31:$R$31</c:f>
              <c:numCache>
                <c:formatCode>0%</c:formatCode>
                <c:ptCount val="16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 formatCode="0.0%">
                  <c:v>0.85</c:v>
                </c:pt>
                <c:pt idx="5">
                  <c:v>0.85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</c:numCache>
            </c:numRef>
          </c:val>
        </c:ser>
        <c:marker val="1"/>
        <c:axId val="197822720"/>
        <c:axId val="197836800"/>
      </c:lineChart>
      <c:catAx>
        <c:axId val="197822720"/>
        <c:scaling>
          <c:orientation val="minMax"/>
        </c:scaling>
        <c:axPos val="b"/>
        <c:majorTickMark val="none"/>
        <c:tickLblPos val="nextTo"/>
        <c:spPr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97836800"/>
        <c:crosses val="autoZero"/>
        <c:auto val="1"/>
        <c:lblAlgn val="ctr"/>
        <c:lblOffset val="100"/>
      </c:catAx>
      <c:valAx>
        <c:axId val="197836800"/>
        <c:scaling>
          <c:orientation val="minMax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%" sourceLinked="1"/>
        <c:majorTickMark val="none"/>
        <c:tickLblPos val="nextTo"/>
        <c:spPr>
          <a:ln w="9525">
            <a:noFill/>
          </a:ln>
          <a:effectLst/>
        </c:spPr>
        <c:txPr>
          <a:bodyPr/>
          <a:lstStyle/>
          <a:p>
            <a:pPr>
              <a:defRPr b="0" i="0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pt-BR"/>
          </a:p>
        </c:txPr>
        <c:crossAx val="197822720"/>
        <c:crosses val="autoZero"/>
        <c:crossBetween val="between"/>
      </c:valAx>
    </c:plotArea>
    <c:legend>
      <c:legendPos val="b"/>
      <c:layout/>
      <c:spPr>
        <a:effectLst/>
      </c:spPr>
      <c:txPr>
        <a:bodyPr/>
        <a:lstStyle/>
        <a:p>
          <a:pPr>
            <a:defRPr sz="950" b="0" i="0" strike="noStrike" baseline="0">
              <a:solidFill>
                <a:srgbClr val="000000"/>
              </a:solidFill>
              <a:latin typeface="Arial Narrow"/>
              <a:ea typeface="Arial Narrow"/>
              <a:cs typeface="Arial Narrow"/>
            </a:defRPr>
          </a:pPr>
          <a:endParaRPr lang="pt-BR"/>
        </a:p>
      </c:txPr>
    </c:legend>
    <c:plotVisOnly val="1"/>
    <c:dispBlanksAs val="gap"/>
  </c:chart>
  <c:spPr>
    <a:solidFill>
      <a:srgbClr val="FFFFFF"/>
    </a:solidFill>
    <a:ln w="25400">
      <a:noFill/>
    </a:ln>
    <a:effectLst/>
  </c:spPr>
  <c:txPr>
    <a:bodyPr/>
    <a:lstStyle/>
    <a:p>
      <a:pPr>
        <a:defRPr sz="950" b="0" i="0" strike="noStrike" baseline="0">
          <a:latin typeface="Arial Narrow"/>
          <a:ea typeface="Arial Narrow"/>
          <a:cs typeface="Arial Narrow"/>
        </a:defRPr>
      </a:pPr>
      <a:endParaRPr lang="pt-BR"/>
    </a:p>
  </c:tx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43</xdr:row>
      <xdr:rowOff>114300</xdr:rowOff>
    </xdr:from>
    <xdr:to>
      <xdr:col>6</xdr:col>
      <xdr:colOff>38100</xdr:colOff>
      <xdr:row>61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104775</xdr:colOff>
      <xdr:row>43</xdr:row>
      <xdr:rowOff>114300</xdr:rowOff>
    </xdr:from>
    <xdr:to>
      <xdr:col>14</xdr:col>
      <xdr:colOff>180975</xdr:colOff>
      <xdr:row>61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333375</xdr:colOff>
      <xdr:row>62</xdr:row>
      <xdr:rowOff>28575</xdr:rowOff>
    </xdr:from>
    <xdr:to>
      <xdr:col>6</xdr:col>
      <xdr:colOff>38100</xdr:colOff>
      <xdr:row>80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133350</xdr:colOff>
      <xdr:row>62</xdr:row>
      <xdr:rowOff>28575</xdr:rowOff>
    </xdr:from>
    <xdr:to>
      <xdr:col>14</xdr:col>
      <xdr:colOff>209550</xdr:colOff>
      <xdr:row>80</xdr:row>
      <xdr:rowOff>28575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80</xdr:row>
      <xdr:rowOff>76200</xdr:rowOff>
    </xdr:from>
    <xdr:to>
      <xdr:col>6</xdr:col>
      <xdr:colOff>47625</xdr:colOff>
      <xdr:row>98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123825</xdr:colOff>
      <xdr:row>80</xdr:row>
      <xdr:rowOff>85725</xdr:rowOff>
    </xdr:from>
    <xdr:to>
      <xdr:col>14</xdr:col>
      <xdr:colOff>200025</xdr:colOff>
      <xdr:row>98</xdr:row>
      <xdr:rowOff>85725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2"/>
  <sheetViews>
    <sheetView showGridLines="0" workbookViewId="0">
      <selection activeCell="R73" sqref="R73"/>
    </sheetView>
  </sheetViews>
  <sheetFormatPr defaultRowHeight="12"/>
  <cols>
    <col min="1" max="1" width="30.85546875" style="36" bestFit="1" customWidth="1"/>
    <col min="2" max="18" width="8.42578125" style="36" customWidth="1"/>
    <col min="19" max="16384" width="9.140625" style="36"/>
  </cols>
  <sheetData>
    <row r="1" spans="1:18" ht="39.75" customHeight="1" thickBot="1">
      <c r="A1" s="35" t="s">
        <v>265</v>
      </c>
    </row>
    <row r="2" spans="1:18">
      <c r="B2" s="44">
        <v>2012</v>
      </c>
      <c r="C2" s="44">
        <f>+B2+1</f>
        <v>2013</v>
      </c>
      <c r="D2" s="44">
        <f t="shared" ref="D2:R2" si="0">+C2+1</f>
        <v>2014</v>
      </c>
      <c r="E2" s="44">
        <f t="shared" si="0"/>
        <v>2015</v>
      </c>
      <c r="F2" s="44">
        <f t="shared" si="0"/>
        <v>2016</v>
      </c>
      <c r="G2" s="44">
        <f t="shared" si="0"/>
        <v>2017</v>
      </c>
      <c r="H2" s="44">
        <f t="shared" si="0"/>
        <v>2018</v>
      </c>
      <c r="I2" s="44">
        <f t="shared" si="0"/>
        <v>2019</v>
      </c>
      <c r="J2" s="44">
        <f t="shared" si="0"/>
        <v>2020</v>
      </c>
      <c r="K2" s="44">
        <f t="shared" si="0"/>
        <v>2021</v>
      </c>
      <c r="L2" s="44">
        <f t="shared" si="0"/>
        <v>2022</v>
      </c>
      <c r="M2" s="44">
        <f t="shared" si="0"/>
        <v>2023</v>
      </c>
      <c r="N2" s="44">
        <f t="shared" si="0"/>
        <v>2024</v>
      </c>
      <c r="O2" s="44">
        <f t="shared" si="0"/>
        <v>2025</v>
      </c>
      <c r="P2" s="44">
        <f t="shared" si="0"/>
        <v>2026</v>
      </c>
      <c r="Q2" s="44">
        <f t="shared" si="0"/>
        <v>2027</v>
      </c>
      <c r="R2" s="44">
        <f t="shared" si="0"/>
        <v>2028</v>
      </c>
    </row>
    <row r="3" spans="1:18">
      <c r="A3" s="37" t="s">
        <v>268</v>
      </c>
      <c r="B3" s="37">
        <f>+'Dados Financeiros'!L3</f>
        <v>2012</v>
      </c>
      <c r="C3" s="37">
        <f>+'Dados Financeiros'!Q3</f>
        <v>2013</v>
      </c>
      <c r="D3" s="37">
        <f>+'Dados Financeiros'!V3</f>
        <v>2014</v>
      </c>
      <c r="E3" s="37" t="str">
        <f>+'Dados Financeiros'!AA3</f>
        <v>2015E</v>
      </c>
      <c r="F3" s="37" t="str">
        <f>+'Dados Financeiros'!AB3</f>
        <v>2016E</v>
      </c>
      <c r="G3" s="37" t="str">
        <f>+'Dados Financeiros'!AC3</f>
        <v>2017E</v>
      </c>
      <c r="H3" s="37" t="str">
        <f>+'Dados Financeiros'!AD3</f>
        <v>2018E</v>
      </c>
      <c r="I3" s="37" t="str">
        <f>+'Dados Financeiros'!AE3</f>
        <v>2019E</v>
      </c>
      <c r="J3" s="37" t="str">
        <f>+'Dados Financeiros'!AF3</f>
        <v>2020E</v>
      </c>
      <c r="K3" s="37" t="str">
        <f>+'Dados Financeiros'!AG3</f>
        <v>2021E</v>
      </c>
      <c r="L3" s="37" t="str">
        <f>+'Dados Financeiros'!AH3</f>
        <v>2022E</v>
      </c>
      <c r="M3" s="37" t="str">
        <f>+'Dados Financeiros'!AI3</f>
        <v>2023E</v>
      </c>
      <c r="N3" s="37" t="str">
        <f>+'Dados Financeiros'!AJ3</f>
        <v>2024E</v>
      </c>
      <c r="O3" s="37" t="str">
        <f>+'Dados Financeiros'!AK3</f>
        <v>2025E</v>
      </c>
      <c r="P3" s="37" t="str">
        <f>+'Dados Financeiros'!AL3</f>
        <v>2026E</v>
      </c>
      <c r="Q3" s="37" t="str">
        <f>+'Dados Financeiros'!AM3</f>
        <v>2027E</v>
      </c>
      <c r="R3" s="37" t="str">
        <f>+'Dados Financeiros'!AN3</f>
        <v>2028E</v>
      </c>
    </row>
    <row r="4" spans="1:18">
      <c r="A4" s="38" t="s">
        <v>75</v>
      </c>
      <c r="B4" s="39">
        <f>+HLOOKUP(B3,Tráfego!$O$14:$CV$31,18,0)</f>
        <v>43011.532999999996</v>
      </c>
      <c r="C4" s="39">
        <f>+HLOOKUP(C3,Tráfego!$O$14:$CV$31,18,0)</f>
        <v>46302.8</v>
      </c>
      <c r="D4" s="39">
        <f>+HLOOKUP(D3,Tráfego!$O$14:$CV$31,18,0)</f>
        <v>48528.447000000007</v>
      </c>
      <c r="E4" s="39">
        <f>+HLOOKUP(E3,Tráfego!$O$14:$CV$31,18,0)</f>
        <v>46736.441040000005</v>
      </c>
      <c r="F4" s="39">
        <f>+HLOOKUP(F3,Tráfego!$O$14:$CV$31,18,0)</f>
        <v>48379.367863163941</v>
      </c>
      <c r="G4" s="39">
        <f>+HLOOKUP(G3,Tráfego!$O$14:$CV$31,18,0)</f>
        <v>51329.814705150027</v>
      </c>
      <c r="H4" s="39">
        <f>+HLOOKUP(H3,Tráfego!$O$14:$CV$31,18,0)</f>
        <v>55382.484469774485</v>
      </c>
      <c r="I4" s="39">
        <f>+HLOOKUP(I3,Tráfego!$O$14:$CV$31,18,0)</f>
        <v>58661.514557716109</v>
      </c>
      <c r="J4" s="39">
        <f>+HLOOKUP(J3,Tráfego!$O$14:$CV$31,18,0)</f>
        <v>62201.8364272213</v>
      </c>
      <c r="K4" s="39">
        <f>+HLOOKUP(K3,Tráfego!$O$14:$CV$31,18,0)</f>
        <v>64811.76067691233</v>
      </c>
      <c r="L4" s="39">
        <f>+HLOOKUP(L3,Tráfego!$O$14:$CV$31,18,0)</f>
        <v>67487.011300848404</v>
      </c>
      <c r="M4" s="39">
        <f>+HLOOKUP(M3,Tráfego!$O$14:$CV$31,18,0)</f>
        <v>70207.187238280923</v>
      </c>
      <c r="N4" s="39">
        <f>+HLOOKUP(N3,Tráfego!$O$14:$CV$31,18,0)</f>
        <v>72975.525419272453</v>
      </c>
      <c r="O4" s="39">
        <f>+HLOOKUP(O3,Tráfego!$O$14:$CV$31,18,0)</f>
        <v>75789.238770312135</v>
      </c>
      <c r="P4" s="39">
        <f>+HLOOKUP(P3,Tráfego!$O$14:$CV$31,18,0)</f>
        <v>78645.165212784152</v>
      </c>
      <c r="Q4" s="39">
        <f>+HLOOKUP(Q3,Tráfego!$O$14:$CV$31,18,0)</f>
        <v>81540.137665520248</v>
      </c>
      <c r="R4" s="39">
        <f>+HLOOKUP(R3,Tráfego!$O$14:$CV$31,18,0)</f>
        <v>83187.57028019616</v>
      </c>
    </row>
    <row r="5" spans="1:18">
      <c r="A5" s="36" t="s">
        <v>266</v>
      </c>
      <c r="C5" s="40">
        <f>+C4/B4-1</f>
        <v>7.652056949469821E-2</v>
      </c>
      <c r="D5" s="40">
        <f>+D4/C4-1</f>
        <v>4.8067222716552838E-2</v>
      </c>
      <c r="E5" s="40">
        <f>+E4/D4-1</f>
        <v>-3.6926917525302305E-2</v>
      </c>
      <c r="F5" s="40">
        <f>+F4/E4-1</f>
        <v>3.5153015219062445E-2</v>
      </c>
      <c r="G5" s="40">
        <f t="shared" ref="G5:R5" si="1">+G4/F4-1</f>
        <v>6.0985642688245134E-2</v>
      </c>
      <c r="H5" s="40">
        <f t="shared" si="1"/>
        <v>7.8953524143889897E-2</v>
      </c>
      <c r="I5" s="40">
        <f t="shared" si="1"/>
        <v>5.9206987901223362E-2</v>
      </c>
      <c r="J5" s="40">
        <f t="shared" si="1"/>
        <v>6.0351695591185806E-2</v>
      </c>
      <c r="K5" s="40">
        <f t="shared" si="1"/>
        <v>4.1958958120870804E-2</v>
      </c>
      <c r="L5" s="40">
        <f t="shared" si="1"/>
        <v>4.1277240364943069E-2</v>
      </c>
      <c r="M5" s="40">
        <f t="shared" si="1"/>
        <v>4.0306658792553796E-2</v>
      </c>
      <c r="N5" s="40">
        <f t="shared" si="1"/>
        <v>3.9430979788378062E-2</v>
      </c>
      <c r="O5" s="40">
        <f t="shared" si="1"/>
        <v>3.8556945426207134E-2</v>
      </c>
      <c r="P5" s="40">
        <f t="shared" si="1"/>
        <v>3.7682479581662376E-2</v>
      </c>
      <c r="Q5" s="40">
        <f t="shared" si="1"/>
        <v>3.6810558473663324E-2</v>
      </c>
      <c r="R5" s="40">
        <f t="shared" si="1"/>
        <v>2.0203946937564998E-2</v>
      </c>
    </row>
    <row r="6" spans="1:18">
      <c r="A6" s="36" t="s">
        <v>76</v>
      </c>
      <c r="B6" s="41">
        <v>2</v>
      </c>
      <c r="C6" s="41">
        <f>+C5/(HLOOKUP(C3,Despesas!$B$3:$AF$4,2,0)/100)</f>
        <v>2.788919965714443</v>
      </c>
      <c r="D6" s="41">
        <f>+D5/(HLOOKUP(D3,Despesas!$B$3:$AF$4,2,0)/100)</f>
        <v>33.245213919671322</v>
      </c>
      <c r="E6" s="41">
        <f>+E5/(HLOOKUP(E3,Despesas!$B$3:$AF$4,2,0)/100)</f>
        <v>1.1911908879129776</v>
      </c>
      <c r="F6" s="41">
        <f>+F5/(HLOOKUP(F3,Despesas!$B$3:$AF$4,2,0)/100)</f>
        <v>-1.7576507609531222</v>
      </c>
      <c r="G6" s="41">
        <f>+G5/(HLOOKUP(G3,Despesas!$B$3:$AF$4,2,0)/100)</f>
        <v>6.0985642688245134</v>
      </c>
      <c r="H6" s="41">
        <f>+H5/(HLOOKUP(H3,Despesas!$B$3:$AF$4,2,0)/100)</f>
        <v>3.9476762071944949</v>
      </c>
      <c r="I6" s="41">
        <f>+I5/(HLOOKUP(I3,Despesas!$B$3:$AF$4,2,0)/100)</f>
        <v>2.9603493950611681</v>
      </c>
      <c r="J6" s="41">
        <f>+J5/(HLOOKUP(J3,Despesas!$B$3:$AF$4,2,0)/100)</f>
        <v>3.0175847795592903</v>
      </c>
      <c r="K6" s="41">
        <f>+K5/(HLOOKUP(K3,Despesas!$B$3:$AF$4,2,0)/100)</f>
        <v>2.0979479060435402</v>
      </c>
      <c r="L6" s="41">
        <f>+L5/(HLOOKUP(L3,Despesas!$B$3:$AF$4,2,0)/100)</f>
        <v>2.0638620182471534</v>
      </c>
      <c r="M6" s="41">
        <f>+M5/(HLOOKUP(M3,Despesas!$B$3:$AF$4,2,0)/100)</f>
        <v>2.0153329396276898</v>
      </c>
      <c r="N6" s="41">
        <f>+N5/(HLOOKUP(N3,Despesas!$B$3:$AF$4,2,0)/100)</f>
        <v>1.9715489894189031</v>
      </c>
      <c r="O6" s="41">
        <f>+O5/(HLOOKUP(O3,Despesas!$B$3:$AF$4,2,0)/100)</f>
        <v>1.9278472713103567</v>
      </c>
      <c r="P6" s="41">
        <f>+P5/(HLOOKUP(P3,Despesas!$B$3:$AF$4,2,0)/100)</f>
        <v>1.8841239790831188</v>
      </c>
      <c r="Q6" s="41">
        <f>+Q5/(HLOOKUP(Q3,Despesas!$B$3:$AF$4,2,0)/100)</f>
        <v>1.8405279236831662</v>
      </c>
      <c r="R6" s="41">
        <f>+R5/(HLOOKUP(R3,Despesas!$B$3:$AF$4,2,0)/100)</f>
        <v>1.0101973468782499</v>
      </c>
    </row>
    <row r="7" spans="1:18">
      <c r="A7" s="36" t="s">
        <v>271</v>
      </c>
      <c r="B7" s="39">
        <f>+(B4/12)/HLOOKUP(B3,Tráfego!$F$14:$CV$19,6,0)</f>
        <v>8.820924390083837</v>
      </c>
      <c r="C7" s="39">
        <f>+(C4/12)/HLOOKUP(C3,Tráfego!$F$14:$CV$19,6,0)</f>
        <v>9.4976595735952323</v>
      </c>
      <c r="D7" s="39">
        <f>+(D4/12)/HLOOKUP(D3,Tráfego!$F$14:$CV$19,6,0)</f>
        <v>9.954185691605236</v>
      </c>
      <c r="E7" s="39">
        <f>+(E4/12)/HLOOKUP(E3,Tráfego!$F$14:$CV$19,6,0)</f>
        <v>9.5866082975397848</v>
      </c>
      <c r="F7" s="39">
        <f>+(F4/12)/HLOOKUP(F3,Tráfego!$F$14:$CV$19,6,0)</f>
        <v>9.7113393840633897</v>
      </c>
      <c r="G7" s="39">
        <f>+(G4/12)/HLOOKUP(G3,Tráfego!$F$14:$CV$19,6,0)</f>
        <v>10.30359165776416</v>
      </c>
      <c r="H7" s="39">
        <f>+(H4/12)/HLOOKUP(H3,Tráfego!$F$14:$CV$19,6,0)</f>
        <v>11.117096530484226</v>
      </c>
      <c r="I7" s="39">
        <f>+(I4/12)/HLOOKUP(I3,Tráfego!$F$14:$CV$19,6,0)</f>
        <v>11.775306330261337</v>
      </c>
      <c r="J7" s="39">
        <f>+(J4/12)/HLOOKUP(J3,Tráfego!$F$14:$CV$19,6,0)</f>
        <v>12.485966033398231</v>
      </c>
      <c r="K7" s="39">
        <f>+(K4/12)/HLOOKUP(K3,Tráfego!$F$14:$CV$19,6,0)</f>
        <v>13.009864159292203</v>
      </c>
      <c r="L7" s="39">
        <f>+(L4/12)/HLOOKUP(L3,Tráfego!$F$14:$CV$19,6,0)</f>
        <v>13.546875449310564</v>
      </c>
      <c r="M7" s="39">
        <f>+(M4/12)/HLOOKUP(M3,Tráfego!$F$14:$CV$19,6,0)</f>
        <v>14.092904735751148</v>
      </c>
      <c r="N7" s="39">
        <f>+(N4/12)/HLOOKUP(N3,Tráfego!$F$14:$CV$19,6,0)</f>
        <v>14.648601777546089</v>
      </c>
      <c r="O7" s="39">
        <f>+(O4/12)/HLOOKUP(O3,Tráfego!$F$14:$CV$19,6,0)</f>
        <v>15.213407116853174</v>
      </c>
      <c r="P7" s="39">
        <f>+(P4/12)/HLOOKUP(P3,Tráfego!$F$14:$CV$19,6,0)</f>
        <v>15.786686019901511</v>
      </c>
      <c r="Q7" s="39">
        <f>+(Q4/12)/HLOOKUP(Q3,Tráfego!$F$14:$CV$19,6,0)</f>
        <v>16.367802748742459</v>
      </c>
      <c r="R7" s="39">
        <f>+(R4/12)/HLOOKUP(R3,Tráfego!$F$14:$CV$19,6,0)</f>
        <v>16.69849696696258</v>
      </c>
    </row>
    <row r="8" spans="1:18">
      <c r="A8" s="42" t="s">
        <v>267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</row>
    <row r="9" spans="1:18">
      <c r="A9" s="54" t="s">
        <v>285</v>
      </c>
      <c r="B9" s="55">
        <f>+(E4/B4)^(1/(E2-B2))-1</f>
        <v>2.8072096957731052E-2</v>
      </c>
    </row>
    <row r="10" spans="1:18">
      <c r="A10" s="56" t="s">
        <v>286</v>
      </c>
      <c r="B10" s="57">
        <f>+(H4/E4)^(1/(H2-E2))-1</f>
        <v>5.8210984898183105E-2</v>
      </c>
      <c r="D10" s="328" t="s">
        <v>288</v>
      </c>
      <c r="E10" s="328"/>
      <c r="F10" s="198">
        <f>+(R4/B4)^(1/(R2-B2))-1</f>
        <v>4.2088479889271335E-2</v>
      </c>
    </row>
    <row r="11" spans="1:18">
      <c r="A11" s="58" t="s">
        <v>287</v>
      </c>
      <c r="B11" s="59">
        <f>+(R4/H4)^(1/(R2-H2))-1</f>
        <v>4.1522365916254911E-2</v>
      </c>
      <c r="C11" s="45"/>
      <c r="D11" s="329" t="s">
        <v>289</v>
      </c>
      <c r="E11" s="329"/>
      <c r="F11" s="60">
        <f>1-SUM(C4:R4)/1288075</f>
        <v>0.21420235418966072</v>
      </c>
      <c r="G11" s="61" t="s">
        <v>290</v>
      </c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</row>
    <row r="12" spans="1:18">
      <c r="A12" s="46" t="s">
        <v>272</v>
      </c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</row>
    <row r="13" spans="1:18"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</row>
    <row r="14" spans="1:18">
      <c r="A14" s="37" t="s">
        <v>279</v>
      </c>
      <c r="B14" s="37">
        <f>+B3</f>
        <v>2012</v>
      </c>
      <c r="C14" s="37">
        <f t="shared" ref="C14:R14" si="2">+C3</f>
        <v>2013</v>
      </c>
      <c r="D14" s="37">
        <f t="shared" si="2"/>
        <v>2014</v>
      </c>
      <c r="E14" s="37" t="str">
        <f t="shared" si="2"/>
        <v>2015E</v>
      </c>
      <c r="F14" s="37" t="str">
        <f t="shared" si="2"/>
        <v>2016E</v>
      </c>
      <c r="G14" s="37" t="str">
        <f t="shared" si="2"/>
        <v>2017E</v>
      </c>
      <c r="H14" s="37" t="str">
        <f t="shared" si="2"/>
        <v>2018E</v>
      </c>
      <c r="I14" s="37" t="str">
        <f t="shared" si="2"/>
        <v>2019E</v>
      </c>
      <c r="J14" s="37" t="str">
        <f t="shared" si="2"/>
        <v>2020E</v>
      </c>
      <c r="K14" s="37" t="str">
        <f t="shared" si="2"/>
        <v>2021E</v>
      </c>
      <c r="L14" s="37" t="str">
        <f t="shared" si="2"/>
        <v>2022E</v>
      </c>
      <c r="M14" s="37" t="str">
        <f t="shared" si="2"/>
        <v>2023E</v>
      </c>
      <c r="N14" s="37" t="str">
        <f t="shared" si="2"/>
        <v>2024E</v>
      </c>
      <c r="O14" s="37" t="str">
        <f t="shared" si="2"/>
        <v>2025E</v>
      </c>
      <c r="P14" s="37" t="str">
        <f t="shared" si="2"/>
        <v>2026E</v>
      </c>
      <c r="Q14" s="37" t="str">
        <f t="shared" si="2"/>
        <v>2027E</v>
      </c>
      <c r="R14" s="37" t="str">
        <f t="shared" si="2"/>
        <v>2028E</v>
      </c>
    </row>
    <row r="15" spans="1:18">
      <c r="A15" s="36" t="s">
        <v>269</v>
      </c>
      <c r="B15" s="39">
        <f>+HLOOKUP(B14,Tráfego!$J$14:$CV$35,22,0)</f>
        <v>172.4</v>
      </c>
      <c r="C15" s="39">
        <f>+HLOOKUP(C14,Tráfego!$J$14:$CV$35,22,0)</f>
        <v>186.10000000000002</v>
      </c>
      <c r="D15" s="39">
        <f>+HLOOKUP(D14,Tráfego!$J$14:$CV$35,22,0)</f>
        <v>203.452</v>
      </c>
      <c r="E15" s="39">
        <f>+HLOOKUP(E14,Tráfego!$J$14:$CV$35,22,0)</f>
        <v>211.33738127157568</v>
      </c>
      <c r="F15" s="39">
        <f>+HLOOKUP(F14,Tráfego!$J$14:$CV$35,22,0)</f>
        <v>248.1903691626444</v>
      </c>
      <c r="G15" s="39">
        <f>+HLOOKUP(G14,Tráfego!$J$14:$CV$35,22,0)</f>
        <v>280.91898268216079</v>
      </c>
      <c r="H15" s="39">
        <f>+HLOOKUP(H14,Tráfego!$J$14:$CV$35,22,0)</f>
        <v>325.0264594902759</v>
      </c>
      <c r="I15" s="39">
        <f>+HLOOKUP(I14,Tráfego!$J$14:$CV$35,22,0)</f>
        <v>362.68458761232</v>
      </c>
      <c r="J15" s="39">
        <f>+HLOOKUP(J14,Tráfego!$J$14:$CV$35,22,0)</f>
        <v>401.75518226932667</v>
      </c>
      <c r="K15" s="39">
        <f>+HLOOKUP(K14,Tráfego!$J$14:$CV$35,22,0)</f>
        <v>437.46643183537242</v>
      </c>
      <c r="L15" s="39">
        <f>+HLOOKUP(L14,Tráfego!$J$14:$CV$35,22,0)</f>
        <v>476.01931326453445</v>
      </c>
      <c r="M15" s="39">
        <f>+HLOOKUP(M14,Tráfego!$J$14:$CV$35,22,0)</f>
        <v>517.97107567795683</v>
      </c>
      <c r="N15" s="39">
        <f>+HLOOKUP(N14,Tráfego!$J$14:$CV$35,22,0)</f>
        <v>562.77874529601434</v>
      </c>
      <c r="O15" s="39">
        <f>+HLOOKUP(O14,Tráfego!$J$14:$CV$35,22,0)</f>
        <v>610.7775184534305</v>
      </c>
      <c r="P15" s="39">
        <f>+HLOOKUP(P14,Tráfego!$J$14:$CV$35,22,0)</f>
        <v>662.30837501731548</v>
      </c>
      <c r="Q15" s="39">
        <f>+HLOOKUP(Q14,Tráfego!$J$14:$CV$35,22,0)</f>
        <v>717.57960648878384</v>
      </c>
      <c r="R15" s="39">
        <f>+HLOOKUP(R14,Tráfego!$J$14:$CV$35,22,0)</f>
        <v>765.00711554914005</v>
      </c>
    </row>
    <row r="16" spans="1:18">
      <c r="A16" s="36" t="s">
        <v>273</v>
      </c>
      <c r="B16" s="39">
        <f>+'Dados Financeiros'!L46-'Dados Financeiros'!L42</f>
        <v>161.72999999999999</v>
      </c>
      <c r="C16" s="39">
        <f>+'Dados Financeiros'!Q46-'Dados Financeiros'!Q42</f>
        <v>174.90000000000003</v>
      </c>
      <c r="D16" s="39">
        <f>+'Dados Financeiros'!V46-'Dados Financeiros'!V42</f>
        <v>190.74299999999999</v>
      </c>
      <c r="E16" s="39">
        <f>+'Dados Financeiros'!AA46-'Dados Financeiros'!AA42</f>
        <v>198.14046802023935</v>
      </c>
      <c r="F16" s="39">
        <f>+'Dados Financeiros'!AB46-'Dados Financeiros'!AB42</f>
        <v>231.73987796342152</v>
      </c>
      <c r="G16" s="39">
        <f>+'Dados Financeiros'!AC46-'Dados Financeiros'!AC42</f>
        <v>267.02458488055868</v>
      </c>
      <c r="H16" s="39">
        <f>+'Dados Financeiros'!AD46-'Dados Financeiros'!AD42</f>
        <v>306.39216576015701</v>
      </c>
      <c r="I16" s="39">
        <f>+'Dados Financeiros'!AE46-'Dados Financeiros'!AE42</f>
        <v>340.75005681024618</v>
      </c>
      <c r="J16" s="39">
        <f>+'Dados Financeiros'!AF46-'Dados Financeiros'!AF42</f>
        <v>376.39340780454239</v>
      </c>
      <c r="K16" s="39">
        <f>+'Dados Financeiros'!AG46-'Dados Financeiros'!AG42</f>
        <v>408.98416034288323</v>
      </c>
      <c r="L16" s="39">
        <f>+'Dados Financeiros'!AH46-'Dados Financeiros'!AH42</f>
        <v>444.15966425101567</v>
      </c>
      <c r="M16" s="39">
        <f>+'Dados Financeiros'!AI46-'Dados Financeiros'!AI42</f>
        <v>482.42653292303635</v>
      </c>
      <c r="N16" s="39">
        <f>+'Dados Financeiros'!AJ46-'Dados Financeiros'!AJ42</f>
        <v>523.29116268501309</v>
      </c>
      <c r="O16" s="39">
        <f>+'Dados Financeiros'!AK46-'Dados Financeiros'!AK42</f>
        <v>567.05829817237793</v>
      </c>
      <c r="P16" s="39">
        <f>+'Dados Financeiros'!AL46-'Dados Financeiros'!AL42</f>
        <v>614.03794203681889</v>
      </c>
      <c r="Q16" s="39">
        <f>+'Dados Financeiros'!AM46-'Dados Financeiros'!AM42</f>
        <v>664.41946956560821</v>
      </c>
      <c r="R16" s="39">
        <f>+'Dados Financeiros'!AN46-'Dados Financeiros'!AN42</f>
        <v>707.67174617130536</v>
      </c>
    </row>
    <row r="17" spans="1:19">
      <c r="A17" s="36" t="s">
        <v>274</v>
      </c>
      <c r="B17" s="39">
        <f>+'Dados Financeiros'!L65</f>
        <v>93.046999999999969</v>
      </c>
      <c r="C17" s="39">
        <f>+'Dados Financeiros'!Q65</f>
        <v>99.085000000000022</v>
      </c>
      <c r="D17" s="39">
        <f>+'Dados Financeiros'!V65</f>
        <v>116.53100000000003</v>
      </c>
      <c r="E17" s="39">
        <f>+'Dados Financeiros'!AA65</f>
        <v>117.23564838140166</v>
      </c>
      <c r="F17" s="39">
        <f>+'Dados Financeiros'!AB65</f>
        <v>162.9279245333409</v>
      </c>
      <c r="G17" s="39">
        <f>+'Dados Financeiros'!AC65</f>
        <v>196.92391586747692</v>
      </c>
      <c r="H17" s="39">
        <f>+'Dados Financeiros'!AD65</f>
        <v>232.15607611679445</v>
      </c>
      <c r="I17" s="39">
        <f>+'Dados Financeiros'!AE65</f>
        <v>263.03210144821645</v>
      </c>
      <c r="J17" s="39">
        <f>+'Dados Financeiros'!AF65</f>
        <v>295.00341392253858</v>
      </c>
      <c r="K17" s="39">
        <f>+'Dados Financeiros'!AG65</f>
        <v>323.2086938152683</v>
      </c>
      <c r="L17" s="39">
        <f>+'Dados Financeiros'!AH65</f>
        <v>353.75075915779871</v>
      </c>
      <c r="M17" s="39">
        <f>+'Dados Financeiros'!AI65</f>
        <v>387.10746047464738</v>
      </c>
      <c r="N17" s="39">
        <f>+'Dados Financeiros'!AJ65</f>
        <v>422.80127415673201</v>
      </c>
      <c r="O17" s="39">
        <f>+'Dados Financeiros'!AK65</f>
        <v>461.11674174594134</v>
      </c>
      <c r="P17" s="39">
        <f>+'Dados Financeiros'!AL65</f>
        <v>502.34313497362001</v>
      </c>
      <c r="Q17" s="39">
        <f>+'Dados Financeiros'!AM65</f>
        <v>546.65423464614219</v>
      </c>
      <c r="R17" s="39">
        <f>+'Dados Financeiros'!AN65</f>
        <v>583.98648218296046</v>
      </c>
      <c r="S17" s="62">
        <f>+SUM(B17:R17)</f>
        <v>5156.9108614228799</v>
      </c>
    </row>
    <row r="18" spans="1:19">
      <c r="A18" s="36" t="s">
        <v>270</v>
      </c>
      <c r="B18" s="53">
        <f>+'Dados Financeiros'!L66</f>
        <v>0.57532306931305244</v>
      </c>
      <c r="C18" s="53">
        <f>+'Dados Financeiros'!Q66</f>
        <v>0.56652372784448257</v>
      </c>
      <c r="D18" s="53">
        <f>+'Dados Financeiros'!V66</f>
        <v>0.61093198701918305</v>
      </c>
      <c r="E18" s="53">
        <f>+'Dados Financeiros'!AA66</f>
        <v>0.59167947644812491</v>
      </c>
      <c r="F18" s="53">
        <f>+'Dados Financeiros'!AB66</f>
        <v>0.70306382296040526</v>
      </c>
      <c r="G18" s="53">
        <f>+'Dados Financeiros'!AC66</f>
        <v>0.73747485069796814</v>
      </c>
      <c r="H18" s="53">
        <f>+'Dados Financeiros'!AD66</f>
        <v>0.75770891706978438</v>
      </c>
      <c r="I18" s="53">
        <f>+'Dados Financeiros'!AE66</f>
        <v>0.77192093204753709</v>
      </c>
      <c r="J18" s="53">
        <f>+'Dados Financeiros'!AF66</f>
        <v>0.78376349799338441</v>
      </c>
      <c r="K18" s="53">
        <f>+'Dados Financeiros'!AG66</f>
        <v>0.79027191063902646</v>
      </c>
      <c r="L18" s="53">
        <f>+'Dados Financeiros'!AH66</f>
        <v>0.79644953747505853</v>
      </c>
      <c r="M18" s="53">
        <f>+'Dados Financeiros'!AI66</f>
        <v>0.8024174336538914</v>
      </c>
      <c r="N18" s="53">
        <f>+'Dados Financeiros'!AJ66</f>
        <v>0.80796563042902103</v>
      </c>
      <c r="O18" s="53">
        <f>+'Dados Financeiros'!AK66</f>
        <v>0.81317343072505077</v>
      </c>
      <c r="P18" s="53">
        <f>+'Dados Financeiros'!AL66</f>
        <v>0.81809787406182555</v>
      </c>
      <c r="Q18" s="53">
        <f>+'Dados Financeiros'!AM66</f>
        <v>0.82275468990025247</v>
      </c>
      <c r="R18" s="53">
        <f>+'Dados Financeiros'!AN66</f>
        <v>0.82522226631554041</v>
      </c>
    </row>
    <row r="20" spans="1:19">
      <c r="A20" s="36" t="s">
        <v>275</v>
      </c>
      <c r="C20" s="47">
        <f>+'Dados Financeiros'!Q206+'Dados Financeiros'!Q209</f>
        <v>-66.548000000000002</v>
      </c>
      <c r="D20" s="47">
        <f>+'Dados Financeiros'!V206+'Dados Financeiros'!V209</f>
        <v>-31.64200000000001</v>
      </c>
      <c r="E20" s="47">
        <f>+'Dados Financeiros'!AA206+'Dados Financeiros'!AA209</f>
        <v>49.615461416491925</v>
      </c>
      <c r="F20" s="47">
        <f>+'Dados Financeiros'!AB206+'Dados Financeiros'!AB209</f>
        <v>1.224061965808076</v>
      </c>
      <c r="G20" s="47">
        <f>+'Dados Financeiros'!AC206+'Dados Financeiros'!AC209</f>
        <v>25.753318397519806</v>
      </c>
      <c r="H20" s="47">
        <f>+'Dados Financeiros'!AD206+'Dados Financeiros'!AD209</f>
        <v>88.453211113339506</v>
      </c>
      <c r="I20" s="47">
        <f>+'Dados Financeiros'!AE206+'Dados Financeiros'!AE209</f>
        <v>104.01164699670235</v>
      </c>
      <c r="J20" s="47">
        <f>+'Dados Financeiros'!AF206+'Dados Financeiros'!AF209</f>
        <v>126.93221991750923</v>
      </c>
      <c r="K20" s="47">
        <f>+'Dados Financeiros'!AG206+'Dados Financeiros'!AG209</f>
        <v>84.87023553852832</v>
      </c>
      <c r="L20" s="47">
        <f>+'Dados Financeiros'!AH206+'Dados Financeiros'!AH209</f>
        <v>129.31722634442767</v>
      </c>
      <c r="M20" s="47">
        <f>+'Dados Financeiros'!AI206+'Dados Financeiros'!AI209</f>
        <v>142.62542401780942</v>
      </c>
      <c r="N20" s="47">
        <f>+'Dados Financeiros'!AJ206+'Dados Financeiros'!AJ209</f>
        <v>170.53487357043858</v>
      </c>
      <c r="O20" s="47">
        <f>+'Dados Financeiros'!AK206+'Dados Financeiros'!AK209</f>
        <v>208.21637965321096</v>
      </c>
      <c r="P20" s="47">
        <f>+'Dados Financeiros'!AL206+'Dados Financeiros'!AL209</f>
        <v>231.47711432430614</v>
      </c>
      <c r="Q20" s="47">
        <f>+'Dados Financeiros'!AM206+'Dados Financeiros'!AM209</f>
        <v>201.95047966542103</v>
      </c>
      <c r="R20" s="47">
        <f>+'Dados Financeiros'!AN206+'Dados Financeiros'!AN209</f>
        <v>292.52638582700058</v>
      </c>
    </row>
    <row r="21" spans="1:19"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</row>
    <row r="22" spans="1:19">
      <c r="A22" s="36" t="s">
        <v>184</v>
      </c>
      <c r="B22" s="39">
        <f>+'Dados Financeiros'!L105</f>
        <v>627</v>
      </c>
      <c r="C22" s="39">
        <f>+'Dados Financeiros'!Q105</f>
        <v>1068.0999999999999</v>
      </c>
      <c r="D22" s="39">
        <f>+'Dados Financeiros'!V105</f>
        <v>1107.232</v>
      </c>
      <c r="E22" s="39">
        <f>+'Dados Financeiros'!AA105</f>
        <v>1236.7544958810918</v>
      </c>
      <c r="F22" s="39">
        <f>+'Dados Financeiros'!AB105</f>
        <v>1330.8547052284873</v>
      </c>
      <c r="G22" s="39">
        <f>+'Dados Financeiros'!AC105</f>
        <v>1389.76376557136</v>
      </c>
      <c r="H22" s="39">
        <f>+'Dados Financeiros'!AD105</f>
        <v>1401.1625878965617</v>
      </c>
      <c r="I22" s="39">
        <f>+'Dados Financeiros'!AE105</f>
        <v>1371.4743235861897</v>
      </c>
      <c r="J22" s="39">
        <f>+'Dados Financeiros'!AF105</f>
        <v>1319.2578142171162</v>
      </c>
      <c r="K22" s="39">
        <f>+'Dados Financeiros'!AG105</f>
        <v>1249.6895884288704</v>
      </c>
      <c r="L22" s="39">
        <f>+'Dados Financeiros'!AH105</f>
        <v>1150.0385328299456</v>
      </c>
      <c r="M22" s="39">
        <f>+'Dados Financeiros'!AI105</f>
        <v>1002.2772765457555</v>
      </c>
      <c r="N22" s="39">
        <f>+'Dados Financeiros'!AJ105</f>
        <v>830.10534178585772</v>
      </c>
      <c r="O22" s="39">
        <f>+'Dados Financeiros'!AK105</f>
        <v>625.30081300540542</v>
      </c>
      <c r="P22" s="39">
        <f>+'Dados Financeiros'!AL105</f>
        <v>397.52219580435258</v>
      </c>
      <c r="Q22" s="39">
        <f>+'Dados Financeiros'!AM105</f>
        <v>158.28188841990371</v>
      </c>
      <c r="R22" s="39">
        <f>+'Dados Financeiros'!AN105</f>
        <v>56.55786805006673</v>
      </c>
    </row>
    <row r="23" spans="1:19">
      <c r="A23" s="36" t="s">
        <v>185</v>
      </c>
      <c r="B23" s="39">
        <f>+'Dados Financeiros'!L106</f>
        <v>579.1</v>
      </c>
      <c r="C23" s="39">
        <f>+'Dados Financeiros'!Q106</f>
        <v>717.3</v>
      </c>
      <c r="D23" s="39">
        <f>+'Dados Financeiros'!V106</f>
        <v>858.38</v>
      </c>
      <c r="E23" s="39">
        <f>+'Dados Financeiros'!AA106</f>
        <v>954.71003446459986</v>
      </c>
      <c r="F23" s="39">
        <f>+'Dados Financeiros'!AB106</f>
        <v>1047.5861818461874</v>
      </c>
      <c r="G23" s="39">
        <f>+'Dados Financeiros'!AC106</f>
        <v>1087.7709237915401</v>
      </c>
      <c r="H23" s="39">
        <f>+'Dados Financeiros'!AD106</f>
        <v>1048.0980350034024</v>
      </c>
      <c r="I23" s="39">
        <f>+'Dados Financeiros'!AE106</f>
        <v>981.96529175265073</v>
      </c>
      <c r="J23" s="39">
        <f>+'Dados Financeiros'!AF106</f>
        <v>893.04547095075941</v>
      </c>
      <c r="K23" s="39">
        <f>+'Dados Financeiros'!AG106</f>
        <v>818.96526272760912</v>
      </c>
      <c r="L23" s="39">
        <f>+'Dados Financeiros'!AH106</f>
        <v>708.38691779548753</v>
      </c>
      <c r="M23" s="39">
        <f>+'Dados Financeiros'!AI106</f>
        <v>555.44136069008994</v>
      </c>
      <c r="N23" s="39">
        <f>+'Dados Financeiros'!AJ106</f>
        <v>376.58650290099314</v>
      </c>
      <c r="O23" s="39">
        <f>+'Dados Financeiros'!AK106</f>
        <v>148.99578265265018</v>
      </c>
      <c r="P23" s="39">
        <f>+'Dados Financeiros'!AL106</f>
        <v>-108.06478092898834</v>
      </c>
      <c r="Q23" s="39">
        <f>+'Dados Financeiros'!AM106</f>
        <v>-336.19669457835153</v>
      </c>
      <c r="R23" s="39">
        <f>+'Dados Financeiros'!AN106</f>
        <v>-584.40947683321031</v>
      </c>
    </row>
    <row r="25" spans="1:19">
      <c r="A25" s="42" t="s">
        <v>276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</row>
    <row r="26" spans="1:19">
      <c r="A26" s="36" t="s">
        <v>277</v>
      </c>
      <c r="B26" s="41">
        <f>+'Dados Financeiros'!L109</f>
        <v>6.2237363912861268</v>
      </c>
      <c r="C26" s="41">
        <f>+'Dados Financeiros'!Q109</f>
        <v>7.2392390371902895</v>
      </c>
      <c r="D26" s="41">
        <f>+'Dados Financeiros'!V109</f>
        <v>7.3661085891307874</v>
      </c>
      <c r="E26" s="41">
        <f>+'Dados Financeiros'!AA109</f>
        <v>8.1435130665943039</v>
      </c>
      <c r="F26" s="41">
        <f>+'Dados Financeiros'!AB109</f>
        <v>6.4297522039066646</v>
      </c>
      <c r="G26" s="41">
        <f>+'Dados Financeiros'!AC109</f>
        <v>5.5238131894735059</v>
      </c>
      <c r="H26" s="41">
        <f>+'Dados Financeiros'!AD109</f>
        <v>4.514626765470136</v>
      </c>
      <c r="I26" s="41">
        <f>+'Dados Financeiros'!AE109</f>
        <v>3.7332526575505152</v>
      </c>
      <c r="J26" s="41">
        <f>+'Dados Financeiros'!AF109</f>
        <v>3.0272377498155105</v>
      </c>
      <c r="K26" s="41">
        <f>+'Dados Financeiros'!AG109</f>
        <v>2.5338590155489231</v>
      </c>
      <c r="L26" s="41">
        <f>+'Dados Financeiros'!AH109</f>
        <v>2.00250289068495</v>
      </c>
      <c r="M26" s="41">
        <f>+'Dados Financeiros'!AI109</f>
        <v>1.4348505709733463</v>
      </c>
      <c r="N26" s="41">
        <f>+'Dados Financeiros'!AJ109</f>
        <v>0.89069386948297824</v>
      </c>
      <c r="O26" s="41">
        <f>+'Dados Financeiros'!AK109</f>
        <v>0.32311943844958346</v>
      </c>
      <c r="P26" s="41">
        <f>+'Dados Financeiros'!AL109</f>
        <v>-0.21512144469668773</v>
      </c>
      <c r="Q26" s="41">
        <f>+'Dados Financeiros'!AM109</f>
        <v>-0.61500793970063528</v>
      </c>
      <c r="R26" s="41">
        <f>+'Dados Financeiros'!AN109</f>
        <v>-1.0007243226738205</v>
      </c>
    </row>
    <row r="27" spans="1:19">
      <c r="A27" s="36" t="s">
        <v>245</v>
      </c>
      <c r="E27" s="48">
        <f>+'Dados Financeiros'!AA237</f>
        <v>2.2558048705969269</v>
      </c>
      <c r="F27" s="48">
        <f>+'Dados Financeiros'!AB237</f>
        <v>1.011879378281235</v>
      </c>
      <c r="G27" s="48">
        <f>+'Dados Financeiros'!AC237</f>
        <v>1.1577708599841672</v>
      </c>
      <c r="H27" s="48">
        <f>+'Dados Financeiros'!AD237</f>
        <v>1.3129102712950675</v>
      </c>
      <c r="I27" s="48">
        <f>+'Dados Financeiros'!AE237</f>
        <v>1.242541474135556</v>
      </c>
      <c r="J27" s="48">
        <f>+'Dados Financeiros'!AF237</f>
        <v>1.2845538209845322</v>
      </c>
      <c r="K27" s="48">
        <f>+'Dados Financeiros'!AG237</f>
        <v>1.1483316515766413</v>
      </c>
      <c r="L27" s="48">
        <f>+'Dados Financeiros'!AH237</f>
        <v>1.167768869516383</v>
      </c>
      <c r="M27" s="48">
        <f>+'Dados Financeiros'!AI237</f>
        <v>1.1501675399037246</v>
      </c>
      <c r="N27" s="48">
        <f>+'Dados Financeiros'!AJ237</f>
        <v>1.1750363985377121</v>
      </c>
      <c r="O27" s="48">
        <f>+'Dados Financeiros'!AK237</f>
        <v>1.2454026029010974</v>
      </c>
      <c r="P27" s="48">
        <f>+'Dados Financeiros'!AL237+0.009</f>
        <v>1.3093175621446838</v>
      </c>
      <c r="Q27" s="48">
        <f>+'Dados Financeiros'!AM237</f>
        <v>1.1915590036188333</v>
      </c>
      <c r="R27" s="48">
        <f>+'Dados Financeiros'!AN237</f>
        <v>2.5874853832949549</v>
      </c>
    </row>
    <row r="28" spans="1:19">
      <c r="A28" s="36" t="s">
        <v>282</v>
      </c>
      <c r="E28" s="48">
        <v>1.1499999999999999</v>
      </c>
      <c r="F28" s="48">
        <v>1.1499999999999999</v>
      </c>
      <c r="G28" s="48">
        <v>1.1499999999999999</v>
      </c>
      <c r="H28" s="48">
        <v>1.1499999999999999</v>
      </c>
      <c r="I28" s="48">
        <v>1.1499999999999999</v>
      </c>
      <c r="J28" s="48">
        <v>1.1499999999999999</v>
      </c>
      <c r="K28" s="48">
        <v>1.1499999999999999</v>
      </c>
      <c r="L28" s="48">
        <v>1.1499999999999999</v>
      </c>
      <c r="M28" s="48">
        <v>1.1499999999999999</v>
      </c>
      <c r="N28" s="48">
        <v>1.1499999999999999</v>
      </c>
      <c r="O28" s="48">
        <v>1.1499999999999999</v>
      </c>
      <c r="P28" s="48">
        <v>1.1499999999999999</v>
      </c>
      <c r="Q28" s="48">
        <v>1.1499999999999999</v>
      </c>
      <c r="R28" s="48">
        <v>1.1499999999999999</v>
      </c>
    </row>
    <row r="29" spans="1:19">
      <c r="A29" s="36" t="s">
        <v>283</v>
      </c>
      <c r="E29" s="49" t="str">
        <f>+IF(E27&gt;1.14,"ok","verificar")</f>
        <v>ok</v>
      </c>
      <c r="F29" s="49" t="str">
        <f t="shared" ref="F29:R29" si="3">+IF(F27&gt;1.14,"ok","verificar")</f>
        <v>verificar</v>
      </c>
      <c r="G29" s="49" t="str">
        <f t="shared" si="3"/>
        <v>ok</v>
      </c>
      <c r="H29" s="49" t="str">
        <f t="shared" si="3"/>
        <v>ok</v>
      </c>
      <c r="I29" s="49" t="str">
        <f t="shared" si="3"/>
        <v>ok</v>
      </c>
      <c r="J29" s="49" t="str">
        <f t="shared" si="3"/>
        <v>ok</v>
      </c>
      <c r="K29" s="49" t="str">
        <f t="shared" si="3"/>
        <v>ok</v>
      </c>
      <c r="L29" s="49" t="str">
        <f t="shared" si="3"/>
        <v>ok</v>
      </c>
      <c r="M29" s="49" t="str">
        <f t="shared" si="3"/>
        <v>ok</v>
      </c>
      <c r="N29" s="49" t="str">
        <f t="shared" si="3"/>
        <v>ok</v>
      </c>
      <c r="O29" s="49" t="str">
        <f t="shared" si="3"/>
        <v>ok</v>
      </c>
      <c r="P29" s="49" t="str">
        <f t="shared" si="3"/>
        <v>ok</v>
      </c>
      <c r="Q29" s="49" t="str">
        <f t="shared" si="3"/>
        <v>ok</v>
      </c>
      <c r="R29" s="49" t="str">
        <f t="shared" si="3"/>
        <v>ok</v>
      </c>
    </row>
    <row r="30" spans="1:19">
      <c r="A30" s="64" t="s">
        <v>278</v>
      </c>
      <c r="B30" s="64"/>
      <c r="C30" s="65">
        <f>+'Dados Financeiros'!Q235</f>
        <v>0.84082608237756595</v>
      </c>
      <c r="D30" s="65">
        <f>+'Dados Financeiros'!V235</f>
        <v>0.84350314895186018</v>
      </c>
      <c r="E30" s="65">
        <f>+'Dados Financeiros'!AA235</f>
        <v>0.86265546319605579</v>
      </c>
      <c r="F30" s="65">
        <f>+'Dados Financeiros'!AB235</f>
        <v>0.86408773940747385</v>
      </c>
      <c r="G30" s="322">
        <f>+'Dados Financeiros'!AC235</f>
        <v>0.84444334450136249</v>
      </c>
      <c r="H30" s="65">
        <f>+'Dados Financeiros'!AD235</f>
        <v>0.80432644823293442</v>
      </c>
      <c r="I30" s="65">
        <f>+'Dados Financeiros'!AE235</f>
        <v>0.74701594660682158</v>
      </c>
      <c r="J30" s="65">
        <f>+'Dados Financeiros'!AF235</f>
        <v>0.688216294886561</v>
      </c>
      <c r="K30" s="65">
        <f>+'Dados Financeiros'!AG235</f>
        <v>0.62380025976304443</v>
      </c>
      <c r="L30" s="65">
        <f>+'Dados Financeiros'!AH235</f>
        <v>0.55720350614187586</v>
      </c>
      <c r="M30" s="65">
        <f>+'Dados Financeiros'!AI235</f>
        <v>0.47517378246393854</v>
      </c>
      <c r="N30" s="65">
        <f>+'Dados Financeiros'!AJ235</f>
        <v>0.38594286414483886</v>
      </c>
      <c r="O30" s="65">
        <f>+'Dados Financeiros'!AK235</f>
        <v>0.28437282499251609</v>
      </c>
      <c r="P30" s="65">
        <f>+'Dados Financeiros'!AL235</f>
        <v>0.17288424044017392</v>
      </c>
      <c r="Q30" s="65">
        <f>+'Dados Financeiros'!AM235</f>
        <v>5.6946732680234535E-2</v>
      </c>
      <c r="R30" s="65">
        <f>+'Dados Financeiros'!AN235</f>
        <v>0</v>
      </c>
    </row>
    <row r="31" spans="1:19">
      <c r="A31" s="64" t="s">
        <v>282</v>
      </c>
      <c r="B31" s="64"/>
      <c r="C31" s="65">
        <v>0.85</v>
      </c>
      <c r="D31" s="65">
        <v>0.85</v>
      </c>
      <c r="E31" s="65">
        <v>0.85</v>
      </c>
      <c r="F31" s="65">
        <v>0.85</v>
      </c>
      <c r="G31" s="322">
        <v>0.85</v>
      </c>
      <c r="H31" s="65">
        <v>0.85</v>
      </c>
      <c r="I31" s="65">
        <v>0.75</v>
      </c>
      <c r="J31" s="65">
        <v>0.75</v>
      </c>
      <c r="K31" s="65">
        <v>0.75</v>
      </c>
      <c r="L31" s="65">
        <v>0.75</v>
      </c>
      <c r="M31" s="65">
        <v>0.75</v>
      </c>
      <c r="N31" s="65">
        <v>0.75</v>
      </c>
      <c r="O31" s="65">
        <v>0.75</v>
      </c>
      <c r="P31" s="65">
        <v>0.75</v>
      </c>
      <c r="Q31" s="65">
        <v>0.75</v>
      </c>
      <c r="R31" s="65">
        <v>0.75</v>
      </c>
    </row>
    <row r="32" spans="1:19">
      <c r="A32" s="45" t="s">
        <v>322</v>
      </c>
      <c r="B32" s="45"/>
      <c r="C32" s="50" t="str">
        <f>+IF(C30&lt;=C31,"ok","verificar")</f>
        <v>ok</v>
      </c>
      <c r="D32" s="50" t="str">
        <f t="shared" ref="D32:R32" si="4">+IF(D30&lt;=D31,"ok","verificar")</f>
        <v>ok</v>
      </c>
      <c r="E32" s="50" t="str">
        <f t="shared" si="4"/>
        <v>verificar</v>
      </c>
      <c r="F32" s="50" t="str">
        <f t="shared" si="4"/>
        <v>verificar</v>
      </c>
      <c r="G32" s="50" t="str">
        <f t="shared" si="4"/>
        <v>ok</v>
      </c>
      <c r="H32" s="50" t="str">
        <f t="shared" si="4"/>
        <v>ok</v>
      </c>
      <c r="I32" s="50" t="str">
        <f t="shared" si="4"/>
        <v>ok</v>
      </c>
      <c r="J32" s="50" t="str">
        <f t="shared" si="4"/>
        <v>ok</v>
      </c>
      <c r="K32" s="50" t="str">
        <f t="shared" si="4"/>
        <v>ok</v>
      </c>
      <c r="L32" s="50" t="str">
        <f t="shared" si="4"/>
        <v>ok</v>
      </c>
      <c r="M32" s="50" t="str">
        <f t="shared" si="4"/>
        <v>ok</v>
      </c>
      <c r="N32" s="50" t="str">
        <f t="shared" si="4"/>
        <v>ok</v>
      </c>
      <c r="O32" s="50" t="str">
        <f t="shared" si="4"/>
        <v>ok</v>
      </c>
      <c r="P32" s="50" t="str">
        <f t="shared" si="4"/>
        <v>ok</v>
      </c>
      <c r="Q32" s="50" t="str">
        <f t="shared" si="4"/>
        <v>ok</v>
      </c>
      <c r="R32" s="50" t="str">
        <f t="shared" si="4"/>
        <v>ok</v>
      </c>
    </row>
    <row r="34" spans="1:18">
      <c r="A34" s="37" t="s">
        <v>216</v>
      </c>
      <c r="B34" s="37">
        <f>+B14</f>
        <v>2012</v>
      </c>
      <c r="C34" s="37">
        <f t="shared" ref="C34:R34" si="5">+C14</f>
        <v>2013</v>
      </c>
      <c r="D34" s="37">
        <f t="shared" si="5"/>
        <v>2014</v>
      </c>
      <c r="E34" s="37" t="str">
        <f t="shared" si="5"/>
        <v>2015E</v>
      </c>
      <c r="F34" s="37" t="str">
        <f t="shared" si="5"/>
        <v>2016E</v>
      </c>
      <c r="G34" s="37" t="str">
        <f t="shared" si="5"/>
        <v>2017E</v>
      </c>
      <c r="H34" s="37" t="str">
        <f t="shared" si="5"/>
        <v>2018E</v>
      </c>
      <c r="I34" s="37" t="str">
        <f t="shared" si="5"/>
        <v>2019E</v>
      </c>
      <c r="J34" s="37" t="str">
        <f t="shared" si="5"/>
        <v>2020E</v>
      </c>
      <c r="K34" s="37" t="str">
        <f t="shared" si="5"/>
        <v>2021E</v>
      </c>
      <c r="L34" s="37" t="str">
        <f t="shared" si="5"/>
        <v>2022E</v>
      </c>
      <c r="M34" s="37" t="str">
        <f t="shared" si="5"/>
        <v>2023E</v>
      </c>
      <c r="N34" s="37" t="str">
        <f t="shared" si="5"/>
        <v>2024E</v>
      </c>
      <c r="O34" s="37" t="str">
        <f t="shared" si="5"/>
        <v>2025E</v>
      </c>
      <c r="P34" s="37" t="str">
        <f t="shared" si="5"/>
        <v>2026E</v>
      </c>
      <c r="Q34" s="37" t="str">
        <f t="shared" si="5"/>
        <v>2027E</v>
      </c>
      <c r="R34" s="37" t="str">
        <f t="shared" si="5"/>
        <v>2028E</v>
      </c>
    </row>
    <row r="35" spans="1:18">
      <c r="A35" s="36" t="str">
        <f>+'Dados Financeiros'!A225</f>
        <v>Conta Reserva de Capex</v>
      </c>
      <c r="C35" s="47">
        <f>+'Dados Financeiros'!Q225</f>
        <v>43.55803745</v>
      </c>
      <c r="D35" s="47">
        <f>+'Dados Financeiros'!V225</f>
        <v>67.23297766666667</v>
      </c>
      <c r="E35" s="47">
        <f>+'Dados Financeiros'!AA225</f>
        <v>90.214367666666661</v>
      </c>
      <c r="F35" s="47">
        <f>+'Dados Financeiros'!AB225</f>
        <v>76.353181750075024</v>
      </c>
      <c r="G35" s="47">
        <f>+'Dados Financeiros'!AC225</f>
        <v>63.112915550492865</v>
      </c>
      <c r="H35" s="47">
        <f>+'Dados Financeiros'!AD225</f>
        <v>72.505883120064951</v>
      </c>
      <c r="I35" s="47">
        <f>+'Dados Financeiros'!AE225</f>
        <v>74.119504767803377</v>
      </c>
      <c r="J35" s="47">
        <f>+'Dados Financeiros'!AF225</f>
        <v>73.978922075707345</v>
      </c>
      <c r="K35" s="47">
        <f>+'Dados Financeiros'!AG225</f>
        <v>62.320659811294426</v>
      </c>
      <c r="L35" s="47">
        <f>+'Dados Financeiros'!AH225</f>
        <v>55.163442120123129</v>
      </c>
      <c r="M35" s="47">
        <f>+'Dados Financeiros'!AI225</f>
        <v>55.465727164810943</v>
      </c>
      <c r="N35" s="47">
        <f>+'Dados Financeiros'!AJ225</f>
        <v>72.675090355651747</v>
      </c>
      <c r="O35" s="47">
        <f>+'Dados Financeiros'!AK225</f>
        <v>92.291662308415766</v>
      </c>
      <c r="P35" s="47">
        <f>+'Dados Financeiros'!AL225</f>
        <v>101.09623477010258</v>
      </c>
      <c r="Q35" s="47">
        <f>+'Dados Financeiros'!AM225</f>
        <v>105.01159191595845</v>
      </c>
      <c r="R35" s="47">
        <f>+'Dados Financeiros'!AN225</f>
        <v>102.84458558017479</v>
      </c>
    </row>
    <row r="36" spans="1:18">
      <c r="A36" s="36" t="str">
        <f>+'Dados Financeiros'!A226</f>
        <v>Conta de Serviço de Dívida</v>
      </c>
      <c r="C36" s="47">
        <f>+'Dados Financeiros'!Q226</f>
        <v>0</v>
      </c>
      <c r="D36" s="47">
        <f>+'Dados Financeiros'!V226</f>
        <v>98.202331019543166</v>
      </c>
      <c r="E36" s="47">
        <f>+'Dados Financeiros'!AA226</f>
        <v>103.0409114710706</v>
      </c>
      <c r="F36" s="47">
        <f>+'Dados Financeiros'!AB226</f>
        <v>118.6804610141497</v>
      </c>
      <c r="G36" s="47">
        <f>+'Dados Financeiros'!AC226</f>
        <v>163.21519553182074</v>
      </c>
      <c r="H36" s="47">
        <f>+'Dados Financeiros'!AD226</f>
        <v>191.72657856739454</v>
      </c>
      <c r="I36" s="47">
        <f>+'Dados Financeiros'!AE226</f>
        <v>206.16739467609588</v>
      </c>
      <c r="J36" s="47">
        <f>+'Dados Financeiros'!AF226</f>
        <v>214.30177039526831</v>
      </c>
      <c r="K36" s="47">
        <f>+'Dados Financeiros'!AG226</f>
        <v>233.76342975594721</v>
      </c>
      <c r="L36" s="47">
        <f>+'Dados Financeiros'!AH226</f>
        <v>268.86252544121231</v>
      </c>
      <c r="M36" s="47">
        <f>+'Dados Financeiros'!AI226</f>
        <v>278.22140981692019</v>
      </c>
      <c r="N36" s="47">
        <f>+'Dados Financeiros'!AJ226</f>
        <v>294.27511688747478</v>
      </c>
      <c r="O36" s="47">
        <f>+'Dados Financeiros'!AK226</f>
        <v>299.22540090807519</v>
      </c>
      <c r="P36" s="47">
        <f>+'Dados Financeiros'!AL226</f>
        <v>292.01957939147121</v>
      </c>
      <c r="Q36" s="47">
        <f>+'Dados Financeiros'!AM226</f>
        <v>140.66358542685936</v>
      </c>
      <c r="R36" s="47">
        <f>+'Dados Financeiros'!AN226</f>
        <v>0</v>
      </c>
    </row>
    <row r="37" spans="1:18">
      <c r="A37" s="36" t="str">
        <f>+'Dados Financeiros'!A227</f>
        <v>Reserva para Despesas Operacionais</v>
      </c>
      <c r="C37" s="47">
        <f>+'Dados Financeiros'!Q227</f>
        <v>16.453749999999999</v>
      </c>
      <c r="D37" s="47">
        <f>+'Dados Financeiros'!V227</f>
        <v>16.279249999999998</v>
      </c>
      <c r="E37" s="47">
        <f>+'Dados Financeiros'!AA227</f>
        <v>17.826542742484165</v>
      </c>
      <c r="F37" s="47">
        <f>+'Dados Financeiros'!AB227</f>
        <v>15.031080545591813</v>
      </c>
      <c r="G37" s="47">
        <f>+'Dados Financeiros'!AC227</f>
        <v>15.458658887434046</v>
      </c>
      <c r="H37" s="47">
        <f>+'Dados Financeiros'!AD227</f>
        <v>16.345735146814228</v>
      </c>
      <c r="I37" s="47">
        <f>+'Dados Financeiros'!AE227</f>
        <v>17.13457169054892</v>
      </c>
      <c r="J37" s="47">
        <f>+'Dados Financeiros'!AF227</f>
        <v>17.941687350342999</v>
      </c>
      <c r="K37" s="47">
        <f>+'Dados Financeiros'!AG227</f>
        <v>18.850448812701011</v>
      </c>
      <c r="L37" s="47">
        <f>+'Dados Financeiros'!AH227</f>
        <v>19.807203638252833</v>
      </c>
      <c r="M37" s="47">
        <f>+'Dados Financeiros'!AI227</f>
        <v>20.816580438544189</v>
      </c>
      <c r="N37" s="47">
        <f>+'Dados Financeiros'!AJ227</f>
        <v>21.876945642750837</v>
      </c>
      <c r="O37" s="47">
        <f>+'Dados Financeiros'!AK227</f>
        <v>22.991782141984423</v>
      </c>
      <c r="P37" s="47">
        <f>+'Dados Financeiros'!AL227</f>
        <v>24.16467608071623</v>
      </c>
      <c r="Q37" s="47">
        <f>+'Dados Financeiros'!AM227</f>
        <v>25.398523793273675</v>
      </c>
      <c r="R37" s="47">
        <f>+'Dados Financeiros'!AN227</f>
        <v>26.628491817889063</v>
      </c>
    </row>
    <row r="38" spans="1:18">
      <c r="A38" s="36" t="str">
        <f>+'Dados Financeiros'!A228</f>
        <v>Conta de pré-financimanto de juros</v>
      </c>
      <c r="C38" s="47">
        <f>+'Dados Financeiros'!Q228</f>
        <v>115.30200000000001</v>
      </c>
      <c r="D38" s="47">
        <f>+'Dados Financeiros'!V228</f>
        <v>29.393000000000001</v>
      </c>
      <c r="E38" s="47">
        <f>+'Dados Financeiros'!AA228</f>
        <v>29.393000000000001</v>
      </c>
      <c r="F38" s="47">
        <f>+'Dados Financeiros'!AB228</f>
        <v>0</v>
      </c>
      <c r="G38" s="47">
        <f>+'Dados Financeiros'!AC228</f>
        <v>0</v>
      </c>
      <c r="H38" s="47">
        <f>+'Dados Financeiros'!AD228</f>
        <v>0</v>
      </c>
      <c r="I38" s="47">
        <f>+'Dados Financeiros'!AE228</f>
        <v>0</v>
      </c>
      <c r="J38" s="47">
        <f>+'Dados Financeiros'!AF228</f>
        <v>0</v>
      </c>
      <c r="K38" s="47">
        <f>+'Dados Financeiros'!AG228</f>
        <v>0</v>
      </c>
      <c r="L38" s="47">
        <f>+'Dados Financeiros'!AH228</f>
        <v>0</v>
      </c>
      <c r="M38" s="47">
        <f>+'Dados Financeiros'!AI228</f>
        <v>0</v>
      </c>
      <c r="N38" s="47">
        <f>+'Dados Financeiros'!AJ228</f>
        <v>0</v>
      </c>
      <c r="O38" s="47">
        <f>+'Dados Financeiros'!AK228</f>
        <v>0</v>
      </c>
      <c r="P38" s="47">
        <f>+'Dados Financeiros'!AL228</f>
        <v>0</v>
      </c>
      <c r="Q38" s="47">
        <f>+'Dados Financeiros'!AM228</f>
        <v>0</v>
      </c>
      <c r="R38" s="47">
        <f>+'Dados Financeiros'!AN228</f>
        <v>0</v>
      </c>
    </row>
    <row r="39" spans="1:18">
      <c r="A39" s="51" t="s">
        <v>280</v>
      </c>
      <c r="B39" s="51"/>
      <c r="C39" s="52">
        <f>+SUM(C35:C38)</f>
        <v>175.31378745000001</v>
      </c>
      <c r="D39" s="52">
        <f t="shared" ref="D39:R39" si="6">+SUM(D35:D38)</f>
        <v>211.10755868620984</v>
      </c>
      <c r="E39" s="52">
        <f t="shared" si="6"/>
        <v>240.47482188022141</v>
      </c>
      <c r="F39" s="52">
        <f t="shared" si="6"/>
        <v>210.06472330981654</v>
      </c>
      <c r="G39" s="52">
        <f t="shared" si="6"/>
        <v>241.78676996974764</v>
      </c>
      <c r="H39" s="52">
        <f t="shared" si="6"/>
        <v>280.57819683427368</v>
      </c>
      <c r="I39" s="52">
        <f t="shared" si="6"/>
        <v>297.42147113444815</v>
      </c>
      <c r="J39" s="52">
        <f t="shared" si="6"/>
        <v>306.22237982131861</v>
      </c>
      <c r="K39" s="52">
        <f t="shared" si="6"/>
        <v>314.93453837994264</v>
      </c>
      <c r="L39" s="52">
        <f t="shared" si="6"/>
        <v>343.83317119958826</v>
      </c>
      <c r="M39" s="52">
        <f t="shared" si="6"/>
        <v>354.50371742027528</v>
      </c>
      <c r="N39" s="52">
        <f t="shared" si="6"/>
        <v>388.82715288587741</v>
      </c>
      <c r="O39" s="52">
        <f t="shared" si="6"/>
        <v>414.50884535847536</v>
      </c>
      <c r="P39" s="52">
        <f t="shared" si="6"/>
        <v>417.28049024229</v>
      </c>
      <c r="Q39" s="52">
        <f t="shared" si="6"/>
        <v>271.07370113609147</v>
      </c>
      <c r="R39" s="52">
        <f t="shared" si="6"/>
        <v>129.47307739806385</v>
      </c>
    </row>
    <row r="41" spans="1:18">
      <c r="A41" s="36" t="s">
        <v>215</v>
      </c>
      <c r="C41" s="39">
        <f>+'Dados Financeiros'!Q7</f>
        <v>350.8</v>
      </c>
      <c r="D41" s="39">
        <f>+'Dados Financeiros'!V7</f>
        <v>248.852</v>
      </c>
      <c r="E41" s="39">
        <f>+'Dados Financeiros'!AA7</f>
        <v>282.04446141649191</v>
      </c>
      <c r="F41" s="39">
        <f>+'Dados Financeiros'!AB7</f>
        <v>283.26852338229997</v>
      </c>
      <c r="G41" s="39">
        <f>+'Dados Financeiros'!AC7</f>
        <v>301.9928417798198</v>
      </c>
      <c r="H41" s="39">
        <f>+'Dados Financeiros'!AD7</f>
        <v>353.06455289315932</v>
      </c>
      <c r="I41" s="39">
        <f>+'Dados Financeiros'!AE7</f>
        <v>389.50903183353898</v>
      </c>
      <c r="J41" s="39">
        <f>+'Dados Financeiros'!AF7</f>
        <v>426.21234326635687</v>
      </c>
      <c r="K41" s="39">
        <f>+'Dados Financeiros'!AG7</f>
        <v>430.72432570126119</v>
      </c>
      <c r="L41" s="39">
        <f>+'Dados Financeiros'!AH7</f>
        <v>441.65161503445802</v>
      </c>
      <c r="M41" s="39">
        <f>+'Dados Financeiros'!AI7</f>
        <v>446.83591585566558</v>
      </c>
      <c r="N41" s="39">
        <f>+'Dados Financeiros'!AJ7</f>
        <v>453.51883888486458</v>
      </c>
      <c r="O41" s="39">
        <f>+'Dados Financeiros'!AK7</f>
        <v>476.30503035275524</v>
      </c>
      <c r="P41" s="39">
        <f>+'Dados Financeiros'!AL7</f>
        <v>505.58697673334092</v>
      </c>
      <c r="Q41" s="39">
        <f>+'Dados Financeiros'!AM7</f>
        <v>494.47858299825526</v>
      </c>
      <c r="R41" s="39">
        <f>+'Dados Financeiros'!AN7</f>
        <v>640.96734488327706</v>
      </c>
    </row>
    <row r="42" spans="1:18">
      <c r="A42" s="45" t="s">
        <v>281</v>
      </c>
      <c r="B42" s="45"/>
      <c r="C42" s="50" t="str">
        <f>+IF(C41&gt;C39,"ok", "verificar")</f>
        <v>ok</v>
      </c>
      <c r="D42" s="50" t="str">
        <f t="shared" ref="D42:R42" si="7">+IF(D41&gt;D39,"ok", "verificar")</f>
        <v>ok</v>
      </c>
      <c r="E42" s="50" t="str">
        <f t="shared" si="7"/>
        <v>ok</v>
      </c>
      <c r="F42" s="50" t="str">
        <f t="shared" si="7"/>
        <v>ok</v>
      </c>
      <c r="G42" s="50" t="str">
        <f t="shared" si="7"/>
        <v>ok</v>
      </c>
      <c r="H42" s="50" t="str">
        <f t="shared" si="7"/>
        <v>ok</v>
      </c>
      <c r="I42" s="50" t="str">
        <f t="shared" si="7"/>
        <v>ok</v>
      </c>
      <c r="J42" s="50" t="str">
        <f t="shared" si="7"/>
        <v>ok</v>
      </c>
      <c r="K42" s="50" t="str">
        <f t="shared" si="7"/>
        <v>ok</v>
      </c>
      <c r="L42" s="50" t="str">
        <f t="shared" si="7"/>
        <v>ok</v>
      </c>
      <c r="M42" s="50" t="str">
        <f t="shared" si="7"/>
        <v>ok</v>
      </c>
      <c r="N42" s="50" t="str">
        <f t="shared" si="7"/>
        <v>ok</v>
      </c>
      <c r="O42" s="50" t="str">
        <f t="shared" si="7"/>
        <v>ok</v>
      </c>
      <c r="P42" s="50" t="str">
        <f t="shared" si="7"/>
        <v>ok</v>
      </c>
      <c r="Q42" s="50" t="str">
        <f t="shared" si="7"/>
        <v>ok</v>
      </c>
      <c r="R42" s="50" t="str">
        <f t="shared" si="7"/>
        <v>ok</v>
      </c>
    </row>
  </sheetData>
  <mergeCells count="2">
    <mergeCell ref="D10:E10"/>
    <mergeCell ref="D11:E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261"/>
  <sheetViews>
    <sheetView showGridLines="0" tabSelected="1" topLeftCell="A2" zoomScale="85" zoomScaleNormal="85" workbookViewId="0">
      <pane xSplit="11" ySplit="2" topLeftCell="L34" activePane="bottomRight" state="frozen"/>
      <selection activeCell="A2" sqref="A2"/>
      <selection pane="topRight" activeCell="L2" sqref="L2"/>
      <selection pane="bottomLeft" activeCell="A4" sqref="A4"/>
      <selection pane="bottomRight" activeCell="AA40" sqref="AA40"/>
    </sheetView>
  </sheetViews>
  <sheetFormatPr defaultRowHeight="15" outlineLevelCol="1"/>
  <cols>
    <col min="1" max="1" width="45.7109375" customWidth="1"/>
    <col min="2" max="11" width="9.140625" hidden="1" customWidth="1" outlineLevel="1"/>
    <col min="12" max="12" width="9.140625" customWidth="1" collapsed="1"/>
    <col min="13" max="13" width="9.140625" hidden="1" customWidth="1" outlineLevel="1"/>
    <col min="14" max="14" width="9.140625" style="27" hidden="1" customWidth="1" outlineLevel="1"/>
    <col min="15" max="15" width="9.28515625" style="27" hidden="1" customWidth="1" outlineLevel="1"/>
    <col min="16" max="16" width="9.28515625" style="34" hidden="1" customWidth="1" outlineLevel="1"/>
    <col min="17" max="17" width="9.140625" style="27" customWidth="1" collapsed="1"/>
    <col min="18" max="21" width="9.140625" style="34" hidden="1" customWidth="1" outlineLevel="1"/>
    <col min="22" max="22" width="9.140625" style="34" collapsed="1"/>
    <col min="23" max="26" width="9.140625" style="34" hidden="1" customWidth="1" outlineLevel="1"/>
    <col min="27" max="27" width="9.5703125" style="27" bestFit="1" customWidth="1" collapsed="1"/>
    <col min="28" max="28" width="11" style="27" customWidth="1"/>
    <col min="29" max="33" width="9.28515625" style="27" bestFit="1" customWidth="1"/>
    <col min="34" max="35" width="9.42578125" style="27" bestFit="1" customWidth="1"/>
    <col min="36" max="36" width="11.42578125" style="27" customWidth="1"/>
    <col min="37" max="39" width="9.42578125" style="27" bestFit="1" customWidth="1"/>
    <col min="40" max="40" width="9.28515625" style="27" bestFit="1" customWidth="1"/>
  </cols>
  <sheetData>
    <row r="1" spans="1:40" s="2" customFormat="1" ht="27" hidden="1" customHeight="1" thickBot="1">
      <c r="A1" s="3" t="s">
        <v>0</v>
      </c>
    </row>
    <row r="2" spans="1:40" ht="5.0999999999999996" customHeight="1"/>
    <row r="3" spans="1:40" s="142" customFormat="1">
      <c r="A3" s="138" t="s">
        <v>1</v>
      </c>
      <c r="B3" s="155">
        <v>2010</v>
      </c>
      <c r="C3" s="86" t="s">
        <v>7</v>
      </c>
      <c r="D3" s="86" t="s">
        <v>8</v>
      </c>
      <c r="E3" s="86" t="s">
        <v>9</v>
      </c>
      <c r="F3" s="86" t="s">
        <v>10</v>
      </c>
      <c r="G3" s="155">
        <v>2011</v>
      </c>
      <c r="H3" s="86" t="s">
        <v>11</v>
      </c>
      <c r="I3" s="86" t="s">
        <v>12</v>
      </c>
      <c r="J3" s="86" t="s">
        <v>13</v>
      </c>
      <c r="K3" s="86" t="s">
        <v>14</v>
      </c>
      <c r="L3" s="155">
        <v>2012</v>
      </c>
      <c r="M3" s="86" t="s">
        <v>15</v>
      </c>
      <c r="N3" s="86" t="s">
        <v>292</v>
      </c>
      <c r="O3" s="86" t="s">
        <v>298</v>
      </c>
      <c r="P3" s="86" t="s">
        <v>302</v>
      </c>
      <c r="Q3" s="155">
        <v>2013</v>
      </c>
      <c r="R3" s="86" t="s">
        <v>303</v>
      </c>
      <c r="S3" s="86" t="s">
        <v>305</v>
      </c>
      <c r="T3" s="86" t="s">
        <v>304</v>
      </c>
      <c r="U3" s="86" t="s">
        <v>306</v>
      </c>
      <c r="V3" s="155">
        <v>2014</v>
      </c>
      <c r="W3" s="86" t="s">
        <v>318</v>
      </c>
      <c r="X3" s="86" t="s">
        <v>320</v>
      </c>
      <c r="Y3" s="86" t="s">
        <v>321</v>
      </c>
      <c r="Z3" s="86" t="s">
        <v>101</v>
      </c>
      <c r="AA3" s="155" t="s">
        <v>102</v>
      </c>
      <c r="AB3" s="155" t="s">
        <v>107</v>
      </c>
      <c r="AC3" s="155" t="s">
        <v>112</v>
      </c>
      <c r="AD3" s="155" t="s">
        <v>117</v>
      </c>
      <c r="AE3" s="155" t="s">
        <v>122</v>
      </c>
      <c r="AF3" s="155" t="s">
        <v>127</v>
      </c>
      <c r="AG3" s="155" t="s">
        <v>132</v>
      </c>
      <c r="AH3" s="155" t="s">
        <v>137</v>
      </c>
      <c r="AI3" s="155" t="s">
        <v>142</v>
      </c>
      <c r="AJ3" s="155" t="s">
        <v>147</v>
      </c>
      <c r="AK3" s="155" t="s">
        <v>152</v>
      </c>
      <c r="AL3" s="155" t="s">
        <v>157</v>
      </c>
      <c r="AM3" s="155" t="s">
        <v>162</v>
      </c>
      <c r="AN3" s="155" t="s">
        <v>167</v>
      </c>
    </row>
    <row r="4" spans="1:40" s="142" customFormat="1">
      <c r="A4" s="141" t="s">
        <v>16</v>
      </c>
      <c r="B4" s="203">
        <v>807.85</v>
      </c>
      <c r="C4" s="203">
        <f t="shared" ref="C4:U4" si="0">+C6+C12+C14</f>
        <v>814.45</v>
      </c>
      <c r="D4" s="203">
        <f t="shared" si="0"/>
        <v>796.70800000000008</v>
      </c>
      <c r="E4" s="203">
        <f t="shared" si="0"/>
        <v>825.34999999999991</v>
      </c>
      <c r="F4" s="203">
        <f t="shared" si="0"/>
        <v>792.37</v>
      </c>
      <c r="G4" s="203">
        <f t="shared" si="0"/>
        <v>792.37</v>
      </c>
      <c r="H4" s="203">
        <f t="shared" si="0"/>
        <v>799.3900000000001</v>
      </c>
      <c r="I4" s="203">
        <f t="shared" si="0"/>
        <v>796.5</v>
      </c>
      <c r="J4" s="203">
        <f t="shared" si="0"/>
        <v>893.96999999999991</v>
      </c>
      <c r="K4" s="203">
        <f t="shared" si="0"/>
        <v>910.4799999999999</v>
      </c>
      <c r="L4" s="203">
        <f t="shared" si="0"/>
        <v>910.4799999999999</v>
      </c>
      <c r="M4" s="203">
        <f t="shared" si="0"/>
        <v>923.97</v>
      </c>
      <c r="N4" s="203">
        <f t="shared" si="0"/>
        <v>942.30000000000007</v>
      </c>
      <c r="O4" s="203">
        <f t="shared" si="0"/>
        <v>1364</v>
      </c>
      <c r="P4" s="203">
        <f t="shared" si="0"/>
        <v>1345.24</v>
      </c>
      <c r="Q4" s="203">
        <f t="shared" ref="Q4:Y4" si="1">+Q6+Q12+Q14</f>
        <v>1345.24</v>
      </c>
      <c r="R4" s="203">
        <f t="shared" si="0"/>
        <v>1377.1</v>
      </c>
      <c r="S4" s="203">
        <f t="shared" si="0"/>
        <v>1364.73</v>
      </c>
      <c r="T4" s="203">
        <f t="shared" si="0"/>
        <v>1399.6410000000001</v>
      </c>
      <c r="U4" s="203">
        <f t="shared" si="0"/>
        <v>1405.048</v>
      </c>
      <c r="V4" s="203">
        <f t="shared" si="1"/>
        <v>1405.048</v>
      </c>
      <c r="W4" s="203">
        <f t="shared" si="1"/>
        <v>1436.7840000000001</v>
      </c>
      <c r="X4" s="203">
        <f t="shared" si="1"/>
        <v>1481.979</v>
      </c>
      <c r="Y4" s="203">
        <f t="shared" si="1"/>
        <v>1530.9090000000001</v>
      </c>
      <c r="Z4" s="203">
        <f>+Z6+Z12+Z14</f>
        <v>1554.3085930027619</v>
      </c>
      <c r="AA4" s="203">
        <f>+AA6+AA12+AA14</f>
        <v>1554.3085930027619</v>
      </c>
      <c r="AB4" s="203">
        <f t="shared" ref="AB4:AN4" si="2">+AB6+AB12+AB14</f>
        <v>1657.1292635203401</v>
      </c>
      <c r="AC4" s="203">
        <f t="shared" si="2"/>
        <v>1758.1112478109867</v>
      </c>
      <c r="AD4" s="203">
        <f t="shared" si="2"/>
        <v>1851.1991494110794</v>
      </c>
      <c r="AE4" s="203">
        <f t="shared" si="2"/>
        <v>1927.923648372212</v>
      </c>
      <c r="AF4" s="203">
        <f t="shared" si="2"/>
        <v>2004.8222547771109</v>
      </c>
      <c r="AG4" s="203">
        <f t="shared" si="2"/>
        <v>2076.4217549403565</v>
      </c>
      <c r="AH4" s="203">
        <f t="shared" si="2"/>
        <v>2129.8644633860408</v>
      </c>
      <c r="AI4" s="203">
        <f t="shared" si="2"/>
        <v>2172.3926113164234</v>
      </c>
      <c r="AJ4" s="203">
        <f t="shared" si="2"/>
        <v>2209.5056107729456</v>
      </c>
      <c r="AK4" s="203">
        <f t="shared" si="2"/>
        <v>2252.4445166065507</v>
      </c>
      <c r="AL4" s="203">
        <f t="shared" si="2"/>
        <v>2319.5688008802977</v>
      </c>
      <c r="AM4" s="203">
        <f t="shared" si="2"/>
        <v>2390.218604433755</v>
      </c>
      <c r="AN4" s="203">
        <f t="shared" si="2"/>
        <v>2613.192454395783</v>
      </c>
    </row>
    <row r="5" spans="1:40" s="2" customFormat="1"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</row>
    <row r="6" spans="1:40" s="142" customFormat="1">
      <c r="A6" s="142" t="s">
        <v>17</v>
      </c>
      <c r="B6" s="104">
        <v>84.55</v>
      </c>
      <c r="C6" s="104">
        <f t="shared" ref="C6:U6" si="3">+SUM(C7:C10)</f>
        <v>92.36</v>
      </c>
      <c r="D6" s="104">
        <f t="shared" si="3"/>
        <v>15.100000000000001</v>
      </c>
      <c r="E6" s="104">
        <f t="shared" si="3"/>
        <v>89.899999999999991</v>
      </c>
      <c r="F6" s="104">
        <f t="shared" si="3"/>
        <v>41.17</v>
      </c>
      <c r="G6" s="104">
        <f t="shared" si="3"/>
        <v>41.17</v>
      </c>
      <c r="H6" s="104">
        <f t="shared" si="3"/>
        <v>39.450000000000003</v>
      </c>
      <c r="I6" s="104">
        <f t="shared" si="3"/>
        <v>14.8</v>
      </c>
      <c r="J6" s="104">
        <f t="shared" si="3"/>
        <v>83.57</v>
      </c>
      <c r="K6" s="104">
        <f t="shared" si="3"/>
        <v>70.599999999999994</v>
      </c>
      <c r="L6" s="104">
        <f t="shared" si="3"/>
        <v>70.599999999999994</v>
      </c>
      <c r="M6" s="104">
        <f t="shared" si="3"/>
        <v>55.09</v>
      </c>
      <c r="N6" s="104">
        <f t="shared" si="3"/>
        <v>23.3</v>
      </c>
      <c r="O6" s="104">
        <f t="shared" si="3"/>
        <v>415.5</v>
      </c>
      <c r="P6" s="104">
        <f t="shared" si="3"/>
        <v>376.09999999999997</v>
      </c>
      <c r="Q6" s="104">
        <f t="shared" ref="Q6" si="4">+SUM(Q7:Q10)</f>
        <v>376.09999999999997</v>
      </c>
      <c r="R6" s="104">
        <f t="shared" si="3"/>
        <v>374.3</v>
      </c>
      <c r="S6" s="104">
        <f t="shared" si="3"/>
        <v>323.517</v>
      </c>
      <c r="T6" s="104">
        <f t="shared" si="3"/>
        <v>315.48500000000001</v>
      </c>
      <c r="U6" s="104">
        <f t="shared" si="3"/>
        <v>269.74299999999999</v>
      </c>
      <c r="V6" s="104">
        <f t="shared" ref="V6" si="5">+SUM(V7:V10)</f>
        <v>269.74299999999999</v>
      </c>
      <c r="W6" s="104">
        <f t="shared" ref="W6:Y6" si="6">+SUM(W7:W10)</f>
        <v>274.69099999999997</v>
      </c>
      <c r="X6" s="104">
        <f t="shared" si="6"/>
        <v>296.07900000000001</v>
      </c>
      <c r="Y6" s="104">
        <f t="shared" si="6"/>
        <v>320.44000000000005</v>
      </c>
      <c r="Z6" s="104">
        <f>+SUM(Z7:Z10)</f>
        <v>306.001555552762</v>
      </c>
      <c r="AA6" s="104">
        <f>+SUM(AA7:AA10)</f>
        <v>306.001555552762</v>
      </c>
      <c r="AB6" s="104">
        <f t="shared" ref="AB6" si="7">+SUM(AB7:AB10)</f>
        <v>327.15118381934019</v>
      </c>
      <c r="AC6" s="104">
        <f t="shared" ref="AC6" si="8">+SUM(AC7:AC10)</f>
        <v>349.4756497040068</v>
      </c>
      <c r="AD6" s="104">
        <f t="shared" ref="AD6" si="9">+SUM(AD7:AD10)</f>
        <v>405.39918326623899</v>
      </c>
      <c r="AE6" s="104">
        <f t="shared" ref="AE6" si="10">+SUM(AE7:AE10)</f>
        <v>445.98605630004351</v>
      </c>
      <c r="AF6" s="104">
        <f t="shared" ref="AF6" si="11">+SUM(AF7:AF10)</f>
        <v>486.98713314513213</v>
      </c>
      <c r="AG6" s="104">
        <f t="shared" ref="AG6" si="12">+SUM(AG7:AG10)</f>
        <v>495.42735303230148</v>
      </c>
      <c r="AH6" s="104">
        <f t="shared" ref="AH6" si="13">+SUM(AH7:AH10)</f>
        <v>510.59545932270618</v>
      </c>
      <c r="AI6" s="104">
        <f t="shared" ref="AI6" si="14">+SUM(AI7:AI10)</f>
        <v>520.39445400939019</v>
      </c>
      <c r="AJ6" s="104">
        <f t="shared" ref="AJ6" si="15">+SUM(AJ7:AJ10)</f>
        <v>532.0062206965755</v>
      </c>
      <c r="AK6" s="104">
        <f t="shared" ref="AK6" si="16">+SUM(AK7:AK10)</f>
        <v>560.07227721178185</v>
      </c>
      <c r="AL6" s="104">
        <f t="shared" ref="AL6" si="17">+SUM(AL7:AL10)</f>
        <v>595.02261781439495</v>
      </c>
      <c r="AM6" s="104">
        <f t="shared" ref="AM6" si="18">+SUM(AM7:AM10)</f>
        <v>589.99405954117071</v>
      </c>
      <c r="AN6" s="104">
        <f t="shared" ref="AN6" si="19">+SUM(AN7:AN10)</f>
        <v>741.69984742283168</v>
      </c>
    </row>
    <row r="7" spans="1:40" s="2" customFormat="1">
      <c r="A7" s="2" t="s">
        <v>18</v>
      </c>
      <c r="B7" s="108">
        <v>75.099999999999994</v>
      </c>
      <c r="C7" s="108">
        <v>80</v>
      </c>
      <c r="D7" s="108">
        <v>3.9</v>
      </c>
      <c r="E7" s="108">
        <v>74</v>
      </c>
      <c r="F7" s="108">
        <v>27.3</v>
      </c>
      <c r="G7" s="108">
        <f>+F7</f>
        <v>27.3</v>
      </c>
      <c r="H7" s="108">
        <v>22.17</v>
      </c>
      <c r="I7" s="108">
        <v>3.9</v>
      </c>
      <c r="J7" s="108">
        <v>62.9</v>
      </c>
      <c r="K7" s="108">
        <v>47.9</v>
      </c>
      <c r="L7" s="108">
        <f>+K7</f>
        <v>47.9</v>
      </c>
      <c r="M7" s="108">
        <v>37.56</v>
      </c>
      <c r="N7" s="108">
        <v>5</v>
      </c>
      <c r="O7" s="108">
        <f>1.4+89.9+301.3</f>
        <v>392.6</v>
      </c>
      <c r="P7" s="108">
        <f>2.7+93.3+254.8</f>
        <v>350.8</v>
      </c>
      <c r="Q7" s="108">
        <f>+P7</f>
        <v>350.8</v>
      </c>
      <c r="R7" s="108">
        <f>3.6+114.3+236.7</f>
        <v>354.59999999999997</v>
      </c>
      <c r="S7" s="108">
        <f>16.848+67.915+209.436</f>
        <v>294.19900000000001</v>
      </c>
      <c r="T7" s="108">
        <f>3.299+77.501+203.58</f>
        <v>284.38</v>
      </c>
      <c r="U7" s="108">
        <f>11.966+29.361+207.525</f>
        <v>248.852</v>
      </c>
      <c r="V7" s="108">
        <f>11.966+29.361+207.525</f>
        <v>248.852</v>
      </c>
      <c r="W7" s="108">
        <f>22.958+24.334+213.805</f>
        <v>261.09699999999998</v>
      </c>
      <c r="X7" s="108">
        <f>70.869+28.411+177.222</f>
        <v>276.50200000000001</v>
      </c>
      <c r="Y7" s="108">
        <f>84.946+28.411+185.136</f>
        <v>298.49299999999999</v>
      </c>
      <c r="Z7" s="108">
        <f>Z222</f>
        <v>282.04446141649191</v>
      </c>
      <c r="AA7" s="108">
        <f>AA222</f>
        <v>282.04446141649191</v>
      </c>
      <c r="AB7" s="108">
        <f t="shared" ref="AB7" si="20">AB222</f>
        <v>283.26852338229997</v>
      </c>
      <c r="AC7" s="108">
        <f t="shared" ref="AC7:AN7" si="21">AC222</f>
        <v>301.9928417798198</v>
      </c>
      <c r="AD7" s="108">
        <f t="shared" si="21"/>
        <v>353.06455289315932</v>
      </c>
      <c r="AE7" s="108">
        <f t="shared" si="21"/>
        <v>389.50903183353898</v>
      </c>
      <c r="AF7" s="108">
        <f t="shared" si="21"/>
        <v>426.21234326635687</v>
      </c>
      <c r="AG7" s="108">
        <f t="shared" si="21"/>
        <v>430.72432570126119</v>
      </c>
      <c r="AH7" s="108">
        <f t="shared" si="21"/>
        <v>441.65161503445802</v>
      </c>
      <c r="AI7" s="108">
        <f t="shared" si="21"/>
        <v>446.83591585566558</v>
      </c>
      <c r="AJ7" s="108">
        <f t="shared" si="21"/>
        <v>453.51883888486458</v>
      </c>
      <c r="AK7" s="108">
        <f t="shared" si="21"/>
        <v>476.30503035275524</v>
      </c>
      <c r="AL7" s="108">
        <f t="shared" si="21"/>
        <v>505.58697673334092</v>
      </c>
      <c r="AM7" s="108">
        <f t="shared" si="21"/>
        <v>494.47858299825526</v>
      </c>
      <c r="AN7" s="108">
        <f t="shared" si="21"/>
        <v>640.96734488327706</v>
      </c>
    </row>
    <row r="8" spans="1:40" s="2" customFormat="1">
      <c r="A8" s="2" t="s">
        <v>19</v>
      </c>
      <c r="B8" s="108">
        <v>7.7</v>
      </c>
      <c r="C8" s="108">
        <v>10.36</v>
      </c>
      <c r="D8" s="108">
        <v>8</v>
      </c>
      <c r="E8" s="108">
        <v>12.6</v>
      </c>
      <c r="F8" s="108">
        <v>9.9</v>
      </c>
      <c r="G8" s="108">
        <f t="shared" ref="G8:G10" si="22">+F8</f>
        <v>9.9</v>
      </c>
      <c r="H8" s="108">
        <v>12.28</v>
      </c>
      <c r="I8" s="108">
        <v>8</v>
      </c>
      <c r="J8" s="108">
        <v>10.9</v>
      </c>
      <c r="K8" s="108">
        <v>14.1</v>
      </c>
      <c r="L8" s="108">
        <f t="shared" ref="L8:L10" si="23">+K8</f>
        <v>14.1</v>
      </c>
      <c r="M8" s="108">
        <v>10.59</v>
      </c>
      <c r="N8" s="108">
        <v>11</v>
      </c>
      <c r="O8" s="108">
        <v>13.9</v>
      </c>
      <c r="P8" s="108">
        <v>16.7</v>
      </c>
      <c r="Q8" s="108">
        <f t="shared" ref="Q8:Q10" si="24">+P8</f>
        <v>16.7</v>
      </c>
      <c r="R8" s="108">
        <v>10.6</v>
      </c>
      <c r="S8" s="108">
        <v>14.311</v>
      </c>
      <c r="T8" s="108">
        <v>17.088000000000001</v>
      </c>
      <c r="U8" s="108">
        <v>18.218</v>
      </c>
      <c r="V8" s="108">
        <v>18.218</v>
      </c>
      <c r="W8" s="108">
        <v>11.227</v>
      </c>
      <c r="X8" s="108">
        <v>17.666</v>
      </c>
      <c r="Y8" s="108">
        <v>17.748999999999999</v>
      </c>
      <c r="Z8" s="108">
        <f>Z112</f>
        <v>19.398963502967103</v>
      </c>
      <c r="AA8" s="108">
        <f>+AA112</f>
        <v>19.398963502967103</v>
      </c>
      <c r="AB8" s="108">
        <f t="shared" ref="AB8" si="25">+AB112</f>
        <v>22.337133224637995</v>
      </c>
      <c r="AC8" s="108">
        <f t="shared" ref="AC8:AN8" si="26">+AC112</f>
        <v>25.282708441394469</v>
      </c>
      <c r="AD8" s="108">
        <f t="shared" si="26"/>
        <v>29.252381354124829</v>
      </c>
      <c r="AE8" s="108">
        <f t="shared" si="26"/>
        <v>32.641612885108799</v>
      </c>
      <c r="AF8" s="108">
        <f t="shared" si="26"/>
        <v>36.157966404239396</v>
      </c>
      <c r="AG8" s="108">
        <f t="shared" si="26"/>
        <v>39.371978865183515</v>
      </c>
      <c r="AH8" s="108">
        <f t="shared" si="26"/>
        <v>42.841738193808098</v>
      </c>
      <c r="AI8" s="108">
        <f t="shared" si="26"/>
        <v>46.617396811016114</v>
      </c>
      <c r="AJ8" s="108">
        <f t="shared" si="26"/>
        <v>50.650087076641292</v>
      </c>
      <c r="AK8" s="108">
        <f t="shared" si="26"/>
        <v>54.96997666080874</v>
      </c>
      <c r="AL8" s="108">
        <f t="shared" si="26"/>
        <v>59.607753751558391</v>
      </c>
      <c r="AM8" s="108">
        <f t="shared" si="26"/>
        <v>64.582164583990547</v>
      </c>
      <c r="AN8" s="108">
        <f t="shared" si="26"/>
        <v>68.850640399422602</v>
      </c>
    </row>
    <row r="9" spans="1:40" s="2" customFormat="1">
      <c r="A9" s="2" t="s">
        <v>20</v>
      </c>
      <c r="B9" s="108">
        <v>0.2</v>
      </c>
      <c r="C9" s="108">
        <v>0</v>
      </c>
      <c r="D9" s="108">
        <v>1.9</v>
      </c>
      <c r="E9" s="108">
        <v>1.3</v>
      </c>
      <c r="F9" s="108">
        <v>1.8</v>
      </c>
      <c r="G9" s="108">
        <f t="shared" si="22"/>
        <v>1.8</v>
      </c>
      <c r="H9" s="108">
        <v>2</v>
      </c>
      <c r="I9" s="108">
        <v>1.9</v>
      </c>
      <c r="J9" s="108">
        <v>1.9</v>
      </c>
      <c r="K9" s="108">
        <v>3.8</v>
      </c>
      <c r="L9" s="108">
        <f t="shared" si="23"/>
        <v>3.8</v>
      </c>
      <c r="M9" s="108">
        <v>4.4000000000000004</v>
      </c>
      <c r="N9" s="108">
        <v>5.3</v>
      </c>
      <c r="O9" s="108">
        <v>5.2</v>
      </c>
      <c r="P9" s="108">
        <v>5.4</v>
      </c>
      <c r="Q9" s="108">
        <f t="shared" si="24"/>
        <v>5.4</v>
      </c>
      <c r="R9" s="108">
        <v>6.1</v>
      </c>
      <c r="S9" s="108">
        <v>11.082000000000001</v>
      </c>
      <c r="T9" s="108">
        <v>11.211</v>
      </c>
      <c r="U9" s="108">
        <v>0.313</v>
      </c>
      <c r="V9" s="108">
        <v>0.313</v>
      </c>
      <c r="W9" s="108">
        <v>0.38200000000000001</v>
      </c>
      <c r="X9" s="108">
        <v>0.312</v>
      </c>
      <c r="Y9" s="108">
        <v>0.32400000000000001</v>
      </c>
      <c r="Z9" s="108">
        <f>Z115</f>
        <v>0.32400000000000001</v>
      </c>
      <c r="AA9" s="108">
        <f>+AA115</f>
        <v>0.32400000000000001</v>
      </c>
      <c r="AB9" s="108">
        <f t="shared" ref="AB9" si="27">+AB115</f>
        <v>16.581719829149328</v>
      </c>
      <c r="AC9" s="108">
        <f t="shared" ref="AC9:AN9" si="28">+AC115</f>
        <v>16.581719829149328</v>
      </c>
      <c r="AD9" s="108">
        <f t="shared" si="28"/>
        <v>16.581719829149328</v>
      </c>
      <c r="AE9" s="108">
        <f t="shared" si="28"/>
        <v>16.581719829149328</v>
      </c>
      <c r="AF9" s="108">
        <f t="shared" si="28"/>
        <v>16.581719829149328</v>
      </c>
      <c r="AG9" s="108">
        <f t="shared" si="28"/>
        <v>16.581719829149328</v>
      </c>
      <c r="AH9" s="108">
        <f t="shared" si="28"/>
        <v>16.581719829149328</v>
      </c>
      <c r="AI9" s="108">
        <f t="shared" si="28"/>
        <v>16.581719829149328</v>
      </c>
      <c r="AJ9" s="108">
        <f t="shared" si="28"/>
        <v>16.581719829149328</v>
      </c>
      <c r="AK9" s="108">
        <f t="shared" si="28"/>
        <v>16.581719829149328</v>
      </c>
      <c r="AL9" s="108">
        <f t="shared" si="28"/>
        <v>16.581719829149328</v>
      </c>
      <c r="AM9" s="108">
        <f t="shared" si="28"/>
        <v>16.581719829149328</v>
      </c>
      <c r="AN9" s="108">
        <f t="shared" si="28"/>
        <v>16.581719829149328</v>
      </c>
    </row>
    <row r="10" spans="1:40" s="2" customFormat="1">
      <c r="A10" s="2" t="s">
        <v>21</v>
      </c>
      <c r="B10" s="108">
        <v>1.5499999999999972</v>
      </c>
      <c r="C10" s="108">
        <v>2</v>
      </c>
      <c r="D10" s="108">
        <v>1.3</v>
      </c>
      <c r="E10" s="108">
        <v>2</v>
      </c>
      <c r="F10" s="108">
        <f>41.17-F9-F8-F7</f>
        <v>2.1700000000000053</v>
      </c>
      <c r="G10" s="108">
        <f t="shared" si="22"/>
        <v>2.1700000000000053</v>
      </c>
      <c r="H10" s="108">
        <v>3</v>
      </c>
      <c r="I10" s="108">
        <v>1</v>
      </c>
      <c r="J10" s="108">
        <f>83.57-J9-J8-J7</f>
        <v>7.8699999999999832</v>
      </c>
      <c r="K10" s="108">
        <f>70.6-K9-K8-K7</f>
        <v>4.7999999999999972</v>
      </c>
      <c r="L10" s="108">
        <f t="shared" si="23"/>
        <v>4.7999999999999972</v>
      </c>
      <c r="M10" s="108">
        <f>55.54-53</f>
        <v>2.5399999999999991</v>
      </c>
      <c r="N10" s="108">
        <v>2</v>
      </c>
      <c r="O10" s="108">
        <v>3.8</v>
      </c>
      <c r="P10" s="108">
        <f>2+1.2</f>
        <v>3.2</v>
      </c>
      <c r="Q10" s="108">
        <f t="shared" si="24"/>
        <v>3.2</v>
      </c>
      <c r="R10" s="108">
        <v>3</v>
      </c>
      <c r="S10" s="108">
        <f>1.929+1.996</f>
        <v>3.9249999999999998</v>
      </c>
      <c r="T10" s="108">
        <f>1.974+0.832</f>
        <v>2.806</v>
      </c>
      <c r="U10" s="108">
        <f>0.788+1.572</f>
        <v>2.3600000000000003</v>
      </c>
      <c r="V10" s="108">
        <f>0.788+1.572</f>
        <v>2.3600000000000003</v>
      </c>
      <c r="W10" s="108">
        <f>0.825+1.16</f>
        <v>1.9849999999999999</v>
      </c>
      <c r="X10" s="108">
        <f>0.441+1.158</f>
        <v>1.599</v>
      </c>
      <c r="Y10" s="108">
        <f>2.039+1.835</f>
        <v>3.8740000000000001</v>
      </c>
      <c r="Z10" s="108">
        <f>Z118</f>
        <v>4.2341306333029785</v>
      </c>
      <c r="AA10" s="108">
        <f>+AA118</f>
        <v>4.2341306333029785</v>
      </c>
      <c r="AB10" s="108">
        <f t="shared" ref="AB10" si="29">+AB118</f>
        <v>4.9638073832528882</v>
      </c>
      <c r="AC10" s="108">
        <f t="shared" ref="AC10:AN10" si="30">+AC118</f>
        <v>5.618379653643216</v>
      </c>
      <c r="AD10" s="108">
        <f t="shared" si="30"/>
        <v>6.5005291898055182</v>
      </c>
      <c r="AE10" s="108">
        <f t="shared" si="30"/>
        <v>7.2536917522464002</v>
      </c>
      <c r="AF10" s="108">
        <f t="shared" si="30"/>
        <v>8.035103645386533</v>
      </c>
      <c r="AG10" s="108">
        <f t="shared" si="30"/>
        <v>8.7493286367074479</v>
      </c>
      <c r="AH10" s="108">
        <f t="shared" si="30"/>
        <v>9.5203862652906892</v>
      </c>
      <c r="AI10" s="108">
        <f t="shared" si="30"/>
        <v>10.359421513559138</v>
      </c>
      <c r="AJ10" s="108">
        <f t="shared" si="30"/>
        <v>11.255574905920287</v>
      </c>
      <c r="AK10" s="108">
        <f t="shared" si="30"/>
        <v>12.215550369068611</v>
      </c>
      <c r="AL10" s="108">
        <f t="shared" si="30"/>
        <v>13.24616750034631</v>
      </c>
      <c r="AM10" s="108">
        <f t="shared" si="30"/>
        <v>14.351592129775677</v>
      </c>
      <c r="AN10" s="108">
        <f t="shared" si="30"/>
        <v>15.300142310982801</v>
      </c>
    </row>
    <row r="11" spans="1:40" s="2" customFormat="1"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</row>
    <row r="12" spans="1:40" s="142" customFormat="1">
      <c r="A12" s="142" t="s">
        <v>22</v>
      </c>
      <c r="B12" s="104">
        <v>5.9</v>
      </c>
      <c r="C12" s="104">
        <v>4</v>
      </c>
      <c r="D12" s="104">
        <v>17.388000000000002</v>
      </c>
      <c r="E12" s="104">
        <v>5.5</v>
      </c>
      <c r="F12" s="104">
        <v>11.2</v>
      </c>
      <c r="G12" s="104">
        <f>+F12</f>
        <v>11.2</v>
      </c>
      <c r="H12" s="104">
        <v>8.9</v>
      </c>
      <c r="I12" s="104">
        <v>17.399999999999999</v>
      </c>
      <c r="J12" s="104">
        <v>18.7</v>
      </c>
      <c r="K12" s="104">
        <v>18.7</v>
      </c>
      <c r="L12" s="104">
        <f>+K12</f>
        <v>18.7</v>
      </c>
      <c r="M12" s="104">
        <v>21</v>
      </c>
      <c r="N12" s="104">
        <v>25.1</v>
      </c>
      <c r="O12" s="104">
        <f>3.7+22.7+1.8</f>
        <v>28.2</v>
      </c>
      <c r="P12" s="104">
        <f>27+0.24</f>
        <v>27.24</v>
      </c>
      <c r="Q12" s="104">
        <f>+P12</f>
        <v>27.24</v>
      </c>
      <c r="R12" s="104">
        <v>32.799999999999997</v>
      </c>
      <c r="S12" s="104">
        <f>37.251+0.179</f>
        <v>37.43</v>
      </c>
      <c r="T12" s="104">
        <f>40.019+0.318</f>
        <v>40.336999999999996</v>
      </c>
      <c r="U12" s="104">
        <f>13.311+46.207+0.374</f>
        <v>59.892000000000003</v>
      </c>
      <c r="V12" s="104">
        <f>13.311+46.207+0.374</f>
        <v>59.892000000000003</v>
      </c>
      <c r="W12" s="104">
        <f>63.703+0.348+13.312</f>
        <v>77.363</v>
      </c>
      <c r="X12" s="104">
        <f>74.128+0.461+15.679</f>
        <v>90.268000000000001</v>
      </c>
      <c r="Y12" s="104">
        <f>82.228+0.454+15.69</f>
        <v>98.371999999999986</v>
      </c>
      <c r="Z12" s="205">
        <f>Y12</f>
        <v>98.371999999999986</v>
      </c>
      <c r="AA12" s="205">
        <f>Z12</f>
        <v>98.371999999999986</v>
      </c>
      <c r="AB12" s="205">
        <f t="shared" ref="AB12" si="31">AA12</f>
        <v>98.371999999999986</v>
      </c>
      <c r="AC12" s="205">
        <f t="shared" ref="AC12:AN12" si="32">+AB12</f>
        <v>98.371999999999986</v>
      </c>
      <c r="AD12" s="205">
        <f t="shared" si="32"/>
        <v>98.371999999999986</v>
      </c>
      <c r="AE12" s="205">
        <f t="shared" si="32"/>
        <v>98.371999999999986</v>
      </c>
      <c r="AF12" s="205">
        <f t="shared" si="32"/>
        <v>98.371999999999986</v>
      </c>
      <c r="AG12" s="205">
        <f t="shared" si="32"/>
        <v>98.371999999999986</v>
      </c>
      <c r="AH12" s="205">
        <f t="shared" si="32"/>
        <v>98.371999999999986</v>
      </c>
      <c r="AI12" s="205">
        <f t="shared" si="32"/>
        <v>98.371999999999986</v>
      </c>
      <c r="AJ12" s="205">
        <f t="shared" si="32"/>
        <v>98.371999999999986</v>
      </c>
      <c r="AK12" s="205">
        <f t="shared" si="32"/>
        <v>98.371999999999986</v>
      </c>
      <c r="AL12" s="205">
        <f t="shared" si="32"/>
        <v>98.371999999999986</v>
      </c>
      <c r="AM12" s="205">
        <f t="shared" si="32"/>
        <v>98.371999999999986</v>
      </c>
      <c r="AN12" s="205">
        <f t="shared" si="32"/>
        <v>98.371999999999986</v>
      </c>
    </row>
    <row r="13" spans="1:40" s="2" customFormat="1"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</row>
    <row r="14" spans="1:40" s="2" customFormat="1">
      <c r="A14" s="142" t="s">
        <v>23</v>
      </c>
      <c r="B14" s="104">
        <v>717.4</v>
      </c>
      <c r="C14" s="104">
        <f t="shared" ref="C14:U14" si="33">+C15+C16</f>
        <v>718.09</v>
      </c>
      <c r="D14" s="104">
        <f t="shared" si="33"/>
        <v>764.22</v>
      </c>
      <c r="E14" s="104">
        <f t="shared" si="33"/>
        <v>729.94999999999993</v>
      </c>
      <c r="F14" s="104">
        <f t="shared" si="33"/>
        <v>740</v>
      </c>
      <c r="G14" s="104">
        <f t="shared" si="33"/>
        <v>740</v>
      </c>
      <c r="H14" s="104">
        <f t="shared" si="33"/>
        <v>751.04000000000008</v>
      </c>
      <c r="I14" s="104">
        <f t="shared" si="33"/>
        <v>764.3</v>
      </c>
      <c r="J14" s="104">
        <f t="shared" si="33"/>
        <v>791.69999999999993</v>
      </c>
      <c r="K14" s="104">
        <f t="shared" si="33"/>
        <v>821.18</v>
      </c>
      <c r="L14" s="104">
        <f t="shared" si="33"/>
        <v>821.18</v>
      </c>
      <c r="M14" s="104">
        <f t="shared" si="33"/>
        <v>847.88</v>
      </c>
      <c r="N14" s="104">
        <f t="shared" si="33"/>
        <v>893.90000000000009</v>
      </c>
      <c r="O14" s="104">
        <f t="shared" si="33"/>
        <v>920.3</v>
      </c>
      <c r="P14" s="104">
        <f t="shared" si="33"/>
        <v>941.9</v>
      </c>
      <c r="Q14" s="104">
        <f t="shared" ref="Q14" si="34">+Q15+Q16</f>
        <v>941.9</v>
      </c>
      <c r="R14" s="104">
        <f t="shared" si="33"/>
        <v>970</v>
      </c>
      <c r="S14" s="104">
        <f t="shared" si="33"/>
        <v>1003.783</v>
      </c>
      <c r="T14" s="104">
        <f t="shared" si="33"/>
        <v>1043.819</v>
      </c>
      <c r="U14" s="104">
        <f t="shared" si="33"/>
        <v>1075.413</v>
      </c>
      <c r="V14" s="104">
        <f t="shared" ref="V14:X14" si="35">+V15+V16</f>
        <v>1075.413</v>
      </c>
      <c r="W14" s="104">
        <f t="shared" si="35"/>
        <v>1084.73</v>
      </c>
      <c r="X14" s="104">
        <f t="shared" si="35"/>
        <v>1095.6320000000001</v>
      </c>
      <c r="Y14" s="104">
        <f>+Y15+Y16</f>
        <v>1112.097</v>
      </c>
      <c r="Z14" s="104">
        <f>+Z15+Z16</f>
        <v>1149.93503745</v>
      </c>
      <c r="AA14" s="104">
        <f>+AA15+AA16</f>
        <v>1149.93503745</v>
      </c>
      <c r="AB14" s="104">
        <f t="shared" ref="AB14" si="36">+AB15+AB16</f>
        <v>1231.606079701</v>
      </c>
      <c r="AC14" s="104">
        <f t="shared" ref="AC14" si="37">+AC15+AC16</f>
        <v>1310.26359810698</v>
      </c>
      <c r="AD14" s="104">
        <f t="shared" ref="AD14" si="38">+AD15+AD16</f>
        <v>1347.4279661448404</v>
      </c>
      <c r="AE14" s="104">
        <f t="shared" ref="AE14" si="39">+AE15+AE16</f>
        <v>1383.5655920721686</v>
      </c>
      <c r="AF14" s="104">
        <f t="shared" ref="AF14" si="40">+AF15+AF16</f>
        <v>1419.4631216319788</v>
      </c>
      <c r="AG14" s="104">
        <f t="shared" ref="AG14" si="41">+AG15+AG16</f>
        <v>1482.6224019080553</v>
      </c>
      <c r="AH14" s="104">
        <f t="shared" ref="AH14" si="42">+AH15+AH16</f>
        <v>1520.8970040633346</v>
      </c>
      <c r="AI14" s="104">
        <f t="shared" ref="AI14" si="43">+AI15+AI16</f>
        <v>1553.6261573070333</v>
      </c>
      <c r="AJ14" s="104">
        <f t="shared" ref="AJ14" si="44">+AJ15+AJ16</f>
        <v>1579.1273900763701</v>
      </c>
      <c r="AK14" s="104">
        <f t="shared" ref="AK14" si="45">+AK15+AK16</f>
        <v>1594.0002393947691</v>
      </c>
      <c r="AL14" s="104">
        <f t="shared" ref="AL14" si="46">+AL15+AL16</f>
        <v>1626.1741830659028</v>
      </c>
      <c r="AM14" s="104">
        <f t="shared" ref="AM14" si="47">+AM15+AM16</f>
        <v>1701.8525448925845</v>
      </c>
      <c r="AN14" s="104">
        <f t="shared" ref="AN14" si="48">+AN15+AN16</f>
        <v>1773.1206069729515</v>
      </c>
    </row>
    <row r="15" spans="1:40" s="2" customFormat="1">
      <c r="A15" s="2" t="s">
        <v>24</v>
      </c>
      <c r="B15" s="108">
        <v>1.6</v>
      </c>
      <c r="C15" s="108">
        <v>1.6</v>
      </c>
      <c r="D15" s="108">
        <v>8.8699999999999992</v>
      </c>
      <c r="E15" s="108">
        <v>3.3</v>
      </c>
      <c r="F15" s="108">
        <v>6.5</v>
      </c>
      <c r="G15" s="108">
        <f t="shared" ref="G15:G16" si="49">+F15</f>
        <v>6.5</v>
      </c>
      <c r="H15" s="108">
        <v>7.6</v>
      </c>
      <c r="I15" s="108">
        <v>8.9</v>
      </c>
      <c r="J15" s="108">
        <v>9.3000000000000007</v>
      </c>
      <c r="K15" s="108">
        <v>9.4</v>
      </c>
      <c r="L15" s="108">
        <f t="shared" ref="L15:L16" si="50">+K15</f>
        <v>9.4</v>
      </c>
      <c r="M15" s="108">
        <v>8.9</v>
      </c>
      <c r="N15" s="108">
        <v>8.6999999999999993</v>
      </c>
      <c r="O15" s="108">
        <v>8.4</v>
      </c>
      <c r="P15" s="108">
        <v>9</v>
      </c>
      <c r="Q15" s="108">
        <f t="shared" ref="Q15:Q16" si="51">+P15</f>
        <v>9</v>
      </c>
      <c r="R15" s="108">
        <v>9.6</v>
      </c>
      <c r="S15" s="108">
        <v>9.6280000000000001</v>
      </c>
      <c r="T15" s="108">
        <v>10.214</v>
      </c>
      <c r="U15" s="108">
        <v>10.615</v>
      </c>
      <c r="V15" s="108">
        <v>10.615</v>
      </c>
      <c r="W15" s="108">
        <v>11.382</v>
      </c>
      <c r="X15" s="108">
        <v>11.707000000000001</v>
      </c>
      <c r="Y15" s="108">
        <v>11.432</v>
      </c>
      <c r="Z15" s="206">
        <f>Y15</f>
        <v>11.432</v>
      </c>
      <c r="AA15" s="206">
        <f>Z15</f>
        <v>11.432</v>
      </c>
      <c r="AB15" s="206">
        <f t="shared" ref="AB15" si="52">AA15</f>
        <v>11.432</v>
      </c>
      <c r="AC15" s="206">
        <f t="shared" ref="AC15:AN15" si="53">AB15</f>
        <v>11.432</v>
      </c>
      <c r="AD15" s="206">
        <f t="shared" si="53"/>
        <v>11.432</v>
      </c>
      <c r="AE15" s="206">
        <f t="shared" si="53"/>
        <v>11.432</v>
      </c>
      <c r="AF15" s="206">
        <f t="shared" si="53"/>
        <v>11.432</v>
      </c>
      <c r="AG15" s="206">
        <f t="shared" si="53"/>
        <v>11.432</v>
      </c>
      <c r="AH15" s="206">
        <f t="shared" si="53"/>
        <v>11.432</v>
      </c>
      <c r="AI15" s="206">
        <f t="shared" si="53"/>
        <v>11.432</v>
      </c>
      <c r="AJ15" s="206">
        <f t="shared" si="53"/>
        <v>11.432</v>
      </c>
      <c r="AK15" s="206">
        <f t="shared" si="53"/>
        <v>11.432</v>
      </c>
      <c r="AL15" s="206">
        <f t="shared" si="53"/>
        <v>11.432</v>
      </c>
      <c r="AM15" s="206">
        <f t="shared" si="53"/>
        <v>11.432</v>
      </c>
      <c r="AN15" s="206">
        <f t="shared" si="53"/>
        <v>11.432</v>
      </c>
    </row>
    <row r="16" spans="1:40" s="2" customFormat="1">
      <c r="A16" s="207" t="s">
        <v>25</v>
      </c>
      <c r="B16" s="108">
        <v>715.8</v>
      </c>
      <c r="C16" s="108">
        <v>716.49</v>
      </c>
      <c r="D16" s="108">
        <v>755.35</v>
      </c>
      <c r="E16" s="108">
        <v>726.65</v>
      </c>
      <c r="F16" s="108">
        <v>733.5</v>
      </c>
      <c r="G16" s="108">
        <f t="shared" si="49"/>
        <v>733.5</v>
      </c>
      <c r="H16" s="108">
        <v>743.44</v>
      </c>
      <c r="I16" s="108">
        <v>755.4</v>
      </c>
      <c r="J16" s="108">
        <v>782.4</v>
      </c>
      <c r="K16" s="108">
        <v>811.78</v>
      </c>
      <c r="L16" s="108">
        <f t="shared" si="50"/>
        <v>811.78</v>
      </c>
      <c r="M16" s="108">
        <v>838.98</v>
      </c>
      <c r="N16" s="108">
        <v>885.2</v>
      </c>
      <c r="O16" s="108">
        <v>911.9</v>
      </c>
      <c r="P16" s="108">
        <v>932.9</v>
      </c>
      <c r="Q16" s="108">
        <f t="shared" si="51"/>
        <v>932.9</v>
      </c>
      <c r="R16" s="108">
        <v>960.4</v>
      </c>
      <c r="S16" s="108">
        <v>994.15499999999997</v>
      </c>
      <c r="T16" s="108">
        <v>1033.605</v>
      </c>
      <c r="U16" s="108">
        <v>1064.798</v>
      </c>
      <c r="V16" s="108">
        <v>1064.798</v>
      </c>
      <c r="W16" s="108">
        <v>1073.348</v>
      </c>
      <c r="X16" s="108">
        <v>1083.925</v>
      </c>
      <c r="Y16" s="108">
        <v>1100.665</v>
      </c>
      <c r="Z16" s="108">
        <f>+Z83</f>
        <v>1138.50303745</v>
      </c>
      <c r="AA16" s="108">
        <f>+AA83</f>
        <v>1138.50303745</v>
      </c>
      <c r="AB16" s="108">
        <f t="shared" ref="AB16" si="54">+AB83</f>
        <v>1220.174079701</v>
      </c>
      <c r="AC16" s="108">
        <f t="shared" ref="AC16:AN16" si="55">+AC83</f>
        <v>1298.83159810698</v>
      </c>
      <c r="AD16" s="108">
        <f t="shared" si="55"/>
        <v>1335.9959661448404</v>
      </c>
      <c r="AE16" s="108">
        <f t="shared" si="55"/>
        <v>1372.1335920721685</v>
      </c>
      <c r="AF16" s="108">
        <f t="shared" si="55"/>
        <v>1408.0311216319787</v>
      </c>
      <c r="AG16" s="108">
        <f t="shared" si="55"/>
        <v>1471.1904019080553</v>
      </c>
      <c r="AH16" s="108">
        <f t="shared" si="55"/>
        <v>1509.4650040633346</v>
      </c>
      <c r="AI16" s="108">
        <f t="shared" si="55"/>
        <v>1542.1941573070333</v>
      </c>
      <c r="AJ16" s="108">
        <f t="shared" si="55"/>
        <v>1567.6953900763701</v>
      </c>
      <c r="AK16" s="108">
        <f t="shared" si="55"/>
        <v>1582.5682393947691</v>
      </c>
      <c r="AL16" s="108">
        <f t="shared" si="55"/>
        <v>1614.7421830659027</v>
      </c>
      <c r="AM16" s="108">
        <f t="shared" si="55"/>
        <v>1690.4205448925845</v>
      </c>
      <c r="AN16" s="108">
        <f t="shared" si="55"/>
        <v>1761.6886069729514</v>
      </c>
    </row>
    <row r="17" spans="1:40" s="2" customFormat="1"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4"/>
      <c r="AK17" s="204"/>
      <c r="AL17" s="204"/>
      <c r="AM17" s="204"/>
      <c r="AN17" s="204"/>
    </row>
    <row r="18" spans="1:40" s="142" customFormat="1">
      <c r="A18" s="141" t="s">
        <v>26</v>
      </c>
      <c r="B18" s="203">
        <v>807.89</v>
      </c>
      <c r="C18" s="203">
        <f t="shared" ref="C18:P18" si="56">+C20+C28+C34</f>
        <v>814.37</v>
      </c>
      <c r="D18" s="203">
        <f t="shared" si="56"/>
        <v>796.55899999999997</v>
      </c>
      <c r="E18" s="203">
        <f t="shared" si="56"/>
        <v>825.18999999999994</v>
      </c>
      <c r="F18" s="203">
        <f t="shared" si="56"/>
        <v>792.36999999999989</v>
      </c>
      <c r="G18" s="203">
        <f t="shared" ref="G18" si="57">+G20+G28+G34</f>
        <v>792.36999999999989</v>
      </c>
      <c r="H18" s="203">
        <f t="shared" si="56"/>
        <v>799.6</v>
      </c>
      <c r="I18" s="203">
        <f t="shared" si="56"/>
        <v>796.65</v>
      </c>
      <c r="J18" s="203">
        <f t="shared" si="56"/>
        <v>893.7600000000001</v>
      </c>
      <c r="K18" s="203">
        <f t="shared" si="56"/>
        <v>910.2</v>
      </c>
      <c r="L18" s="203">
        <f t="shared" si="56"/>
        <v>910.2</v>
      </c>
      <c r="M18" s="203">
        <f t="shared" si="56"/>
        <v>924.20399999999995</v>
      </c>
      <c r="N18" s="203">
        <f t="shared" si="56"/>
        <v>941.9</v>
      </c>
      <c r="O18" s="203">
        <f t="shared" si="56"/>
        <v>1363.74</v>
      </c>
      <c r="P18" s="203">
        <f t="shared" si="56"/>
        <v>1345.6000000000001</v>
      </c>
      <c r="Q18" s="203">
        <f t="shared" ref="Q18:U18" si="58">+Q20+Q28+Q34</f>
        <v>1345.6000000000001</v>
      </c>
      <c r="R18" s="203">
        <f t="shared" si="58"/>
        <v>1376.6000000000001</v>
      </c>
      <c r="S18" s="203">
        <f t="shared" si="58"/>
        <v>1364.73</v>
      </c>
      <c r="T18" s="203">
        <f t="shared" si="58"/>
        <v>1399.6410000000001</v>
      </c>
      <c r="U18" s="203">
        <f t="shared" si="58"/>
        <v>1405.048</v>
      </c>
      <c r="V18" s="203">
        <f t="shared" ref="V18:Y18" si="59">+V20+V28+V34</f>
        <v>1405.048</v>
      </c>
      <c r="W18" s="203">
        <f t="shared" si="59"/>
        <v>1436.7839999999999</v>
      </c>
      <c r="X18" s="203">
        <f t="shared" si="59"/>
        <v>1481.979</v>
      </c>
      <c r="Y18" s="203">
        <f t="shared" si="59"/>
        <v>1530.9089999999999</v>
      </c>
      <c r="Z18" s="203">
        <f>+Z20+Z28+Z34</f>
        <v>1554.3085930027623</v>
      </c>
      <c r="AA18" s="203">
        <f t="shared" ref="AA18:AN18" si="60">+AA20+AA28+AA34</f>
        <v>1554.3085930027623</v>
      </c>
      <c r="AB18" s="203">
        <f t="shared" si="60"/>
        <v>1657.1292635203404</v>
      </c>
      <c r="AC18" s="203">
        <f t="shared" si="60"/>
        <v>1758.1112478109869</v>
      </c>
      <c r="AD18" s="203">
        <f t="shared" si="60"/>
        <v>1851.1991494110794</v>
      </c>
      <c r="AE18" s="203">
        <f t="shared" si="60"/>
        <v>1927.9236483722123</v>
      </c>
      <c r="AF18" s="203">
        <f t="shared" si="60"/>
        <v>2004.8222547771111</v>
      </c>
      <c r="AG18" s="203">
        <f t="shared" si="60"/>
        <v>2076.4217549403575</v>
      </c>
      <c r="AH18" s="203">
        <f t="shared" si="60"/>
        <v>2129.8644633860408</v>
      </c>
      <c r="AI18" s="203">
        <f t="shared" si="60"/>
        <v>2172.3926113164239</v>
      </c>
      <c r="AJ18" s="203">
        <f t="shared" si="60"/>
        <v>2209.5056107729461</v>
      </c>
      <c r="AK18" s="203">
        <f t="shared" si="60"/>
        <v>2252.4445166065511</v>
      </c>
      <c r="AL18" s="203">
        <f t="shared" si="60"/>
        <v>2319.5688008802977</v>
      </c>
      <c r="AM18" s="203">
        <f t="shared" si="60"/>
        <v>2390.2186044337554</v>
      </c>
      <c r="AN18" s="203">
        <f t="shared" si="60"/>
        <v>2613.1924543957834</v>
      </c>
    </row>
    <row r="19" spans="1:40" s="2" customFormat="1">
      <c r="B19" s="204"/>
      <c r="C19" s="204"/>
      <c r="D19" s="204"/>
      <c r="E19" s="204"/>
      <c r="F19" s="204"/>
      <c r="G19" s="204"/>
      <c r="H19" s="204"/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  <c r="AA19" s="204"/>
      <c r="AB19" s="204"/>
      <c r="AC19" s="204"/>
      <c r="AD19" s="204"/>
      <c r="AE19" s="204"/>
      <c r="AF19" s="204"/>
      <c r="AG19" s="204"/>
      <c r="AH19" s="204"/>
      <c r="AI19" s="204"/>
      <c r="AJ19" s="204"/>
      <c r="AK19" s="204"/>
      <c r="AL19" s="204"/>
      <c r="AM19" s="204"/>
      <c r="AN19" s="204"/>
    </row>
    <row r="20" spans="1:40" s="142" customFormat="1">
      <c r="A20" s="142" t="s">
        <v>31</v>
      </c>
      <c r="B20" s="208">
        <v>548.79</v>
      </c>
      <c r="C20" s="208">
        <f t="shared" ref="C20:P20" si="61">+SUM(C21:C26)</f>
        <v>560.66999999999996</v>
      </c>
      <c r="D20" s="208">
        <f t="shared" si="61"/>
        <v>546.25900000000001</v>
      </c>
      <c r="E20" s="208">
        <f t="shared" si="61"/>
        <v>568.66999999999996</v>
      </c>
      <c r="F20" s="208">
        <f t="shared" si="61"/>
        <v>533.16999999999996</v>
      </c>
      <c r="G20" s="208">
        <f t="shared" si="61"/>
        <v>533.16999999999996</v>
      </c>
      <c r="H20" s="208">
        <f t="shared" si="61"/>
        <v>545.4</v>
      </c>
      <c r="I20" s="208">
        <f t="shared" si="61"/>
        <v>546.25</v>
      </c>
      <c r="J20" s="208">
        <f t="shared" si="61"/>
        <v>644.20000000000016</v>
      </c>
      <c r="K20" s="208">
        <f t="shared" si="61"/>
        <v>658.3</v>
      </c>
      <c r="L20" s="208">
        <f t="shared" si="61"/>
        <v>658.3</v>
      </c>
      <c r="M20" s="208">
        <f t="shared" si="61"/>
        <v>672.54399999999998</v>
      </c>
      <c r="N20" s="208">
        <f t="shared" si="61"/>
        <v>685.69999999999993</v>
      </c>
      <c r="O20" s="208">
        <f t="shared" si="61"/>
        <v>94.169999999999987</v>
      </c>
      <c r="P20" s="208">
        <f t="shared" si="61"/>
        <v>71.399999999999991</v>
      </c>
      <c r="Q20" s="208">
        <f t="shared" ref="Q20" si="62">+SUM(Q21:Q26)</f>
        <v>71.399999999999991</v>
      </c>
      <c r="R20" s="208">
        <f t="shared" ref="R20:T20" si="63">+SUM(R21:R26)</f>
        <v>84.4</v>
      </c>
      <c r="S20" s="208">
        <f t="shared" si="63"/>
        <v>45.667000000000002</v>
      </c>
      <c r="T20" s="208">
        <f t="shared" si="63"/>
        <v>69.903000000000006</v>
      </c>
      <c r="U20" s="208">
        <f>+SUM(U21:U26)</f>
        <v>46.543000000000006</v>
      </c>
      <c r="V20" s="208">
        <f t="shared" ref="V20" si="64">+SUM(V21:V26)</f>
        <v>46.543000000000006</v>
      </c>
      <c r="W20" s="208">
        <f>+SUM(W21:W26)</f>
        <v>62.137000000000008</v>
      </c>
      <c r="X20" s="208">
        <f t="shared" ref="X20:Y20" si="65">+SUM(X21:X26)</f>
        <v>34.65100000000001</v>
      </c>
      <c r="Y20" s="208">
        <f t="shared" si="65"/>
        <v>63.231999999999999</v>
      </c>
      <c r="Z20" s="208">
        <f>+SUM(Z21:Z26)</f>
        <v>41.36578961231875</v>
      </c>
      <c r="AA20" s="208">
        <f>+SUM(AA21:AA26)</f>
        <v>41.36578961231875</v>
      </c>
      <c r="AB20" s="208">
        <f t="shared" ref="AB20" si="66">+SUM(AB21:AB26)</f>
        <v>57.865093294592924</v>
      </c>
      <c r="AC20" s="208">
        <f t="shared" ref="AC20" si="67">+SUM(AC21:AC26)</f>
        <v>91.929864843801425</v>
      </c>
      <c r="AD20" s="208">
        <f t="shared" ref="AD20" si="68">+SUM(AD21:AD26)</f>
        <v>120.4060890948642</v>
      </c>
      <c r="AE20" s="208">
        <f t="shared" ref="AE20" si="69">+SUM(AE21:AE26)</f>
        <v>138.28971792024691</v>
      </c>
      <c r="AF20" s="208">
        <f t="shared" ref="AF20" si="70">+SUM(AF21:AF26)</f>
        <v>152.50016834280501</v>
      </c>
      <c r="AG20" s="208">
        <f t="shared" ref="AG20" si="71">+SUM(AG21:AG26)</f>
        <v>174.27533344022424</v>
      </c>
      <c r="AH20" s="208">
        <f t="shared" ref="AH20" si="72">+SUM(AH21:AH26)</f>
        <v>203.72380212408581</v>
      </c>
      <c r="AI20" s="208">
        <f t="shared" ref="AI20" si="73">+SUM(AI21:AI26)</f>
        <v>221.24853864533065</v>
      </c>
      <c r="AJ20" s="208">
        <f t="shared" ref="AJ20" si="74">+SUM(AJ21:AJ26)</f>
        <v>243.89328048576732</v>
      </c>
      <c r="AK20" s="208">
        <f t="shared" ref="AK20" si="75">+SUM(AK21:AK26)</f>
        <v>261.2844664719787</v>
      </c>
      <c r="AL20" s="208">
        <f t="shared" ref="AL20" si="76">+SUM(AL21:AL26)</f>
        <v>272.74113001443817</v>
      </c>
      <c r="AM20" s="208">
        <f t="shared" ref="AM20" si="77">+SUM(AM21:AM26)</f>
        <v>206.41519209437087</v>
      </c>
      <c r="AN20" s="208">
        <f t="shared" ref="AN20" si="78">+SUM(AN21:AN26)</f>
        <v>146.16626137335064</v>
      </c>
    </row>
    <row r="21" spans="1:40" s="2" customFormat="1">
      <c r="A21" s="2" t="s">
        <v>27</v>
      </c>
      <c r="B21" s="108">
        <v>9.9</v>
      </c>
      <c r="C21" s="106">
        <v>7.9</v>
      </c>
      <c r="D21" s="106">
        <v>18.149000000000001</v>
      </c>
      <c r="E21" s="106">
        <v>9.4</v>
      </c>
      <c r="F21" s="106">
        <v>21.2</v>
      </c>
      <c r="G21" s="108">
        <f t="shared" ref="G21:G26" si="79">+F21</f>
        <v>21.2</v>
      </c>
      <c r="H21" s="106">
        <v>24.9</v>
      </c>
      <c r="I21" s="106">
        <v>18.100000000000001</v>
      </c>
      <c r="J21" s="106">
        <v>14.5</v>
      </c>
      <c r="K21" s="106">
        <v>20.2</v>
      </c>
      <c r="L21" s="108">
        <f t="shared" ref="L21:L26" si="80">+K21</f>
        <v>20.2</v>
      </c>
      <c r="M21" s="106">
        <v>27.8</v>
      </c>
      <c r="N21" s="106">
        <v>29.6</v>
      </c>
      <c r="O21" s="106">
        <v>28.1</v>
      </c>
      <c r="P21" s="106">
        <v>22.6</v>
      </c>
      <c r="Q21" s="108">
        <f t="shared" ref="Q21:Q26" si="81">+P21</f>
        <v>22.6</v>
      </c>
      <c r="R21" s="106">
        <v>24.2</v>
      </c>
      <c r="S21" s="106">
        <v>33.683999999999997</v>
      </c>
      <c r="T21" s="106">
        <v>35.292000000000002</v>
      </c>
      <c r="U21" s="106">
        <v>34.734999999999999</v>
      </c>
      <c r="V21" s="106">
        <v>34.734999999999999</v>
      </c>
      <c r="W21" s="106">
        <v>25.638000000000002</v>
      </c>
      <c r="X21" s="106">
        <f>22.108</f>
        <v>22.108000000000001</v>
      </c>
      <c r="Y21" s="106">
        <v>28.861000000000001</v>
      </c>
      <c r="Z21" s="106">
        <f>Z121</f>
        <v>31.543945329828926</v>
      </c>
      <c r="AA21" s="106">
        <f>+AA121</f>
        <v>31.543945329828926</v>
      </c>
      <c r="AB21" s="106">
        <f t="shared" ref="AB21" si="82">+AB121</f>
        <v>37.044574836460704</v>
      </c>
      <c r="AC21" s="106">
        <f t="shared" ref="AC21:AN21" si="83">+AC121</f>
        <v>41.929605536514984</v>
      </c>
      <c r="AD21" s="106">
        <f t="shared" si="83"/>
        <v>48.513030715253159</v>
      </c>
      <c r="AE21" s="106">
        <f t="shared" si="83"/>
        <v>54.133834415754109</v>
      </c>
      <c r="AF21" s="106">
        <f t="shared" si="83"/>
        <v>59.965461052031941</v>
      </c>
      <c r="AG21" s="106">
        <f t="shared" si="83"/>
        <v>65.295676166809329</v>
      </c>
      <c r="AH21" s="106">
        <f t="shared" si="83"/>
        <v>71.050029593504448</v>
      </c>
      <c r="AI21" s="106">
        <f t="shared" si="83"/>
        <v>77.311695618212354</v>
      </c>
      <c r="AJ21" s="106">
        <f t="shared" si="83"/>
        <v>83.999630673926717</v>
      </c>
      <c r="AK21" s="106">
        <f t="shared" si="83"/>
        <v>91.163865733841476</v>
      </c>
      <c r="AL21" s="106">
        <f t="shared" si="83"/>
        <v>98.855295013745533</v>
      </c>
      <c r="AM21" s="106">
        <f t="shared" si="83"/>
        <v>107.1050078348195</v>
      </c>
      <c r="AN21" s="106">
        <f t="shared" si="83"/>
        <v>114.18397675138503</v>
      </c>
    </row>
    <row r="22" spans="1:40" s="2" customFormat="1">
      <c r="A22" s="2" t="s">
        <v>28</v>
      </c>
      <c r="B22" s="108">
        <v>449.47</v>
      </c>
      <c r="C22" s="106">
        <v>466.37</v>
      </c>
      <c r="D22" s="106">
        <v>518.54999999999995</v>
      </c>
      <c r="E22" s="106">
        <v>504.1</v>
      </c>
      <c r="F22" s="106">
        <v>481.4</v>
      </c>
      <c r="G22" s="108">
        <f t="shared" si="79"/>
        <v>481.4</v>
      </c>
      <c r="H22" s="106">
        <v>501.1</v>
      </c>
      <c r="I22" s="106">
        <v>518.54999999999995</v>
      </c>
      <c r="J22" s="106">
        <v>602.1</v>
      </c>
      <c r="K22" s="106">
        <v>603.6</v>
      </c>
      <c r="L22" s="108">
        <f t="shared" si="80"/>
        <v>603.6</v>
      </c>
      <c r="M22" s="106">
        <v>604.9</v>
      </c>
      <c r="N22" s="106">
        <v>607.9</v>
      </c>
      <c r="O22" s="106">
        <f>51.97</f>
        <v>51.97</v>
      </c>
      <c r="P22" s="106">
        <f>37.8+3.3</f>
        <v>41.099999999999994</v>
      </c>
      <c r="Q22" s="108">
        <f t="shared" si="81"/>
        <v>41.099999999999994</v>
      </c>
      <c r="R22" s="106">
        <v>54</v>
      </c>
      <c r="S22" s="106">
        <v>3.1230000000000002</v>
      </c>
      <c r="T22" s="106">
        <v>26.48</v>
      </c>
      <c r="U22" s="106">
        <f>3.911</f>
        <v>3.911</v>
      </c>
      <c r="V22" s="106">
        <f>3.911</f>
        <v>3.911</v>
      </c>
      <c r="W22" s="106">
        <v>26.774000000000001</v>
      </c>
      <c r="X22" s="106">
        <f>4.152</f>
        <v>4.1520000000000001</v>
      </c>
      <c r="Y22" s="106">
        <f>25.267</f>
        <v>25.266999999999999</v>
      </c>
      <c r="Z22" s="106">
        <f>-AB158-AB159</f>
        <v>0</v>
      </c>
      <c r="AA22" s="106">
        <f>-AB158-AB159</f>
        <v>0</v>
      </c>
      <c r="AB22" s="106">
        <f t="shared" ref="AB22" si="84">-AC158-AC159</f>
        <v>7.0289999999999999</v>
      </c>
      <c r="AC22" s="106">
        <f t="shared" ref="AC22:AN22" si="85">-AD158-AD159</f>
        <v>37.381500000000003</v>
      </c>
      <c r="AD22" s="106">
        <f t="shared" si="85"/>
        <v>57.51</v>
      </c>
      <c r="AE22" s="106">
        <f t="shared" si="85"/>
        <v>68.266500000000008</v>
      </c>
      <c r="AF22" s="106">
        <f t="shared" si="85"/>
        <v>75.08250000000001</v>
      </c>
      <c r="AG22" s="106">
        <f t="shared" si="85"/>
        <v>90.099000000000004</v>
      </c>
      <c r="AH22" s="106">
        <f t="shared" si="85"/>
        <v>112.25099999999999</v>
      </c>
      <c r="AI22" s="106">
        <f t="shared" si="85"/>
        <v>121.836</v>
      </c>
      <c r="AJ22" s="106">
        <f t="shared" si="85"/>
        <v>136.00050000000002</v>
      </c>
      <c r="AK22" s="106">
        <f t="shared" si="85"/>
        <v>144.3075</v>
      </c>
      <c r="AL22" s="106">
        <f t="shared" si="85"/>
        <v>146.01150000000001</v>
      </c>
      <c r="AM22" s="106">
        <f t="shared" si="85"/>
        <v>69.225000000000009</v>
      </c>
      <c r="AN22" s="106">
        <f t="shared" si="85"/>
        <v>0</v>
      </c>
    </row>
    <row r="23" spans="1:40" s="2" customFormat="1">
      <c r="A23" s="2" t="s">
        <v>29</v>
      </c>
      <c r="B23" s="108">
        <v>0</v>
      </c>
      <c r="C23" s="106">
        <v>0</v>
      </c>
      <c r="D23" s="106">
        <v>0</v>
      </c>
      <c r="E23" s="106">
        <v>0</v>
      </c>
      <c r="F23" s="106">
        <v>0</v>
      </c>
      <c r="G23" s="108">
        <f t="shared" si="79"/>
        <v>0</v>
      </c>
      <c r="H23" s="106">
        <v>0</v>
      </c>
      <c r="I23" s="106">
        <v>0</v>
      </c>
      <c r="J23" s="106">
        <v>6.2</v>
      </c>
      <c r="K23" s="106">
        <v>23.4</v>
      </c>
      <c r="L23" s="108">
        <f t="shared" si="80"/>
        <v>23.4</v>
      </c>
      <c r="M23" s="106">
        <v>30.2</v>
      </c>
      <c r="N23" s="106">
        <v>34.9</v>
      </c>
      <c r="O23" s="106">
        <v>0</v>
      </c>
      <c r="P23" s="106">
        <v>0</v>
      </c>
      <c r="Q23" s="108">
        <f t="shared" si="81"/>
        <v>0</v>
      </c>
      <c r="R23" s="106">
        <v>0</v>
      </c>
      <c r="S23" s="106">
        <v>0</v>
      </c>
      <c r="T23" s="106">
        <v>0</v>
      </c>
      <c r="U23" s="106">
        <v>0</v>
      </c>
      <c r="V23" s="106">
        <v>0</v>
      </c>
      <c r="W23" s="106">
        <v>0</v>
      </c>
      <c r="X23" s="106">
        <v>0</v>
      </c>
      <c r="Y23" s="106">
        <v>0</v>
      </c>
      <c r="Z23" s="106">
        <v>0</v>
      </c>
      <c r="AA23" s="106">
        <v>0</v>
      </c>
      <c r="AB23" s="106">
        <v>0</v>
      </c>
      <c r="AC23" s="106">
        <v>0</v>
      </c>
      <c r="AD23" s="106">
        <v>0</v>
      </c>
      <c r="AE23" s="106">
        <v>0</v>
      </c>
      <c r="AF23" s="106">
        <v>0</v>
      </c>
      <c r="AG23" s="106">
        <v>0</v>
      </c>
      <c r="AH23" s="106">
        <v>0</v>
      </c>
      <c r="AI23" s="106">
        <v>0</v>
      </c>
      <c r="AJ23" s="106">
        <v>0</v>
      </c>
      <c r="AK23" s="106">
        <v>0</v>
      </c>
      <c r="AL23" s="106">
        <v>0</v>
      </c>
      <c r="AM23" s="106">
        <v>0</v>
      </c>
      <c r="AN23" s="106">
        <v>0</v>
      </c>
    </row>
    <row r="24" spans="1:40" s="2" customFormat="1">
      <c r="A24" s="2" t="s">
        <v>36</v>
      </c>
      <c r="B24" s="108">
        <v>2.1</v>
      </c>
      <c r="C24" s="106">
        <v>1.4</v>
      </c>
      <c r="D24" s="106">
        <v>3.2</v>
      </c>
      <c r="E24" s="106">
        <v>2</v>
      </c>
      <c r="F24" s="106">
        <v>3.5</v>
      </c>
      <c r="G24" s="108">
        <f t="shared" si="79"/>
        <v>3.5</v>
      </c>
      <c r="H24" s="106">
        <v>3.3</v>
      </c>
      <c r="I24" s="106">
        <v>3.2</v>
      </c>
      <c r="J24" s="106">
        <v>4</v>
      </c>
      <c r="K24" s="106">
        <v>3.6</v>
      </c>
      <c r="L24" s="108">
        <f t="shared" si="80"/>
        <v>3.6</v>
      </c>
      <c r="M24" s="106">
        <v>2.4</v>
      </c>
      <c r="N24" s="106">
        <v>3.4</v>
      </c>
      <c r="O24" s="106">
        <v>4</v>
      </c>
      <c r="P24" s="106">
        <f>2.2+3.7</f>
        <v>5.9</v>
      </c>
      <c r="Q24" s="108">
        <f t="shared" si="81"/>
        <v>5.9</v>
      </c>
      <c r="R24" s="106">
        <f>1.9+2.4</f>
        <v>4.3</v>
      </c>
      <c r="S24" s="106">
        <f>3.645+2.169</f>
        <v>5.8140000000000001</v>
      </c>
      <c r="T24" s="106">
        <f>4.371+1.974</f>
        <v>6.3450000000000006</v>
      </c>
      <c r="U24" s="106">
        <f>1.911+4.423</f>
        <v>6.3339999999999996</v>
      </c>
      <c r="V24" s="106">
        <f>1.911+4.423</f>
        <v>6.3339999999999996</v>
      </c>
      <c r="W24" s="106">
        <v>5.9740000000000002</v>
      </c>
      <c r="X24" s="106">
        <f>4.607+1.994</f>
        <v>6.601</v>
      </c>
      <c r="Y24" s="106">
        <f>4.359+2.601</f>
        <v>6.96</v>
      </c>
      <c r="Z24" s="106">
        <f>Z124</f>
        <v>7.6070080557017885</v>
      </c>
      <c r="AA24" s="106">
        <f>+AA124</f>
        <v>7.6070080557017885</v>
      </c>
      <c r="AB24" s="106">
        <f t="shared" ref="AB24" si="86">+AB124</f>
        <v>7.4457110748793314</v>
      </c>
      <c r="AC24" s="106">
        <f t="shared" ref="AC24:AN24" si="87">+AC124</f>
        <v>5.618379653643216</v>
      </c>
      <c r="AD24" s="106">
        <f t="shared" si="87"/>
        <v>6.5005291898055182</v>
      </c>
      <c r="AE24" s="106">
        <f t="shared" si="87"/>
        <v>7.2536917522464002</v>
      </c>
      <c r="AF24" s="106">
        <f t="shared" si="87"/>
        <v>8.035103645386533</v>
      </c>
      <c r="AG24" s="106">
        <f t="shared" si="87"/>
        <v>8.7493286367074479</v>
      </c>
      <c r="AH24" s="106">
        <f t="shared" si="87"/>
        <v>9.5203862652906892</v>
      </c>
      <c r="AI24" s="106">
        <f t="shared" si="87"/>
        <v>10.359421513559138</v>
      </c>
      <c r="AJ24" s="106">
        <f t="shared" si="87"/>
        <v>11.255574905920287</v>
      </c>
      <c r="AK24" s="106">
        <f t="shared" si="87"/>
        <v>12.215550369068611</v>
      </c>
      <c r="AL24" s="106">
        <f t="shared" si="87"/>
        <v>13.24616750034631</v>
      </c>
      <c r="AM24" s="106">
        <f t="shared" si="87"/>
        <v>14.351592129775677</v>
      </c>
      <c r="AN24" s="106">
        <f t="shared" si="87"/>
        <v>15.300142310982801</v>
      </c>
    </row>
    <row r="25" spans="1:40" s="2" customFormat="1">
      <c r="A25" s="2" t="s">
        <v>37</v>
      </c>
      <c r="B25" s="108">
        <v>84.7</v>
      </c>
      <c r="C25" s="106">
        <v>83</v>
      </c>
      <c r="D25" s="106">
        <v>3.36</v>
      </c>
      <c r="E25" s="106">
        <v>51.17</v>
      </c>
      <c r="F25" s="106">
        <v>23.2</v>
      </c>
      <c r="G25" s="108">
        <f t="shared" si="79"/>
        <v>23.2</v>
      </c>
      <c r="H25" s="106">
        <v>13.1</v>
      </c>
      <c r="I25" s="106">
        <v>3.4</v>
      </c>
      <c r="J25" s="106">
        <v>9.6999999999999993</v>
      </c>
      <c r="K25" s="106">
        <v>3.6</v>
      </c>
      <c r="L25" s="108">
        <f t="shared" si="80"/>
        <v>3.6</v>
      </c>
      <c r="M25" s="106">
        <v>3.8</v>
      </c>
      <c r="N25" s="106">
        <v>7.1</v>
      </c>
      <c r="O25" s="106">
        <v>7.1</v>
      </c>
      <c r="P25" s="106">
        <v>0.8</v>
      </c>
      <c r="Q25" s="108">
        <f t="shared" si="81"/>
        <v>0.8</v>
      </c>
      <c r="R25" s="106">
        <v>0.9</v>
      </c>
      <c r="S25" s="106">
        <v>0.97099999999999997</v>
      </c>
      <c r="T25" s="106">
        <v>0.997</v>
      </c>
      <c r="U25" s="106">
        <v>1.0669999999999999</v>
      </c>
      <c r="V25" s="106">
        <v>1.0669999999999999</v>
      </c>
      <c r="W25" s="106">
        <v>1.224</v>
      </c>
      <c r="X25" s="106">
        <v>1.3220000000000001</v>
      </c>
      <c r="Y25" s="106">
        <v>1.3819999999999999</v>
      </c>
      <c r="Z25" s="209">
        <f>+Y25</f>
        <v>1.3819999999999999</v>
      </c>
      <c r="AA25" s="209">
        <f>+Z25</f>
        <v>1.3819999999999999</v>
      </c>
      <c r="AB25" s="209">
        <f t="shared" ref="AB25" si="88">+AA25</f>
        <v>1.3819999999999999</v>
      </c>
      <c r="AC25" s="209">
        <f>+AB25</f>
        <v>1.3819999999999999</v>
      </c>
      <c r="AD25" s="209">
        <f t="shared" ref="AD25:AN25" si="89">+AC25</f>
        <v>1.3819999999999999</v>
      </c>
      <c r="AE25" s="209">
        <f t="shared" si="89"/>
        <v>1.3819999999999999</v>
      </c>
      <c r="AF25" s="209">
        <f t="shared" si="89"/>
        <v>1.3819999999999999</v>
      </c>
      <c r="AG25" s="209">
        <f t="shared" si="89"/>
        <v>1.3819999999999999</v>
      </c>
      <c r="AH25" s="209">
        <f t="shared" si="89"/>
        <v>1.3819999999999999</v>
      </c>
      <c r="AI25" s="209">
        <f t="shared" si="89"/>
        <v>1.3819999999999999</v>
      </c>
      <c r="AJ25" s="209">
        <f t="shared" si="89"/>
        <v>1.3819999999999999</v>
      </c>
      <c r="AK25" s="209">
        <f t="shared" si="89"/>
        <v>1.3819999999999999</v>
      </c>
      <c r="AL25" s="209">
        <f t="shared" si="89"/>
        <v>1.3819999999999999</v>
      </c>
      <c r="AM25" s="209">
        <f t="shared" si="89"/>
        <v>1.3819999999999999</v>
      </c>
      <c r="AN25" s="209">
        <f t="shared" si="89"/>
        <v>1.3819999999999999</v>
      </c>
    </row>
    <row r="26" spans="1:40" s="2" customFormat="1">
      <c r="A26" s="2" t="s">
        <v>21</v>
      </c>
      <c r="B26" s="108">
        <v>2.6199999999998909</v>
      </c>
      <c r="C26" s="106">
        <v>2</v>
      </c>
      <c r="D26" s="106">
        <v>3</v>
      </c>
      <c r="E26" s="106">
        <v>2</v>
      </c>
      <c r="F26" s="106">
        <f>533.17-SUM(F21:F25)</f>
        <v>3.8700000000000045</v>
      </c>
      <c r="G26" s="108">
        <f t="shared" si="79"/>
        <v>3.8700000000000045</v>
      </c>
      <c r="H26" s="106">
        <v>3</v>
      </c>
      <c r="I26" s="106">
        <v>3</v>
      </c>
      <c r="J26" s="106">
        <f>644.7-637</f>
        <v>7.7000000000000455</v>
      </c>
      <c r="K26" s="106">
        <f>658.3-SUM(K21:K25)</f>
        <v>3.8999999999998636</v>
      </c>
      <c r="L26" s="108">
        <f t="shared" si="80"/>
        <v>3.8999999999998636</v>
      </c>
      <c r="M26" s="106">
        <f>672.544-SUM(M21:M25)</f>
        <v>3.4440000000000737</v>
      </c>
      <c r="N26" s="106">
        <v>2.8</v>
      </c>
      <c r="O26" s="106">
        <v>3</v>
      </c>
      <c r="P26" s="106">
        <v>1</v>
      </c>
      <c r="Q26" s="108">
        <f t="shared" si="81"/>
        <v>1</v>
      </c>
      <c r="R26" s="106">
        <v>1</v>
      </c>
      <c r="S26" s="106">
        <f>45.667-SUM(S21:S25)</f>
        <v>2.0750000000000099</v>
      </c>
      <c r="T26" s="106">
        <f>69.903-SUM(T21:T25)</f>
        <v>0.78900000000000148</v>
      </c>
      <c r="U26" s="106">
        <f>0.229+0.267</f>
        <v>0.496</v>
      </c>
      <c r="V26" s="106">
        <f>0.229+0.267</f>
        <v>0.496</v>
      </c>
      <c r="W26" s="106">
        <f>2.04+0.487</f>
        <v>2.5270000000000001</v>
      </c>
      <c r="X26" s="106">
        <f>0.468</f>
        <v>0.46800000000000003</v>
      </c>
      <c r="Y26" s="106">
        <f>0.762</f>
        <v>0.76200000000000001</v>
      </c>
      <c r="Z26" s="106">
        <f>+Z129</f>
        <v>0.83283622678804059</v>
      </c>
      <c r="AA26" s="106">
        <f>+AA129</f>
        <v>0.83283622678804059</v>
      </c>
      <c r="AB26" s="106">
        <f t="shared" ref="AB26" si="90">+AB129</f>
        <v>4.9638073832528882</v>
      </c>
      <c r="AC26" s="106">
        <f t="shared" ref="AC26:AN26" si="91">+AC129</f>
        <v>5.618379653643216</v>
      </c>
      <c r="AD26" s="106">
        <f t="shared" si="91"/>
        <v>6.5005291898055182</v>
      </c>
      <c r="AE26" s="106">
        <f t="shared" si="91"/>
        <v>7.2536917522464002</v>
      </c>
      <c r="AF26" s="106">
        <f t="shared" si="91"/>
        <v>8.035103645386533</v>
      </c>
      <c r="AG26" s="106">
        <f t="shared" si="91"/>
        <v>8.7493286367074479</v>
      </c>
      <c r="AH26" s="106">
        <f t="shared" si="91"/>
        <v>9.5203862652906892</v>
      </c>
      <c r="AI26" s="106">
        <f t="shared" si="91"/>
        <v>10.359421513559138</v>
      </c>
      <c r="AJ26" s="106">
        <f t="shared" si="91"/>
        <v>11.255574905920287</v>
      </c>
      <c r="AK26" s="106">
        <f t="shared" si="91"/>
        <v>12.215550369068611</v>
      </c>
      <c r="AL26" s="106">
        <f t="shared" si="91"/>
        <v>13.24616750034631</v>
      </c>
      <c r="AM26" s="106">
        <f t="shared" si="91"/>
        <v>14.351592129775677</v>
      </c>
      <c r="AN26" s="106">
        <f t="shared" si="91"/>
        <v>15.300142310982801</v>
      </c>
    </row>
    <row r="27" spans="1:40" s="2" customFormat="1"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</row>
    <row r="28" spans="1:40" s="2" customFormat="1">
      <c r="A28" s="142" t="s">
        <v>32</v>
      </c>
      <c r="B28" s="208">
        <v>40.5</v>
      </c>
      <c r="C28" s="208">
        <f t="shared" ref="C28:T28" si="92">+SUM(C29:C32)</f>
        <v>38.700000000000003</v>
      </c>
      <c r="D28" s="208">
        <f t="shared" si="92"/>
        <v>52.3</v>
      </c>
      <c r="E28" s="208">
        <f t="shared" si="92"/>
        <v>45.349999999999994</v>
      </c>
      <c r="F28" s="208">
        <f t="shared" si="92"/>
        <v>51.800000000000004</v>
      </c>
      <c r="G28" s="208">
        <f t="shared" si="92"/>
        <v>51.800000000000004</v>
      </c>
      <c r="H28" s="208">
        <f t="shared" si="92"/>
        <v>49.2</v>
      </c>
      <c r="I28" s="208">
        <f t="shared" si="92"/>
        <v>52.4</v>
      </c>
      <c r="J28" s="208">
        <f t="shared" si="92"/>
        <v>56.66</v>
      </c>
      <c r="K28" s="208">
        <f t="shared" si="92"/>
        <v>63.699999999999996</v>
      </c>
      <c r="L28" s="208">
        <f t="shared" si="92"/>
        <v>63.699999999999996</v>
      </c>
      <c r="M28" s="208">
        <f t="shared" si="92"/>
        <v>68.66</v>
      </c>
      <c r="N28" s="208">
        <f t="shared" si="92"/>
        <v>74.800000000000011</v>
      </c>
      <c r="O28" s="208">
        <f t="shared" si="92"/>
        <v>1098.6699999999998</v>
      </c>
      <c r="P28" s="208">
        <f t="shared" si="92"/>
        <v>1111.2</v>
      </c>
      <c r="Q28" s="208">
        <f t="shared" ref="Q28" si="93">+SUM(Q29:Q32)</f>
        <v>1111.2</v>
      </c>
      <c r="R28" s="208">
        <f t="shared" si="92"/>
        <v>1146.8</v>
      </c>
      <c r="S28" s="208">
        <f t="shared" si="92"/>
        <v>1170.529</v>
      </c>
      <c r="T28" s="208">
        <f t="shared" si="92"/>
        <v>1186.896</v>
      </c>
      <c r="U28" s="208">
        <f>+SUM(U29:U32)</f>
        <v>1215.307</v>
      </c>
      <c r="V28" s="208">
        <f t="shared" ref="V28" si="94">+SUM(V29:V32)</f>
        <v>1215.307</v>
      </c>
      <c r="W28" s="208">
        <f>+SUM(W29:W32)</f>
        <v>1266.711</v>
      </c>
      <c r="X28" s="208">
        <f t="shared" ref="X28:Y28" si="95">+SUM(X29:X32)</f>
        <v>1304.75</v>
      </c>
      <c r="Y28" s="208">
        <f t="shared" si="95"/>
        <v>1341.0319999999999</v>
      </c>
      <c r="Z28" s="208">
        <f>+SUM(Z29:Z32)</f>
        <v>1382.4884205200192</v>
      </c>
      <c r="AA28" s="208">
        <f>+SUM(AA29:AA32)</f>
        <v>1382.4884205200192</v>
      </c>
      <c r="AB28" s="208">
        <f t="shared" ref="AB28" si="96">+SUM(AB29:AB32)</f>
        <v>1472.8413222690726</v>
      </c>
      <c r="AC28" s="208">
        <f t="shared" ref="AC28" si="97">+SUM(AC29:AC32)</f>
        <v>1508.7108853628331</v>
      </c>
      <c r="AD28" s="208">
        <f t="shared" ref="AD28" si="98">+SUM(AD29:AD32)</f>
        <v>1503.2530490873032</v>
      </c>
      <c r="AE28" s="208">
        <f t="shared" ref="AE28" si="99">+SUM(AE29:AE32)</f>
        <v>1452.8614889172013</v>
      </c>
      <c r="AF28" s="208">
        <f t="shared" ref="AF28" si="100">+SUM(AF29:AF32)</f>
        <v>1396.9471108301861</v>
      </c>
      <c r="AG28" s="208">
        <f t="shared" ref="AG28" si="101">+SUM(AG29:AG32)</f>
        <v>1305.6870747231367</v>
      </c>
      <c r="AH28" s="208">
        <f t="shared" ref="AH28" si="102">+SUM(AH29:AH32)</f>
        <v>1185.3533041390556</v>
      </c>
      <c r="AI28" s="208">
        <f t="shared" ref="AI28" si="103">+SUM(AI29:AI32)</f>
        <v>1029.9976889189466</v>
      </c>
      <c r="AJ28" s="208">
        <f t="shared" ref="AJ28" si="104">+SUM(AJ29:AJ32)</f>
        <v>845.45751689964413</v>
      </c>
      <c r="AK28" s="208">
        <f t="shared" ref="AK28" si="105">+SUM(AK29:AK32)</f>
        <v>641.60270653632824</v>
      </c>
      <c r="AL28" s="208">
        <f t="shared" ref="AL28" si="106">+SUM(AL29:AL32)</f>
        <v>433.34234133945893</v>
      </c>
      <c r="AM28" s="208">
        <f t="shared" ref="AM28" si="107">+SUM(AM29:AM32)</f>
        <v>269.60355612808348</v>
      </c>
      <c r="AN28" s="208">
        <f t="shared" ref="AN28" si="108">+SUM(AN29:AN32)</f>
        <v>229.93512193347701</v>
      </c>
    </row>
    <row r="29" spans="1:40" s="2" customFormat="1">
      <c r="A29" s="2" t="s">
        <v>33</v>
      </c>
      <c r="B29" s="108">
        <v>0</v>
      </c>
      <c r="C29" s="106">
        <v>0</v>
      </c>
      <c r="D29" s="106">
        <v>0</v>
      </c>
      <c r="E29" s="106">
        <v>0</v>
      </c>
      <c r="F29" s="106">
        <v>0</v>
      </c>
      <c r="G29" s="108">
        <f t="shared" ref="G29:G32" si="109">+F29</f>
        <v>0</v>
      </c>
      <c r="H29" s="106">
        <v>0</v>
      </c>
      <c r="I29" s="106">
        <v>0</v>
      </c>
      <c r="J29" s="106">
        <v>0</v>
      </c>
      <c r="K29" s="106">
        <v>0</v>
      </c>
      <c r="L29" s="108">
        <f t="shared" ref="L29:L32" si="110">+K29</f>
        <v>0</v>
      </c>
      <c r="M29" s="106">
        <v>0</v>
      </c>
      <c r="N29" s="106">
        <v>0</v>
      </c>
      <c r="O29" s="106">
        <v>1020.8</v>
      </c>
      <c r="P29" s="106">
        <v>1027</v>
      </c>
      <c r="Q29" s="108">
        <f t="shared" ref="Q29:Q32" si="111">+P29</f>
        <v>1027</v>
      </c>
      <c r="R29" s="106">
        <v>1056.5999999999999</v>
      </c>
      <c r="S29" s="106">
        <v>1073.856</v>
      </c>
      <c r="T29" s="106">
        <v>1082.8699999999999</v>
      </c>
      <c r="U29" s="106">
        <v>1103.3209999999999</v>
      </c>
      <c r="V29" s="106">
        <v>1103.3209999999999</v>
      </c>
      <c r="W29" s="106">
        <v>1144.8900000000001</v>
      </c>
      <c r="X29" s="106">
        <v>1175.374</v>
      </c>
      <c r="Y29" s="106">
        <f>1199.375</f>
        <v>1199.375</v>
      </c>
      <c r="Z29" s="106">
        <f>+Z136-Z22-Z177</f>
        <v>1236.7544958810918</v>
      </c>
      <c r="AA29" s="106">
        <f>+AA136-AA22-AA177</f>
        <v>1236.7544958810918</v>
      </c>
      <c r="AB29" s="106">
        <f t="shared" ref="AB29" si="112">+AB136-AB22-AB177</f>
        <v>1323.8257052284873</v>
      </c>
      <c r="AC29" s="106">
        <f>+AC136-AC22-AC177</f>
        <v>1352.38226557136</v>
      </c>
      <c r="AD29" s="106">
        <f>+AD136-AD22-AD177</f>
        <v>1343.6525878965617</v>
      </c>
      <c r="AE29" s="106">
        <f t="shared" ref="AE29:AN29" si="113">+AE136-AE22-AE177</f>
        <v>1303.2078235861898</v>
      </c>
      <c r="AF29" s="106">
        <f t="shared" si="113"/>
        <v>1244.1753142171162</v>
      </c>
      <c r="AG29" s="106">
        <f t="shared" si="113"/>
        <v>1159.5905884288704</v>
      </c>
      <c r="AH29" s="106">
        <f t="shared" si="113"/>
        <v>1037.7875328299456</v>
      </c>
      <c r="AI29" s="106">
        <f t="shared" si="113"/>
        <v>880.4412765457555</v>
      </c>
      <c r="AJ29" s="106">
        <f t="shared" si="113"/>
        <v>694.10484178585773</v>
      </c>
      <c r="AK29" s="106">
        <f t="shared" si="113"/>
        <v>480.99331300540535</v>
      </c>
      <c r="AL29" s="106">
        <f t="shared" si="113"/>
        <v>251.51069580435254</v>
      </c>
      <c r="AM29" s="106">
        <f t="shared" si="113"/>
        <v>89.0568884199037</v>
      </c>
      <c r="AN29" s="106">
        <f t="shared" si="113"/>
        <v>56.55786805006673</v>
      </c>
    </row>
    <row r="30" spans="1:40" s="2" customFormat="1">
      <c r="A30" s="2" t="s">
        <v>30</v>
      </c>
      <c r="B30" s="108">
        <v>6.5</v>
      </c>
      <c r="C30" s="106">
        <v>3.7</v>
      </c>
      <c r="D30" s="106">
        <v>9.3000000000000007</v>
      </c>
      <c r="E30" s="106">
        <v>8.1999999999999993</v>
      </c>
      <c r="F30" s="106">
        <v>10.4</v>
      </c>
      <c r="G30" s="108">
        <f t="shared" si="109"/>
        <v>10.4</v>
      </c>
      <c r="H30" s="106">
        <v>7</v>
      </c>
      <c r="I30" s="106">
        <v>9.4</v>
      </c>
      <c r="J30" s="106">
        <v>12.49</v>
      </c>
      <c r="K30" s="106">
        <v>19.2</v>
      </c>
      <c r="L30" s="108">
        <f t="shared" si="110"/>
        <v>19.2</v>
      </c>
      <c r="M30" s="106">
        <v>23.45</v>
      </c>
      <c r="N30" s="210">
        <v>28.3</v>
      </c>
      <c r="O30" s="210">
        <v>32.770000000000003</v>
      </c>
      <c r="P30" s="210">
        <v>36.299999999999997</v>
      </c>
      <c r="Q30" s="108">
        <f t="shared" si="111"/>
        <v>36.299999999999997</v>
      </c>
      <c r="R30" s="106">
        <v>41.9</v>
      </c>
      <c r="S30" s="106">
        <v>36.728000000000002</v>
      </c>
      <c r="T30" s="106">
        <v>41.847999999999999</v>
      </c>
      <c r="U30" s="106">
        <v>47.289000000000001</v>
      </c>
      <c r="V30" s="106">
        <v>47.289000000000001</v>
      </c>
      <c r="W30" s="106">
        <v>54.569000000000003</v>
      </c>
      <c r="X30" s="106">
        <v>59.43</v>
      </c>
      <c r="Y30" s="106">
        <v>68.519000000000005</v>
      </c>
      <c r="Z30" s="210">
        <f>+Z102</f>
        <v>72.595924638927386</v>
      </c>
      <c r="AA30" s="210">
        <f>+AA102</f>
        <v>72.595924638927386</v>
      </c>
      <c r="AB30" s="210">
        <f t="shared" ref="AB30" si="114">+AB102</f>
        <v>75.87761704058542</v>
      </c>
      <c r="AC30" s="210">
        <f t="shared" ref="AC30:AN30" si="115">+AC102</f>
        <v>83.190619791473083</v>
      </c>
      <c r="AD30" s="210">
        <f t="shared" si="115"/>
        <v>86.462461190741692</v>
      </c>
      <c r="AE30" s="210">
        <f t="shared" si="115"/>
        <v>76.515665331011547</v>
      </c>
      <c r="AF30" s="210">
        <f t="shared" si="115"/>
        <v>79.633796613069975</v>
      </c>
      <c r="AG30" s="210">
        <f t="shared" si="115"/>
        <v>72.958486294266407</v>
      </c>
      <c r="AH30" s="210">
        <f t="shared" si="115"/>
        <v>74.42777130911017</v>
      </c>
      <c r="AI30" s="210">
        <f t="shared" si="115"/>
        <v>76.418412373191046</v>
      </c>
      <c r="AJ30" s="210">
        <f t="shared" si="115"/>
        <v>78.214675113786399</v>
      </c>
      <c r="AK30" s="210">
        <f t="shared" si="115"/>
        <v>87.471393530922896</v>
      </c>
      <c r="AL30" s="210">
        <f t="shared" si="115"/>
        <v>108.69364553510638</v>
      </c>
      <c r="AM30" s="210">
        <f t="shared" si="115"/>
        <v>107.40866770817976</v>
      </c>
      <c r="AN30" s="210">
        <f t="shared" si="115"/>
        <v>100.23925388341027</v>
      </c>
    </row>
    <row r="31" spans="1:40" s="2" customFormat="1">
      <c r="A31" s="2" t="s">
        <v>34</v>
      </c>
      <c r="B31" s="108">
        <v>34</v>
      </c>
      <c r="C31" s="106">
        <v>35</v>
      </c>
      <c r="D31" s="106">
        <v>40</v>
      </c>
      <c r="E31" s="106">
        <v>37.15</v>
      </c>
      <c r="F31" s="106">
        <v>38.200000000000003</v>
      </c>
      <c r="G31" s="108">
        <f t="shared" si="109"/>
        <v>38.200000000000003</v>
      </c>
      <c r="H31" s="106">
        <v>39.200000000000003</v>
      </c>
      <c r="I31" s="106">
        <v>40</v>
      </c>
      <c r="J31" s="106">
        <v>40.869999999999997</v>
      </c>
      <c r="K31" s="106">
        <v>41.6</v>
      </c>
      <c r="L31" s="108">
        <f t="shared" si="110"/>
        <v>41.6</v>
      </c>
      <c r="M31" s="106">
        <v>42.33</v>
      </c>
      <c r="N31" s="106">
        <v>43.1</v>
      </c>
      <c r="O31" s="106">
        <v>44.1</v>
      </c>
      <c r="P31" s="106">
        <v>45.2</v>
      </c>
      <c r="Q31" s="108">
        <f t="shared" si="111"/>
        <v>45.2</v>
      </c>
      <c r="R31" s="106">
        <v>46.3</v>
      </c>
      <c r="S31" s="106">
        <v>57.362000000000002</v>
      </c>
      <c r="T31" s="106">
        <v>59.652999999999999</v>
      </c>
      <c r="U31" s="106">
        <v>62.228999999999999</v>
      </c>
      <c r="V31" s="106">
        <v>62.228999999999999</v>
      </c>
      <c r="W31" s="106">
        <v>64.84</v>
      </c>
      <c r="X31" s="106">
        <v>69.945999999999998</v>
      </c>
      <c r="Y31" s="106">
        <v>70.84</v>
      </c>
      <c r="Z31" s="209">
        <f>+Y31</f>
        <v>70.84</v>
      </c>
      <c r="AA31" s="209">
        <f>+Z31</f>
        <v>70.84</v>
      </c>
      <c r="AB31" s="209">
        <f t="shared" ref="AB31:AB32" si="116">+AA31</f>
        <v>70.84</v>
      </c>
      <c r="AC31" s="209">
        <f t="shared" ref="AC31:AN31" si="117">+AB31</f>
        <v>70.84</v>
      </c>
      <c r="AD31" s="209">
        <f t="shared" si="117"/>
        <v>70.84</v>
      </c>
      <c r="AE31" s="209">
        <f t="shared" si="117"/>
        <v>70.84</v>
      </c>
      <c r="AF31" s="209">
        <f t="shared" si="117"/>
        <v>70.84</v>
      </c>
      <c r="AG31" s="209">
        <f t="shared" si="117"/>
        <v>70.84</v>
      </c>
      <c r="AH31" s="209">
        <f t="shared" si="117"/>
        <v>70.84</v>
      </c>
      <c r="AI31" s="209">
        <f t="shared" si="117"/>
        <v>70.84</v>
      </c>
      <c r="AJ31" s="209">
        <f t="shared" si="117"/>
        <v>70.84</v>
      </c>
      <c r="AK31" s="209">
        <f t="shared" si="117"/>
        <v>70.84</v>
      </c>
      <c r="AL31" s="209">
        <f t="shared" si="117"/>
        <v>70.84</v>
      </c>
      <c r="AM31" s="209">
        <f t="shared" si="117"/>
        <v>70.84</v>
      </c>
      <c r="AN31" s="209">
        <f t="shared" si="117"/>
        <v>70.84</v>
      </c>
    </row>
    <row r="32" spans="1:40" s="2" customFormat="1">
      <c r="A32" s="2" t="s">
        <v>21</v>
      </c>
      <c r="B32" s="108">
        <v>0</v>
      </c>
      <c r="C32" s="106">
        <v>0</v>
      </c>
      <c r="D32" s="106">
        <v>3</v>
      </c>
      <c r="E32" s="106">
        <v>0</v>
      </c>
      <c r="F32" s="106">
        <v>3.2</v>
      </c>
      <c r="G32" s="108">
        <f t="shared" si="109"/>
        <v>3.2</v>
      </c>
      <c r="H32" s="106">
        <v>3</v>
      </c>
      <c r="I32" s="106">
        <v>3</v>
      </c>
      <c r="J32" s="106">
        <f>56.3-53</f>
        <v>3.2999999999999972</v>
      </c>
      <c r="K32" s="106">
        <v>2.9</v>
      </c>
      <c r="L32" s="108">
        <f t="shared" si="110"/>
        <v>2.9</v>
      </c>
      <c r="M32" s="106">
        <f>68.66-M31-M30-M29</f>
        <v>2.879999999999999</v>
      </c>
      <c r="N32" s="106">
        <v>3.4</v>
      </c>
      <c r="O32" s="106">
        <v>1</v>
      </c>
      <c r="P32" s="106">
        <v>2.7</v>
      </c>
      <c r="Q32" s="108">
        <f t="shared" si="111"/>
        <v>2.7</v>
      </c>
      <c r="R32" s="106">
        <v>2</v>
      </c>
      <c r="S32" s="106">
        <f>1170.529-SUM(S29:S31)</f>
        <v>2.5829999999998563</v>
      </c>
      <c r="T32" s="106">
        <f>1186.896-SUM(T29:T31)</f>
        <v>2.5250000000000909</v>
      </c>
      <c r="U32" s="106">
        <v>2.468</v>
      </c>
      <c r="V32" s="106">
        <v>2.468</v>
      </c>
      <c r="W32" s="106">
        <v>2.4119999999999999</v>
      </c>
      <c r="X32" s="106">
        <v>0</v>
      </c>
      <c r="Y32" s="106">
        <v>2.298</v>
      </c>
      <c r="Z32" s="209">
        <f>+Y32</f>
        <v>2.298</v>
      </c>
      <c r="AA32" s="209">
        <f t="shared" ref="AA32" si="118">+Z32</f>
        <v>2.298</v>
      </c>
      <c r="AB32" s="209">
        <f t="shared" si="116"/>
        <v>2.298</v>
      </c>
      <c r="AC32" s="209">
        <f t="shared" ref="AC32:AN32" si="119">+AB32</f>
        <v>2.298</v>
      </c>
      <c r="AD32" s="209">
        <f t="shared" si="119"/>
        <v>2.298</v>
      </c>
      <c r="AE32" s="209">
        <f t="shared" si="119"/>
        <v>2.298</v>
      </c>
      <c r="AF32" s="209">
        <f t="shared" si="119"/>
        <v>2.298</v>
      </c>
      <c r="AG32" s="209">
        <f t="shared" si="119"/>
        <v>2.298</v>
      </c>
      <c r="AH32" s="209">
        <f t="shared" si="119"/>
        <v>2.298</v>
      </c>
      <c r="AI32" s="209">
        <f t="shared" si="119"/>
        <v>2.298</v>
      </c>
      <c r="AJ32" s="209">
        <f t="shared" si="119"/>
        <v>2.298</v>
      </c>
      <c r="AK32" s="209">
        <f t="shared" si="119"/>
        <v>2.298</v>
      </c>
      <c r="AL32" s="209">
        <f t="shared" si="119"/>
        <v>2.298</v>
      </c>
      <c r="AM32" s="209">
        <f t="shared" si="119"/>
        <v>2.298</v>
      </c>
      <c r="AN32" s="209">
        <f t="shared" si="119"/>
        <v>2.298</v>
      </c>
    </row>
    <row r="33" spans="1:40" s="2" customFormat="1"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</row>
    <row r="34" spans="1:40" s="2" customFormat="1" ht="15.75" thickBot="1">
      <c r="A34" s="211" t="s">
        <v>35</v>
      </c>
      <c r="B34" s="212">
        <v>218.6</v>
      </c>
      <c r="C34" s="212">
        <v>215</v>
      </c>
      <c r="D34" s="212">
        <v>198</v>
      </c>
      <c r="E34" s="212">
        <v>211.17</v>
      </c>
      <c r="F34" s="212">
        <v>207.4</v>
      </c>
      <c r="G34" s="212">
        <f>+F34</f>
        <v>207.4</v>
      </c>
      <c r="H34" s="212">
        <v>205</v>
      </c>
      <c r="I34" s="212">
        <v>198</v>
      </c>
      <c r="J34" s="212">
        <v>192.9</v>
      </c>
      <c r="K34" s="212">
        <v>188.2</v>
      </c>
      <c r="L34" s="212">
        <f>+K34</f>
        <v>188.2</v>
      </c>
      <c r="M34" s="212">
        <v>183</v>
      </c>
      <c r="N34" s="212">
        <v>181.4</v>
      </c>
      <c r="O34" s="212">
        <v>170.9</v>
      </c>
      <c r="P34" s="212">
        <v>163</v>
      </c>
      <c r="Q34" s="212">
        <f>+P34</f>
        <v>163</v>
      </c>
      <c r="R34" s="212">
        <v>145.4</v>
      </c>
      <c r="S34" s="212">
        <v>148.53399999999999</v>
      </c>
      <c r="T34" s="212">
        <v>142.84200000000001</v>
      </c>
      <c r="U34" s="212">
        <v>143.19800000000001</v>
      </c>
      <c r="V34" s="212">
        <v>143.19800000000001</v>
      </c>
      <c r="W34" s="212">
        <v>107.93600000000001</v>
      </c>
      <c r="X34" s="212">
        <v>142.578</v>
      </c>
      <c r="Y34" s="212">
        <v>126.645</v>
      </c>
      <c r="Z34" s="212">
        <f>+Y34+Z78+Z211+Z216+Z101</f>
        <v>130.45438287042421</v>
      </c>
      <c r="AA34" s="212">
        <f>Z34</f>
        <v>130.45438287042421</v>
      </c>
      <c r="AB34" s="212">
        <f>+AA34+AB78+AB211+AB216+AB101</f>
        <v>126.42284795667473</v>
      </c>
      <c r="AC34" s="212">
        <f t="shared" ref="AC34:AN34" si="120">+AB34+AC78+AC211+AC216+AC101</f>
        <v>157.4704976043524</v>
      </c>
      <c r="AD34" s="212">
        <f t="shared" si="120"/>
        <v>227.54001122891179</v>
      </c>
      <c r="AE34" s="212">
        <f t="shared" si="120"/>
        <v>336.77244153476414</v>
      </c>
      <c r="AF34" s="212">
        <f t="shared" si="120"/>
        <v>455.37497560411987</v>
      </c>
      <c r="AG34" s="212">
        <f t="shared" si="120"/>
        <v>596.4593467769962</v>
      </c>
      <c r="AH34" s="212">
        <f t="shared" si="120"/>
        <v>740.78735712289961</v>
      </c>
      <c r="AI34" s="212">
        <f t="shared" si="120"/>
        <v>921.14638375214656</v>
      </c>
      <c r="AJ34" s="212">
        <f t="shared" si="120"/>
        <v>1120.1548133875344</v>
      </c>
      <c r="AK34" s="212">
        <f t="shared" si="120"/>
        <v>1349.5573435982442</v>
      </c>
      <c r="AL34" s="212">
        <f t="shared" si="120"/>
        <v>1613.4853295264006</v>
      </c>
      <c r="AM34" s="212">
        <f t="shared" si="120"/>
        <v>1914.1998562113013</v>
      </c>
      <c r="AN34" s="212">
        <f t="shared" si="120"/>
        <v>2237.0910710889557</v>
      </c>
    </row>
    <row r="35" spans="1:40" s="2" customFormat="1">
      <c r="B35" s="204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  <c r="AA35" s="204"/>
      <c r="AB35" s="204"/>
      <c r="AC35" s="204"/>
      <c r="AD35" s="204"/>
      <c r="AE35" s="204"/>
      <c r="AF35" s="204"/>
      <c r="AG35" s="204"/>
      <c r="AH35" s="204"/>
      <c r="AI35" s="204"/>
      <c r="AJ35" s="204"/>
      <c r="AK35" s="204"/>
      <c r="AL35" s="204"/>
      <c r="AM35" s="204"/>
      <c r="AN35" s="204"/>
    </row>
    <row r="36" spans="1:40" s="2" customFormat="1">
      <c r="A36" s="2" t="s">
        <v>38</v>
      </c>
      <c r="B36" s="108">
        <f t="shared" ref="B36:O36" si="121">+B18-B4</f>
        <v>3.999999999996362E-2</v>
      </c>
      <c r="C36" s="108">
        <f t="shared" si="121"/>
        <v>-8.0000000000040927E-2</v>
      </c>
      <c r="D36" s="108">
        <f t="shared" si="121"/>
        <v>-0.1490000000001146</v>
      </c>
      <c r="E36" s="108">
        <f t="shared" si="121"/>
        <v>-0.15999999999996817</v>
      </c>
      <c r="F36" s="108">
        <f t="shared" si="121"/>
        <v>0</v>
      </c>
      <c r="G36" s="108">
        <f t="shared" si="121"/>
        <v>0</v>
      </c>
      <c r="H36" s="108">
        <f t="shared" si="121"/>
        <v>0.20999999999992269</v>
      </c>
      <c r="I36" s="108">
        <f t="shared" si="121"/>
        <v>0.14999999999997726</v>
      </c>
      <c r="J36" s="108">
        <f t="shared" si="121"/>
        <v>-0.20999999999980901</v>
      </c>
      <c r="K36" s="108">
        <f t="shared" si="121"/>
        <v>-0.27999999999985903</v>
      </c>
      <c r="L36" s="108">
        <f t="shared" si="121"/>
        <v>-0.27999999999985903</v>
      </c>
      <c r="M36" s="108">
        <f t="shared" si="121"/>
        <v>0.2339999999999236</v>
      </c>
      <c r="N36" s="108">
        <f t="shared" si="121"/>
        <v>-0.40000000000009095</v>
      </c>
      <c r="O36" s="108">
        <f t="shared" si="121"/>
        <v>-0.25999999999999091</v>
      </c>
      <c r="P36" s="108">
        <f t="shared" ref="P36:T36" si="122">+P18-P4</f>
        <v>0.36000000000012733</v>
      </c>
      <c r="Q36" s="108">
        <f t="shared" ref="Q36" si="123">+Q18-Q4</f>
        <v>0.36000000000012733</v>
      </c>
      <c r="R36" s="108">
        <f t="shared" si="122"/>
        <v>-0.49999999999977263</v>
      </c>
      <c r="S36" s="108">
        <f t="shared" si="122"/>
        <v>0</v>
      </c>
      <c r="T36" s="108">
        <f t="shared" si="122"/>
        <v>0</v>
      </c>
      <c r="U36" s="108">
        <f>+U18-U4</f>
        <v>0</v>
      </c>
      <c r="V36" s="108">
        <f>+V18-V4</f>
        <v>0</v>
      </c>
      <c r="W36" s="108">
        <f>+W18-W4</f>
        <v>0</v>
      </c>
      <c r="X36" s="108">
        <f>+X18-X4</f>
        <v>0</v>
      </c>
      <c r="Y36" s="108">
        <f t="shared" ref="Y36" si="124">+Y18-Y4</f>
        <v>0</v>
      </c>
      <c r="Z36" s="108">
        <f>+Z18-Z4</f>
        <v>0</v>
      </c>
      <c r="AA36" s="108">
        <f>+AA18-AA4</f>
        <v>0</v>
      </c>
      <c r="AB36" s="108">
        <f>+AB18-AB4</f>
        <v>0</v>
      </c>
      <c r="AC36" s="108">
        <f t="shared" ref="AC36:AN36" si="125">+AC18-AC4</f>
        <v>0</v>
      </c>
      <c r="AD36" s="108">
        <f t="shared" si="125"/>
        <v>0</v>
      </c>
      <c r="AE36" s="108">
        <f t="shared" si="125"/>
        <v>0</v>
      </c>
      <c r="AF36" s="108">
        <f t="shared" si="125"/>
        <v>0</v>
      </c>
      <c r="AG36" s="108">
        <f t="shared" si="125"/>
        <v>0</v>
      </c>
      <c r="AH36" s="108">
        <f t="shared" si="125"/>
        <v>0</v>
      </c>
      <c r="AI36" s="108">
        <f t="shared" si="125"/>
        <v>0</v>
      </c>
      <c r="AJ36" s="108">
        <f t="shared" si="125"/>
        <v>0</v>
      </c>
      <c r="AK36" s="108">
        <f t="shared" si="125"/>
        <v>0</v>
      </c>
      <c r="AL36" s="108">
        <f t="shared" si="125"/>
        <v>0</v>
      </c>
      <c r="AM36" s="108">
        <f t="shared" si="125"/>
        <v>0</v>
      </c>
      <c r="AN36" s="108">
        <f t="shared" si="125"/>
        <v>0</v>
      </c>
    </row>
    <row r="37" spans="1:40">
      <c r="I37" s="63"/>
      <c r="J37" s="63"/>
      <c r="K37" s="63"/>
      <c r="L37" s="63"/>
      <c r="M37" s="63"/>
      <c r="N37" s="63"/>
      <c r="R37" s="63"/>
      <c r="S37" s="63"/>
      <c r="T37" s="63"/>
      <c r="U37" s="63"/>
      <c r="W37" s="63"/>
      <c r="X37" s="63"/>
      <c r="Y37" s="63"/>
      <c r="Z37" s="63"/>
      <c r="AA37" s="29"/>
    </row>
    <row r="38" spans="1:40" s="142" customFormat="1">
      <c r="A38" s="138" t="s">
        <v>39</v>
      </c>
      <c r="B38" s="155">
        <f t="shared" ref="B38:AG38" si="126">+B3</f>
        <v>2010</v>
      </c>
      <c r="C38" s="86" t="str">
        <f t="shared" si="126"/>
        <v>1T11</v>
      </c>
      <c r="D38" s="86" t="str">
        <f t="shared" si="126"/>
        <v>2T11</v>
      </c>
      <c r="E38" s="86" t="str">
        <f t="shared" si="126"/>
        <v>3T11</v>
      </c>
      <c r="F38" s="86" t="str">
        <f t="shared" si="126"/>
        <v>4T11</v>
      </c>
      <c r="G38" s="155">
        <f t="shared" si="126"/>
        <v>2011</v>
      </c>
      <c r="H38" s="86" t="str">
        <f t="shared" si="126"/>
        <v>1T12</v>
      </c>
      <c r="I38" s="86" t="str">
        <f t="shared" si="126"/>
        <v>2T12</v>
      </c>
      <c r="J38" s="86" t="str">
        <f t="shared" si="126"/>
        <v>3T12</v>
      </c>
      <c r="K38" s="86" t="str">
        <f t="shared" si="126"/>
        <v>4T12</v>
      </c>
      <c r="L38" s="155">
        <f t="shared" si="126"/>
        <v>2012</v>
      </c>
      <c r="M38" s="86" t="str">
        <f t="shared" si="126"/>
        <v>1T13</v>
      </c>
      <c r="N38" s="86" t="str">
        <f t="shared" si="126"/>
        <v>2T13</v>
      </c>
      <c r="O38" s="86" t="str">
        <f t="shared" si="126"/>
        <v>3T13</v>
      </c>
      <c r="P38" s="86" t="str">
        <f t="shared" si="126"/>
        <v>4T13</v>
      </c>
      <c r="Q38" s="155">
        <f t="shared" si="126"/>
        <v>2013</v>
      </c>
      <c r="R38" s="86" t="str">
        <f t="shared" si="126"/>
        <v>1T14</v>
      </c>
      <c r="S38" s="86" t="str">
        <f t="shared" si="126"/>
        <v>2T14</v>
      </c>
      <c r="T38" s="86" t="str">
        <f t="shared" si="126"/>
        <v>3T14</v>
      </c>
      <c r="U38" s="86" t="str">
        <f t="shared" si="126"/>
        <v>4T14</v>
      </c>
      <c r="V38" s="155">
        <f t="shared" si="126"/>
        <v>2014</v>
      </c>
      <c r="W38" s="86" t="str">
        <f t="shared" ref="W38:Y38" si="127">+W3</f>
        <v>1T15</v>
      </c>
      <c r="X38" s="86" t="str">
        <f t="shared" si="127"/>
        <v>2T15</v>
      </c>
      <c r="Y38" s="86" t="str">
        <f t="shared" si="127"/>
        <v>3T15</v>
      </c>
      <c r="Z38" s="86" t="str">
        <f>+Z3</f>
        <v>4T15E</v>
      </c>
      <c r="AA38" s="155" t="str">
        <f>+AA3</f>
        <v>2015E</v>
      </c>
      <c r="AB38" s="155" t="str">
        <f t="shared" si="126"/>
        <v>2016E</v>
      </c>
      <c r="AC38" s="155" t="str">
        <f t="shared" si="126"/>
        <v>2017E</v>
      </c>
      <c r="AD38" s="155" t="str">
        <f t="shared" si="126"/>
        <v>2018E</v>
      </c>
      <c r="AE38" s="155" t="str">
        <f t="shared" si="126"/>
        <v>2019E</v>
      </c>
      <c r="AF38" s="155" t="str">
        <f t="shared" si="126"/>
        <v>2020E</v>
      </c>
      <c r="AG38" s="155" t="str">
        <f t="shared" si="126"/>
        <v>2021E</v>
      </c>
      <c r="AH38" s="155" t="str">
        <f t="shared" ref="AH38:AN38" si="128">+AH3</f>
        <v>2022E</v>
      </c>
      <c r="AI38" s="155" t="str">
        <f t="shared" si="128"/>
        <v>2023E</v>
      </c>
      <c r="AJ38" s="155" t="str">
        <f t="shared" si="128"/>
        <v>2024E</v>
      </c>
      <c r="AK38" s="155" t="str">
        <f t="shared" si="128"/>
        <v>2025E</v>
      </c>
      <c r="AL38" s="155" t="str">
        <f t="shared" si="128"/>
        <v>2026E</v>
      </c>
      <c r="AM38" s="155" t="str">
        <f t="shared" si="128"/>
        <v>2027E</v>
      </c>
      <c r="AN38" s="155" t="str">
        <f t="shared" si="128"/>
        <v>2028E</v>
      </c>
    </row>
    <row r="39" spans="1:40" s="2" customFormat="1">
      <c r="A39" s="142" t="s">
        <v>40</v>
      </c>
      <c r="B39" s="213">
        <f>+SUM(B40:B42)</f>
        <v>185.09</v>
      </c>
      <c r="C39" s="213">
        <f t="shared" ref="C39:U39" si="129">+SUM(C40:C42)</f>
        <v>39.06</v>
      </c>
      <c r="D39" s="213">
        <f t="shared" si="129"/>
        <v>52.540000000000006</v>
      </c>
      <c r="E39" s="213">
        <f t="shared" si="129"/>
        <v>84.432999999999993</v>
      </c>
      <c r="F39" s="213">
        <f t="shared" si="129"/>
        <v>80.576999999999998</v>
      </c>
      <c r="G39" s="213">
        <f t="shared" si="129"/>
        <v>256.61</v>
      </c>
      <c r="H39" s="213">
        <f t="shared" si="129"/>
        <v>69.076999999999998</v>
      </c>
      <c r="I39" s="213">
        <f t="shared" si="129"/>
        <v>65.513000000000005</v>
      </c>
      <c r="J39" s="213">
        <f t="shared" si="129"/>
        <v>70.900000000000006</v>
      </c>
      <c r="K39" s="213">
        <f t="shared" si="129"/>
        <v>85.18</v>
      </c>
      <c r="L39" s="213">
        <f t="shared" si="129"/>
        <v>290.67</v>
      </c>
      <c r="M39" s="213">
        <f t="shared" si="129"/>
        <v>74.47</v>
      </c>
      <c r="N39" s="213">
        <f t="shared" si="129"/>
        <v>91.800000000000011</v>
      </c>
      <c r="O39" s="213">
        <f t="shared" si="129"/>
        <v>81.490000000000009</v>
      </c>
      <c r="P39" s="213">
        <f t="shared" si="129"/>
        <v>85.939999999999969</v>
      </c>
      <c r="Q39" s="213">
        <f t="shared" ref="Q39" si="130">+SUM(Q40:Q42)</f>
        <v>333.70000000000005</v>
      </c>
      <c r="R39" s="213">
        <f t="shared" si="129"/>
        <v>80.400000000000006</v>
      </c>
      <c r="S39" s="213">
        <f t="shared" si="129"/>
        <v>88.336000000000013</v>
      </c>
      <c r="T39" s="213">
        <f t="shared" si="129"/>
        <v>98.343000000000004</v>
      </c>
      <c r="U39" s="213">
        <f t="shared" si="129"/>
        <v>90.447000000000003</v>
      </c>
      <c r="V39" s="213">
        <f t="shared" ref="V39:Y39" si="131">+SUM(V40:V42)</f>
        <v>357.52600000000001</v>
      </c>
      <c r="W39" s="213">
        <f t="shared" si="131"/>
        <v>61.32</v>
      </c>
      <c r="X39" s="213">
        <f t="shared" si="131"/>
        <v>66.561999999999998</v>
      </c>
      <c r="Y39" s="213">
        <f t="shared" si="131"/>
        <v>75.042999999999992</v>
      </c>
      <c r="Z39" s="213">
        <f>+SUM(Z40:Z42)</f>
        <v>104.53336872157567</v>
      </c>
      <c r="AA39" s="213">
        <f>+SUM(AA40:AA42)</f>
        <v>307.5093687215757</v>
      </c>
      <c r="AB39" s="213">
        <f t="shared" ref="AB39:AN39" si="132">+SUM(AB40:AB42)</f>
        <v>359.35124536264442</v>
      </c>
      <c r="AC39" s="213">
        <f t="shared" si="132"/>
        <v>396.78375304716076</v>
      </c>
      <c r="AD39" s="213">
        <f t="shared" si="132"/>
        <v>400.16745949027586</v>
      </c>
      <c r="AE39" s="213">
        <f t="shared" si="132"/>
        <v>437.67713286254502</v>
      </c>
      <c r="AF39" s="213">
        <f t="shared" si="132"/>
        <v>477.36690242058023</v>
      </c>
      <c r="AG39" s="213">
        <f t="shared" si="132"/>
        <v>541.1959078800262</v>
      </c>
      <c r="AH39" s="213">
        <f t="shared" si="132"/>
        <v>556.26690449394152</v>
      </c>
      <c r="AI39" s="213">
        <f t="shared" si="132"/>
        <v>593.57988832554383</v>
      </c>
      <c r="AJ39" s="213">
        <f t="shared" si="132"/>
        <v>631.95698707649274</v>
      </c>
      <c r="AK39" s="213">
        <f t="shared" si="132"/>
        <v>669.98177410433914</v>
      </c>
      <c r="AL39" s="213">
        <f t="shared" si="132"/>
        <v>739.25717886580014</v>
      </c>
      <c r="AM39" s="213">
        <f t="shared" si="132"/>
        <v>838.82394668937081</v>
      </c>
      <c r="AN39" s="213">
        <f t="shared" si="132"/>
        <v>883.50402350546221</v>
      </c>
    </row>
    <row r="40" spans="1:40" s="2" customFormat="1">
      <c r="A40" s="2" t="s">
        <v>41</v>
      </c>
      <c r="B40" s="84">
        <v>147.1</v>
      </c>
      <c r="C40" s="84">
        <v>35.299999999999997</v>
      </c>
      <c r="D40" s="84">
        <f>73-C40</f>
        <v>37.700000000000003</v>
      </c>
      <c r="E40" s="84">
        <v>43.36</v>
      </c>
      <c r="F40" s="84">
        <f>+G40-SUM(C40:E40)</f>
        <v>42.320000000000007</v>
      </c>
      <c r="G40" s="84">
        <v>158.68</v>
      </c>
      <c r="H40" s="84">
        <v>40</v>
      </c>
      <c r="I40" s="84">
        <f>79.8-H40</f>
        <v>39.799999999999997</v>
      </c>
      <c r="J40" s="84">
        <f>126-I40-H40</f>
        <v>46.2</v>
      </c>
      <c r="K40" s="84">
        <f>+L40-SUM(H40:J40)</f>
        <v>46.400000000000006</v>
      </c>
      <c r="L40" s="84">
        <v>172.4</v>
      </c>
      <c r="M40" s="84">
        <v>43.39</v>
      </c>
      <c r="N40" s="84">
        <v>44.1</v>
      </c>
      <c r="O40" s="84">
        <f>138.96-N40-M40</f>
        <v>51.470000000000013</v>
      </c>
      <c r="P40" s="84">
        <f>186.1-O40-N40-M40</f>
        <v>47.14</v>
      </c>
      <c r="Q40" s="84">
        <f>+SUM(M40:P40)</f>
        <v>186.10000000000002</v>
      </c>
      <c r="R40" s="84">
        <v>48.4</v>
      </c>
      <c r="S40" s="84">
        <v>48.838000000000001</v>
      </c>
      <c r="T40" s="84">
        <v>52.820999999999998</v>
      </c>
      <c r="U40" s="84">
        <f>+V40-SUM(R40:T40)</f>
        <v>53.393000000000001</v>
      </c>
      <c r="V40" s="84">
        <v>203.452</v>
      </c>
      <c r="W40" s="84">
        <v>48.390999999999998</v>
      </c>
      <c r="X40" s="84">
        <f>97.631-W40</f>
        <v>49.24</v>
      </c>
      <c r="Y40" s="84">
        <f>151.959-X40-W40</f>
        <v>54.327999999999996</v>
      </c>
      <c r="Z40" s="84">
        <f>HLOOKUP(Z38,Tráfego!$AH$14:$CV$35,22,0)</f>
        <v>59.378381271575677</v>
      </c>
      <c r="AA40" s="84">
        <f>HLOOKUP(AA38,Tráfego!$AI$14:$CV$35,22,0)</f>
        <v>211.33738127157568</v>
      </c>
      <c r="AB40" s="84">
        <f>HLOOKUP(AB38,Tráfego!$AI$14:$CV$35,22,0)</f>
        <v>248.1903691626444</v>
      </c>
      <c r="AC40" s="84">
        <f>HLOOKUP(AC38,Tráfego!$AI$14:$CV$35,22,0)</f>
        <v>280.91898268216079</v>
      </c>
      <c r="AD40" s="84">
        <f>HLOOKUP(AD38,Tráfego!$AI$14:$CV$35,22,0)</f>
        <v>325.0264594902759</v>
      </c>
      <c r="AE40" s="84">
        <f>HLOOKUP(AE38,Tráfego!$AI$14:$CV$35,22,0)</f>
        <v>362.68458761232</v>
      </c>
      <c r="AF40" s="84">
        <f>HLOOKUP(AF38,Tráfego!$AI$14:$CV$35,22,0)</f>
        <v>401.75518226932667</v>
      </c>
      <c r="AG40" s="84">
        <f>HLOOKUP(AG38,Tráfego!$AI$14:$CV$35,22,0)</f>
        <v>437.46643183537242</v>
      </c>
      <c r="AH40" s="84">
        <f>HLOOKUP(AH38,Tráfego!$AI$14:$CV$35,22,0)</f>
        <v>476.01931326453445</v>
      </c>
      <c r="AI40" s="84">
        <f>HLOOKUP(AI38,Tráfego!$AI$14:$CV$35,22,0)</f>
        <v>517.97107567795683</v>
      </c>
      <c r="AJ40" s="84">
        <f>HLOOKUP(AJ38,Tráfego!$AI$14:$CV$35,22,0)</f>
        <v>562.77874529601434</v>
      </c>
      <c r="AK40" s="84">
        <f>HLOOKUP(AK38,Tráfego!$AI$14:$CV$35,22,0)</f>
        <v>610.7775184534305</v>
      </c>
      <c r="AL40" s="84">
        <f>HLOOKUP(AL38,Tráfego!$AI$14:$CV$35,22,0)</f>
        <v>662.30837501731548</v>
      </c>
      <c r="AM40" s="84">
        <f>HLOOKUP(AM38,Tráfego!$AI$14:$CV$35,22,0)</f>
        <v>717.57960648878384</v>
      </c>
      <c r="AN40" s="84">
        <f>HLOOKUP(AN38,Tráfego!$AI$14:$CV$35,22,0)</f>
        <v>765.00711554914005</v>
      </c>
    </row>
    <row r="41" spans="1:40" s="2" customFormat="1">
      <c r="A41" s="2" t="s">
        <v>43</v>
      </c>
      <c r="B41" s="84">
        <v>0.52</v>
      </c>
      <c r="C41" s="84">
        <v>0.1</v>
      </c>
      <c r="D41" s="84">
        <f>0.2-C41</f>
        <v>0.1</v>
      </c>
      <c r="E41" s="84">
        <v>0.126</v>
      </c>
      <c r="F41" s="84">
        <f t="shared" ref="F41:F42" si="133">+G41-SUM(C41:E41)</f>
        <v>0.25399999999999995</v>
      </c>
      <c r="G41" s="84">
        <v>0.57999999999999996</v>
      </c>
      <c r="H41" s="84">
        <v>7.6999999999999999E-2</v>
      </c>
      <c r="I41" s="84">
        <f>0.3-H41</f>
        <v>0.22299999999999998</v>
      </c>
      <c r="J41" s="84">
        <f>0.6-I41-H41</f>
        <v>0.3</v>
      </c>
      <c r="K41" s="84">
        <f t="shared" ref="K41:K42" si="134">+L41-SUM(H41:J41)</f>
        <v>4.2</v>
      </c>
      <c r="L41" s="84">
        <v>4.8</v>
      </c>
      <c r="M41" s="84">
        <v>0.68</v>
      </c>
      <c r="N41" s="84">
        <v>1.1000000000000001</v>
      </c>
      <c r="O41" s="84">
        <f>1.6-N41-M41</f>
        <v>-0.18000000000000005</v>
      </c>
      <c r="P41" s="84">
        <f>5.4-O41-N41-M41</f>
        <v>3.8000000000000003</v>
      </c>
      <c r="Q41" s="84">
        <f t="shared" ref="Q41:Q42" si="135">+SUM(M41:P41)</f>
        <v>5.4</v>
      </c>
      <c r="R41" s="84">
        <v>0.4</v>
      </c>
      <c r="S41" s="84">
        <v>2.722</v>
      </c>
      <c r="T41" s="84">
        <v>1.56</v>
      </c>
      <c r="U41" s="84">
        <f>+V41-SUM(R41:T41)</f>
        <v>1.5579999999999998</v>
      </c>
      <c r="V41" s="84">
        <v>6.24</v>
      </c>
      <c r="W41" s="84">
        <v>0.39200000000000002</v>
      </c>
      <c r="X41" s="84">
        <f>3.284-W41</f>
        <v>2.8919999999999999</v>
      </c>
      <c r="Y41" s="84">
        <f>5.017-X41-W41</f>
        <v>1.7330000000000005</v>
      </c>
      <c r="Z41" s="84">
        <f>HLOOKUP(Z38,Tráfego!$AH$14:$CV$38,25,0)</f>
        <v>1.5969499999999996</v>
      </c>
      <c r="AA41" s="84">
        <f>HLOOKUP(AA38,Tráfego!$AI$14:$CV$38,25,0)</f>
        <v>6.61395</v>
      </c>
      <c r="AB41" s="84">
        <f>HLOOKUP(AB38,Tráfego!$AI$14:$CV$38,25,0)</f>
        <v>6.7197731999999997</v>
      </c>
      <c r="AC41" s="84">
        <f>HLOOKUP(AC38,Tráfego!$AI$14:$CV$38,25,0)</f>
        <v>12.803770365</v>
      </c>
      <c r="AD41" s="84">
        <f>HLOOKUP(AD38,Tráfego!$AI$14:$CV$38,25,0)</f>
        <v>12</v>
      </c>
      <c r="AE41" s="84">
        <f>HLOOKUP(AE38,Tráfego!$AI$14:$CV$38,25,0)</f>
        <v>12.135</v>
      </c>
      <c r="AF41" s="84">
        <f>HLOOKUP(AF38,Tráfego!$AI$14:$CV$38,25,0)</f>
        <v>12.27151875</v>
      </c>
      <c r="AG41" s="84">
        <f>HLOOKUP(AG38,Tráfego!$AI$14:$CV$38,25,0)</f>
        <v>12.4095733359375</v>
      </c>
      <c r="AH41" s="84">
        <f>HLOOKUP(AH38,Tráfego!$AI$14:$CV$38,25,0)</f>
        <v>12.549181035966797</v>
      </c>
      <c r="AI41" s="84">
        <f>HLOOKUP(AI38,Tráfego!$AI$14:$CV$38,25,0)</f>
        <v>12.690359322621422</v>
      </c>
      <c r="AJ41" s="84">
        <f>HLOOKUP(AJ38,Tráfego!$AI$14:$CV$38,25,0)</f>
        <v>12.833125865000913</v>
      </c>
      <c r="AK41" s="84">
        <f>HLOOKUP(AK38,Tráfego!$AI$14:$CV$38,25,0)</f>
        <v>12.977498530982173</v>
      </c>
      <c r="AL41" s="84">
        <f>HLOOKUP(AL38,Tráfego!$AI$14:$CV$38,25,0)</f>
        <v>13.123495389455721</v>
      </c>
      <c r="AM41" s="84">
        <f>HLOOKUP(AM38,Tráfego!$AI$14:$CV$38,25,0)</f>
        <v>13.271134712587099</v>
      </c>
      <c r="AN41" s="84">
        <f>HLOOKUP(AN38,Tráfego!$AI$14:$CV$38,25,0)</f>
        <v>13.420434978103703</v>
      </c>
    </row>
    <row r="42" spans="1:40" s="2" customFormat="1">
      <c r="A42" s="2" t="s">
        <v>42</v>
      </c>
      <c r="B42" s="84">
        <v>37.47</v>
      </c>
      <c r="C42" s="84">
        <v>3.66</v>
      </c>
      <c r="D42" s="84">
        <f>18.4-C42</f>
        <v>14.739999999999998</v>
      </c>
      <c r="E42" s="84">
        <v>40.947000000000003</v>
      </c>
      <c r="F42" s="84">
        <f t="shared" si="133"/>
        <v>38.002999999999993</v>
      </c>
      <c r="G42" s="84">
        <v>97.35</v>
      </c>
      <c r="H42" s="84">
        <v>29</v>
      </c>
      <c r="I42" s="84">
        <f>54.49-H42</f>
        <v>25.490000000000002</v>
      </c>
      <c r="J42" s="84">
        <f>78.89-I42-H42</f>
        <v>24.4</v>
      </c>
      <c r="K42" s="84">
        <f t="shared" si="134"/>
        <v>34.58</v>
      </c>
      <c r="L42" s="84">
        <v>113.47</v>
      </c>
      <c r="M42" s="84">
        <v>30.4</v>
      </c>
      <c r="N42" s="84">
        <v>46.6</v>
      </c>
      <c r="O42" s="84">
        <f>107.2-N42-M42</f>
        <v>30.200000000000003</v>
      </c>
      <c r="P42" s="84">
        <f>142.2-O42-N42-M42</f>
        <v>34.999999999999979</v>
      </c>
      <c r="Q42" s="84">
        <f t="shared" si="135"/>
        <v>142.19999999999999</v>
      </c>
      <c r="R42" s="84">
        <v>31.6</v>
      </c>
      <c r="S42" s="84">
        <v>36.776000000000003</v>
      </c>
      <c r="T42" s="84">
        <v>43.962000000000003</v>
      </c>
      <c r="U42" s="84">
        <f>+V42-SUM(R42:T42)</f>
        <v>35.495999999999995</v>
      </c>
      <c r="V42" s="84">
        <v>147.834</v>
      </c>
      <c r="W42" s="84">
        <v>12.537000000000001</v>
      </c>
      <c r="X42" s="84">
        <f>26.967-W42</f>
        <v>14.429999999999998</v>
      </c>
      <c r="Y42" s="84">
        <f>45.949-X42-W42</f>
        <v>18.981999999999999</v>
      </c>
      <c r="Z42" s="84">
        <f>+Z92</f>
        <v>43.55803745</v>
      </c>
      <c r="AA42" s="84">
        <f>+AA92</f>
        <v>89.55803745</v>
      </c>
      <c r="AB42" s="84">
        <f t="shared" ref="AB42:AN42" si="136">+AB92</f>
        <v>104.44110300000001</v>
      </c>
      <c r="AC42" s="84">
        <f t="shared" si="136"/>
        <v>103.06099999999999</v>
      </c>
      <c r="AD42" s="84">
        <f t="shared" si="136"/>
        <v>63.140999999999991</v>
      </c>
      <c r="AE42" s="84">
        <f t="shared" si="136"/>
        <v>62.857545250225051</v>
      </c>
      <c r="AF42" s="84">
        <f t="shared" si="136"/>
        <v>63.340201401253559</v>
      </c>
      <c r="AG42" s="84">
        <f t="shared" si="136"/>
        <v>91.319902708716242</v>
      </c>
      <c r="AH42" s="84">
        <f t="shared" si="136"/>
        <v>67.69841019344031</v>
      </c>
      <c r="AI42" s="84">
        <f t="shared" si="136"/>
        <v>62.918453324965505</v>
      </c>
      <c r="AJ42" s="84">
        <f t="shared" si="136"/>
        <v>56.345115915477457</v>
      </c>
      <c r="AK42" s="84">
        <f t="shared" si="136"/>
        <v>46.226757119926425</v>
      </c>
      <c r="AL42" s="84">
        <f t="shared" si="136"/>
        <v>63.825308459028953</v>
      </c>
      <c r="AM42" s="84">
        <f t="shared" si="136"/>
        <v>107.97320548799986</v>
      </c>
      <c r="AN42" s="84">
        <f t="shared" si="136"/>
        <v>105.07647297821849</v>
      </c>
    </row>
    <row r="43" spans="1:40" s="2" customFormat="1"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</row>
    <row r="44" spans="1:40" s="2" customFormat="1">
      <c r="A44" s="2" t="s">
        <v>44</v>
      </c>
      <c r="B44" s="84">
        <v>-12.7</v>
      </c>
      <c r="C44" s="84">
        <v>-3</v>
      </c>
      <c r="D44" s="84">
        <f>-6.3-C44</f>
        <v>-3.3</v>
      </c>
      <c r="E44" s="84">
        <v>-3.7</v>
      </c>
      <c r="F44" s="84">
        <f>+G44-SUM(C44:E44)</f>
        <v>-4.1999999999999993</v>
      </c>
      <c r="G44" s="84">
        <v>-14.2</v>
      </c>
      <c r="H44" s="84">
        <v>-3.44</v>
      </c>
      <c r="I44" s="84">
        <f>-6.9-H44</f>
        <v>-3.4600000000000004</v>
      </c>
      <c r="J44" s="84">
        <f>-10.89-I44-H44</f>
        <v>-3.9899999999999998</v>
      </c>
      <c r="K44" s="84">
        <f>+L44-SUM(H44:J44)</f>
        <v>-4.58</v>
      </c>
      <c r="L44" s="84">
        <v>-15.47</v>
      </c>
      <c r="M44" s="84">
        <v>-3.8</v>
      </c>
      <c r="N44" s="84">
        <v>-3.9</v>
      </c>
      <c r="O44" s="84">
        <f>-12.1-N44-M44</f>
        <v>-4.3999999999999995</v>
      </c>
      <c r="P44" s="84">
        <f>-16.6-O44-N44-M44</f>
        <v>-4.5000000000000027</v>
      </c>
      <c r="Q44" s="84">
        <f>+SUM(M44:P44)</f>
        <v>-16.600000000000001</v>
      </c>
      <c r="R44" s="84">
        <v>-4.8</v>
      </c>
      <c r="S44" s="84">
        <v>-4.5419999999999998</v>
      </c>
      <c r="T44" s="84">
        <v>-4.7119999999999997</v>
      </c>
      <c r="U44" s="84">
        <f>+V44-SUM(R44:T44)</f>
        <v>-4.8950000000000031</v>
      </c>
      <c r="V44" s="84">
        <v>-18.949000000000002</v>
      </c>
      <c r="W44" s="84">
        <v>-4.2270000000000003</v>
      </c>
      <c r="X44" s="84">
        <f>-8.74-W44</f>
        <v>-4.5129999999999999</v>
      </c>
      <c r="Y44" s="84">
        <f>-14.043-X44-W44</f>
        <v>-5.302999999999999</v>
      </c>
      <c r="Z44" s="84">
        <f>HLOOKUP(Z38,Tráfego!$AH$14:$CV$41,28,0)</f>
        <v>-5.767863251336327</v>
      </c>
      <c r="AA44" s="84">
        <f>HLOOKUP(AA38,Tráfego!$AI$14:$CV$41,28,0)</f>
        <v>-19.810863251336325</v>
      </c>
      <c r="AB44" s="84">
        <f>HLOOKUP(AB38,Tráfego!$AI$14:$CV$41,28,0)</f>
        <v>-23.170264399222884</v>
      </c>
      <c r="AC44" s="84">
        <f>HLOOKUP(AC38,Tráfego!$AI$14:$CV$41,28,0)</f>
        <v>-26.698168166602109</v>
      </c>
      <c r="AD44" s="84">
        <f>HLOOKUP(AD38,Tráfego!$AI$14:$CV$41,28,0)</f>
        <v>-30.634293730118898</v>
      </c>
      <c r="AE44" s="84">
        <f>HLOOKUP(AE38,Tráfego!$AI$14:$CV$41,28,0)</f>
        <v>-34.069530802073842</v>
      </c>
      <c r="AF44" s="84">
        <f>HLOOKUP(AF38,Tráfego!$AI$14:$CV$41,28,0)</f>
        <v>-37.633293214784281</v>
      </c>
      <c r="AG44" s="84">
        <f>HLOOKUP(AG38,Tráfego!$AI$14:$CV$41,28,0)</f>
        <v>-40.891844828426699</v>
      </c>
      <c r="AH44" s="84">
        <f>HLOOKUP(AH38,Tráfego!$AI$14:$CV$41,28,0)</f>
        <v>-44.408830049485516</v>
      </c>
      <c r="AI44" s="84">
        <f>HLOOKUP(AI38,Tráfego!$AI$14:$CV$41,28,0)</f>
        <v>-48.234902077541939</v>
      </c>
      <c r="AJ44" s="84">
        <f>HLOOKUP(AJ38,Tráfego!$AI$14:$CV$41,28,0)</f>
        <v>-52.320708476002224</v>
      </c>
      <c r="AK44" s="84">
        <f>HLOOKUP(AK38,Tráfego!$AI$14:$CV$41,28,0)</f>
        <v>-56.696718812034774</v>
      </c>
      <c r="AL44" s="84">
        <f>HLOOKUP(AL38,Tráfego!$AI$14:$CV$41,28,0)</f>
        <v>-61.393928369952306</v>
      </c>
      <c r="AM44" s="84">
        <f>HLOOKUP(AM38,Tráfego!$AI$14:$CV$41,28,0)</f>
        <v>-66.431271635762755</v>
      </c>
      <c r="AN44" s="84">
        <f>HLOOKUP(AN38,Tráfego!$AI$14:$CV$41,28,0)</f>
        <v>-70.75580435593838</v>
      </c>
    </row>
    <row r="45" spans="1:40" s="2" customFormat="1"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</row>
    <row r="46" spans="1:40" s="2" customFormat="1">
      <c r="A46" s="142" t="s">
        <v>45</v>
      </c>
      <c r="B46" s="213">
        <f>+B39+B44</f>
        <v>172.39000000000001</v>
      </c>
      <c r="C46" s="213">
        <f t="shared" ref="C46:R46" si="137">+C39+C44</f>
        <v>36.06</v>
      </c>
      <c r="D46" s="213">
        <f t="shared" si="137"/>
        <v>49.240000000000009</v>
      </c>
      <c r="E46" s="213">
        <f t="shared" si="137"/>
        <v>80.73299999999999</v>
      </c>
      <c r="F46" s="213">
        <f t="shared" ref="F46" si="138">+F39+F44</f>
        <v>76.376999999999995</v>
      </c>
      <c r="G46" s="213">
        <f t="shared" si="137"/>
        <v>242.41000000000003</v>
      </c>
      <c r="H46" s="213">
        <f t="shared" si="137"/>
        <v>65.637</v>
      </c>
      <c r="I46" s="213">
        <f t="shared" si="137"/>
        <v>62.053000000000004</v>
      </c>
      <c r="J46" s="213">
        <f t="shared" si="137"/>
        <v>66.910000000000011</v>
      </c>
      <c r="K46" s="213">
        <f t="shared" si="137"/>
        <v>80.600000000000009</v>
      </c>
      <c r="L46" s="213">
        <f t="shared" si="137"/>
        <v>275.2</v>
      </c>
      <c r="M46" s="213">
        <f t="shared" si="137"/>
        <v>70.67</v>
      </c>
      <c r="N46" s="213">
        <f t="shared" si="137"/>
        <v>87.9</v>
      </c>
      <c r="O46" s="213">
        <f t="shared" si="137"/>
        <v>77.09</v>
      </c>
      <c r="P46" s="213">
        <f t="shared" si="137"/>
        <v>81.439999999999969</v>
      </c>
      <c r="Q46" s="213">
        <f t="shared" si="137"/>
        <v>317.10000000000002</v>
      </c>
      <c r="R46" s="213">
        <f t="shared" si="137"/>
        <v>75.600000000000009</v>
      </c>
      <c r="S46" s="213">
        <v>83.793000000000006</v>
      </c>
      <c r="T46" s="213">
        <f>T39+T44</f>
        <v>93.631</v>
      </c>
      <c r="U46" s="213">
        <f>U39+U44</f>
        <v>85.551999999999992</v>
      </c>
      <c r="V46" s="213">
        <v>338.577</v>
      </c>
      <c r="W46" s="213">
        <f>W39+W44</f>
        <v>57.093000000000004</v>
      </c>
      <c r="X46" s="213">
        <f>X39+X44</f>
        <v>62.048999999999999</v>
      </c>
      <c r="Y46" s="213">
        <f>Y39+Y44</f>
        <v>69.739999999999995</v>
      </c>
      <c r="Z46" s="213">
        <f>Z39+Z44</f>
        <v>98.765505470239347</v>
      </c>
      <c r="AA46" s="213">
        <f t="shared" ref="AA46:AN46" si="139">+AA39+AA44</f>
        <v>287.69850547023935</v>
      </c>
      <c r="AB46" s="213">
        <f t="shared" si="139"/>
        <v>336.18098096342152</v>
      </c>
      <c r="AC46" s="213">
        <f t="shared" si="139"/>
        <v>370.08558488055866</v>
      </c>
      <c r="AD46" s="213">
        <f t="shared" si="139"/>
        <v>369.53316576015698</v>
      </c>
      <c r="AE46" s="213">
        <f t="shared" si="139"/>
        <v>403.60760206047121</v>
      </c>
      <c r="AF46" s="213">
        <f t="shared" si="139"/>
        <v>439.73360920579597</v>
      </c>
      <c r="AG46" s="213">
        <f t="shared" si="139"/>
        <v>500.30406305159948</v>
      </c>
      <c r="AH46" s="213">
        <f t="shared" si="139"/>
        <v>511.85807444445601</v>
      </c>
      <c r="AI46" s="213">
        <f t="shared" si="139"/>
        <v>545.34498624800187</v>
      </c>
      <c r="AJ46" s="213">
        <f t="shared" si="139"/>
        <v>579.63627860049053</v>
      </c>
      <c r="AK46" s="213">
        <f t="shared" si="139"/>
        <v>613.28505529230438</v>
      </c>
      <c r="AL46" s="213">
        <f t="shared" si="139"/>
        <v>677.86325049584786</v>
      </c>
      <c r="AM46" s="213">
        <f t="shared" si="139"/>
        <v>772.39267505360806</v>
      </c>
      <c r="AN46" s="213">
        <f t="shared" si="139"/>
        <v>812.74821914952383</v>
      </c>
    </row>
    <row r="47" spans="1:40" s="2" customFormat="1"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</row>
    <row r="48" spans="1:40" s="142" customFormat="1">
      <c r="A48" s="142" t="s">
        <v>46</v>
      </c>
      <c r="B48" s="213">
        <f>+SUM(B49:B58)</f>
        <v>-108.89000000000001</v>
      </c>
      <c r="C48" s="213">
        <f t="shared" ref="C48:U48" si="140">+SUM(C49:C58)</f>
        <v>-21.036000000000001</v>
      </c>
      <c r="D48" s="213">
        <f t="shared" si="140"/>
        <v>-33.664000000000001</v>
      </c>
      <c r="E48" s="213">
        <f t="shared" si="140"/>
        <v>-61.807000000000002</v>
      </c>
      <c r="F48" s="213">
        <f t="shared" si="140"/>
        <v>-61.088999999999984</v>
      </c>
      <c r="G48" s="213">
        <f t="shared" si="140"/>
        <v>-177.596</v>
      </c>
      <c r="H48" s="213">
        <f t="shared" si="140"/>
        <v>-48.912999999999997</v>
      </c>
      <c r="I48" s="213">
        <f t="shared" si="140"/>
        <v>-47.772999999999996</v>
      </c>
      <c r="J48" s="213">
        <f t="shared" si="140"/>
        <v>-49.17</v>
      </c>
      <c r="K48" s="213">
        <f t="shared" si="140"/>
        <v>-59.886999999999993</v>
      </c>
      <c r="L48" s="213">
        <f t="shared" si="140"/>
        <v>-205.74300000000002</v>
      </c>
      <c r="M48" s="213">
        <f>+SUM(M49:M58)</f>
        <v>-57.627000000000002</v>
      </c>
      <c r="N48" s="213">
        <f>+SUM(N49:N58)</f>
        <v>-71.22</v>
      </c>
      <c r="O48" s="213">
        <f>+SUM(O49:O58)</f>
        <v>-61.499999999999993</v>
      </c>
      <c r="P48" s="213">
        <f>+SUM(P49:P58)</f>
        <v>-63.867999999999988</v>
      </c>
      <c r="Q48" s="213">
        <f>+SUM(Q49:Q58)</f>
        <v>-254.215</v>
      </c>
      <c r="R48" s="213">
        <f t="shared" si="140"/>
        <v>-58.699999999999996</v>
      </c>
      <c r="S48" s="213">
        <f t="shared" si="140"/>
        <v>-52.554000000000002</v>
      </c>
      <c r="T48" s="213">
        <f t="shared" si="140"/>
        <v>-74.074000000000012</v>
      </c>
      <c r="U48" s="213">
        <f t="shared" si="140"/>
        <v>-68.163999999999987</v>
      </c>
      <c r="V48" s="213">
        <f>+SUM(V49:V58)</f>
        <v>-253.49199999999996</v>
      </c>
      <c r="W48" s="213">
        <f t="shared" ref="W48:Y48" si="141">+SUM(W49:W58)</f>
        <v>-47.481999999999999</v>
      </c>
      <c r="X48" s="213">
        <f t="shared" si="141"/>
        <v>-43.245999999999995</v>
      </c>
      <c r="Y48" s="213">
        <f t="shared" si="141"/>
        <v>-54.652000000000001</v>
      </c>
      <c r="Z48" s="213">
        <f>+SUM(Z49:Z58)</f>
        <v>-71.621781727765054</v>
      </c>
      <c r="AA48" s="213">
        <f>+SUM(AA49:AA58)</f>
        <v>-216.82278172776506</v>
      </c>
      <c r="AB48" s="213">
        <f>+SUM(AB49:AB58)</f>
        <v>-220.86797958073865</v>
      </c>
      <c r="AC48" s="213">
        <f t="shared" ref="AC48" si="142">+SUM(AC49:AC58)</f>
        <v>-225.6901533579894</v>
      </c>
      <c r="AD48" s="213">
        <f t="shared" ref="AD48" si="143">+SUM(AD49:AD58)</f>
        <v>-193.19456300477074</v>
      </c>
      <c r="AE48" s="213">
        <f t="shared" ref="AE48" si="144">+SUM(AE49:AE58)</f>
        <v>-198.73538435856122</v>
      </c>
      <c r="AF48" s="213">
        <f t="shared" ref="AF48" si="145">+SUM(AF49:AF58)</f>
        <v>-203.63479726425197</v>
      </c>
      <c r="AG48" s="213">
        <f t="shared" ref="AG48" si="146">+SUM(AG49:AG58)</f>
        <v>-238.45236790054759</v>
      </c>
      <c r="AH48" s="213">
        <f t="shared" ref="AH48" si="147">+SUM(AH49:AH58)</f>
        <v>-219.38957789554499</v>
      </c>
      <c r="AI48" s="213">
        <f t="shared" ref="AI48" si="148">+SUM(AI49:AI58)</f>
        <v>-225.91217351551182</v>
      </c>
      <c r="AJ48" s="213">
        <f t="shared" ref="AJ48" si="149">+SUM(AJ49:AJ58)</f>
        <v>-230.9845150252454</v>
      </c>
      <c r="AK48" s="213">
        <f t="shared" ref="AK48" si="150">+SUM(AK49:AK58)</f>
        <v>-230.80376796903886</v>
      </c>
      <c r="AL48" s="213">
        <f t="shared" ref="AL48" si="151">+SUM(AL49:AL58)</f>
        <v>-260.79764057997357</v>
      </c>
      <c r="AM48" s="213">
        <f t="shared" ref="AM48" si="152">+SUM(AM49:AM58)</f>
        <v>-318.54468838627605</v>
      </c>
      <c r="AN48" s="213">
        <f t="shared" ref="AN48" si="153">+SUM(AN49:AN58)</f>
        <v>-323.38206536380619</v>
      </c>
    </row>
    <row r="49" spans="1:40" s="2" customFormat="1">
      <c r="A49" s="2" t="s">
        <v>47</v>
      </c>
      <c r="B49" s="84">
        <v>-14.9</v>
      </c>
      <c r="C49" s="84">
        <v>-3.8</v>
      </c>
      <c r="D49" s="84">
        <f>-8.2-C49</f>
        <v>-4.3999999999999995</v>
      </c>
      <c r="E49" s="84">
        <v>-4.3</v>
      </c>
      <c r="F49" s="84">
        <f t="shared" ref="F49:F58" si="154">+G49-SUM(C49:E49)</f>
        <v>-5.5</v>
      </c>
      <c r="G49" s="84">
        <v>-18</v>
      </c>
      <c r="H49" s="84">
        <v>-4.9710000000000001</v>
      </c>
      <c r="I49" s="132">
        <f>-10.1-H49</f>
        <v>-5.1289999999999996</v>
      </c>
      <c r="J49" s="132">
        <v>-5.0999999999999996</v>
      </c>
      <c r="K49" s="132">
        <f t="shared" ref="K49:K58" si="155">+L49-SUM(H49:J49)</f>
        <v>-4.1000000000000014</v>
      </c>
      <c r="L49" s="214">
        <v>-19.3</v>
      </c>
      <c r="M49" s="214">
        <v>-4.657</v>
      </c>
      <c r="N49" s="214">
        <v>-5.9</v>
      </c>
      <c r="O49" s="214">
        <v>-5.7</v>
      </c>
      <c r="P49" s="214">
        <f>-20.1-O49-N49-M49</f>
        <v>-3.8430000000000017</v>
      </c>
      <c r="Q49" s="84">
        <f t="shared" ref="Q49:Q54" si="156">+SUM(M49:P49)</f>
        <v>-20.100000000000001</v>
      </c>
      <c r="R49" s="214">
        <v>-3.9</v>
      </c>
      <c r="S49" s="214">
        <f>-8.352-R49</f>
        <v>-4.452</v>
      </c>
      <c r="T49" s="214">
        <f>-12.744-S49-R49</f>
        <v>-4.3919999999999995</v>
      </c>
      <c r="U49" s="214">
        <f>V49-SUM(R49:T49)</f>
        <v>-4.6610000000000014</v>
      </c>
      <c r="V49" s="84">
        <f>-17.405</f>
        <v>-17.405000000000001</v>
      </c>
      <c r="W49" s="214">
        <v>-4.6449999999999996</v>
      </c>
      <c r="X49" s="214">
        <f>-7.454-W49</f>
        <v>-2.8090000000000002</v>
      </c>
      <c r="Y49" s="214">
        <f>-12.213-X49-W49</f>
        <v>-4.7590000000000003</v>
      </c>
      <c r="Z49" s="84">
        <f>+Despesas!R21</f>
        <v>-4.7590000000000003</v>
      </c>
      <c r="AA49" s="84">
        <f>+Despesas!S21</f>
        <v>-16.972000000000001</v>
      </c>
      <c r="AB49" s="84">
        <f>+Despesas!T21</f>
        <v>-18.058208</v>
      </c>
      <c r="AC49" s="84">
        <f>+Despesas!U21</f>
        <v>-18.961118400000004</v>
      </c>
      <c r="AD49" s="84">
        <f>+Despesas!V21</f>
        <v>-19.909174320000005</v>
      </c>
      <c r="AE49" s="84">
        <f>+Despesas!W21</f>
        <v>-20.805087164400003</v>
      </c>
      <c r="AF49" s="84">
        <f>+Despesas!X21</f>
        <v>-21.741316086798001</v>
      </c>
      <c r="AG49" s="84">
        <f>+Despesas!Y21</f>
        <v>-22.719675310703909</v>
      </c>
      <c r="AH49" s="84">
        <f>+Despesas!Z21</f>
        <v>-23.742060699685585</v>
      </c>
      <c r="AI49" s="84">
        <f>+Despesas!AA21</f>
        <v>-24.810453431171435</v>
      </c>
      <c r="AJ49" s="84">
        <f>+Despesas!AB21</f>
        <v>-25.926923835574147</v>
      </c>
      <c r="AK49" s="84">
        <f>+Despesas!AC21</f>
        <v>-27.093635408174979</v>
      </c>
      <c r="AL49" s="84">
        <f>+Despesas!AD21</f>
        <v>-28.312849001542848</v>
      </c>
      <c r="AM49" s="84">
        <f>+Despesas!AE21</f>
        <v>-29.586927206612273</v>
      </c>
      <c r="AN49" s="84">
        <f>+Despesas!AF21</f>
        <v>-30.918338930909826</v>
      </c>
    </row>
    <row r="50" spans="1:40" s="2" customFormat="1">
      <c r="A50" s="139" t="s">
        <v>48</v>
      </c>
      <c r="B50" s="84">
        <v>-22.76</v>
      </c>
      <c r="C50" s="84">
        <v>-5.5</v>
      </c>
      <c r="D50" s="84">
        <f>-10.3-C50</f>
        <v>-4.8000000000000007</v>
      </c>
      <c r="E50" s="84">
        <v>-6.3</v>
      </c>
      <c r="F50" s="84">
        <f t="shared" si="154"/>
        <v>-6.2999999999999972</v>
      </c>
      <c r="G50" s="84">
        <v>-22.9</v>
      </c>
      <c r="H50" s="84">
        <v>-1.43</v>
      </c>
      <c r="I50" s="132">
        <f>-10.1-H50</f>
        <v>-8.67</v>
      </c>
      <c r="J50" s="132">
        <v>-7.5</v>
      </c>
      <c r="K50" s="132">
        <f t="shared" si="155"/>
        <v>-7.1829999999999998</v>
      </c>
      <c r="L50" s="214">
        <v>-24.783000000000001</v>
      </c>
      <c r="M50" s="214">
        <v>-3.6</v>
      </c>
      <c r="N50" s="214">
        <v>-0.3</v>
      </c>
      <c r="O50" s="214">
        <v>-4.5</v>
      </c>
      <c r="P50" s="214">
        <f>-28.011-O50-N50-M50</f>
        <v>-19.610999999999997</v>
      </c>
      <c r="Q50" s="84">
        <f>+SUM(M50:P50)</f>
        <v>-28.010999999999996</v>
      </c>
      <c r="R50" s="214">
        <v>-2.2999999999999998</v>
      </c>
      <c r="S50" s="214">
        <f>-4.222-R50</f>
        <v>-1.9220000000000006</v>
      </c>
      <c r="T50" s="214">
        <f>-6.295-S50-R50</f>
        <v>-2.0729999999999995</v>
      </c>
      <c r="U50" s="214">
        <f>V50-SUM(R50:T50)</f>
        <v>-2.0169999999999995</v>
      </c>
      <c r="V50" s="84">
        <v>-8.3119999999999994</v>
      </c>
      <c r="W50" s="214">
        <v>-2.2959999999999998</v>
      </c>
      <c r="X50" s="214">
        <f>-4.126-W50</f>
        <v>-1.8300000000000005</v>
      </c>
      <c r="Y50" s="214">
        <f>-6.927-X50-W50</f>
        <v>-2.8009999999999997</v>
      </c>
      <c r="Z50" s="84">
        <f>+Despesas!R30</f>
        <v>-2.375135250863027</v>
      </c>
      <c r="AA50" s="84">
        <f>+Despesas!S30</f>
        <v>-9.3021352508630262</v>
      </c>
      <c r="AB50" s="84">
        <f>+Despesas!T30</f>
        <v>-4.467426644927599</v>
      </c>
      <c r="AC50" s="84">
        <f>+Despesas!U30</f>
        <v>-3.0901088095037683</v>
      </c>
      <c r="AD50" s="84">
        <f>+Despesas!V30</f>
        <v>-3.2502645949027587</v>
      </c>
      <c r="AE50" s="84">
        <f>+Despesas!W30</f>
        <v>-3.2641612885108793</v>
      </c>
      <c r="AF50" s="84">
        <f>+Despesas!X30</f>
        <v>-3.214041458154612</v>
      </c>
      <c r="AG50" s="84">
        <f>+Despesas!Y30</f>
        <v>-3.4997314546829781</v>
      </c>
      <c r="AH50" s="84">
        <f>+Despesas!Z30</f>
        <v>-3.8081545061162738</v>
      </c>
      <c r="AI50" s="84">
        <f>+Despesas!AA30</f>
        <v>-4.1437686054236531</v>
      </c>
      <c r="AJ50" s="84">
        <f>+Despesas!AB30</f>
        <v>-4.502229962368113</v>
      </c>
      <c r="AK50" s="84">
        <f>+Despesas!AC30</f>
        <v>-4.8862201476274416</v>
      </c>
      <c r="AL50" s="84">
        <f>+Despesas!AD30</f>
        <v>-5.2984670001385217</v>
      </c>
      <c r="AM50" s="84">
        <f>+Despesas!AE30</f>
        <v>-5.740636851910268</v>
      </c>
      <c r="AN50" s="84">
        <f>+Despesas!AF30</f>
        <v>-6.1200569243931175</v>
      </c>
    </row>
    <row r="51" spans="1:40" s="2" customFormat="1">
      <c r="A51" s="139" t="s">
        <v>49</v>
      </c>
      <c r="B51" s="84">
        <v>-9.8000000000000007</v>
      </c>
      <c r="C51" s="84">
        <v>-3</v>
      </c>
      <c r="D51" s="84">
        <f>-6-C51</f>
        <v>-3</v>
      </c>
      <c r="E51" s="84">
        <v>-2.8</v>
      </c>
      <c r="F51" s="84">
        <f t="shared" si="154"/>
        <v>-4</v>
      </c>
      <c r="G51" s="84">
        <v>-12.8</v>
      </c>
      <c r="H51" s="84">
        <v>-3.6</v>
      </c>
      <c r="I51" s="132">
        <f>-7.3-H51</f>
        <v>-3.6999999999999997</v>
      </c>
      <c r="J51" s="132">
        <v>-3.88</v>
      </c>
      <c r="K51" s="132">
        <f t="shared" si="155"/>
        <v>-3.42</v>
      </c>
      <c r="L51" s="214">
        <v>-14.6</v>
      </c>
      <c r="M51" s="214">
        <v>-4.26</v>
      </c>
      <c r="N51" s="214">
        <v>-4.3499999999999996</v>
      </c>
      <c r="O51" s="214">
        <v>-4.5999999999999996</v>
      </c>
      <c r="P51" s="214">
        <f>-17.8-O51-N51-M51</f>
        <v>-4.5900000000000016</v>
      </c>
      <c r="Q51" s="84">
        <f t="shared" si="156"/>
        <v>-17.8</v>
      </c>
      <c r="R51" s="214">
        <v>-5.0999999999999996</v>
      </c>
      <c r="S51" s="214">
        <f>-9.573-R51</f>
        <v>-4.4730000000000008</v>
      </c>
      <c r="T51" s="214">
        <f>-14.03-S51-R51</f>
        <v>-4.456999999999999</v>
      </c>
      <c r="U51" s="214">
        <f>V51-SUM(R51:T51)</f>
        <v>-6.4410000000000007</v>
      </c>
      <c r="V51" s="84">
        <v>-20.471</v>
      </c>
      <c r="W51" s="214">
        <v>-5.58</v>
      </c>
      <c r="X51" s="214">
        <f>-11.225-W51</f>
        <v>-5.6449999999999996</v>
      </c>
      <c r="Y51" s="214">
        <f>-16.945-X51-W51</f>
        <v>-5.7200000000000006</v>
      </c>
      <c r="Z51" s="84">
        <f>-Z96</f>
        <v>-5.7200000000000006</v>
      </c>
      <c r="AA51" s="84">
        <f>-AA96</f>
        <v>-22.664999999999999</v>
      </c>
      <c r="AB51" s="84">
        <f t="shared" ref="AB51:AN51" si="157">-AB96</f>
        <v>-22.770060748999999</v>
      </c>
      <c r="AC51" s="84">
        <f t="shared" si="157"/>
        <v>-24.403481594020001</v>
      </c>
      <c r="AD51" s="84">
        <f t="shared" si="157"/>
        <v>-25.976631962139599</v>
      </c>
      <c r="AE51" s="84">
        <f t="shared" si="157"/>
        <v>-26.719919322896807</v>
      </c>
      <c r="AF51" s="84">
        <f t="shared" si="157"/>
        <v>-27.442671841443371</v>
      </c>
      <c r="AG51" s="84">
        <f t="shared" si="157"/>
        <v>-28.160622432639574</v>
      </c>
      <c r="AH51" s="84">
        <f t="shared" si="157"/>
        <v>-29.423808038161106</v>
      </c>
      <c r="AI51" s="84">
        <f t="shared" si="157"/>
        <v>-30.189300081266694</v>
      </c>
      <c r="AJ51" s="84">
        <f t="shared" si="157"/>
        <v>-30.843883146140666</v>
      </c>
      <c r="AK51" s="84">
        <f t="shared" si="157"/>
        <v>-31.353907801527402</v>
      </c>
      <c r="AL51" s="84">
        <f t="shared" si="157"/>
        <v>-31.651364787895382</v>
      </c>
      <c r="AM51" s="84">
        <f t="shared" si="157"/>
        <v>-32.294843661318055</v>
      </c>
      <c r="AN51" s="84">
        <f t="shared" si="157"/>
        <v>-33.808410897851694</v>
      </c>
    </row>
    <row r="52" spans="1:40" s="2" customFormat="1">
      <c r="A52" s="2" t="s">
        <v>53</v>
      </c>
      <c r="B52" s="84">
        <v>-4.4000000000000004</v>
      </c>
      <c r="C52" s="84">
        <v>-1.06</v>
      </c>
      <c r="D52" s="84">
        <f>-2.2-C52</f>
        <v>-1.1400000000000001</v>
      </c>
      <c r="E52" s="84">
        <v>-1.3</v>
      </c>
      <c r="F52" s="84">
        <f t="shared" si="154"/>
        <v>-1.2999999999999998</v>
      </c>
      <c r="G52" s="84">
        <v>-4.8</v>
      </c>
      <c r="H52" s="84">
        <v>-1.2</v>
      </c>
      <c r="I52" s="132">
        <f>-2.4-H52</f>
        <v>-1.2</v>
      </c>
      <c r="J52" s="132">
        <v>-1.39</v>
      </c>
      <c r="K52" s="132">
        <f t="shared" si="155"/>
        <v>-1.5099999999999998</v>
      </c>
      <c r="L52" s="214">
        <v>-5.3</v>
      </c>
      <c r="M52" s="214">
        <v>-1.3</v>
      </c>
      <c r="N52" s="214">
        <v>-1.37</v>
      </c>
      <c r="O52" s="214">
        <v>-0.7</v>
      </c>
      <c r="P52" s="214">
        <f>-4.479-O52-N52-M52</f>
        <v>-1.1089999999999998</v>
      </c>
      <c r="Q52" s="84">
        <f>+SUM(M52:P52)</f>
        <v>-4.4790000000000001</v>
      </c>
      <c r="R52" s="214">
        <v>-0.8</v>
      </c>
      <c r="S52" s="214">
        <f>-1.526-R52</f>
        <v>-0.72599999999999998</v>
      </c>
      <c r="T52" s="214">
        <f>-2.324-S52-R52</f>
        <v>-0.79799999999999982</v>
      </c>
      <c r="U52" s="214">
        <f>V52-SUM(R52:T52)</f>
        <v>-0.81400000000000006</v>
      </c>
      <c r="V52" s="84">
        <v>-3.1379999999999999</v>
      </c>
      <c r="W52" s="214">
        <v>-0.79900000000000004</v>
      </c>
      <c r="X52" s="214">
        <f>-1.543-W52</f>
        <v>-0.74399999999999988</v>
      </c>
      <c r="Y52" s="214">
        <f>-2.42-X52-W52</f>
        <v>-0.87700000000000011</v>
      </c>
      <c r="Z52" s="84">
        <f>+Despesas!R33</f>
        <v>-0.89067571907363507</v>
      </c>
      <c r="AA52" s="84">
        <f>+Despesas!S33</f>
        <v>-3.3106757190736351</v>
      </c>
      <c r="AB52" s="84">
        <f>+Despesas!T33</f>
        <v>-3.7228555374396657</v>
      </c>
      <c r="AC52" s="84">
        <f>+Despesas!U33</f>
        <v>-4.2137847402324118</v>
      </c>
      <c r="AD52" s="84">
        <f>+Despesas!V33</f>
        <v>-4.8753968923541384</v>
      </c>
      <c r="AE52" s="84">
        <f>+Despesas!W33</f>
        <v>-5.4402688141848001</v>
      </c>
      <c r="AF52" s="84">
        <f>+Despesas!X33</f>
        <v>-6.0263277340399002</v>
      </c>
      <c r="AG52" s="84">
        <f>+Despesas!Y33</f>
        <v>-6.5619964775305863</v>
      </c>
      <c r="AH52" s="84">
        <f>+Despesas!Z33</f>
        <v>-7.140289698968016</v>
      </c>
      <c r="AI52" s="84">
        <f>+Despesas!AA33</f>
        <v>-7.7695661351693523</v>
      </c>
      <c r="AJ52" s="84">
        <f>+Despesas!AB33</f>
        <v>-8.4416811794402147</v>
      </c>
      <c r="AK52" s="84">
        <f>+Despesas!AC33</f>
        <v>-9.1616627768014567</v>
      </c>
      <c r="AL52" s="84">
        <f>+Despesas!AD33</f>
        <v>-9.9346256252597325</v>
      </c>
      <c r="AM52" s="84">
        <f>+Despesas!AE33</f>
        <v>-10.763694097331758</v>
      </c>
      <c r="AN52" s="84">
        <f>+Despesas!AF33</f>
        <v>-11.4751067332371</v>
      </c>
    </row>
    <row r="53" spans="1:40" s="2" customFormat="1">
      <c r="A53" s="139" t="s">
        <v>50</v>
      </c>
      <c r="B53" s="84">
        <v>-8.56</v>
      </c>
      <c r="C53" s="84">
        <v>-2.0699999999999998</v>
      </c>
      <c r="D53" s="84">
        <f>-4.7-C53</f>
        <v>-2.6300000000000003</v>
      </c>
      <c r="E53" s="84">
        <v>-3.38</v>
      </c>
      <c r="F53" s="84">
        <f t="shared" si="154"/>
        <v>-2.92</v>
      </c>
      <c r="G53" s="84">
        <v>-11</v>
      </c>
      <c r="H53" s="84">
        <v>-5.7</v>
      </c>
      <c r="I53" s="132">
        <f>-5.2-H53</f>
        <v>0.5</v>
      </c>
      <c r="J53" s="132">
        <v>-1.9</v>
      </c>
      <c r="K53" s="132">
        <f t="shared" si="155"/>
        <v>-2</v>
      </c>
      <c r="L53" s="214">
        <v>-9.1</v>
      </c>
      <c r="M53" s="214">
        <v>-6.6</v>
      </c>
      <c r="N53" s="214">
        <v>-4.8</v>
      </c>
      <c r="O53" s="214">
        <v>-10.6</v>
      </c>
      <c r="P53" s="214">
        <f>-13.225-O53-N53-M53</f>
        <v>8.7749999999999986</v>
      </c>
      <c r="Q53" s="84">
        <f>+SUM(M53:P53)</f>
        <v>-13.225000000000001</v>
      </c>
      <c r="R53" s="214">
        <v>-7</v>
      </c>
      <c r="S53" s="214">
        <f>-13.93-R53</f>
        <v>-6.93</v>
      </c>
      <c r="T53" s="214">
        <f>-26.12-S53-R53</f>
        <v>-12.190000000000001</v>
      </c>
      <c r="U53" s="214">
        <f t="shared" ref="U53" si="158">V53-SUM(R53:T53)</f>
        <v>-10.141999999999999</v>
      </c>
      <c r="V53" s="84">
        <v>-36.262</v>
      </c>
      <c r="W53" s="214">
        <v>-10.379</v>
      </c>
      <c r="X53" s="214">
        <f>-21.955-W53</f>
        <v>-11.575999999999999</v>
      </c>
      <c r="Y53" s="214">
        <f>-31.971-X53-W53</f>
        <v>-10.016000000000004</v>
      </c>
      <c r="Z53" s="84">
        <f>+Despesas!R36</f>
        <v>-9.7503599999999988</v>
      </c>
      <c r="AA53" s="84">
        <f>+Despesas!S36</f>
        <v>-41.721360000000004</v>
      </c>
      <c r="AB53" s="84">
        <f>+Despesas!T36</f>
        <v>-33.875831999999988</v>
      </c>
      <c r="AC53" s="84">
        <f>+Despesas!U36</f>
        <v>-35.5696236</v>
      </c>
      <c r="AD53" s="84">
        <f>+Despesas!V36</f>
        <v>-37.34810478</v>
      </c>
      <c r="AE53" s="84">
        <f>+Despesas!W36</f>
        <v>-39.028769495099993</v>
      </c>
      <c r="AF53" s="84">
        <f>+Despesas!X36</f>
        <v>-40.785064122379488</v>
      </c>
      <c r="AG53" s="84">
        <f>+Despesas!Y36</f>
        <v>-42.620392007886565</v>
      </c>
      <c r="AH53" s="84">
        <f>+Despesas!Z36</f>
        <v>-44.538309648241459</v>
      </c>
      <c r="AI53" s="84">
        <f>+Despesas!AA36</f>
        <v>-46.542533582412318</v>
      </c>
      <c r="AJ53" s="84">
        <f>+Despesas!AB36</f>
        <v>-48.636947593620874</v>
      </c>
      <c r="AK53" s="84">
        <f>+Despesas!AC36</f>
        <v>-50.825610235333812</v>
      </c>
      <c r="AL53" s="84">
        <f>+Despesas!AD36</f>
        <v>-53.11276269592382</v>
      </c>
      <c r="AM53" s="84">
        <f>+Despesas!AE36</f>
        <v>-55.502837017240395</v>
      </c>
      <c r="AN53" s="84">
        <f>+Despesas!AF36</f>
        <v>-58.000464683016205</v>
      </c>
    </row>
    <row r="54" spans="1:40" s="2" customFormat="1">
      <c r="A54" s="139" t="s">
        <v>51</v>
      </c>
      <c r="B54" s="84">
        <v>-37.47</v>
      </c>
      <c r="C54" s="84">
        <v>-3.65</v>
      </c>
      <c r="D54" s="84">
        <f>-18.4-C54</f>
        <v>-14.749999999999998</v>
      </c>
      <c r="E54" s="84">
        <v>-40.947000000000003</v>
      </c>
      <c r="F54" s="84">
        <f t="shared" si="154"/>
        <v>-38.002999999999993</v>
      </c>
      <c r="G54" s="84">
        <v>-97.35</v>
      </c>
      <c r="H54" s="84">
        <v>-29</v>
      </c>
      <c r="I54" s="132">
        <f>-54.49-H54</f>
        <v>-25.490000000000002</v>
      </c>
      <c r="J54" s="132">
        <v>-24.4</v>
      </c>
      <c r="K54" s="132">
        <f t="shared" si="155"/>
        <v>-34.58</v>
      </c>
      <c r="L54" s="214">
        <v>-113.47</v>
      </c>
      <c r="M54" s="214">
        <v>-30.43</v>
      </c>
      <c r="N54" s="214">
        <v>-46.6</v>
      </c>
      <c r="O54" s="214">
        <v>-30.2</v>
      </c>
      <c r="P54" s="214">
        <f>-142.2-O54-N54-M54</f>
        <v>-34.969999999999978</v>
      </c>
      <c r="Q54" s="84">
        <f t="shared" si="156"/>
        <v>-142.19999999999999</v>
      </c>
      <c r="R54" s="214">
        <v>-31.7</v>
      </c>
      <c r="S54" s="214">
        <f>-68.429-R54</f>
        <v>-36.728999999999999</v>
      </c>
      <c r="T54" s="214">
        <f>-112.391-S54-R54</f>
        <v>-43.962000000000003</v>
      </c>
      <c r="U54" s="214">
        <f>V54-SUM(R54:T54)</f>
        <v>-35.441999999999993</v>
      </c>
      <c r="V54" s="84">
        <v>-147.833</v>
      </c>
      <c r="W54" s="214">
        <v>-12.537000000000001</v>
      </c>
      <c r="X54" s="214">
        <f>-26.967-W54</f>
        <v>-14.429999999999998</v>
      </c>
      <c r="Y54" s="214">
        <f>-45.949-X54-W54</f>
        <v>-18.981999999999999</v>
      </c>
      <c r="Z54" s="84">
        <f>-Z42</f>
        <v>-43.55803745</v>
      </c>
      <c r="AA54" s="84">
        <f>-AA42</f>
        <v>-89.55803745</v>
      </c>
      <c r="AB54" s="84">
        <f t="shared" ref="AB54:AN54" si="159">-AB42</f>
        <v>-104.44110300000001</v>
      </c>
      <c r="AC54" s="84">
        <f t="shared" si="159"/>
        <v>-103.06099999999999</v>
      </c>
      <c r="AD54" s="84">
        <f t="shared" si="159"/>
        <v>-63.140999999999991</v>
      </c>
      <c r="AE54" s="84">
        <f t="shared" si="159"/>
        <v>-62.857545250225051</v>
      </c>
      <c r="AF54" s="84">
        <f t="shared" si="159"/>
        <v>-63.340201401253559</v>
      </c>
      <c r="AG54" s="84">
        <f t="shared" si="159"/>
        <v>-91.319902708716242</v>
      </c>
      <c r="AH54" s="84">
        <f t="shared" si="159"/>
        <v>-67.69841019344031</v>
      </c>
      <c r="AI54" s="84">
        <f t="shared" si="159"/>
        <v>-62.918453324965505</v>
      </c>
      <c r="AJ54" s="84">
        <f t="shared" si="159"/>
        <v>-56.345115915477457</v>
      </c>
      <c r="AK54" s="84">
        <f t="shared" si="159"/>
        <v>-46.226757119926425</v>
      </c>
      <c r="AL54" s="84">
        <f t="shared" si="159"/>
        <v>-63.825308459028953</v>
      </c>
      <c r="AM54" s="84">
        <f t="shared" si="159"/>
        <v>-107.97320548799986</v>
      </c>
      <c r="AN54" s="84">
        <f t="shared" si="159"/>
        <v>-105.07647297821849</v>
      </c>
    </row>
    <row r="55" spans="1:40" s="2" customFormat="1">
      <c r="A55" s="139" t="s">
        <v>54</v>
      </c>
      <c r="B55" s="84">
        <v>-1.7</v>
      </c>
      <c r="C55" s="84">
        <v>-0.75600000000000001</v>
      </c>
      <c r="D55" s="84">
        <f>-1.5-C55</f>
        <v>-0.74399999999999999</v>
      </c>
      <c r="E55" s="84">
        <v>-0.78</v>
      </c>
      <c r="F55" s="84">
        <f t="shared" si="154"/>
        <v>0.88000000000000034</v>
      </c>
      <c r="G55" s="84">
        <v>-1.4</v>
      </c>
      <c r="H55" s="84">
        <v>-1.6950000000000001</v>
      </c>
      <c r="I55" s="132">
        <f>-3.49-H55</f>
        <v>-1.7950000000000002</v>
      </c>
      <c r="J55" s="132">
        <v>-3.1</v>
      </c>
      <c r="K55" s="132">
        <f t="shared" si="155"/>
        <v>-2.4000000000000004</v>
      </c>
      <c r="L55" s="214">
        <v>-8.99</v>
      </c>
      <c r="M55" s="214">
        <v>-4.2</v>
      </c>
      <c r="N55" s="214">
        <v>-4.3</v>
      </c>
      <c r="O55" s="214">
        <v>-4.4000000000000004</v>
      </c>
      <c r="P55" s="214">
        <f>-18.4-O55-N55-M55</f>
        <v>-5.4999999999999991</v>
      </c>
      <c r="Q55" s="84">
        <f>+SUM(M55:P55)</f>
        <v>-18.399999999999999</v>
      </c>
      <c r="R55" s="214">
        <v>-5.6</v>
      </c>
      <c r="S55" s="214">
        <f>-0.414-R55</f>
        <v>5.1859999999999999</v>
      </c>
      <c r="T55" s="214">
        <f>-5.534-S55-R55</f>
        <v>-5.1199999999999992</v>
      </c>
      <c r="U55" s="214">
        <f>V55-SUM(R55:T55)</f>
        <v>-5.4410000000000007</v>
      </c>
      <c r="V55" s="84">
        <v>-10.975</v>
      </c>
      <c r="W55" s="214">
        <v>-7.28</v>
      </c>
      <c r="X55" s="214">
        <f>-12.141-W55</f>
        <v>-4.8609999999999998</v>
      </c>
      <c r="Y55" s="214">
        <f>-21.23-X55-W55</f>
        <v>-9.0889999999999986</v>
      </c>
      <c r="Z55" s="84">
        <f>-Z101</f>
        <v>-2.6949246389273718</v>
      </c>
      <c r="AA55" s="84">
        <f>-AA101</f>
        <v>-23.694924638927372</v>
      </c>
      <c r="AB55" s="84">
        <f t="shared" ref="AB55:AN55" si="160">-AB101</f>
        <v>-24.84486240165803</v>
      </c>
      <c r="AC55" s="84">
        <f t="shared" si="160"/>
        <v>-28.125002750887663</v>
      </c>
      <c r="AD55" s="84">
        <f t="shared" si="160"/>
        <v>-29.840841399268609</v>
      </c>
      <c r="AE55" s="84">
        <f t="shared" si="160"/>
        <v>-31.439964423409659</v>
      </c>
      <c r="AF55" s="84">
        <f t="shared" si="160"/>
        <v>-31.461930139551235</v>
      </c>
      <c r="AG55" s="84">
        <f t="shared" si="160"/>
        <v>-33.196376231576849</v>
      </c>
      <c r="AH55" s="84">
        <f t="shared" si="160"/>
        <v>-31.858454570726572</v>
      </c>
      <c r="AI55" s="84">
        <f t="shared" si="160"/>
        <v>-37.485347660890611</v>
      </c>
      <c r="AJ55" s="84">
        <f t="shared" si="160"/>
        <v>-43.305627435346217</v>
      </c>
      <c r="AK55" s="84">
        <f t="shared" si="160"/>
        <v>-47.281546621148436</v>
      </c>
      <c r="AL55" s="84">
        <f t="shared" si="160"/>
        <v>-53.626160269850324</v>
      </c>
      <c r="AM55" s="84">
        <f t="shared" si="160"/>
        <v>-60.511404317492079</v>
      </c>
      <c r="AN55" s="84">
        <f t="shared" si="160"/>
        <v>-60.811917499391122</v>
      </c>
    </row>
    <row r="56" spans="1:40" s="2" customFormat="1">
      <c r="A56" s="139" t="s">
        <v>55</v>
      </c>
      <c r="B56" s="84">
        <v>-5.9</v>
      </c>
      <c r="C56" s="84">
        <v>-0.9</v>
      </c>
      <c r="D56" s="84">
        <v>0.2</v>
      </c>
      <c r="E56" s="84">
        <v>-2</v>
      </c>
      <c r="F56" s="84">
        <f t="shared" si="154"/>
        <v>0.2200000000000002</v>
      </c>
      <c r="G56" s="84">
        <v>-2.48</v>
      </c>
      <c r="H56" s="84">
        <v>-0.50600000000000001</v>
      </c>
      <c r="I56" s="132">
        <v>0</v>
      </c>
      <c r="J56" s="132">
        <v>-3</v>
      </c>
      <c r="K56" s="215">
        <f t="shared" si="155"/>
        <v>-1.7939999999999996</v>
      </c>
      <c r="L56" s="214">
        <v>-5.3</v>
      </c>
      <c r="M56" s="214">
        <v>-2</v>
      </c>
      <c r="N56" s="214">
        <v>-2</v>
      </c>
      <c r="O56" s="214">
        <v>-0.9</v>
      </c>
      <c r="P56" s="214">
        <f>-5.9-O56-N56-M56</f>
        <v>-1</v>
      </c>
      <c r="Q56" s="84">
        <f t="shared" ref="Q56:Q58" si="161">+SUM(M56:P56)</f>
        <v>-5.9</v>
      </c>
      <c r="R56" s="214">
        <v>-0.9</v>
      </c>
      <c r="S56" s="214">
        <f>-1.87-R56</f>
        <v>-0.97000000000000008</v>
      </c>
      <c r="T56" s="214">
        <f>-1.448-S56-R56</f>
        <v>0.42200000000000015</v>
      </c>
      <c r="U56" s="214">
        <f>V56-SUM(R56:T56)</f>
        <v>-1.859</v>
      </c>
      <c r="V56" s="84">
        <v>-3.3069999999999999</v>
      </c>
      <c r="W56" s="214">
        <v>-0.70099999999999996</v>
      </c>
      <c r="X56" s="214">
        <f>-1.403-W56</f>
        <v>-0.70200000000000007</v>
      </c>
      <c r="Y56" s="214">
        <f>-1.889-X56-W56</f>
        <v>-0.48599999999999988</v>
      </c>
      <c r="Z56" s="84">
        <f>+Despesas!R39</f>
        <v>-1.4579999999999997</v>
      </c>
      <c r="AA56" s="84">
        <f>+Despesas!S39</f>
        <v>-3.3469999999999995</v>
      </c>
      <c r="AB56" s="84">
        <f>+Despesas!T39</f>
        <v>-1.9864912803219572</v>
      </c>
      <c r="AC56" s="84">
        <f>+Despesas!U39</f>
        <v>-2.0858158443380552</v>
      </c>
      <c r="AD56" s="84">
        <f>+Despesas!V39</f>
        <v>-2.1901066365549582</v>
      </c>
      <c r="AE56" s="84">
        <f>+Despesas!W39</f>
        <v>-2.288661435199931</v>
      </c>
      <c r="AF56" s="84">
        <f>+Despesas!X39</f>
        <v>-2.391651199783928</v>
      </c>
      <c r="AG56" s="84">
        <f>+Despesas!Y39</f>
        <v>-2.4992755037742045</v>
      </c>
      <c r="AH56" s="84">
        <f>+Despesas!Z39</f>
        <v>-2.6117429014440434</v>
      </c>
      <c r="AI56" s="84">
        <f>+Despesas!AA39</f>
        <v>-2.7292713320090249</v>
      </c>
      <c r="AJ56" s="84">
        <f>+Despesas!AB39</f>
        <v>-2.8520885419494308</v>
      </c>
      <c r="AK56" s="84">
        <f>+Despesas!AC39</f>
        <v>-2.9804325263371552</v>
      </c>
      <c r="AL56" s="84">
        <f>+Despesas!AD39</f>
        <v>-3.1145519900223273</v>
      </c>
      <c r="AM56" s="84">
        <f>+Despesas!AE39</f>
        <v>-3.2547068295733315</v>
      </c>
      <c r="AN56" s="84">
        <f>+Despesas!AF39</f>
        <v>-3.4011686369041305</v>
      </c>
    </row>
    <row r="57" spans="1:40" s="2" customFormat="1">
      <c r="A57" s="139" t="s">
        <v>56</v>
      </c>
      <c r="B57" s="84">
        <v>-1.1000000000000001</v>
      </c>
      <c r="C57" s="84">
        <v>0.4</v>
      </c>
      <c r="D57" s="84">
        <v>0</v>
      </c>
      <c r="E57" s="84">
        <v>0</v>
      </c>
      <c r="F57" s="84">
        <f t="shared" si="154"/>
        <v>-1.766</v>
      </c>
      <c r="G57" s="84">
        <v>-1.3660000000000001</v>
      </c>
      <c r="H57" s="84">
        <v>0</v>
      </c>
      <c r="I57" s="132">
        <v>-0.3</v>
      </c>
      <c r="J57" s="132">
        <v>0.4</v>
      </c>
      <c r="K57" s="132">
        <f t="shared" si="155"/>
        <v>-1.4000000000000001</v>
      </c>
      <c r="L57" s="214">
        <v>-1.3</v>
      </c>
      <c r="M57" s="214">
        <v>0</v>
      </c>
      <c r="N57" s="214">
        <v>0</v>
      </c>
      <c r="O57" s="214">
        <v>0</v>
      </c>
      <c r="P57" s="214">
        <f>-1.7-O57-N57-M57</f>
        <v>-1.7</v>
      </c>
      <c r="Q57" s="84">
        <f>+SUM(M57:P57)</f>
        <v>-1.7</v>
      </c>
      <c r="R57" s="214">
        <v>0</v>
      </c>
      <c r="S57" s="214">
        <f>-0.957-R57</f>
        <v>-0.95699999999999996</v>
      </c>
      <c r="T57" s="214">
        <f>-1.448-S57-R57</f>
        <v>-0.49099999999999999</v>
      </c>
      <c r="U57" s="214">
        <f>V57-SUM(R57:T57)</f>
        <v>-0.4910000000000001</v>
      </c>
      <c r="V57" s="84">
        <v>-1.9390000000000001</v>
      </c>
      <c r="W57" s="214">
        <v>-0.495</v>
      </c>
      <c r="X57" s="214">
        <f>-1.014-W57</f>
        <v>-0.51900000000000002</v>
      </c>
      <c r="Y57" s="214">
        <f>-1.513-X57-W57</f>
        <v>-0.49899999999999989</v>
      </c>
      <c r="Z57" s="84">
        <f>+Despesas!R42</f>
        <v>-0.41564866890102975</v>
      </c>
      <c r="AA57" s="84">
        <f>+Despesas!S42</f>
        <v>-1.9286486689010296</v>
      </c>
      <c r="AB57" s="84">
        <f>+Despesas!T42</f>
        <v>-2.2337133224637995</v>
      </c>
      <c r="AC57" s="84">
        <f>+Despesas!U42</f>
        <v>-1.9664328787751255</v>
      </c>
      <c r="AD57" s="84">
        <f>+Despesas!V42</f>
        <v>-2.1126719866867933</v>
      </c>
      <c r="AE57" s="84">
        <f>+Despesas!W42</f>
        <v>-2.17610752567392</v>
      </c>
      <c r="AF57" s="84">
        <f>+Despesas!X42</f>
        <v>-2.4105310936159601</v>
      </c>
      <c r="AG57" s="84">
        <f>+Despesas!Y42</f>
        <v>-2.6247985910122344</v>
      </c>
      <c r="AH57" s="84">
        <f>+Despesas!Z42</f>
        <v>-2.8561158795872066</v>
      </c>
      <c r="AI57" s="84">
        <f>+Despesas!AA42</f>
        <v>-3.1078264540677409</v>
      </c>
      <c r="AJ57" s="84">
        <f>+Despesas!AB42</f>
        <v>-3.3766724717760859</v>
      </c>
      <c r="AK57" s="84">
        <f>+Despesas!AC42</f>
        <v>-3.6646651107205832</v>
      </c>
      <c r="AL57" s="84">
        <f>+Despesas!AD42</f>
        <v>-3.9738502501038928</v>
      </c>
      <c r="AM57" s="84">
        <f>+Despesas!AE42</f>
        <v>-4.305477638932703</v>
      </c>
      <c r="AN57" s="84">
        <f>+Despesas!AF42</f>
        <v>-4.5900426932948406</v>
      </c>
    </row>
    <row r="58" spans="1:40" s="2" customFormat="1">
      <c r="A58" s="139" t="s">
        <v>52</v>
      </c>
      <c r="B58" s="84">
        <v>-2.2999999999999998</v>
      </c>
      <c r="C58" s="84">
        <v>-0.7</v>
      </c>
      <c r="D58" s="84">
        <f>-3.1-C58</f>
        <v>-2.4000000000000004</v>
      </c>
      <c r="E58" s="84">
        <v>0</v>
      </c>
      <c r="F58" s="84">
        <f t="shared" si="154"/>
        <v>-2.3999999999999995</v>
      </c>
      <c r="G58" s="84">
        <f>-1.4-4.1</f>
        <v>-5.5</v>
      </c>
      <c r="H58" s="84">
        <v>-0.81100000000000005</v>
      </c>
      <c r="I58" s="132">
        <f>-2.8-H58</f>
        <v>-1.9889999999999999</v>
      </c>
      <c r="J58" s="132">
        <v>0.7</v>
      </c>
      <c r="K58" s="132">
        <f t="shared" si="155"/>
        <v>-1.5000000000000004</v>
      </c>
      <c r="L58" s="214">
        <f>-0.2-3.4</f>
        <v>-3.6</v>
      </c>
      <c r="M58" s="214">
        <v>-0.57999999999999996</v>
      </c>
      <c r="N58" s="214">
        <v>-1.6</v>
      </c>
      <c r="O58" s="214">
        <v>0.1</v>
      </c>
      <c r="P58" s="214">
        <f>-2.4-O58-N58-M58</f>
        <v>-0.31999999999999995</v>
      </c>
      <c r="Q58" s="84">
        <f t="shared" si="161"/>
        <v>-2.4</v>
      </c>
      <c r="R58" s="214">
        <v>-1.4</v>
      </c>
      <c r="S58" s="214">
        <f>-1.981-R58</f>
        <v>-0.58100000000000018</v>
      </c>
      <c r="T58" s="214">
        <f>-2.994-S58-R58</f>
        <v>-1.0130000000000003</v>
      </c>
      <c r="U58" s="214">
        <f>V58-SUM(R58:T58)</f>
        <v>-0.85599999999999943</v>
      </c>
      <c r="V58" s="84">
        <f>-3.862+0.012</f>
        <v>-3.85</v>
      </c>
      <c r="W58" s="214">
        <v>-2.77</v>
      </c>
      <c r="X58" s="214">
        <f>-2.9-W58</f>
        <v>-0.12999999999999989</v>
      </c>
      <c r="Y58" s="214">
        <f>-4.323-X58-W58</f>
        <v>-1.4230000000000005</v>
      </c>
      <c r="Z58" s="84">
        <f>+Despesas!R45</f>
        <v>0</v>
      </c>
      <c r="AA58" s="84">
        <f>+Despesas!S45</f>
        <v>-4.3230000000000004</v>
      </c>
      <c r="AB58" s="84">
        <f>+Despesas!T45</f>
        <v>-4.467426644927599</v>
      </c>
      <c r="AC58" s="84">
        <f>+Despesas!U45</f>
        <v>-4.2137847402324118</v>
      </c>
      <c r="AD58" s="84">
        <f>+Despesas!V45</f>
        <v>-4.5503704328638621</v>
      </c>
      <c r="AE58" s="84">
        <f>+Despesas!W45</f>
        <v>-4.7148996389601594</v>
      </c>
      <c r="AF58" s="84">
        <f>+Despesas!X45</f>
        <v>-4.8210621872319184</v>
      </c>
      <c r="AG58" s="84">
        <f>+Despesas!Y45</f>
        <v>-5.249597182024468</v>
      </c>
      <c r="AH58" s="84">
        <f>+Despesas!Z45</f>
        <v>-5.7122317591744114</v>
      </c>
      <c r="AI58" s="84">
        <f>+Despesas!AA45</f>
        <v>-6.2156529081354801</v>
      </c>
      <c r="AJ58" s="84">
        <f>+Despesas!AB45</f>
        <v>-6.75334494355217</v>
      </c>
      <c r="AK58" s="84">
        <f>+Despesas!AC45</f>
        <v>-7.3293302214411638</v>
      </c>
      <c r="AL58" s="84">
        <f>+Despesas!AD45</f>
        <v>-7.9477005002077838</v>
      </c>
      <c r="AM58" s="84">
        <f>+Despesas!AE45</f>
        <v>-8.6109552778654042</v>
      </c>
      <c r="AN58" s="84">
        <f>+Despesas!AF45</f>
        <v>-9.1800853865896777</v>
      </c>
    </row>
    <row r="59" spans="1:40" s="2" customFormat="1"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</row>
    <row r="60" spans="1:40" s="142" customFormat="1">
      <c r="A60" s="142" t="s">
        <v>57</v>
      </c>
      <c r="B60" s="213">
        <f t="shared" ref="B60:L60" si="162">+B46+B48</f>
        <v>63.5</v>
      </c>
      <c r="C60" s="213">
        <f t="shared" si="162"/>
        <v>15.024000000000001</v>
      </c>
      <c r="D60" s="213">
        <f t="shared" si="162"/>
        <v>15.576000000000008</v>
      </c>
      <c r="E60" s="213">
        <f t="shared" si="162"/>
        <v>18.925999999999988</v>
      </c>
      <c r="F60" s="213">
        <f t="shared" ref="F60" si="163">+F46+F48</f>
        <v>15.288000000000011</v>
      </c>
      <c r="G60" s="213">
        <f t="shared" si="162"/>
        <v>64.814000000000021</v>
      </c>
      <c r="H60" s="213">
        <f t="shared" si="162"/>
        <v>16.724000000000004</v>
      </c>
      <c r="I60" s="213">
        <f t="shared" si="162"/>
        <v>14.280000000000008</v>
      </c>
      <c r="J60" s="213">
        <f t="shared" si="162"/>
        <v>17.740000000000009</v>
      </c>
      <c r="K60" s="213">
        <f t="shared" si="162"/>
        <v>20.713000000000015</v>
      </c>
      <c r="L60" s="213">
        <f t="shared" si="162"/>
        <v>69.456999999999965</v>
      </c>
      <c r="M60" s="213">
        <f t="shared" ref="M60:Q60" si="164">+M46+M48</f>
        <v>13.042999999999999</v>
      </c>
      <c r="N60" s="213">
        <f t="shared" si="164"/>
        <v>16.680000000000007</v>
      </c>
      <c r="O60" s="213">
        <f t="shared" si="164"/>
        <v>15.590000000000011</v>
      </c>
      <c r="P60" s="213">
        <f t="shared" si="164"/>
        <v>17.571999999999981</v>
      </c>
      <c r="Q60" s="213">
        <f t="shared" si="164"/>
        <v>62.885000000000019</v>
      </c>
      <c r="R60" s="213">
        <f t="shared" ref="R60:T60" si="165">+R46+R48</f>
        <v>16.900000000000013</v>
      </c>
      <c r="S60" s="213">
        <f t="shared" si="165"/>
        <v>31.239000000000004</v>
      </c>
      <c r="T60" s="213">
        <f t="shared" si="165"/>
        <v>19.556999999999988</v>
      </c>
      <c r="U60" s="213">
        <f>+U46+U48</f>
        <v>17.388000000000005</v>
      </c>
      <c r="V60" s="213">
        <f>+V46+V48</f>
        <v>85.085000000000036</v>
      </c>
      <c r="W60" s="213">
        <f>+W46+W48</f>
        <v>9.6110000000000042</v>
      </c>
      <c r="X60" s="213">
        <f>+X46+X48</f>
        <v>18.803000000000004</v>
      </c>
      <c r="Y60" s="213">
        <f t="shared" ref="Y60" si="166">+Y46+Y48</f>
        <v>15.087999999999994</v>
      </c>
      <c r="Z60" s="213">
        <f>+Z46+Z48</f>
        <v>27.143723742474293</v>
      </c>
      <c r="AA60" s="213">
        <f>+AA46+AA48</f>
        <v>70.875723742474293</v>
      </c>
      <c r="AB60" s="213">
        <f t="shared" ref="AB60:AN60" si="167">+AB46+AB48</f>
        <v>115.31300138268287</v>
      </c>
      <c r="AC60" s="213">
        <f t="shared" si="167"/>
        <v>144.39543152256925</v>
      </c>
      <c r="AD60" s="213">
        <f t="shared" si="167"/>
        <v>176.33860275538623</v>
      </c>
      <c r="AE60" s="213">
        <f t="shared" si="167"/>
        <v>204.87221770190999</v>
      </c>
      <c r="AF60" s="213">
        <f t="shared" si="167"/>
        <v>236.098811941544</v>
      </c>
      <c r="AG60" s="213">
        <f t="shared" si="167"/>
        <v>261.8516951510519</v>
      </c>
      <c r="AH60" s="213">
        <f t="shared" si="167"/>
        <v>292.46849654891105</v>
      </c>
      <c r="AI60" s="213">
        <f t="shared" si="167"/>
        <v>319.43281273249005</v>
      </c>
      <c r="AJ60" s="213">
        <f t="shared" si="167"/>
        <v>348.65176357524513</v>
      </c>
      <c r="AK60" s="213">
        <f t="shared" si="167"/>
        <v>382.48128732326552</v>
      </c>
      <c r="AL60" s="213">
        <f t="shared" si="167"/>
        <v>417.06560991587429</v>
      </c>
      <c r="AM60" s="213">
        <f t="shared" si="167"/>
        <v>453.84798666733201</v>
      </c>
      <c r="AN60" s="213">
        <f t="shared" si="167"/>
        <v>489.36615378571764</v>
      </c>
    </row>
    <row r="61" spans="1:40" s="2" customFormat="1">
      <c r="V61" s="216"/>
    </row>
    <row r="62" spans="1:40" s="2" customFormat="1">
      <c r="A62" s="217" t="str">
        <f>+A51</f>
        <v xml:space="preserve"> -- Depreciação e Amortização</v>
      </c>
      <c r="B62" s="218">
        <f t="shared" ref="B62:L62" si="168">-B51</f>
        <v>9.8000000000000007</v>
      </c>
      <c r="C62" s="218">
        <f t="shared" si="168"/>
        <v>3</v>
      </c>
      <c r="D62" s="218">
        <f t="shared" si="168"/>
        <v>3</v>
      </c>
      <c r="E62" s="218">
        <f t="shared" si="168"/>
        <v>2.8</v>
      </c>
      <c r="F62" s="218">
        <f t="shared" ref="F62" si="169">-F51</f>
        <v>4</v>
      </c>
      <c r="G62" s="218">
        <f t="shared" si="168"/>
        <v>12.8</v>
      </c>
      <c r="H62" s="218">
        <f t="shared" si="168"/>
        <v>3.6</v>
      </c>
      <c r="I62" s="218">
        <f t="shared" si="168"/>
        <v>3.6999999999999997</v>
      </c>
      <c r="J62" s="218">
        <f t="shared" si="168"/>
        <v>3.88</v>
      </c>
      <c r="K62" s="218">
        <f t="shared" si="168"/>
        <v>3.42</v>
      </c>
      <c r="L62" s="218">
        <f t="shared" si="168"/>
        <v>14.6</v>
      </c>
      <c r="M62" s="218">
        <f t="shared" ref="M62" si="170">-M51</f>
        <v>4.26</v>
      </c>
      <c r="N62" s="218">
        <f t="shared" ref="N62:O62" si="171">-N51</f>
        <v>4.3499999999999996</v>
      </c>
      <c r="O62" s="218">
        <f t="shared" si="171"/>
        <v>4.5999999999999996</v>
      </c>
      <c r="P62" s="218">
        <f t="shared" ref="P62:T62" si="172">-P51</f>
        <v>4.5900000000000016</v>
      </c>
      <c r="Q62" s="218">
        <f t="shared" ref="Q62:Q63" si="173">+SUM(M62:P62)</f>
        <v>17.8</v>
      </c>
      <c r="R62" s="218">
        <f t="shared" si="172"/>
        <v>5.0999999999999996</v>
      </c>
      <c r="S62" s="218">
        <f t="shared" si="172"/>
        <v>4.4730000000000008</v>
      </c>
      <c r="T62" s="218">
        <f t="shared" si="172"/>
        <v>4.456999999999999</v>
      </c>
      <c r="U62" s="218">
        <f>-U51</f>
        <v>6.4410000000000007</v>
      </c>
      <c r="V62" s="218">
        <f>-V51</f>
        <v>20.471</v>
      </c>
      <c r="W62" s="218">
        <f>-W51</f>
        <v>5.58</v>
      </c>
      <c r="X62" s="218">
        <f t="shared" ref="X62:Y62" si="174">-X51</f>
        <v>5.6449999999999996</v>
      </c>
      <c r="Y62" s="218">
        <f t="shared" si="174"/>
        <v>5.7200000000000006</v>
      </c>
      <c r="Z62" s="218">
        <f>-Z51</f>
        <v>5.7200000000000006</v>
      </c>
      <c r="AA62" s="218">
        <f>-AA51</f>
        <v>22.664999999999999</v>
      </c>
      <c r="AB62" s="218">
        <f t="shared" ref="AB62:AN62" si="175">-AB51</f>
        <v>22.770060748999999</v>
      </c>
      <c r="AC62" s="218">
        <f t="shared" si="175"/>
        <v>24.403481594020001</v>
      </c>
      <c r="AD62" s="218">
        <f t="shared" si="175"/>
        <v>25.976631962139599</v>
      </c>
      <c r="AE62" s="218">
        <f t="shared" si="175"/>
        <v>26.719919322896807</v>
      </c>
      <c r="AF62" s="218">
        <f t="shared" si="175"/>
        <v>27.442671841443371</v>
      </c>
      <c r="AG62" s="218">
        <f t="shared" si="175"/>
        <v>28.160622432639574</v>
      </c>
      <c r="AH62" s="218">
        <f t="shared" si="175"/>
        <v>29.423808038161106</v>
      </c>
      <c r="AI62" s="218">
        <f t="shared" si="175"/>
        <v>30.189300081266694</v>
      </c>
      <c r="AJ62" s="218">
        <f t="shared" si="175"/>
        <v>30.843883146140666</v>
      </c>
      <c r="AK62" s="218">
        <f t="shared" si="175"/>
        <v>31.353907801527402</v>
      </c>
      <c r="AL62" s="218">
        <f t="shared" si="175"/>
        <v>31.651364787895382</v>
      </c>
      <c r="AM62" s="218">
        <f t="shared" si="175"/>
        <v>32.294843661318055</v>
      </c>
      <c r="AN62" s="218">
        <f t="shared" si="175"/>
        <v>33.808410897851694</v>
      </c>
    </row>
    <row r="63" spans="1:40" s="2" customFormat="1">
      <c r="A63" s="220" t="str">
        <f>+A55</f>
        <v xml:space="preserve"> -- Serviços de manutenção em rodovias</v>
      </c>
      <c r="B63" s="84">
        <f t="shared" ref="B63:L63" si="176">-B55</f>
        <v>1.7</v>
      </c>
      <c r="C63" s="84">
        <f t="shared" si="176"/>
        <v>0.75600000000000001</v>
      </c>
      <c r="D63" s="84">
        <f t="shared" si="176"/>
        <v>0.74399999999999999</v>
      </c>
      <c r="E63" s="84">
        <f t="shared" si="176"/>
        <v>0.78</v>
      </c>
      <c r="F63" s="84">
        <f t="shared" si="176"/>
        <v>-0.88000000000000034</v>
      </c>
      <c r="G63" s="84">
        <f t="shared" si="176"/>
        <v>1.4</v>
      </c>
      <c r="H63" s="84">
        <f t="shared" si="176"/>
        <v>1.6950000000000001</v>
      </c>
      <c r="I63" s="84">
        <f t="shared" si="176"/>
        <v>1.7950000000000002</v>
      </c>
      <c r="J63" s="84">
        <f t="shared" si="176"/>
        <v>3.1</v>
      </c>
      <c r="K63" s="84">
        <f t="shared" si="176"/>
        <v>2.4000000000000004</v>
      </c>
      <c r="L63" s="84">
        <f t="shared" si="176"/>
        <v>8.99</v>
      </c>
      <c r="M63" s="84">
        <f>-M55</f>
        <v>4.2</v>
      </c>
      <c r="N63" s="84">
        <f>-N55</f>
        <v>4.3</v>
      </c>
      <c r="O63" s="84">
        <f>-O55</f>
        <v>4.4000000000000004</v>
      </c>
      <c r="P63" s="84">
        <f>-P55</f>
        <v>5.4999999999999991</v>
      </c>
      <c r="Q63" s="84">
        <f t="shared" si="173"/>
        <v>18.399999999999999</v>
      </c>
      <c r="R63" s="84">
        <f t="shared" ref="R63:V63" si="177">-R55</f>
        <v>5.6</v>
      </c>
      <c r="S63" s="84">
        <f t="shared" si="177"/>
        <v>-5.1859999999999999</v>
      </c>
      <c r="T63" s="84">
        <f t="shared" si="177"/>
        <v>5.1199999999999992</v>
      </c>
      <c r="U63" s="84">
        <f t="shared" si="177"/>
        <v>5.4410000000000007</v>
      </c>
      <c r="V63" s="84">
        <f t="shared" si="177"/>
        <v>10.975</v>
      </c>
      <c r="W63" s="84">
        <f>-W55</f>
        <v>7.28</v>
      </c>
      <c r="X63" s="84">
        <f t="shared" ref="X63:Y63" si="178">-X55</f>
        <v>4.8609999999999998</v>
      </c>
      <c r="Y63" s="84">
        <f t="shared" si="178"/>
        <v>9.0889999999999986</v>
      </c>
      <c r="Z63" s="84">
        <f>-Z55</f>
        <v>2.6949246389273718</v>
      </c>
      <c r="AA63" s="84">
        <f>-AA55</f>
        <v>23.694924638927372</v>
      </c>
      <c r="AB63" s="84">
        <f t="shared" ref="AB63:AN63" si="179">-AB55</f>
        <v>24.84486240165803</v>
      </c>
      <c r="AC63" s="84">
        <f t="shared" si="179"/>
        <v>28.125002750887663</v>
      </c>
      <c r="AD63" s="84">
        <f t="shared" si="179"/>
        <v>29.840841399268609</v>
      </c>
      <c r="AE63" s="84">
        <f t="shared" si="179"/>
        <v>31.439964423409659</v>
      </c>
      <c r="AF63" s="84">
        <f t="shared" si="179"/>
        <v>31.461930139551235</v>
      </c>
      <c r="AG63" s="84">
        <f t="shared" si="179"/>
        <v>33.196376231576849</v>
      </c>
      <c r="AH63" s="84">
        <f t="shared" si="179"/>
        <v>31.858454570726572</v>
      </c>
      <c r="AI63" s="84">
        <f t="shared" si="179"/>
        <v>37.485347660890611</v>
      </c>
      <c r="AJ63" s="84">
        <f t="shared" si="179"/>
        <v>43.305627435346217</v>
      </c>
      <c r="AK63" s="84">
        <f t="shared" si="179"/>
        <v>47.281546621148436</v>
      </c>
      <c r="AL63" s="84">
        <f t="shared" si="179"/>
        <v>53.626160269850324</v>
      </c>
      <c r="AM63" s="84">
        <f t="shared" si="179"/>
        <v>60.511404317492079</v>
      </c>
      <c r="AN63" s="84">
        <f t="shared" si="179"/>
        <v>60.811917499391122</v>
      </c>
    </row>
    <row r="64" spans="1:40" s="2" customFormat="1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1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0"/>
      <c r="AN64" s="220"/>
    </row>
    <row r="65" spans="1:40" s="142" customFormat="1">
      <c r="A65" s="222" t="s">
        <v>58</v>
      </c>
      <c r="B65" s="213">
        <f t="shared" ref="B65:L65" si="180">+B63+B62+B60</f>
        <v>75</v>
      </c>
      <c r="C65" s="213">
        <f t="shared" si="180"/>
        <v>18.78</v>
      </c>
      <c r="D65" s="213">
        <f t="shared" si="180"/>
        <v>19.320000000000007</v>
      </c>
      <c r="E65" s="213">
        <f t="shared" si="180"/>
        <v>22.505999999999986</v>
      </c>
      <c r="F65" s="213">
        <f t="shared" ref="F65" si="181">+F63+F62+F60</f>
        <v>18.408000000000012</v>
      </c>
      <c r="G65" s="213">
        <f t="shared" si="180"/>
        <v>79.014000000000024</v>
      </c>
      <c r="H65" s="213">
        <f t="shared" si="180"/>
        <v>22.019000000000005</v>
      </c>
      <c r="I65" s="223">
        <f t="shared" si="180"/>
        <v>19.775000000000009</v>
      </c>
      <c r="J65" s="223">
        <f t="shared" si="180"/>
        <v>24.72000000000001</v>
      </c>
      <c r="K65" s="223">
        <f t="shared" si="180"/>
        <v>26.533000000000015</v>
      </c>
      <c r="L65" s="223">
        <f t="shared" si="180"/>
        <v>93.046999999999969</v>
      </c>
      <c r="M65" s="223">
        <f t="shared" ref="M65:Q65" si="182">+M63+M62+M60</f>
        <v>21.503</v>
      </c>
      <c r="N65" s="223">
        <f t="shared" ref="N65:O65" si="183">+N63+N62+N60</f>
        <v>25.330000000000005</v>
      </c>
      <c r="O65" s="223">
        <f t="shared" si="183"/>
        <v>24.590000000000011</v>
      </c>
      <c r="P65" s="223">
        <f t="shared" ref="P65:T65" si="184">+P63+P62+P60</f>
        <v>27.661999999999981</v>
      </c>
      <c r="Q65" s="213">
        <f t="shared" si="182"/>
        <v>99.085000000000022</v>
      </c>
      <c r="R65" s="223">
        <f t="shared" si="184"/>
        <v>27.600000000000012</v>
      </c>
      <c r="S65" s="223">
        <f t="shared" si="184"/>
        <v>30.526000000000003</v>
      </c>
      <c r="T65" s="223">
        <f t="shared" si="184"/>
        <v>29.133999999999986</v>
      </c>
      <c r="U65" s="223">
        <f t="shared" ref="U65:W65" si="185">+U63+U62+U60</f>
        <v>29.270000000000007</v>
      </c>
      <c r="V65" s="213">
        <f>+V63+V62+V60</f>
        <v>116.53100000000003</v>
      </c>
      <c r="W65" s="213">
        <f t="shared" si="185"/>
        <v>22.471000000000004</v>
      </c>
      <c r="X65" s="213">
        <f t="shared" ref="X65:Y65" si="186">+X63+X62+X60</f>
        <v>29.309000000000005</v>
      </c>
      <c r="Y65" s="213">
        <f t="shared" si="186"/>
        <v>29.896999999999991</v>
      </c>
      <c r="Z65" s="213">
        <f>+Z63+Z62+Z60</f>
        <v>35.558648381401667</v>
      </c>
      <c r="AA65" s="213">
        <f>+AA63+AA62+AA60</f>
        <v>117.23564838140166</v>
      </c>
      <c r="AB65" s="213">
        <f t="shared" ref="AB65:AN65" si="187">+AB63+AB62+AB60</f>
        <v>162.9279245333409</v>
      </c>
      <c r="AC65" s="213">
        <f t="shared" si="187"/>
        <v>196.92391586747692</v>
      </c>
      <c r="AD65" s="213">
        <f t="shared" si="187"/>
        <v>232.15607611679445</v>
      </c>
      <c r="AE65" s="213">
        <f t="shared" si="187"/>
        <v>263.03210144821645</v>
      </c>
      <c r="AF65" s="213">
        <f t="shared" si="187"/>
        <v>295.00341392253858</v>
      </c>
      <c r="AG65" s="213">
        <f t="shared" si="187"/>
        <v>323.2086938152683</v>
      </c>
      <c r="AH65" s="213">
        <f t="shared" si="187"/>
        <v>353.75075915779871</v>
      </c>
      <c r="AI65" s="213">
        <f t="shared" si="187"/>
        <v>387.10746047464738</v>
      </c>
      <c r="AJ65" s="213">
        <f t="shared" si="187"/>
        <v>422.80127415673201</v>
      </c>
      <c r="AK65" s="213">
        <f t="shared" si="187"/>
        <v>461.11674174594134</v>
      </c>
      <c r="AL65" s="213">
        <f t="shared" si="187"/>
        <v>502.34313497362001</v>
      </c>
      <c r="AM65" s="213">
        <f t="shared" si="187"/>
        <v>546.65423464614219</v>
      </c>
      <c r="AN65" s="213">
        <f t="shared" si="187"/>
        <v>583.98648218296046</v>
      </c>
    </row>
    <row r="66" spans="1:40" s="2" customFormat="1">
      <c r="A66" s="224" t="s">
        <v>59</v>
      </c>
      <c r="B66" s="160">
        <f t="shared" ref="B66:M66" si="188">+B65/(B46-B42)</f>
        <v>0.5558849688704417</v>
      </c>
      <c r="C66" s="160">
        <f t="shared" si="188"/>
        <v>0.57962962962962961</v>
      </c>
      <c r="D66" s="160">
        <f t="shared" si="188"/>
        <v>0.55999999999999994</v>
      </c>
      <c r="E66" s="160">
        <f t="shared" si="188"/>
        <v>0.56567636857185932</v>
      </c>
      <c r="F66" s="160">
        <f t="shared" si="188"/>
        <v>0.47969979673737456</v>
      </c>
      <c r="G66" s="160">
        <f t="shared" si="188"/>
        <v>0.54469874534675311</v>
      </c>
      <c r="H66" s="160">
        <f t="shared" si="188"/>
        <v>0.60100444905423489</v>
      </c>
      <c r="I66" s="160">
        <f t="shared" si="188"/>
        <v>0.54084730465224429</v>
      </c>
      <c r="J66" s="160">
        <f t="shared" si="188"/>
        <v>0.58151023288637971</v>
      </c>
      <c r="K66" s="160">
        <f t="shared" si="188"/>
        <v>0.57655367231638444</v>
      </c>
      <c r="L66" s="160">
        <f t="shared" si="188"/>
        <v>0.57532306931305244</v>
      </c>
      <c r="M66" s="160">
        <f t="shared" si="188"/>
        <v>0.53397069778991801</v>
      </c>
      <c r="N66" s="160">
        <f t="shared" ref="N66:O66" si="189">+N65/(N46-N42)</f>
        <v>0.61331719128329309</v>
      </c>
      <c r="O66" s="160">
        <f t="shared" si="189"/>
        <v>0.52441885263382404</v>
      </c>
      <c r="P66" s="160">
        <f t="shared" ref="P66:T66" si="190">+P65/(P46-P42)</f>
        <v>0.59565030146425468</v>
      </c>
      <c r="Q66" s="160">
        <f t="shared" ref="Q66:AN66" si="191">+Q65/(Q46-Q42)</f>
        <v>0.56652372784448257</v>
      </c>
      <c r="R66" s="160">
        <f t="shared" si="190"/>
        <v>0.62727272727272743</v>
      </c>
      <c r="S66" s="160">
        <f t="shared" si="190"/>
        <v>0.64925452495905744</v>
      </c>
      <c r="T66" s="160">
        <f t="shared" si="190"/>
        <v>0.58656304737361309</v>
      </c>
      <c r="U66" s="160">
        <f t="shared" ref="U66:W66" si="192">+U65/(U46-U42)</f>
        <v>0.58474508550423543</v>
      </c>
      <c r="V66" s="160">
        <f>+V65/(V46-V42)</f>
        <v>0.61093198701918305</v>
      </c>
      <c r="W66" s="160">
        <f t="shared" si="192"/>
        <v>0.50433162761468719</v>
      </c>
      <c r="X66" s="160">
        <f t="shared" ref="X66:Y66" si="193">+X65/(X46-X42)</f>
        <v>0.61548961548961556</v>
      </c>
      <c r="Y66" s="160">
        <f t="shared" si="193"/>
        <v>0.5890105993143937</v>
      </c>
      <c r="Z66" s="160">
        <f>+Z65/(Z46-Z42)</f>
        <v>0.64409127345535355</v>
      </c>
      <c r="AA66" s="160">
        <f>+AA65/(AA46-AA42)</f>
        <v>0.59167947644812491</v>
      </c>
      <c r="AB66" s="160">
        <f>+AB65/(AB46-AB42)</f>
        <v>0.70306382296040526</v>
      </c>
      <c r="AC66" s="160">
        <f t="shared" si="191"/>
        <v>0.73747485069796814</v>
      </c>
      <c r="AD66" s="160">
        <f t="shared" si="191"/>
        <v>0.75770891706978438</v>
      </c>
      <c r="AE66" s="160">
        <f t="shared" si="191"/>
        <v>0.77192093204753709</v>
      </c>
      <c r="AF66" s="160">
        <f t="shared" si="191"/>
        <v>0.78376349799338441</v>
      </c>
      <c r="AG66" s="160">
        <f t="shared" si="191"/>
        <v>0.79027191063902646</v>
      </c>
      <c r="AH66" s="160">
        <f t="shared" si="191"/>
        <v>0.79644953747505853</v>
      </c>
      <c r="AI66" s="160">
        <f t="shared" si="191"/>
        <v>0.8024174336538914</v>
      </c>
      <c r="AJ66" s="160">
        <f t="shared" si="191"/>
        <v>0.80796563042902103</v>
      </c>
      <c r="AK66" s="160">
        <f t="shared" si="191"/>
        <v>0.81317343072505077</v>
      </c>
      <c r="AL66" s="160">
        <f t="shared" si="191"/>
        <v>0.81809787406182555</v>
      </c>
      <c r="AM66" s="160">
        <f t="shared" si="191"/>
        <v>0.82275468990025247</v>
      </c>
      <c r="AN66" s="160">
        <f t="shared" si="191"/>
        <v>0.82522226631554041</v>
      </c>
    </row>
    <row r="67" spans="1:40" s="2" customFormat="1">
      <c r="R67" s="225"/>
      <c r="S67" s="225"/>
      <c r="T67" s="225"/>
      <c r="U67" s="225"/>
      <c r="V67" s="216"/>
      <c r="W67" s="225"/>
      <c r="X67" s="225"/>
      <c r="Y67" s="225"/>
      <c r="Z67" s="225"/>
    </row>
    <row r="68" spans="1:40" s="142" customFormat="1">
      <c r="A68" s="142" t="s">
        <v>60</v>
      </c>
      <c r="B68" s="213">
        <f>+B69+B70</f>
        <v>-64.78</v>
      </c>
      <c r="C68" s="213">
        <f t="shared" ref="C68:V68" si="194">+C69+C70</f>
        <v>-19.349999999999998</v>
      </c>
      <c r="D68" s="213">
        <f t="shared" si="194"/>
        <v>-19.400000000000002</v>
      </c>
      <c r="E68" s="213">
        <f t="shared" si="194"/>
        <v>-20.799999999999997</v>
      </c>
      <c r="F68" s="213">
        <f t="shared" si="194"/>
        <v>-21.250000000000028</v>
      </c>
      <c r="G68" s="213">
        <f t="shared" si="194"/>
        <v>-80.800000000000011</v>
      </c>
      <c r="H68" s="213">
        <f t="shared" si="194"/>
        <v>-21.032</v>
      </c>
      <c r="I68" s="213">
        <f t="shared" si="194"/>
        <v>-22.72</v>
      </c>
      <c r="J68" s="213">
        <f t="shared" si="194"/>
        <v>-25.200000000000003</v>
      </c>
      <c r="K68" s="213">
        <f t="shared" si="194"/>
        <v>-9.1380000000000052</v>
      </c>
      <c r="L68" s="213">
        <f t="shared" si="194"/>
        <v>-78.09</v>
      </c>
      <c r="M68" s="213">
        <f t="shared" si="194"/>
        <v>-13.3</v>
      </c>
      <c r="N68" s="213">
        <f t="shared" si="194"/>
        <v>-36.1</v>
      </c>
      <c r="O68" s="213">
        <f t="shared" si="194"/>
        <v>-44.699999999999996</v>
      </c>
      <c r="P68" s="213">
        <f t="shared" si="194"/>
        <v>-23.900000000000009</v>
      </c>
      <c r="Q68" s="213">
        <f t="shared" ref="Q68" si="195">+Q69+Q70</f>
        <v>-118</v>
      </c>
      <c r="R68" s="213">
        <f t="shared" si="194"/>
        <v>-40.5</v>
      </c>
      <c r="S68" s="213">
        <f t="shared" si="194"/>
        <v>-44.590999999999994</v>
      </c>
      <c r="T68" s="213">
        <f t="shared" si="194"/>
        <v>-27.041000000000015</v>
      </c>
      <c r="U68" s="213">
        <f t="shared" si="194"/>
        <v>-37.164999999999992</v>
      </c>
      <c r="V68" s="213">
        <f t="shared" si="194"/>
        <v>-149.297</v>
      </c>
      <c r="W68" s="213">
        <f t="shared" ref="W68" si="196">+W69+W70</f>
        <v>-62.392000000000003</v>
      </c>
      <c r="X68" s="213">
        <f>+X69+X70</f>
        <v>-49.583999999999996</v>
      </c>
      <c r="Y68" s="213">
        <f>+Y69+Y70</f>
        <v>-39.123000000000012</v>
      </c>
      <c r="Z68" s="213">
        <f>+Z69+Z70</f>
        <v>-26.029265510977453</v>
      </c>
      <c r="AA68" s="213">
        <f>+AA69+AA70</f>
        <v>-177.12826551097749</v>
      </c>
      <c r="AB68" s="213">
        <f>+AB69+AB70</f>
        <v>-159.06511852723972</v>
      </c>
      <c r="AC68" s="213">
        <f t="shared" ref="AC68" si="197">+AC69+AC70</f>
        <v>-141.47278462577924</v>
      </c>
      <c r="AD68" s="213">
        <f t="shared" ref="AD68" si="198">+AD69+AD70</f>
        <v>-136.10993053009545</v>
      </c>
      <c r="AE68" s="213">
        <f t="shared" ref="AE68" si="199">+AE69+AE70</f>
        <v>-117.02258376314458</v>
      </c>
      <c r="AF68" s="213">
        <f t="shared" ref="AF68" si="200">+AF69+AF70</f>
        <v>-104.28848374824619</v>
      </c>
      <c r="AG68" s="213">
        <f t="shared" ref="AG68" si="201">+AG69+AG70</f>
        <v>-90.391470840561894</v>
      </c>
      <c r="AH68" s="213">
        <f t="shared" ref="AH68" si="202">+AH69+AH70</f>
        <v>-79.195022630111566</v>
      </c>
      <c r="AI68" s="213">
        <f t="shared" ref="AI68" si="203">+AI69+AI70</f>
        <v>-64.790688240128986</v>
      </c>
      <c r="AJ68" s="213">
        <f t="shared" ref="AJ68" si="204">+AJ69+AJ70</f>
        <v>-49.077895785425028</v>
      </c>
      <c r="AK68" s="213">
        <f t="shared" ref="AK68" si="205">+AK69+AK70</f>
        <v>-31.646936149202162</v>
      </c>
      <c r="AL68" s="213">
        <f t="shared" ref="AL68" si="206">+AL69+AL70</f>
        <v>-10.717892337046081</v>
      </c>
      <c r="AM68" s="213">
        <f t="shared" ref="AM68" si="207">+AM69+AM70</f>
        <v>11.683067526478609</v>
      </c>
      <c r="AN68" s="213">
        <f t="shared" ref="AN68" si="208">+AN69+AN70</f>
        <v>24.106454275255189</v>
      </c>
    </row>
    <row r="69" spans="1:40" s="2" customFormat="1">
      <c r="A69" s="2" t="s">
        <v>61</v>
      </c>
      <c r="B69" s="84">
        <v>-65.180000000000007</v>
      </c>
      <c r="C69" s="84">
        <v>1.87</v>
      </c>
      <c r="D69" s="84">
        <v>1.9</v>
      </c>
      <c r="E69" s="84">
        <v>2.1</v>
      </c>
      <c r="F69" s="84">
        <f t="shared" ref="F69:F70" si="209">+G69-SUM(C69:E69)</f>
        <v>-94.27000000000001</v>
      </c>
      <c r="G69" s="84">
        <v>-88.4</v>
      </c>
      <c r="H69" s="84">
        <v>0.66800000000000004</v>
      </c>
      <c r="I69" s="84">
        <v>1.48</v>
      </c>
      <c r="J69" s="84">
        <v>0.4</v>
      </c>
      <c r="K69" s="84">
        <f t="shared" ref="K69:K70" si="210">+L69-SUM(H69:J69)</f>
        <v>-90.418000000000006</v>
      </c>
      <c r="L69" s="84">
        <v>-87.87</v>
      </c>
      <c r="M69" s="84">
        <v>-17.100000000000001</v>
      </c>
      <c r="N69" s="84">
        <v>-39.4</v>
      </c>
      <c r="O69" s="84">
        <v>-55.8</v>
      </c>
      <c r="P69" s="84">
        <f>-140.4-O69-N69-M69</f>
        <v>-28.100000000000009</v>
      </c>
      <c r="Q69" s="84">
        <f>+P69+O69+N69+M69</f>
        <v>-140.4</v>
      </c>
      <c r="R69" s="84">
        <v>-48.8</v>
      </c>
      <c r="S69" s="84">
        <f>-103.987-R69</f>
        <v>-55.186999999999998</v>
      </c>
      <c r="T69" s="84">
        <f>-138.71-S69-R69</f>
        <v>-34.723000000000013</v>
      </c>
      <c r="U69" s="214">
        <f t="shared" ref="U69:U70" si="211">V69-SUM(R69:T69)</f>
        <v>-44.759999999999991</v>
      </c>
      <c r="V69" s="84">
        <v>-183.47</v>
      </c>
      <c r="W69" s="214">
        <v>-69.322000000000003</v>
      </c>
      <c r="X69" s="214">
        <f>-126.378-W69</f>
        <v>-57.055999999999997</v>
      </c>
      <c r="Y69" s="214">
        <f>-175.026-X69-W69</f>
        <v>-48.64800000000001</v>
      </c>
      <c r="Z69" s="84">
        <f>+Z175</f>
        <v>-36.663078635977449</v>
      </c>
      <c r="AA69" s="84">
        <f>+SUM(W69:Z69)</f>
        <v>-211.68907863597747</v>
      </c>
      <c r="AB69" s="84">
        <f>+AB175</f>
        <v>-197.14112081846613</v>
      </c>
      <c r="AC69" s="84">
        <f t="shared" ref="AC69:AN69" si="212">+AC175</f>
        <v>-177.58952135702248</v>
      </c>
      <c r="AD69" s="84">
        <f t="shared" si="212"/>
        <v>-174.61401785702247</v>
      </c>
      <c r="AE69" s="84">
        <f t="shared" si="212"/>
        <v>-162.03831425702239</v>
      </c>
      <c r="AF69" s="84">
        <f t="shared" si="212"/>
        <v>-153.95088530702242</v>
      </c>
      <c r="AG69" s="84">
        <f t="shared" si="212"/>
        <v>-144.7335446070224</v>
      </c>
      <c r="AH69" s="84">
        <f t="shared" si="212"/>
        <v>-134.11237415702237</v>
      </c>
      <c r="AI69" s="84">
        <f t="shared" si="212"/>
        <v>-121.10126915702239</v>
      </c>
      <c r="AJ69" s="84">
        <f t="shared" si="212"/>
        <v>-106.04947505702239</v>
      </c>
      <c r="AK69" s="84">
        <f t="shared" si="212"/>
        <v>-89.470588107022394</v>
      </c>
      <c r="AL69" s="84">
        <f t="shared" si="212"/>
        <v>-71.446783707022377</v>
      </c>
      <c r="AM69" s="84">
        <f t="shared" si="212"/>
        <v>-52.779272007022357</v>
      </c>
      <c r="AN69" s="84">
        <f t="shared" si="212"/>
        <v>-38.939565057022357</v>
      </c>
    </row>
    <row r="70" spans="1:40" s="2" customFormat="1">
      <c r="A70" s="2" t="s">
        <v>62</v>
      </c>
      <c r="B70" s="84">
        <v>0.4</v>
      </c>
      <c r="C70" s="84">
        <v>-21.22</v>
      </c>
      <c r="D70" s="84">
        <v>-21.3</v>
      </c>
      <c r="E70" s="84">
        <v>-22.9</v>
      </c>
      <c r="F70" s="84">
        <f t="shared" si="209"/>
        <v>73.019999999999982</v>
      </c>
      <c r="G70" s="84">
        <v>7.6</v>
      </c>
      <c r="H70" s="84">
        <v>-21.7</v>
      </c>
      <c r="I70" s="84">
        <v>-24.2</v>
      </c>
      <c r="J70" s="84">
        <v>-25.6</v>
      </c>
      <c r="K70" s="84">
        <f t="shared" si="210"/>
        <v>81.28</v>
      </c>
      <c r="L70" s="84">
        <v>9.7799999999999994</v>
      </c>
      <c r="M70" s="84">
        <v>3.8</v>
      </c>
      <c r="N70" s="84">
        <v>3.3</v>
      </c>
      <c r="O70" s="84">
        <v>11.1</v>
      </c>
      <c r="P70" s="84">
        <f>22.4-O70-N70-M70</f>
        <v>4.1999999999999993</v>
      </c>
      <c r="Q70" s="84">
        <f t="shared" ref="Q70" si="213">+SUM(M70:P70)</f>
        <v>22.4</v>
      </c>
      <c r="R70" s="84">
        <v>8.3000000000000007</v>
      </c>
      <c r="S70" s="84">
        <f>18.896-R70</f>
        <v>10.596</v>
      </c>
      <c r="T70" s="84">
        <f>26.578-S70-R70</f>
        <v>7.6819999999999986</v>
      </c>
      <c r="U70" s="214">
        <f t="shared" si="211"/>
        <v>7.5950000000000024</v>
      </c>
      <c r="V70" s="84">
        <v>34.173000000000002</v>
      </c>
      <c r="W70" s="214">
        <v>6.93</v>
      </c>
      <c r="X70" s="214">
        <f>14.402-W70</f>
        <v>7.4719999999999995</v>
      </c>
      <c r="Y70" s="214">
        <f>23.927-X70-W70</f>
        <v>9.5249999999999986</v>
      </c>
      <c r="Z70" s="84">
        <f>+Z171</f>
        <v>10.633813124999996</v>
      </c>
      <c r="AA70" s="84">
        <f>+AA171</f>
        <v>34.560813124999996</v>
      </c>
      <c r="AB70" s="84">
        <f>+AB171</f>
        <v>38.076002291226409</v>
      </c>
      <c r="AC70" s="84">
        <f t="shared" ref="AC70:AN70" si="214">+AC171</f>
        <v>36.11673673124325</v>
      </c>
      <c r="AD70" s="84">
        <f t="shared" si="214"/>
        <v>38.504087326927028</v>
      </c>
      <c r="AE70" s="84">
        <f t="shared" si="214"/>
        <v>45.015730493877811</v>
      </c>
      <c r="AF70" s="84">
        <f t="shared" si="214"/>
        <v>49.662401558776224</v>
      </c>
      <c r="AG70" s="84">
        <f t="shared" si="214"/>
        <v>54.342073766460501</v>
      </c>
      <c r="AH70" s="84">
        <f t="shared" si="214"/>
        <v>54.917351526910807</v>
      </c>
      <c r="AI70" s="84">
        <f t="shared" si="214"/>
        <v>56.3105809168934</v>
      </c>
      <c r="AJ70" s="84">
        <f t="shared" si="214"/>
        <v>56.971579271597363</v>
      </c>
      <c r="AK70" s="84">
        <f t="shared" si="214"/>
        <v>57.823651957820232</v>
      </c>
      <c r="AL70" s="84">
        <f t="shared" si="214"/>
        <v>60.728891369976296</v>
      </c>
      <c r="AM70" s="84">
        <f t="shared" si="214"/>
        <v>64.462339533500966</v>
      </c>
      <c r="AN70" s="84">
        <f t="shared" si="214"/>
        <v>63.046019332277545</v>
      </c>
    </row>
    <row r="71" spans="1:40" s="2" customFormat="1"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</row>
    <row r="72" spans="1:40" s="142" customFormat="1">
      <c r="A72" s="142" t="s">
        <v>63</v>
      </c>
      <c r="B72" s="213">
        <f t="shared" ref="B72:AN72" si="215">+B60+B68</f>
        <v>-1.2800000000000011</v>
      </c>
      <c r="C72" s="213">
        <f t="shared" si="215"/>
        <v>-4.325999999999997</v>
      </c>
      <c r="D72" s="213">
        <f t="shared" si="215"/>
        <v>-3.8239999999999945</v>
      </c>
      <c r="E72" s="213">
        <f t="shared" si="215"/>
        <v>-1.8740000000000094</v>
      </c>
      <c r="F72" s="213">
        <f t="shared" ref="F72" si="216">+F60+F68</f>
        <v>-5.9620000000000175</v>
      </c>
      <c r="G72" s="213">
        <f t="shared" si="215"/>
        <v>-15.98599999999999</v>
      </c>
      <c r="H72" s="213">
        <f t="shared" si="215"/>
        <v>-4.3079999999999963</v>
      </c>
      <c r="I72" s="213">
        <f t="shared" si="215"/>
        <v>-8.4399999999999906</v>
      </c>
      <c r="J72" s="213">
        <f t="shared" si="215"/>
        <v>-7.4599999999999937</v>
      </c>
      <c r="K72" s="213">
        <f t="shared" si="215"/>
        <v>11.57500000000001</v>
      </c>
      <c r="L72" s="213">
        <f t="shared" si="215"/>
        <v>-8.6330000000000382</v>
      </c>
      <c r="M72" s="213">
        <f t="shared" si="215"/>
        <v>-0.25700000000000145</v>
      </c>
      <c r="N72" s="213">
        <f t="shared" si="215"/>
        <v>-19.419999999999995</v>
      </c>
      <c r="O72" s="213">
        <f t="shared" si="215"/>
        <v>-29.109999999999985</v>
      </c>
      <c r="P72" s="213">
        <f t="shared" si="215"/>
        <v>-6.3280000000000278</v>
      </c>
      <c r="Q72" s="213">
        <f t="shared" si="215"/>
        <v>-55.114999999999981</v>
      </c>
      <c r="R72" s="213">
        <f t="shared" si="215"/>
        <v>-23.599999999999987</v>
      </c>
      <c r="S72" s="213">
        <f t="shared" si="215"/>
        <v>-13.35199999999999</v>
      </c>
      <c r="T72" s="213">
        <f t="shared" si="215"/>
        <v>-7.4840000000000266</v>
      </c>
      <c r="U72" s="213">
        <f t="shared" ref="U72:AA72" si="217">+U60+U68</f>
        <v>-19.776999999999987</v>
      </c>
      <c r="V72" s="213">
        <f t="shared" si="217"/>
        <v>-64.211999999999961</v>
      </c>
      <c r="W72" s="213">
        <f t="shared" si="217"/>
        <v>-52.780999999999999</v>
      </c>
      <c r="X72" s="213">
        <f t="shared" si="217"/>
        <v>-30.780999999999992</v>
      </c>
      <c r="Y72" s="213">
        <f t="shared" si="217"/>
        <v>-24.035000000000018</v>
      </c>
      <c r="Z72" s="213">
        <f>+Z60+Z68</f>
        <v>1.1144582314968403</v>
      </c>
      <c r="AA72" s="213">
        <f t="shared" si="217"/>
        <v>-106.25254176850319</v>
      </c>
      <c r="AB72" s="213">
        <f t="shared" si="215"/>
        <v>-43.752117144556848</v>
      </c>
      <c r="AC72" s="213">
        <f t="shared" si="215"/>
        <v>2.9226468967900132</v>
      </c>
      <c r="AD72" s="213">
        <f t="shared" si="215"/>
        <v>40.228672225290779</v>
      </c>
      <c r="AE72" s="213">
        <f t="shared" si="215"/>
        <v>87.849633938765407</v>
      </c>
      <c r="AF72" s="213">
        <f t="shared" si="215"/>
        <v>131.81032819329781</v>
      </c>
      <c r="AG72" s="213">
        <f t="shared" si="215"/>
        <v>171.46022431048999</v>
      </c>
      <c r="AH72" s="213">
        <f t="shared" si="215"/>
        <v>213.27347391879948</v>
      </c>
      <c r="AI72" s="213">
        <f t="shared" si="215"/>
        <v>254.64212449236106</v>
      </c>
      <c r="AJ72" s="213">
        <f t="shared" si="215"/>
        <v>299.5738677898201</v>
      </c>
      <c r="AK72" s="213">
        <f t="shared" si="215"/>
        <v>350.83435117406339</v>
      </c>
      <c r="AL72" s="213">
        <f t="shared" si="215"/>
        <v>406.34771757882822</v>
      </c>
      <c r="AM72" s="213">
        <f t="shared" si="215"/>
        <v>465.53105419381063</v>
      </c>
      <c r="AN72" s="213">
        <f t="shared" si="215"/>
        <v>513.47260806097279</v>
      </c>
    </row>
    <row r="73" spans="1:40" s="2" customFormat="1"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</row>
    <row r="74" spans="1:40" s="2" customFormat="1">
      <c r="A74" s="142" t="s">
        <v>64</v>
      </c>
      <c r="B74" s="213">
        <f t="shared" ref="B74:U74" si="218">+B75+B76</f>
        <v>0.40900000000000003</v>
      </c>
      <c r="C74" s="213">
        <f t="shared" si="218"/>
        <v>1.6</v>
      </c>
      <c r="D74" s="213">
        <f t="shared" si="218"/>
        <v>1.1000000000000001</v>
      </c>
      <c r="E74" s="213">
        <f t="shared" si="218"/>
        <v>0.6</v>
      </c>
      <c r="F74" s="213">
        <f t="shared" si="218"/>
        <v>1.6999999999999997</v>
      </c>
      <c r="G74" s="213">
        <f t="shared" si="218"/>
        <v>5</v>
      </c>
      <c r="H74" s="213">
        <f t="shared" si="218"/>
        <v>1.3</v>
      </c>
      <c r="I74" s="213">
        <f t="shared" si="218"/>
        <v>2.77</v>
      </c>
      <c r="J74" s="213">
        <f t="shared" si="218"/>
        <v>2.77</v>
      </c>
      <c r="K74" s="213">
        <f t="shared" si="218"/>
        <v>-5.8730000000000002</v>
      </c>
      <c r="L74" s="213">
        <f t="shared" si="218"/>
        <v>0.96699999999999997</v>
      </c>
      <c r="M74" s="213">
        <f t="shared" si="218"/>
        <v>0</v>
      </c>
      <c r="N74" s="213">
        <f t="shared" si="218"/>
        <v>6.3</v>
      </c>
      <c r="O74" s="213">
        <f t="shared" si="218"/>
        <v>14.4</v>
      </c>
      <c r="P74" s="213">
        <f t="shared" si="218"/>
        <v>-1.8999999999999995</v>
      </c>
      <c r="Q74" s="213">
        <f t="shared" ref="Q74" si="219">+Q75+Q76</f>
        <v>18.8</v>
      </c>
      <c r="R74" s="213">
        <f t="shared" si="218"/>
        <v>5.8</v>
      </c>
      <c r="S74" s="213">
        <f t="shared" si="218"/>
        <v>4.4330000000000007</v>
      </c>
      <c r="T74" s="213">
        <f t="shared" si="218"/>
        <v>2.767999999999998</v>
      </c>
      <c r="U74" s="213">
        <f t="shared" si="218"/>
        <v>6.1880000000000024</v>
      </c>
      <c r="V74" s="213">
        <f>+V75+V76</f>
        <v>19.189</v>
      </c>
      <c r="W74" s="213">
        <f t="shared" ref="W74" si="220">+W75+W76</f>
        <v>17.495999999999999</v>
      </c>
      <c r="X74" s="213">
        <f>+X75+X76</f>
        <v>10.425000000000001</v>
      </c>
      <c r="Y74" s="213">
        <f>+Y75+Y76</f>
        <v>8.1000000000000014</v>
      </c>
      <c r="Z74" s="213">
        <f>+Z75+Z76</f>
        <v>0</v>
      </c>
      <c r="AA74" s="213">
        <f>+AA75+AA76</f>
        <v>0</v>
      </c>
      <c r="AB74" s="213">
        <f t="shared" ref="AB74" si="221">+AB75+AB76</f>
        <v>14.875719829149329</v>
      </c>
      <c r="AC74" s="213">
        <f t="shared" ref="AC74" si="222">+AC75+AC76</f>
        <v>0</v>
      </c>
      <c r="AD74" s="213">
        <f t="shared" ref="AD74" si="223">+AD75+AD76</f>
        <v>0</v>
      </c>
      <c r="AE74" s="213">
        <f t="shared" ref="AE74" si="224">+AE75+AE76</f>
        <v>0</v>
      </c>
      <c r="AF74" s="213">
        <f t="shared" ref="AF74" si="225">+AF75+AF76</f>
        <v>-22.707315778801924</v>
      </c>
      <c r="AG74" s="213">
        <f t="shared" ref="AG74" si="226">+AG75+AG76</f>
        <v>-58.296476265566604</v>
      </c>
      <c r="AH74" s="213">
        <f t="shared" ref="AH74" si="227">+AH75+AH76</f>
        <v>-72.512981132391829</v>
      </c>
      <c r="AI74" s="213">
        <f t="shared" ref="AI74" si="228">+AI75+AI76</f>
        <v>-86.578322327402773</v>
      </c>
      <c r="AJ74" s="213">
        <f t="shared" ref="AJ74" si="229">+AJ75+AJ76</f>
        <v>-101.85511504853883</v>
      </c>
      <c r="AK74" s="213">
        <f t="shared" ref="AK74" si="230">+AK75+AK76</f>
        <v>-119.28367939918157</v>
      </c>
      <c r="AL74" s="213">
        <f t="shared" ref="AL74" si="231">+AL75+AL76</f>
        <v>-138.15822397680159</v>
      </c>
      <c r="AM74" s="213">
        <f t="shared" ref="AM74" si="232">+AM75+AM76</f>
        <v>-158.28055842589563</v>
      </c>
      <c r="AN74" s="213">
        <f t="shared" ref="AN74" si="233">+AN75+AN76</f>
        <v>-174.58068674073075</v>
      </c>
    </row>
    <row r="75" spans="1:40" s="2" customFormat="1">
      <c r="A75" s="2" t="s">
        <v>65</v>
      </c>
      <c r="B75" s="84">
        <v>-0.372</v>
      </c>
      <c r="C75" s="84">
        <v>1.6</v>
      </c>
      <c r="D75" s="84">
        <v>1.1000000000000001</v>
      </c>
      <c r="E75" s="84">
        <v>0.6</v>
      </c>
      <c r="F75" s="84">
        <f t="shared" ref="F75:F76" si="234">+G75-SUM(C75:E75)</f>
        <v>-3.3000000000000003</v>
      </c>
      <c r="G75" s="84">
        <v>0</v>
      </c>
      <c r="H75" s="84">
        <v>1.3</v>
      </c>
      <c r="I75" s="84">
        <v>2.77</v>
      </c>
      <c r="J75" s="84">
        <v>2.77</v>
      </c>
      <c r="K75" s="84">
        <f t="shared" ref="K75:K76" si="235">+L75-SUM(H75:J75)</f>
        <v>-6.84</v>
      </c>
      <c r="L75" s="84">
        <v>0</v>
      </c>
      <c r="M75" s="84">
        <v>0</v>
      </c>
      <c r="N75" s="84">
        <v>6.3</v>
      </c>
      <c r="O75" s="84">
        <v>14.4</v>
      </c>
      <c r="P75" s="84">
        <f>18.8-O75-N75-M75</f>
        <v>-1.8999999999999995</v>
      </c>
      <c r="Q75" s="84">
        <f>+SUM(M75:P75)</f>
        <v>18.8</v>
      </c>
      <c r="R75" s="84">
        <v>5.8</v>
      </c>
      <c r="S75" s="84">
        <f>10.233-R75</f>
        <v>4.4330000000000007</v>
      </c>
      <c r="T75" s="84">
        <f>13.001-S75-R75</f>
        <v>2.767999999999998</v>
      </c>
      <c r="U75" s="214">
        <f t="shared" ref="U75:U76" si="236">V75-SUM(R75:T75)</f>
        <v>6.1880000000000024</v>
      </c>
      <c r="V75" s="84">
        <v>19.189</v>
      </c>
      <c r="W75" s="214">
        <v>17.495999999999999</v>
      </c>
      <c r="X75" s="214">
        <f>27.921-W75</f>
        <v>10.425000000000001</v>
      </c>
      <c r="Y75" s="214">
        <f>36.021-X75-W75</f>
        <v>8.1000000000000014</v>
      </c>
      <c r="Z75" s="84">
        <f>IF(Z195&lt;0,0,-Z195)</f>
        <v>0</v>
      </c>
      <c r="AA75" s="84">
        <f>IF(AA195&lt;0,0,-AA195)</f>
        <v>0</v>
      </c>
      <c r="AB75" s="84">
        <f t="shared" ref="AB75:AN75" si="237">IF(AB195&lt;0,0,-AB195)</f>
        <v>0</v>
      </c>
      <c r="AC75" s="84">
        <f t="shared" si="237"/>
        <v>0</v>
      </c>
      <c r="AD75" s="84">
        <f t="shared" si="237"/>
        <v>0</v>
      </c>
      <c r="AE75" s="84">
        <f t="shared" si="237"/>
        <v>0</v>
      </c>
      <c r="AF75" s="84">
        <f t="shared" si="237"/>
        <v>-22.707315778801924</v>
      </c>
      <c r="AG75" s="84">
        <f t="shared" si="237"/>
        <v>-58.296476265566604</v>
      </c>
      <c r="AH75" s="84">
        <f t="shared" si="237"/>
        <v>-72.512981132391829</v>
      </c>
      <c r="AI75" s="84">
        <f t="shared" si="237"/>
        <v>-86.578322327402773</v>
      </c>
      <c r="AJ75" s="84">
        <f t="shared" si="237"/>
        <v>-101.85511504853883</v>
      </c>
      <c r="AK75" s="84">
        <f t="shared" si="237"/>
        <v>-119.28367939918157</v>
      </c>
      <c r="AL75" s="84">
        <f t="shared" si="237"/>
        <v>-138.15822397680159</v>
      </c>
      <c r="AM75" s="84">
        <f t="shared" si="237"/>
        <v>-158.28055842589563</v>
      </c>
      <c r="AN75" s="84">
        <f t="shared" si="237"/>
        <v>-174.58068674073075</v>
      </c>
    </row>
    <row r="76" spans="1:40" s="2" customFormat="1">
      <c r="A76" s="2" t="s">
        <v>66</v>
      </c>
      <c r="B76" s="84">
        <v>0.78100000000000003</v>
      </c>
      <c r="C76" s="84">
        <v>0</v>
      </c>
      <c r="D76" s="84">
        <v>0</v>
      </c>
      <c r="E76" s="84">
        <v>0</v>
      </c>
      <c r="F76" s="84">
        <f t="shared" si="234"/>
        <v>5</v>
      </c>
      <c r="G76" s="84">
        <v>5</v>
      </c>
      <c r="H76" s="84">
        <v>0</v>
      </c>
      <c r="I76" s="84">
        <v>0</v>
      </c>
      <c r="J76" s="84">
        <v>0</v>
      </c>
      <c r="K76" s="84">
        <f t="shared" si="235"/>
        <v>0.96699999999999997</v>
      </c>
      <c r="L76" s="84">
        <v>0.96699999999999997</v>
      </c>
      <c r="M76" s="84">
        <v>0</v>
      </c>
      <c r="N76" s="84">
        <v>0</v>
      </c>
      <c r="O76" s="84">
        <v>0</v>
      </c>
      <c r="P76" s="84">
        <v>0</v>
      </c>
      <c r="Q76" s="84">
        <f>+SUM(M76:P76)</f>
        <v>0</v>
      </c>
      <c r="R76" s="84">
        <v>0</v>
      </c>
      <c r="S76" s="84">
        <v>0</v>
      </c>
      <c r="T76" s="84">
        <v>0</v>
      </c>
      <c r="U76" s="214">
        <f t="shared" si="236"/>
        <v>0</v>
      </c>
      <c r="V76" s="84">
        <v>0</v>
      </c>
      <c r="W76" s="214">
        <v>0</v>
      </c>
      <c r="X76" s="214">
        <v>0</v>
      </c>
      <c r="Y76" s="214">
        <v>0</v>
      </c>
      <c r="Z76" s="84">
        <f>+Z197</f>
        <v>0</v>
      </c>
      <c r="AA76" s="84">
        <f>+AA197</f>
        <v>0</v>
      </c>
      <c r="AB76" s="84">
        <f t="shared" ref="AB76:AN76" si="238">+AB197</f>
        <v>14.875719829149329</v>
      </c>
      <c r="AC76" s="84">
        <f t="shared" si="238"/>
        <v>0</v>
      </c>
      <c r="AD76" s="84">
        <f t="shared" si="238"/>
        <v>0</v>
      </c>
      <c r="AE76" s="84">
        <f t="shared" si="238"/>
        <v>0</v>
      </c>
      <c r="AF76" s="84">
        <f t="shared" si="238"/>
        <v>0</v>
      </c>
      <c r="AG76" s="84">
        <f t="shared" si="238"/>
        <v>0</v>
      </c>
      <c r="AH76" s="84">
        <f t="shared" si="238"/>
        <v>0</v>
      </c>
      <c r="AI76" s="84">
        <f t="shared" si="238"/>
        <v>0</v>
      </c>
      <c r="AJ76" s="84">
        <f t="shared" si="238"/>
        <v>0</v>
      </c>
      <c r="AK76" s="84">
        <f t="shared" si="238"/>
        <v>0</v>
      </c>
      <c r="AL76" s="84">
        <f t="shared" si="238"/>
        <v>0</v>
      </c>
      <c r="AM76" s="84">
        <f t="shared" si="238"/>
        <v>0</v>
      </c>
      <c r="AN76" s="84">
        <f t="shared" si="238"/>
        <v>0</v>
      </c>
    </row>
    <row r="77" spans="1:40" s="2" customFormat="1"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</row>
    <row r="78" spans="1:40" s="2" customFormat="1" ht="15.75" thickBot="1">
      <c r="A78" s="226" t="s">
        <v>67</v>
      </c>
      <c r="B78" s="227">
        <f t="shared" ref="B78:AN78" si="239">+B72+B74</f>
        <v>-0.87100000000000111</v>
      </c>
      <c r="C78" s="227">
        <f t="shared" si="239"/>
        <v>-2.7259999999999969</v>
      </c>
      <c r="D78" s="227">
        <f t="shared" si="239"/>
        <v>-2.7239999999999944</v>
      </c>
      <c r="E78" s="227">
        <f t="shared" si="239"/>
        <v>-1.2740000000000093</v>
      </c>
      <c r="F78" s="227">
        <f t="shared" ref="F78" si="240">+F72+F74</f>
        <v>-4.2620000000000182</v>
      </c>
      <c r="G78" s="227">
        <f t="shared" si="239"/>
        <v>-10.98599999999999</v>
      </c>
      <c r="H78" s="227">
        <f t="shared" si="239"/>
        <v>-3.0079999999999965</v>
      </c>
      <c r="I78" s="227">
        <f t="shared" si="239"/>
        <v>-5.669999999999991</v>
      </c>
      <c r="J78" s="227">
        <f t="shared" si="239"/>
        <v>-4.6899999999999942</v>
      </c>
      <c r="K78" s="227">
        <f t="shared" si="239"/>
        <v>5.7020000000000097</v>
      </c>
      <c r="L78" s="227">
        <f t="shared" si="239"/>
        <v>-7.6660000000000386</v>
      </c>
      <c r="M78" s="227">
        <f t="shared" si="239"/>
        <v>-0.25700000000000145</v>
      </c>
      <c r="N78" s="227">
        <f t="shared" si="239"/>
        <v>-13.119999999999994</v>
      </c>
      <c r="O78" s="227">
        <f t="shared" si="239"/>
        <v>-14.709999999999985</v>
      </c>
      <c r="P78" s="227">
        <f t="shared" si="239"/>
        <v>-8.2280000000000264</v>
      </c>
      <c r="Q78" s="227">
        <f t="shared" si="239"/>
        <v>-36.314999999999984</v>
      </c>
      <c r="R78" s="227">
        <f t="shared" si="239"/>
        <v>-17.799999999999986</v>
      </c>
      <c r="S78" s="227">
        <f t="shared" si="239"/>
        <v>-8.9189999999999898</v>
      </c>
      <c r="T78" s="227">
        <f t="shared" ref="T78:AA78" si="241">+T72+T74</f>
        <v>-4.7160000000000286</v>
      </c>
      <c r="U78" s="227">
        <f t="shared" si="241"/>
        <v>-13.588999999999984</v>
      </c>
      <c r="V78" s="227">
        <f t="shared" si="241"/>
        <v>-45.022999999999961</v>
      </c>
      <c r="W78" s="227">
        <f t="shared" si="241"/>
        <v>-35.284999999999997</v>
      </c>
      <c r="X78" s="227">
        <f t="shared" si="241"/>
        <v>-20.355999999999991</v>
      </c>
      <c r="Y78" s="227">
        <f t="shared" si="241"/>
        <v>-15.935000000000016</v>
      </c>
      <c r="Z78" s="227">
        <f>+Z72+Z74</f>
        <v>1.1144582314968403</v>
      </c>
      <c r="AA78" s="227">
        <f t="shared" si="241"/>
        <v>-106.25254176850319</v>
      </c>
      <c r="AB78" s="227">
        <f t="shared" si="239"/>
        <v>-28.87639731540752</v>
      </c>
      <c r="AC78" s="227">
        <f t="shared" si="239"/>
        <v>2.9226468967900132</v>
      </c>
      <c r="AD78" s="227">
        <f t="shared" si="239"/>
        <v>40.228672225290779</v>
      </c>
      <c r="AE78" s="227">
        <f t="shared" si="239"/>
        <v>87.849633938765407</v>
      </c>
      <c r="AF78" s="227">
        <f t="shared" si="239"/>
        <v>109.10301241449588</v>
      </c>
      <c r="AG78" s="227">
        <f t="shared" si="239"/>
        <v>113.16374804492338</v>
      </c>
      <c r="AH78" s="227">
        <f t="shared" si="239"/>
        <v>140.76049278640767</v>
      </c>
      <c r="AI78" s="227">
        <f t="shared" si="239"/>
        <v>168.0638021649583</v>
      </c>
      <c r="AJ78" s="227">
        <f t="shared" si="239"/>
        <v>197.71875274128126</v>
      </c>
      <c r="AK78" s="227">
        <f t="shared" si="239"/>
        <v>231.55067177488183</v>
      </c>
      <c r="AL78" s="227">
        <f t="shared" si="239"/>
        <v>268.18949360202663</v>
      </c>
      <c r="AM78" s="227">
        <f t="shared" si="239"/>
        <v>307.25049576791503</v>
      </c>
      <c r="AN78" s="227">
        <f t="shared" si="239"/>
        <v>338.89192132024203</v>
      </c>
    </row>
    <row r="79" spans="1:40" s="2" customFormat="1"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</row>
    <row r="80" spans="1:40" s="2" customFormat="1">
      <c r="A80" s="2" t="s">
        <v>237</v>
      </c>
      <c r="B80" s="84"/>
      <c r="C80" s="84"/>
      <c r="D80" s="84"/>
      <c r="E80" s="84"/>
      <c r="F80" s="84"/>
      <c r="G80" s="84"/>
      <c r="H80" s="84"/>
      <c r="I80" s="84"/>
      <c r="J80" s="84"/>
      <c r="K80" s="192">
        <f>7.75-6.3</f>
        <v>1.4500000000000002</v>
      </c>
      <c r="L80" s="84"/>
      <c r="M80" s="84"/>
      <c r="N80" s="84"/>
      <c r="O80" s="132">
        <f>326/AA92</f>
        <v>3.6400976314605473</v>
      </c>
      <c r="P80" s="132"/>
      <c r="Q80" s="228"/>
      <c r="R80" s="84"/>
      <c r="S80" s="84"/>
      <c r="T80" s="84"/>
      <c r="U80" s="84"/>
      <c r="V80" s="229"/>
      <c r="W80" s="84"/>
      <c r="X80" s="84"/>
      <c r="Y80" s="84"/>
      <c r="Z80" s="84"/>
      <c r="AA80" s="228"/>
      <c r="AB80" s="228"/>
      <c r="AC80" s="228"/>
      <c r="AD80" s="228"/>
      <c r="AE80" s="228">
        <v>0.25</v>
      </c>
      <c r="AF80" s="228">
        <v>0.25</v>
      </c>
      <c r="AG80" s="228">
        <v>0.25</v>
      </c>
      <c r="AH80" s="228">
        <v>0.25</v>
      </c>
      <c r="AI80" s="228">
        <v>0.25</v>
      </c>
      <c r="AJ80" s="228">
        <f>+AI80</f>
        <v>0.25</v>
      </c>
      <c r="AK80" s="228">
        <f>+AJ80</f>
        <v>0.25</v>
      </c>
      <c r="AL80" s="228">
        <f>+AK80</f>
        <v>0.25</v>
      </c>
      <c r="AM80" s="228">
        <f>+AL80</f>
        <v>0.25</v>
      </c>
      <c r="AN80" s="228">
        <f>+AM80</f>
        <v>0.25</v>
      </c>
    </row>
    <row r="81" spans="1:45" s="34" customFormat="1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314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5" s="142" customFormat="1">
      <c r="A82" s="138" t="s">
        <v>90</v>
      </c>
      <c r="B82" s="155">
        <f>+B38</f>
        <v>2010</v>
      </c>
      <c r="C82" s="86" t="str">
        <f t="shared" ref="C82:T82" si="242">+C38</f>
        <v>1T11</v>
      </c>
      <c r="D82" s="86" t="str">
        <f t="shared" si="242"/>
        <v>2T11</v>
      </c>
      <c r="E82" s="86" t="str">
        <f t="shared" si="242"/>
        <v>3T11</v>
      </c>
      <c r="F82" s="86" t="str">
        <f t="shared" si="242"/>
        <v>4T11</v>
      </c>
      <c r="G82" s="155">
        <f t="shared" si="242"/>
        <v>2011</v>
      </c>
      <c r="H82" s="86" t="str">
        <f t="shared" si="242"/>
        <v>1T12</v>
      </c>
      <c r="I82" s="86" t="str">
        <f t="shared" si="242"/>
        <v>2T12</v>
      </c>
      <c r="J82" s="86" t="str">
        <f t="shared" si="242"/>
        <v>3T12</v>
      </c>
      <c r="K82" s="86" t="str">
        <f t="shared" si="242"/>
        <v>4T12</v>
      </c>
      <c r="L82" s="155">
        <f t="shared" si="242"/>
        <v>2012</v>
      </c>
      <c r="M82" s="86" t="str">
        <f t="shared" si="242"/>
        <v>1T13</v>
      </c>
      <c r="N82" s="86" t="str">
        <f t="shared" si="242"/>
        <v>2T13</v>
      </c>
      <c r="O82" s="86" t="str">
        <f t="shared" si="242"/>
        <v>3T13</v>
      </c>
      <c r="P82" s="86" t="str">
        <f t="shared" si="242"/>
        <v>4T13</v>
      </c>
      <c r="Q82" s="155">
        <f t="shared" ref="Q82:AN82" si="243">+Q38</f>
        <v>2013</v>
      </c>
      <c r="R82" s="86" t="str">
        <f t="shared" si="242"/>
        <v>1T14</v>
      </c>
      <c r="S82" s="86" t="str">
        <f t="shared" si="242"/>
        <v>2T14</v>
      </c>
      <c r="T82" s="86" t="str">
        <f t="shared" si="242"/>
        <v>3T14</v>
      </c>
      <c r="U82" s="86" t="str">
        <f t="shared" ref="U82:W82" si="244">+U38</f>
        <v>4T14</v>
      </c>
      <c r="V82" s="155">
        <f t="shared" si="243"/>
        <v>2014</v>
      </c>
      <c r="W82" s="86" t="str">
        <f t="shared" si="244"/>
        <v>1T15</v>
      </c>
      <c r="X82" s="86" t="str">
        <f t="shared" ref="X82:Y82" si="245">+X38</f>
        <v>2T15</v>
      </c>
      <c r="Y82" s="86" t="str">
        <f t="shared" si="245"/>
        <v>3T15</v>
      </c>
      <c r="Z82" s="86" t="str">
        <f>+Z38</f>
        <v>4T15E</v>
      </c>
      <c r="AA82" s="155" t="str">
        <f t="shared" si="243"/>
        <v>2015E</v>
      </c>
      <c r="AB82" s="155" t="str">
        <f t="shared" si="243"/>
        <v>2016E</v>
      </c>
      <c r="AC82" s="155" t="str">
        <f t="shared" si="243"/>
        <v>2017E</v>
      </c>
      <c r="AD82" s="155" t="str">
        <f t="shared" si="243"/>
        <v>2018E</v>
      </c>
      <c r="AE82" s="155" t="str">
        <f t="shared" si="243"/>
        <v>2019E</v>
      </c>
      <c r="AF82" s="155" t="str">
        <f t="shared" si="243"/>
        <v>2020E</v>
      </c>
      <c r="AG82" s="155" t="str">
        <f t="shared" si="243"/>
        <v>2021E</v>
      </c>
      <c r="AH82" s="155" t="str">
        <f t="shared" si="243"/>
        <v>2022E</v>
      </c>
      <c r="AI82" s="155" t="str">
        <f t="shared" si="243"/>
        <v>2023E</v>
      </c>
      <c r="AJ82" s="155" t="str">
        <f t="shared" si="243"/>
        <v>2024E</v>
      </c>
      <c r="AK82" s="155" t="str">
        <f t="shared" si="243"/>
        <v>2025E</v>
      </c>
      <c r="AL82" s="155" t="str">
        <f t="shared" si="243"/>
        <v>2026E</v>
      </c>
      <c r="AM82" s="155" t="str">
        <f t="shared" si="243"/>
        <v>2027E</v>
      </c>
      <c r="AN82" s="155" t="str">
        <f t="shared" si="243"/>
        <v>2028E</v>
      </c>
    </row>
    <row r="83" spans="1:45" s="2" customFormat="1">
      <c r="A83" s="142" t="str">
        <f>+A16</f>
        <v>Intangível</v>
      </c>
      <c r="B83" s="104">
        <f>+B16</f>
        <v>715.8</v>
      </c>
      <c r="C83" s="104">
        <f t="shared" ref="C83:P83" si="246">+C16</f>
        <v>716.49</v>
      </c>
      <c r="D83" s="104">
        <f t="shared" si="246"/>
        <v>755.35</v>
      </c>
      <c r="E83" s="104">
        <f t="shared" si="246"/>
        <v>726.65</v>
      </c>
      <c r="F83" s="104">
        <f t="shared" si="246"/>
        <v>733.5</v>
      </c>
      <c r="G83" s="104">
        <f t="shared" si="246"/>
        <v>733.5</v>
      </c>
      <c r="H83" s="104">
        <f t="shared" si="246"/>
        <v>743.44</v>
      </c>
      <c r="I83" s="104">
        <f t="shared" si="246"/>
        <v>755.4</v>
      </c>
      <c r="J83" s="104">
        <f t="shared" si="246"/>
        <v>782.4</v>
      </c>
      <c r="K83" s="104">
        <f t="shared" si="246"/>
        <v>811.78</v>
      </c>
      <c r="L83" s="104">
        <f t="shared" si="246"/>
        <v>811.78</v>
      </c>
      <c r="M83" s="104">
        <f t="shared" si="246"/>
        <v>838.98</v>
      </c>
      <c r="N83" s="104">
        <f t="shared" si="246"/>
        <v>885.2</v>
      </c>
      <c r="O83" s="104">
        <f t="shared" si="246"/>
        <v>911.9</v>
      </c>
      <c r="P83" s="104">
        <f t="shared" si="246"/>
        <v>932.9</v>
      </c>
      <c r="Q83" s="104">
        <f>+P83</f>
        <v>932.9</v>
      </c>
      <c r="R83" s="104">
        <f t="shared" ref="R83:T83" si="247">+R16</f>
        <v>960.4</v>
      </c>
      <c r="S83" s="104">
        <f t="shared" si="247"/>
        <v>994.15499999999997</v>
      </c>
      <c r="T83" s="104">
        <f t="shared" si="247"/>
        <v>1033.605</v>
      </c>
      <c r="U83" s="104">
        <f>+U16</f>
        <v>1064.798</v>
      </c>
      <c r="V83" s="104">
        <f>+V16</f>
        <v>1064.798</v>
      </c>
      <c r="W83" s="104">
        <f>+W16</f>
        <v>1073.348</v>
      </c>
      <c r="X83" s="104">
        <f>+X16</f>
        <v>1083.925</v>
      </c>
      <c r="Y83" s="104">
        <f>+Y16</f>
        <v>1100.665</v>
      </c>
      <c r="Z83" s="104">
        <f>+Y83+Z93-Z96</f>
        <v>1138.50303745</v>
      </c>
      <c r="AA83" s="104">
        <f>+Z83</f>
        <v>1138.50303745</v>
      </c>
      <c r="AB83" s="104">
        <f>+AA83+AB92-AB96</f>
        <v>1220.174079701</v>
      </c>
      <c r="AC83" s="104">
        <f t="shared" ref="AC83:AN83" si="248">+AB83+AC92-AC96</f>
        <v>1298.83159810698</v>
      </c>
      <c r="AD83" s="104">
        <f t="shared" si="248"/>
        <v>1335.9959661448404</v>
      </c>
      <c r="AE83" s="104">
        <f t="shared" si="248"/>
        <v>1372.1335920721685</v>
      </c>
      <c r="AF83" s="104">
        <f t="shared" si="248"/>
        <v>1408.0311216319787</v>
      </c>
      <c r="AG83" s="104">
        <f t="shared" si="248"/>
        <v>1471.1904019080553</v>
      </c>
      <c r="AH83" s="104">
        <f t="shared" si="248"/>
        <v>1509.4650040633346</v>
      </c>
      <c r="AI83" s="104">
        <f t="shared" si="248"/>
        <v>1542.1941573070333</v>
      </c>
      <c r="AJ83" s="104">
        <f t="shared" si="248"/>
        <v>1567.6953900763701</v>
      </c>
      <c r="AK83" s="104">
        <f t="shared" si="248"/>
        <v>1582.5682393947691</v>
      </c>
      <c r="AL83" s="104">
        <f t="shared" si="248"/>
        <v>1614.7421830659027</v>
      </c>
      <c r="AM83" s="104">
        <f t="shared" si="248"/>
        <v>1690.4205448925845</v>
      </c>
      <c r="AN83" s="104">
        <f t="shared" si="248"/>
        <v>1761.6886069729514</v>
      </c>
    </row>
    <row r="84" spans="1:45" s="2" customFormat="1">
      <c r="A84" s="142"/>
      <c r="B84" s="230"/>
      <c r="C84" s="230"/>
      <c r="D84" s="230"/>
      <c r="E84" s="230"/>
      <c r="F84" s="230"/>
      <c r="G84" s="230"/>
      <c r="H84" s="230"/>
      <c r="I84" s="230"/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30"/>
      <c r="AE84" s="230"/>
      <c r="AF84" s="230"/>
      <c r="AG84" s="230"/>
      <c r="AH84" s="230"/>
      <c r="AI84" s="230"/>
      <c r="AJ84" s="230"/>
      <c r="AK84" s="230"/>
      <c r="AL84" s="230"/>
      <c r="AM84" s="230"/>
      <c r="AN84" s="230"/>
    </row>
    <row r="85" spans="1:45" s="2" customFormat="1">
      <c r="A85" s="141" t="s">
        <v>91</v>
      </c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  <c r="AE85" s="141"/>
      <c r="AF85" s="141"/>
      <c r="AG85" s="141"/>
      <c r="AH85" s="141"/>
      <c r="AI85" s="141"/>
      <c r="AJ85" s="141"/>
      <c r="AK85" s="141"/>
      <c r="AL85" s="141"/>
      <c r="AM85" s="141"/>
      <c r="AN85" s="141"/>
    </row>
    <row r="86" spans="1:45" s="2" customFormat="1">
      <c r="A86" s="2" t="s">
        <v>94</v>
      </c>
      <c r="N86" s="84"/>
      <c r="O86" s="84"/>
      <c r="P86" s="84"/>
      <c r="Q86" s="84">
        <v>85.943160000000006</v>
      </c>
      <c r="V86" s="231">
        <f>67.1888637+20</f>
        <v>87.188863699999999</v>
      </c>
      <c r="AA86" s="231">
        <v>30.55919643</v>
      </c>
      <c r="AB86" s="84">
        <v>57.953000000000003</v>
      </c>
      <c r="AC86" s="84">
        <v>36.326999999999998</v>
      </c>
      <c r="AD86" s="84">
        <v>9.2530000000000001</v>
      </c>
      <c r="AE86" s="84">
        <v>5.3448313939620382</v>
      </c>
      <c r="AF86" s="84">
        <v>6.9784277675500892</v>
      </c>
      <c r="AG86" s="84">
        <v>12.883996481324532</v>
      </c>
      <c r="AH86" s="84">
        <v>25.912313698428239</v>
      </c>
      <c r="AI86" s="84">
        <v>7.6991404643855192</v>
      </c>
      <c r="AJ86" s="84">
        <v>5.1565071755429592</v>
      </c>
      <c r="AK86" s="84">
        <v>7.1841317963158611</v>
      </c>
      <c r="AL86" s="84">
        <v>7.5074177271500737</v>
      </c>
      <c r="AM86" s="84">
        <v>19.614114148969932</v>
      </c>
      <c r="AN86" s="84">
        <v>30.744094251564437</v>
      </c>
      <c r="AO86" s="232">
        <v>26.53756737709158</v>
      </c>
      <c r="AP86" s="232">
        <v>46.281188426059664</v>
      </c>
      <c r="AQ86" s="232">
        <v>27.740688736149679</v>
      </c>
      <c r="AR86" s="232">
        <v>22.817923301988454</v>
      </c>
      <c r="AS86" s="232">
        <v>37.222613166402056</v>
      </c>
    </row>
    <row r="87" spans="1:45" s="2" customFormat="1">
      <c r="A87" s="2" t="s">
        <v>95</v>
      </c>
      <c r="N87" s="84"/>
      <c r="O87" s="84"/>
      <c r="P87" s="84"/>
      <c r="Q87" s="84">
        <v>54.226191999999998</v>
      </c>
      <c r="V87" s="231">
        <v>56.920901100000002</v>
      </c>
      <c r="AA87" s="231">
        <v>34.664666085</v>
      </c>
      <c r="AB87" s="84">
        <v>17.617000000000001</v>
      </c>
      <c r="AC87" s="84">
        <v>28.271000000000001</v>
      </c>
      <c r="AD87" s="84">
        <v>25.524999999999999</v>
      </c>
      <c r="AE87" s="84">
        <v>16.081609625856739</v>
      </c>
      <c r="AF87" s="84">
        <v>24.128359299215518</v>
      </c>
      <c r="AG87" s="84">
        <v>33.14519320301283</v>
      </c>
      <c r="AH87" s="84">
        <v>9.981601615066463</v>
      </c>
      <c r="AI87" s="84">
        <v>19.724606263770244</v>
      </c>
      <c r="AJ87" s="84">
        <v>9.6792440451836192</v>
      </c>
      <c r="AK87" s="84">
        <v>1.0177971195986297</v>
      </c>
      <c r="AL87" s="84">
        <v>23.91398246621203</v>
      </c>
      <c r="AM87" s="84">
        <v>26.562709194611244</v>
      </c>
      <c r="AN87" s="84">
        <v>6.3510474024934505</v>
      </c>
      <c r="AO87" s="232">
        <v>0</v>
      </c>
      <c r="AP87" s="232">
        <v>0</v>
      </c>
      <c r="AQ87" s="232">
        <v>0</v>
      </c>
      <c r="AR87" s="232">
        <v>0</v>
      </c>
      <c r="AS87" s="232">
        <v>0</v>
      </c>
    </row>
    <row r="88" spans="1:45" s="2" customFormat="1">
      <c r="A88" s="233" t="s">
        <v>96</v>
      </c>
      <c r="N88" s="84"/>
      <c r="O88" s="84"/>
      <c r="P88" s="84"/>
      <c r="Q88" s="84">
        <v>2.0869200000000001</v>
      </c>
      <c r="V88" s="231">
        <v>10.4240073</v>
      </c>
      <c r="AA88" s="231">
        <v>4.4285153849999999</v>
      </c>
      <c r="AB88" s="84">
        <v>5.4669999999999996</v>
      </c>
      <c r="AC88" s="84">
        <v>0</v>
      </c>
      <c r="AD88" s="84">
        <v>1.3120000000000001</v>
      </c>
      <c r="AE88" s="84">
        <v>21.391797311016845</v>
      </c>
      <c r="AF88" s="84">
        <v>13.090887532403569</v>
      </c>
      <c r="AG88" s="84">
        <v>21.824406536723327</v>
      </c>
      <c r="AH88" s="84">
        <v>6.8726300093597663</v>
      </c>
      <c r="AI88" s="84">
        <v>0</v>
      </c>
      <c r="AJ88" s="84">
        <v>13.120944916200738</v>
      </c>
      <c r="AK88" s="84">
        <v>6.5182326170039913</v>
      </c>
      <c r="AL88" s="84">
        <v>1.142802095617419</v>
      </c>
      <c r="AM88" s="84">
        <v>4.6369949354492368</v>
      </c>
      <c r="AN88" s="84">
        <v>1.5589308961373354</v>
      </c>
      <c r="AO88" s="232">
        <v>8.8139301606868123</v>
      </c>
      <c r="AP88" s="232">
        <v>6.118129821876801</v>
      </c>
      <c r="AQ88" s="232">
        <v>20.510516961917318</v>
      </c>
      <c r="AR88" s="232">
        <v>9.4275969034499081</v>
      </c>
      <c r="AS88" s="232">
        <v>8.0917450966773306</v>
      </c>
    </row>
    <row r="89" spans="1:45" s="2" customFormat="1">
      <c r="A89" s="233" t="s">
        <v>97</v>
      </c>
      <c r="N89" s="84"/>
      <c r="O89" s="84"/>
      <c r="P89" s="84"/>
      <c r="Q89" s="84">
        <v>10.155290000000001</v>
      </c>
      <c r="V89" s="231">
        <v>4.9912169999999998</v>
      </c>
      <c r="AA89" s="231">
        <v>2.4088985549999999</v>
      </c>
      <c r="AB89" s="84">
        <v>7.3079330000000002</v>
      </c>
      <c r="AC89" s="84">
        <v>17.651</v>
      </c>
      <c r="AD89" s="84">
        <v>1.794</v>
      </c>
      <c r="AE89" s="84">
        <v>4.43439472664727E-2</v>
      </c>
      <c r="AF89" s="84">
        <v>3.8896154769951319</v>
      </c>
      <c r="AG89" s="84">
        <v>5.4190264739984908</v>
      </c>
      <c r="AH89" s="84">
        <v>1.4153253240628143</v>
      </c>
      <c r="AI89" s="84">
        <v>0</v>
      </c>
      <c r="AJ89" s="84">
        <v>0</v>
      </c>
      <c r="AK89" s="84">
        <v>0</v>
      </c>
      <c r="AL89" s="84">
        <v>0</v>
      </c>
      <c r="AM89" s="84">
        <v>0</v>
      </c>
      <c r="AN89" s="84">
        <v>0</v>
      </c>
      <c r="AO89" s="232">
        <v>0</v>
      </c>
      <c r="AP89" s="232">
        <v>0</v>
      </c>
      <c r="AQ89" s="232">
        <v>0</v>
      </c>
      <c r="AR89" s="232">
        <v>0</v>
      </c>
      <c r="AS89" s="232">
        <v>0</v>
      </c>
    </row>
    <row r="90" spans="1:45" s="2" customFormat="1">
      <c r="A90" s="233" t="s">
        <v>98</v>
      </c>
      <c r="N90" s="84"/>
      <c r="O90" s="84"/>
      <c r="P90" s="84"/>
      <c r="Q90" s="84">
        <v>13.138109999999999</v>
      </c>
      <c r="V90" s="231">
        <v>17.698346399999998</v>
      </c>
      <c r="AA90" s="231">
        <v>17.102831129999998</v>
      </c>
      <c r="AB90" s="84">
        <v>13.331</v>
      </c>
      <c r="AC90" s="84">
        <v>19.788</v>
      </c>
      <c r="AD90" s="84">
        <v>24.798999999999999</v>
      </c>
      <c r="AE90" s="84">
        <v>19.525194280768758</v>
      </c>
      <c r="AF90" s="84">
        <v>14.762003042624114</v>
      </c>
      <c r="AG90" s="84">
        <v>17.534280858481011</v>
      </c>
      <c r="AH90" s="84">
        <v>22.980455429364042</v>
      </c>
      <c r="AI90" s="84">
        <v>34.934498694378597</v>
      </c>
      <c r="AJ90" s="84">
        <v>27.803002520509594</v>
      </c>
      <c r="AK90" s="84">
        <v>30.894834552355579</v>
      </c>
      <c r="AL90" s="84">
        <v>30.621815888837705</v>
      </c>
      <c r="AM90" s="84">
        <v>56.491328865103199</v>
      </c>
      <c r="AN90" s="84">
        <v>65.724279458683029</v>
      </c>
      <c r="AO90" s="232">
        <v>54.055006064886442</v>
      </c>
      <c r="AP90" s="232">
        <v>66.449972935342288</v>
      </c>
      <c r="AQ90" s="232">
        <v>49.415113172108846</v>
      </c>
      <c r="AR90" s="232">
        <v>53.096091240416762</v>
      </c>
      <c r="AS90" s="232">
        <v>52.63295073379841</v>
      </c>
    </row>
    <row r="91" spans="1:45" s="2" customFormat="1">
      <c r="A91" s="233" t="s">
        <v>99</v>
      </c>
      <c r="N91" s="84"/>
      <c r="O91" s="84"/>
      <c r="P91" s="84"/>
      <c r="Q91" s="84">
        <v>1.460844</v>
      </c>
      <c r="V91" s="231">
        <v>2.1403577999999999</v>
      </c>
      <c r="AA91" s="231">
        <v>0.39392986499999999</v>
      </c>
      <c r="AB91" s="84">
        <v>2.7651699999999999</v>
      </c>
      <c r="AC91" s="84">
        <v>1.024</v>
      </c>
      <c r="AD91" s="84">
        <v>0.45800000000000002</v>
      </c>
      <c r="AE91" s="84">
        <v>0.46976869135419513</v>
      </c>
      <c r="AF91" s="84">
        <v>0.4909082824651339</v>
      </c>
      <c r="AG91" s="84">
        <v>0.51299915517606498</v>
      </c>
      <c r="AH91" s="84">
        <v>0.53608411715898785</v>
      </c>
      <c r="AI91" s="84">
        <v>0.56020790243114216</v>
      </c>
      <c r="AJ91" s="84">
        <v>0.58541725804054356</v>
      </c>
      <c r="AK91" s="84">
        <v>0.61176103465236797</v>
      </c>
      <c r="AL91" s="84">
        <v>0.63929028121172449</v>
      </c>
      <c r="AM91" s="84">
        <v>0.66805834386625207</v>
      </c>
      <c r="AN91" s="84">
        <v>0.69812096934023349</v>
      </c>
      <c r="AO91" s="232">
        <v>0.83252224142458342</v>
      </c>
      <c r="AP91" s="232">
        <v>0.86998574228868941</v>
      </c>
      <c r="AQ91" s="232">
        <v>0.90913510069168035</v>
      </c>
      <c r="AR91" s="232">
        <v>0.95004618022280596</v>
      </c>
      <c r="AS91" s="232">
        <v>0.99279825833283208</v>
      </c>
    </row>
    <row r="92" spans="1:45" s="2" customFormat="1">
      <c r="A92" s="234" t="s">
        <v>100</v>
      </c>
      <c r="B92" s="230">
        <v>34.479999999999997</v>
      </c>
      <c r="C92" s="230"/>
      <c r="D92" s="230"/>
      <c r="E92" s="230"/>
      <c r="F92" s="230"/>
      <c r="G92" s="230">
        <v>102.7</v>
      </c>
      <c r="H92" s="230"/>
      <c r="I92" s="230"/>
      <c r="J92" s="230"/>
      <c r="K92" s="230"/>
      <c r="L92" s="230">
        <v>115.89</v>
      </c>
      <c r="M92" s="230">
        <v>30.7</v>
      </c>
      <c r="N92" s="230">
        <f>77.1-M92</f>
        <v>46.399999999999991</v>
      </c>
      <c r="O92" s="230">
        <v>36.6</v>
      </c>
      <c r="P92" s="230">
        <f>+Q92-O92-N92-M92</f>
        <v>30.400000000000009</v>
      </c>
      <c r="Q92" s="230">
        <f>1.1+4.9+138.1</f>
        <v>144.1</v>
      </c>
      <c r="R92" s="230">
        <f>32.168+1.053</f>
        <v>33.220999999999997</v>
      </c>
      <c r="S92" s="230">
        <f>70.005+1.434-R92</f>
        <v>38.217999999999996</v>
      </c>
      <c r="T92" s="230">
        <f>113.543+2.368-S92-R92</f>
        <v>44.472000000000016</v>
      </c>
      <c r="U92" s="230">
        <f>V92-SUM(R92:T92)</f>
        <v>38.070999999999998</v>
      </c>
      <c r="V92" s="230">
        <f>150.835+3.147</f>
        <v>153.982</v>
      </c>
      <c r="W92" s="230">
        <f>13.75+1.147</f>
        <v>14.897</v>
      </c>
      <c r="X92" s="230">
        <f>1.889+28.465-W92</f>
        <v>15.456999999999999</v>
      </c>
      <c r="Y92" s="230">
        <f>2.048+50.319-X92-W92</f>
        <v>22.013000000000005</v>
      </c>
      <c r="Z92" s="313">
        <f>+AA92-46</f>
        <v>43.55803745</v>
      </c>
      <c r="AA92" s="230">
        <f t="shared" ref="AA92" si="249">+SUM(AA86:AA91)</f>
        <v>89.55803745</v>
      </c>
      <c r="AB92" s="230">
        <f>+SUM(AB86:AB91)</f>
        <v>104.44110300000001</v>
      </c>
      <c r="AC92" s="230">
        <f t="shared" ref="AC92:AS92" si="250">+SUM(AC86:AC91)</f>
        <v>103.06099999999999</v>
      </c>
      <c r="AD92" s="230">
        <f t="shared" si="250"/>
        <v>63.140999999999991</v>
      </c>
      <c r="AE92" s="230">
        <f t="shared" si="250"/>
        <v>62.857545250225051</v>
      </c>
      <c r="AF92" s="230">
        <f t="shared" si="250"/>
        <v>63.340201401253559</v>
      </c>
      <c r="AG92" s="230">
        <f t="shared" si="250"/>
        <v>91.319902708716242</v>
      </c>
      <c r="AH92" s="230">
        <f t="shared" si="250"/>
        <v>67.69841019344031</v>
      </c>
      <c r="AI92" s="230">
        <f t="shared" si="250"/>
        <v>62.918453324965505</v>
      </c>
      <c r="AJ92" s="230">
        <f t="shared" si="250"/>
        <v>56.345115915477457</v>
      </c>
      <c r="AK92" s="230">
        <f t="shared" si="250"/>
        <v>46.226757119926425</v>
      </c>
      <c r="AL92" s="230">
        <f t="shared" si="250"/>
        <v>63.825308459028953</v>
      </c>
      <c r="AM92" s="230">
        <f t="shared" si="250"/>
        <v>107.97320548799986</v>
      </c>
      <c r="AN92" s="230">
        <f t="shared" si="250"/>
        <v>105.07647297821849</v>
      </c>
      <c r="AO92" s="230">
        <f t="shared" si="250"/>
        <v>90.239025844089412</v>
      </c>
      <c r="AP92" s="230">
        <f t="shared" si="250"/>
        <v>119.71927692556744</v>
      </c>
      <c r="AQ92" s="230">
        <f t="shared" si="250"/>
        <v>98.575453970867528</v>
      </c>
      <c r="AR92" s="230">
        <f t="shared" si="250"/>
        <v>86.291657626077921</v>
      </c>
      <c r="AS92" s="230">
        <f t="shared" si="250"/>
        <v>98.94010725521062</v>
      </c>
    </row>
    <row r="93" spans="1:45" s="139" customFormat="1">
      <c r="A93" s="139" t="s">
        <v>228</v>
      </c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35"/>
      <c r="W93" s="235"/>
      <c r="X93" s="235"/>
      <c r="Y93" s="235"/>
      <c r="Z93" s="235">
        <f>Z92</f>
        <v>43.55803745</v>
      </c>
      <c r="AA93" s="235"/>
      <c r="AB93" s="235">
        <f>+AB86+AB87+AB89</f>
        <v>82.877933000000013</v>
      </c>
      <c r="AC93" s="235">
        <f t="shared" ref="AC93:AN93" si="251">+AC86+AC87+AC89</f>
        <v>82.248999999999995</v>
      </c>
      <c r="AD93" s="235">
        <f t="shared" si="251"/>
        <v>36.571999999999996</v>
      </c>
      <c r="AE93" s="235">
        <f t="shared" si="251"/>
        <v>21.470784967085251</v>
      </c>
      <c r="AF93" s="235">
        <f t="shared" si="251"/>
        <v>34.996402543760738</v>
      </c>
      <c r="AG93" s="235">
        <f t="shared" si="251"/>
        <v>51.448216158335853</v>
      </c>
      <c r="AH93" s="235">
        <f t="shared" si="251"/>
        <v>37.309240637557515</v>
      </c>
      <c r="AI93" s="235">
        <f t="shared" si="251"/>
        <v>27.423746728155763</v>
      </c>
      <c r="AJ93" s="235">
        <f t="shared" si="251"/>
        <v>14.835751220726578</v>
      </c>
      <c r="AK93" s="235">
        <f t="shared" si="251"/>
        <v>8.2019289159144915</v>
      </c>
      <c r="AL93" s="235">
        <f t="shared" si="251"/>
        <v>31.421400193362103</v>
      </c>
      <c r="AM93" s="235">
        <f t="shared" si="251"/>
        <v>46.176823343581177</v>
      </c>
      <c r="AN93" s="235">
        <f t="shared" si="251"/>
        <v>37.09514165405789</v>
      </c>
      <c r="AO93" s="235">
        <f t="shared" ref="AO93:AS93" si="252">+AO86+AO87+AO89</f>
        <v>26.53756737709158</v>
      </c>
      <c r="AP93" s="235">
        <f t="shared" si="252"/>
        <v>46.281188426059664</v>
      </c>
      <c r="AQ93" s="235">
        <f t="shared" si="252"/>
        <v>27.740688736149679</v>
      </c>
      <c r="AR93" s="235">
        <f t="shared" si="252"/>
        <v>22.817923301988454</v>
      </c>
      <c r="AS93" s="235">
        <f t="shared" si="252"/>
        <v>37.222613166402056</v>
      </c>
    </row>
    <row r="94" spans="1:45" s="2" customFormat="1">
      <c r="A94" s="2" t="s">
        <v>229</v>
      </c>
      <c r="B94" s="230"/>
      <c r="C94" s="230"/>
      <c r="D94" s="230"/>
      <c r="E94" s="230"/>
      <c r="F94" s="230"/>
      <c r="G94" s="230"/>
      <c r="H94" s="230"/>
      <c r="I94" s="230"/>
      <c r="J94" s="230"/>
      <c r="K94" s="230"/>
      <c r="L94" s="230"/>
      <c r="M94" s="230"/>
      <c r="N94" s="235"/>
      <c r="O94" s="235"/>
      <c r="P94" s="235"/>
      <c r="Q94" s="235"/>
      <c r="R94" s="230"/>
      <c r="S94" s="230"/>
      <c r="T94" s="230"/>
      <c r="U94" s="230"/>
      <c r="V94" s="235"/>
      <c r="W94" s="235"/>
      <c r="X94" s="235"/>
      <c r="Y94" s="235"/>
      <c r="Z94" s="235"/>
      <c r="AA94" s="235"/>
      <c r="AB94" s="235">
        <f>+AB88+AB90+AB91</f>
        <v>21.56317</v>
      </c>
      <c r="AC94" s="235">
        <f t="shared" ref="AC94:AN94" si="253">+AC88+AC90+AC91</f>
        <v>20.812000000000001</v>
      </c>
      <c r="AD94" s="235">
        <f t="shared" si="253"/>
        <v>26.568999999999999</v>
      </c>
      <c r="AE94" s="235">
        <f t="shared" si="253"/>
        <v>41.3867602831398</v>
      </c>
      <c r="AF94" s="235">
        <f t="shared" si="253"/>
        <v>28.343798857492818</v>
      </c>
      <c r="AG94" s="235">
        <f t="shared" si="253"/>
        <v>39.87168655038041</v>
      </c>
      <c r="AH94" s="235">
        <f t="shared" si="253"/>
        <v>30.389169555882798</v>
      </c>
      <c r="AI94" s="235">
        <f t="shared" si="253"/>
        <v>35.494706596809742</v>
      </c>
      <c r="AJ94" s="235">
        <f t="shared" si="253"/>
        <v>41.509364694750879</v>
      </c>
      <c r="AK94" s="235">
        <f t="shared" si="253"/>
        <v>38.024828204011939</v>
      </c>
      <c r="AL94" s="235">
        <f t="shared" si="253"/>
        <v>32.40390826566685</v>
      </c>
      <c r="AM94" s="235">
        <f t="shared" si="253"/>
        <v>61.796382144418686</v>
      </c>
      <c r="AN94" s="235">
        <f t="shared" si="253"/>
        <v>67.981331324160607</v>
      </c>
      <c r="AO94" s="235">
        <f t="shared" ref="AO94:AS94" si="254">+AO88+AO90+AO91</f>
        <v>63.701458466997835</v>
      </c>
      <c r="AP94" s="235">
        <f t="shared" si="254"/>
        <v>73.438088499507785</v>
      </c>
      <c r="AQ94" s="235">
        <f t="shared" si="254"/>
        <v>70.83476523471785</v>
      </c>
      <c r="AR94" s="235">
        <f t="shared" si="254"/>
        <v>63.473734324089477</v>
      </c>
      <c r="AS94" s="235">
        <f t="shared" si="254"/>
        <v>61.717494088808571</v>
      </c>
    </row>
    <row r="95" spans="1:45" s="2" customFormat="1"/>
    <row r="96" spans="1:45" s="2" customFormat="1">
      <c r="A96" s="2" t="s">
        <v>92</v>
      </c>
      <c r="B96" s="236">
        <f>+B62</f>
        <v>9.8000000000000007</v>
      </c>
      <c r="C96" s="236">
        <f t="shared" ref="C96:M96" si="255">+C62</f>
        <v>3</v>
      </c>
      <c r="D96" s="236">
        <f t="shared" si="255"/>
        <v>3</v>
      </c>
      <c r="E96" s="236">
        <f t="shared" si="255"/>
        <v>2.8</v>
      </c>
      <c r="F96" s="236">
        <f t="shared" si="255"/>
        <v>4</v>
      </c>
      <c r="G96" s="236">
        <f t="shared" si="255"/>
        <v>12.8</v>
      </c>
      <c r="H96" s="236">
        <f t="shared" si="255"/>
        <v>3.6</v>
      </c>
      <c r="I96" s="236">
        <f t="shared" si="255"/>
        <v>3.6999999999999997</v>
      </c>
      <c r="J96" s="236">
        <f t="shared" si="255"/>
        <v>3.88</v>
      </c>
      <c r="K96" s="236">
        <f t="shared" si="255"/>
        <v>3.42</v>
      </c>
      <c r="L96" s="236">
        <f t="shared" si="255"/>
        <v>14.6</v>
      </c>
      <c r="M96" s="236">
        <f t="shared" si="255"/>
        <v>4.26</v>
      </c>
      <c r="N96" s="236">
        <f t="shared" ref="N96:O96" si="256">+N62</f>
        <v>4.3499999999999996</v>
      </c>
      <c r="O96" s="236">
        <f t="shared" si="256"/>
        <v>4.5999999999999996</v>
      </c>
      <c r="P96" s="236">
        <f t="shared" ref="P96" si="257">+P62</f>
        <v>4.5900000000000016</v>
      </c>
      <c r="Q96" s="236">
        <f>+SUM(M96:P96)</f>
        <v>17.8</v>
      </c>
      <c r="R96" s="236">
        <f t="shared" ref="R96:U96" si="258">+R62</f>
        <v>5.0999999999999996</v>
      </c>
      <c r="S96" s="236">
        <f t="shared" si="258"/>
        <v>4.4730000000000008</v>
      </c>
      <c r="T96" s="236">
        <f t="shared" si="258"/>
        <v>4.456999999999999</v>
      </c>
      <c r="U96" s="236">
        <f t="shared" si="258"/>
        <v>6.4410000000000007</v>
      </c>
      <c r="V96" s="236">
        <f>+V62</f>
        <v>20.471</v>
      </c>
      <c r="W96" s="236">
        <f>+W62</f>
        <v>5.58</v>
      </c>
      <c r="X96" s="236">
        <f>+X62</f>
        <v>5.6449999999999996</v>
      </c>
      <c r="Y96" s="236">
        <f>+Y62</f>
        <v>5.7200000000000006</v>
      </c>
      <c r="Z96" s="236">
        <f>+Y83*Z97/4</f>
        <v>5.7200000000000006</v>
      </c>
      <c r="AA96" s="236">
        <f>SUM(W96:Z96)</f>
        <v>22.664999999999999</v>
      </c>
      <c r="AB96" s="236">
        <f>+AA83*AB97</f>
        <v>22.770060748999999</v>
      </c>
      <c r="AC96" s="236">
        <f t="shared" ref="AC96:AN96" si="259">+AB83*AC97</f>
        <v>24.403481594020001</v>
      </c>
      <c r="AD96" s="236">
        <f t="shared" si="259"/>
        <v>25.976631962139599</v>
      </c>
      <c r="AE96" s="236">
        <f t="shared" si="259"/>
        <v>26.719919322896807</v>
      </c>
      <c r="AF96" s="236">
        <f t="shared" si="259"/>
        <v>27.442671841443371</v>
      </c>
      <c r="AG96" s="236">
        <f t="shared" si="259"/>
        <v>28.160622432639574</v>
      </c>
      <c r="AH96" s="236">
        <f t="shared" si="259"/>
        <v>29.423808038161106</v>
      </c>
      <c r="AI96" s="236">
        <f t="shared" si="259"/>
        <v>30.189300081266694</v>
      </c>
      <c r="AJ96" s="236">
        <f t="shared" si="259"/>
        <v>30.843883146140666</v>
      </c>
      <c r="AK96" s="236">
        <f t="shared" si="259"/>
        <v>31.353907801527402</v>
      </c>
      <c r="AL96" s="236">
        <f t="shared" si="259"/>
        <v>31.651364787895382</v>
      </c>
      <c r="AM96" s="236">
        <f t="shared" si="259"/>
        <v>32.294843661318055</v>
      </c>
      <c r="AN96" s="236">
        <f t="shared" si="259"/>
        <v>33.808410897851694</v>
      </c>
    </row>
    <row r="97" spans="1:50" s="220" customFormat="1">
      <c r="A97" s="220" t="s">
        <v>93</v>
      </c>
      <c r="B97" s="237">
        <f>+B96/B83</f>
        <v>1.3690975132718637E-2</v>
      </c>
      <c r="C97" s="237">
        <f>+C96*4/C83</f>
        <v>1.6748314700833229E-2</v>
      </c>
      <c r="D97" s="237">
        <f t="shared" ref="D97:F97" si="260">+D96*4/D83</f>
        <v>1.588667505130072E-2</v>
      </c>
      <c r="E97" s="237">
        <f t="shared" si="260"/>
        <v>1.5413197550402531E-2</v>
      </c>
      <c r="F97" s="237">
        <f t="shared" si="260"/>
        <v>2.1813224267211998E-2</v>
      </c>
      <c r="G97" s="237">
        <f>+G96/G83</f>
        <v>1.7450579413769599E-2</v>
      </c>
      <c r="H97" s="237">
        <f>+H96*4/H83</f>
        <v>1.9369417841385989E-2</v>
      </c>
      <c r="I97" s="237">
        <f t="shared" ref="I97" si="261">+I96*4/I83</f>
        <v>1.9592268996558113E-2</v>
      </c>
      <c r="J97" s="237">
        <f t="shared" ref="J97" si="262">+J96*4/J83</f>
        <v>1.9836400817995911E-2</v>
      </c>
      <c r="K97" s="237">
        <f t="shared" ref="K97" si="263">+K96*4/K83</f>
        <v>1.685185641429944E-2</v>
      </c>
      <c r="L97" s="237">
        <f>+L96/L83</f>
        <v>1.7985168395378059E-2</v>
      </c>
      <c r="M97" s="237">
        <f>+M96*4/M83</f>
        <v>2.0310376886218978E-2</v>
      </c>
      <c r="N97" s="237">
        <f>+N96*4/N83</f>
        <v>1.9656574785359239E-2</v>
      </c>
      <c r="O97" s="237">
        <f>+O96*4/O83</f>
        <v>2.0177651058230068E-2</v>
      </c>
      <c r="P97" s="237">
        <f>+P96*4/P83</f>
        <v>1.9680565977060787E-2</v>
      </c>
      <c r="Q97" s="237">
        <f>+Q96/Q83</f>
        <v>1.9080287276235397E-2</v>
      </c>
      <c r="R97" s="237">
        <f>+R96*4/R83</f>
        <v>2.1241149521032902E-2</v>
      </c>
      <c r="S97" s="237">
        <f>+S96*4/S83</f>
        <v>1.7997193596571967E-2</v>
      </c>
      <c r="T97" s="237">
        <f>+T96*4/T83</f>
        <v>1.7248368574068425E-2</v>
      </c>
      <c r="U97" s="237">
        <f>+U96*4/U83</f>
        <v>2.4196138610327971E-2</v>
      </c>
      <c r="V97" s="237">
        <f>+V96/V83</f>
        <v>1.9225242722093767E-2</v>
      </c>
      <c r="W97" s="237">
        <f>+W96*4/W83</f>
        <v>2.0794746904079571E-2</v>
      </c>
      <c r="X97" s="237">
        <f t="shared" ref="X97:Y97" si="264">+X96*4/X83</f>
        <v>2.0831699610212882E-2</v>
      </c>
      <c r="Y97" s="237">
        <f t="shared" si="264"/>
        <v>2.0787433051836848E-2</v>
      </c>
      <c r="Z97" s="229">
        <f>+Y97</f>
        <v>2.0787433051836848E-2</v>
      </c>
      <c r="AA97" s="237">
        <f>+AA96/AA83</f>
        <v>1.9907720273425609E-2</v>
      </c>
      <c r="AB97" s="229">
        <v>0.02</v>
      </c>
      <c r="AC97" s="229">
        <f>AB97</f>
        <v>0.02</v>
      </c>
      <c r="AD97" s="229">
        <f t="shared" ref="AD97:AN97" si="265">AC97</f>
        <v>0.02</v>
      </c>
      <c r="AE97" s="229">
        <f t="shared" si="265"/>
        <v>0.02</v>
      </c>
      <c r="AF97" s="229">
        <f t="shared" si="265"/>
        <v>0.02</v>
      </c>
      <c r="AG97" s="229">
        <f t="shared" si="265"/>
        <v>0.02</v>
      </c>
      <c r="AH97" s="229">
        <f t="shared" si="265"/>
        <v>0.02</v>
      </c>
      <c r="AI97" s="229">
        <f t="shared" si="265"/>
        <v>0.02</v>
      </c>
      <c r="AJ97" s="229">
        <f t="shared" si="265"/>
        <v>0.02</v>
      </c>
      <c r="AK97" s="229">
        <f t="shared" si="265"/>
        <v>0.02</v>
      </c>
      <c r="AL97" s="229">
        <f t="shared" si="265"/>
        <v>0.02</v>
      </c>
      <c r="AM97" s="229">
        <f t="shared" si="265"/>
        <v>0.02</v>
      </c>
      <c r="AN97" s="229">
        <f t="shared" si="265"/>
        <v>0.02</v>
      </c>
    </row>
    <row r="98" spans="1:50" s="2" customFormat="1">
      <c r="A98" s="220"/>
      <c r="B98" s="237"/>
      <c r="C98" s="237"/>
      <c r="D98" s="237"/>
      <c r="E98" s="237"/>
      <c r="F98" s="237"/>
      <c r="G98" s="237"/>
      <c r="H98" s="237"/>
      <c r="I98" s="237"/>
      <c r="J98" s="237"/>
      <c r="K98" s="237"/>
      <c r="L98" s="237"/>
      <c r="M98" s="237"/>
      <c r="N98" s="229"/>
      <c r="O98" s="229"/>
      <c r="P98" s="229"/>
      <c r="Q98" s="237"/>
      <c r="R98" s="237"/>
      <c r="S98" s="237"/>
      <c r="T98" s="237"/>
      <c r="U98" s="237"/>
      <c r="V98" s="229"/>
      <c r="W98" s="237"/>
      <c r="X98" s="237"/>
      <c r="Y98" s="237"/>
      <c r="Z98" s="237"/>
      <c r="AA98" s="229"/>
      <c r="AB98" s="229"/>
      <c r="AC98" s="229"/>
      <c r="AD98" s="229"/>
      <c r="AE98" s="229"/>
      <c r="AF98" s="229"/>
      <c r="AG98" s="229"/>
      <c r="AH98" s="229"/>
      <c r="AI98" s="229"/>
      <c r="AJ98" s="229"/>
      <c r="AK98" s="229"/>
      <c r="AL98" s="229"/>
      <c r="AM98" s="229"/>
      <c r="AN98" s="229"/>
    </row>
    <row r="99" spans="1:50" s="2" customFormat="1">
      <c r="A99" s="238" t="s">
        <v>224</v>
      </c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239">
        <v>0</v>
      </c>
      <c r="R99" s="84"/>
      <c r="S99" s="84"/>
      <c r="T99" s="84"/>
      <c r="U99" s="84"/>
      <c r="V99" s="239">
        <f>+Q99+1</f>
        <v>1</v>
      </c>
      <c r="W99" s="84"/>
      <c r="X99" s="84"/>
      <c r="Y99" s="84"/>
      <c r="Z99" s="84"/>
      <c r="AA99" s="239">
        <f>+V99+1</f>
        <v>2</v>
      </c>
      <c r="AB99" s="239">
        <f t="shared" ref="AB99:AI99" si="266">+AA99+1</f>
        <v>3</v>
      </c>
      <c r="AC99" s="239">
        <f t="shared" si="266"/>
        <v>4</v>
      </c>
      <c r="AD99" s="239">
        <f t="shared" si="266"/>
        <v>5</v>
      </c>
      <c r="AE99" s="239">
        <f t="shared" si="266"/>
        <v>6</v>
      </c>
      <c r="AF99" s="239">
        <f t="shared" si="266"/>
        <v>7</v>
      </c>
      <c r="AG99" s="239">
        <f t="shared" si="266"/>
        <v>8</v>
      </c>
      <c r="AH99" s="239">
        <f t="shared" si="266"/>
        <v>9</v>
      </c>
      <c r="AI99" s="239">
        <f t="shared" si="266"/>
        <v>10</v>
      </c>
      <c r="AJ99" s="84"/>
      <c r="AK99" s="84"/>
      <c r="AL99" s="84"/>
      <c r="AM99" s="84"/>
      <c r="AN99" s="84"/>
    </row>
    <row r="100" spans="1:50" s="2" customFormat="1">
      <c r="A100" s="240" t="s">
        <v>225</v>
      </c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>
        <f>+Q88+Q90+Q91</f>
        <v>16.685874000000002</v>
      </c>
      <c r="R100" s="84"/>
      <c r="S100" s="84"/>
      <c r="T100" s="84"/>
      <c r="U100" s="84"/>
      <c r="V100" s="84">
        <f>+V88+V90+V91</f>
        <v>30.262711499999998</v>
      </c>
      <c r="W100" s="84"/>
      <c r="X100" s="84"/>
      <c r="Y100" s="84"/>
      <c r="Z100" s="84"/>
      <c r="AA100" s="84">
        <f>+AA88+AA90+AA91</f>
        <v>21.92527638</v>
      </c>
      <c r="AB100" s="84">
        <f t="shared" ref="AB100:AN100" si="267">+AB88+AB90+AB91</f>
        <v>21.56317</v>
      </c>
      <c r="AC100" s="84">
        <f t="shared" si="267"/>
        <v>20.812000000000001</v>
      </c>
      <c r="AD100" s="84">
        <f t="shared" si="267"/>
        <v>26.568999999999999</v>
      </c>
      <c r="AE100" s="84">
        <f t="shared" si="267"/>
        <v>41.3867602831398</v>
      </c>
      <c r="AF100" s="84">
        <f t="shared" si="267"/>
        <v>28.343798857492818</v>
      </c>
      <c r="AG100" s="84">
        <f t="shared" si="267"/>
        <v>39.87168655038041</v>
      </c>
      <c r="AH100" s="84">
        <f t="shared" si="267"/>
        <v>30.389169555882798</v>
      </c>
      <c r="AI100" s="84">
        <f t="shared" si="267"/>
        <v>35.494706596809742</v>
      </c>
      <c r="AJ100" s="84">
        <f t="shared" si="267"/>
        <v>41.509364694750879</v>
      </c>
      <c r="AK100" s="84">
        <f t="shared" si="267"/>
        <v>38.024828204011939</v>
      </c>
      <c r="AL100" s="84">
        <f t="shared" si="267"/>
        <v>32.40390826566685</v>
      </c>
      <c r="AM100" s="84">
        <f t="shared" si="267"/>
        <v>61.796382144418686</v>
      </c>
      <c r="AN100" s="84">
        <f t="shared" si="267"/>
        <v>67.981331324160607</v>
      </c>
      <c r="AO100" s="84">
        <f>+AO88+AO90+AO91</f>
        <v>63.701458466997835</v>
      </c>
      <c r="AP100" s="84">
        <f>+AP88+AP90+AP91</f>
        <v>73.438088499507785</v>
      </c>
      <c r="AQ100" s="84">
        <f>+AQ88+AQ90+AQ91</f>
        <v>70.83476523471785</v>
      </c>
      <c r="AR100" s="84">
        <f>+AR88+AR90+AR91</f>
        <v>63.473734324089477</v>
      </c>
      <c r="AS100" s="84">
        <f t="shared" ref="AS100" si="268">+AS88+AS90+AS91</f>
        <v>61.717494088808571</v>
      </c>
    </row>
    <row r="101" spans="1:50" s="220" customFormat="1">
      <c r="A101" s="240" t="s">
        <v>226</v>
      </c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>
        <f t="shared" ref="L101:V101" si="269">-L55</f>
        <v>8.99</v>
      </c>
      <c r="M101" s="84">
        <f t="shared" si="269"/>
        <v>4.2</v>
      </c>
      <c r="N101" s="84">
        <f t="shared" si="269"/>
        <v>4.3</v>
      </c>
      <c r="O101" s="84">
        <f t="shared" si="269"/>
        <v>4.4000000000000004</v>
      </c>
      <c r="P101" s="84">
        <f t="shared" si="269"/>
        <v>5.4999999999999991</v>
      </c>
      <c r="Q101" s="84">
        <f t="shared" si="269"/>
        <v>18.399999999999999</v>
      </c>
      <c r="R101" s="84">
        <f t="shared" si="269"/>
        <v>5.6</v>
      </c>
      <c r="S101" s="84">
        <f t="shared" si="269"/>
        <v>-5.1859999999999999</v>
      </c>
      <c r="T101" s="84">
        <f t="shared" si="269"/>
        <v>5.1199999999999992</v>
      </c>
      <c r="U101" s="84">
        <f t="shared" si="269"/>
        <v>5.4410000000000007</v>
      </c>
      <c r="V101" s="84">
        <f t="shared" si="269"/>
        <v>10.975</v>
      </c>
      <c r="W101" s="84">
        <f>-W55</f>
        <v>7.28</v>
      </c>
      <c r="X101" s="84">
        <f>-X55</f>
        <v>4.8609999999999998</v>
      </c>
      <c r="Y101" s="84">
        <f>-Y55</f>
        <v>9.0889999999999986</v>
      </c>
      <c r="Z101" s="84">
        <f>+AA101-21</f>
        <v>2.6949246389273718</v>
      </c>
      <c r="AA101" s="84">
        <f>+(AA100*0.2+AB100*0.2+AC100*0.2+AD100*0.2+AE100*0.2)/((1.045)^(2.5))</f>
        <v>23.694924638927372</v>
      </c>
      <c r="AB101" s="84">
        <f>+(AB100*0.2+AC100*0.2+AD100*0.2+AE100*0.2+AF100*0.2)/((1.045)^(2.5))</f>
        <v>24.84486240165803</v>
      </c>
      <c r="AC101" s="84">
        <f t="shared" ref="AC101:AN101" si="270">+(AC100*0.2+AD100*0.2+AE100*0.2+AF100*0.2+AG100*0.2)/((1.045)^(2.5))</f>
        <v>28.125002750887663</v>
      </c>
      <c r="AD101" s="84">
        <f t="shared" si="270"/>
        <v>29.840841399268609</v>
      </c>
      <c r="AE101" s="84">
        <f t="shared" si="270"/>
        <v>31.439964423409659</v>
      </c>
      <c r="AF101" s="84">
        <f t="shared" si="270"/>
        <v>31.461930139551235</v>
      </c>
      <c r="AG101" s="84">
        <f t="shared" si="270"/>
        <v>33.196376231576849</v>
      </c>
      <c r="AH101" s="84">
        <f t="shared" si="270"/>
        <v>31.858454570726572</v>
      </c>
      <c r="AI101" s="84">
        <f t="shared" si="270"/>
        <v>37.485347660890611</v>
      </c>
      <c r="AJ101" s="84">
        <f t="shared" si="270"/>
        <v>43.305627435346217</v>
      </c>
      <c r="AK101" s="84">
        <f t="shared" si="270"/>
        <v>47.281546621148436</v>
      </c>
      <c r="AL101" s="84">
        <f t="shared" si="270"/>
        <v>53.626160269850324</v>
      </c>
      <c r="AM101" s="84">
        <f t="shared" si="270"/>
        <v>60.511404317492079</v>
      </c>
      <c r="AN101" s="84">
        <f t="shared" si="270"/>
        <v>60.811917499391122</v>
      </c>
      <c r="AX101" s="220">
        <f>1024.2+837.8</f>
        <v>1862</v>
      </c>
    </row>
    <row r="102" spans="1:50" s="2" customFormat="1">
      <c r="A102" s="241" t="s">
        <v>227</v>
      </c>
      <c r="B102" s="242">
        <f t="shared" ref="B102:K102" si="271">+B30+B25</f>
        <v>91.2</v>
      </c>
      <c r="C102" s="242">
        <f t="shared" si="271"/>
        <v>86.7</v>
      </c>
      <c r="D102" s="242">
        <f t="shared" si="271"/>
        <v>12.66</v>
      </c>
      <c r="E102" s="242">
        <f t="shared" si="271"/>
        <v>59.370000000000005</v>
      </c>
      <c r="F102" s="242">
        <f t="shared" si="271"/>
        <v>33.6</v>
      </c>
      <c r="G102" s="242">
        <f t="shared" si="271"/>
        <v>33.6</v>
      </c>
      <c r="H102" s="242">
        <f t="shared" si="271"/>
        <v>20.100000000000001</v>
      </c>
      <c r="I102" s="242">
        <f t="shared" si="271"/>
        <v>12.8</v>
      </c>
      <c r="J102" s="242">
        <f t="shared" si="271"/>
        <v>22.189999999999998</v>
      </c>
      <c r="K102" s="242">
        <f t="shared" si="271"/>
        <v>22.8</v>
      </c>
      <c r="L102" s="242">
        <f>+L30+L25</f>
        <v>22.8</v>
      </c>
      <c r="M102" s="242">
        <f>+M30+M25</f>
        <v>27.25</v>
      </c>
      <c r="N102" s="242">
        <f>+N30+N25</f>
        <v>35.4</v>
      </c>
      <c r="O102" s="242">
        <f>+O30+O25</f>
        <v>39.870000000000005</v>
      </c>
      <c r="P102" s="242">
        <f>+P30+P25</f>
        <v>37.099999999999994</v>
      </c>
      <c r="Q102" s="242">
        <f>+P102</f>
        <v>37.099999999999994</v>
      </c>
      <c r="R102" s="242">
        <f t="shared" ref="R102:U102" si="272">+R30+R25</f>
        <v>42.8</v>
      </c>
      <c r="S102" s="242">
        <f t="shared" si="272"/>
        <v>37.698999999999998</v>
      </c>
      <c r="T102" s="242">
        <f t="shared" si="272"/>
        <v>42.844999999999999</v>
      </c>
      <c r="U102" s="242">
        <f t="shared" si="272"/>
        <v>48.356000000000002</v>
      </c>
      <c r="V102" s="242">
        <f>+V30+V25</f>
        <v>48.356000000000002</v>
      </c>
      <c r="W102" s="242">
        <f>+W30+W25</f>
        <v>55.792999999999999</v>
      </c>
      <c r="X102" s="242">
        <f>+X30+X25</f>
        <v>60.752000000000002</v>
      </c>
      <c r="Y102" s="242">
        <f>+Y30+Y25</f>
        <v>69.90100000000001</v>
      </c>
      <c r="Z102" s="242">
        <f>+Y102+Z101-Z94</f>
        <v>72.595924638927386</v>
      </c>
      <c r="AA102" s="242">
        <f>Z102</f>
        <v>72.595924638927386</v>
      </c>
      <c r="AB102" s="242">
        <f>+AA102+AB101-AB94</f>
        <v>75.87761704058542</v>
      </c>
      <c r="AC102" s="242">
        <f>+AB102+AC101-AC94</f>
        <v>83.190619791473083</v>
      </c>
      <c r="AD102" s="242">
        <f>+AC102+AD101-AD94</f>
        <v>86.462461190741692</v>
      </c>
      <c r="AE102" s="242">
        <f>+AD102+AE101-AE94</f>
        <v>76.515665331011547</v>
      </c>
      <c r="AF102" s="242">
        <f>+AE102+AF101-AF94</f>
        <v>79.633796613069975</v>
      </c>
      <c r="AG102" s="242">
        <f t="shared" ref="AG102:AN102" si="273">+AF102+AG101-AG94</f>
        <v>72.958486294266407</v>
      </c>
      <c r="AH102" s="242">
        <f t="shared" si="273"/>
        <v>74.42777130911017</v>
      </c>
      <c r="AI102" s="242">
        <f t="shared" si="273"/>
        <v>76.418412373191046</v>
      </c>
      <c r="AJ102" s="242">
        <f t="shared" si="273"/>
        <v>78.214675113786399</v>
      </c>
      <c r="AK102" s="242">
        <f t="shared" si="273"/>
        <v>87.471393530922896</v>
      </c>
      <c r="AL102" s="242">
        <f t="shared" si="273"/>
        <v>108.69364553510638</v>
      </c>
      <c r="AM102" s="242">
        <f t="shared" si="273"/>
        <v>107.40866770817976</v>
      </c>
      <c r="AN102" s="242">
        <f t="shared" si="273"/>
        <v>100.23925388341027</v>
      </c>
      <c r="AX102" s="2">
        <f>+(AX101+450)/(2751-450)</f>
        <v>1.0047805302042589</v>
      </c>
    </row>
    <row r="103" spans="1:50" s="30" customFormat="1">
      <c r="A103" s="6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2"/>
      <c r="O103" s="32"/>
      <c r="P103" s="32"/>
      <c r="Q103" s="33"/>
      <c r="R103" s="33"/>
      <c r="S103" s="33"/>
      <c r="T103" s="33"/>
      <c r="U103" s="33"/>
      <c r="V103" s="32"/>
      <c r="W103" s="33"/>
      <c r="X103" s="33"/>
      <c r="Y103" s="33"/>
      <c r="Z103" s="33"/>
      <c r="AA103" s="32"/>
      <c r="AB103" s="32"/>
      <c r="AC103" s="324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</row>
    <row r="104" spans="1:50" s="142" customFormat="1">
      <c r="A104" s="138" t="s">
        <v>183</v>
      </c>
      <c r="B104" s="155">
        <f t="shared" ref="B104:AN104" si="274">+B82</f>
        <v>2010</v>
      </c>
      <c r="C104" s="86" t="str">
        <f t="shared" si="274"/>
        <v>1T11</v>
      </c>
      <c r="D104" s="86" t="str">
        <f t="shared" si="274"/>
        <v>2T11</v>
      </c>
      <c r="E104" s="86" t="str">
        <f t="shared" si="274"/>
        <v>3T11</v>
      </c>
      <c r="F104" s="86" t="str">
        <f t="shared" si="274"/>
        <v>4T11</v>
      </c>
      <c r="G104" s="155">
        <f t="shared" si="274"/>
        <v>2011</v>
      </c>
      <c r="H104" s="86" t="str">
        <f t="shared" si="274"/>
        <v>1T12</v>
      </c>
      <c r="I104" s="86" t="str">
        <f t="shared" si="274"/>
        <v>2T12</v>
      </c>
      <c r="J104" s="86" t="str">
        <f t="shared" si="274"/>
        <v>3T12</v>
      </c>
      <c r="K104" s="86" t="str">
        <f t="shared" si="274"/>
        <v>4T12</v>
      </c>
      <c r="L104" s="155">
        <f t="shared" si="274"/>
        <v>2012</v>
      </c>
      <c r="M104" s="86" t="str">
        <f t="shared" si="274"/>
        <v>1T13</v>
      </c>
      <c r="N104" s="86" t="str">
        <f t="shared" si="274"/>
        <v>2T13</v>
      </c>
      <c r="O104" s="86" t="str">
        <f t="shared" si="274"/>
        <v>3T13</v>
      </c>
      <c r="P104" s="86" t="str">
        <f t="shared" si="274"/>
        <v>4T13</v>
      </c>
      <c r="Q104" s="155">
        <f t="shared" si="274"/>
        <v>2013</v>
      </c>
      <c r="R104" s="86" t="str">
        <f t="shared" si="274"/>
        <v>1T14</v>
      </c>
      <c r="S104" s="86" t="str">
        <f t="shared" si="274"/>
        <v>2T14</v>
      </c>
      <c r="T104" s="86" t="str">
        <f t="shared" si="274"/>
        <v>3T14</v>
      </c>
      <c r="U104" s="86" t="str">
        <f t="shared" ref="U104:W104" si="275">+U82</f>
        <v>4T14</v>
      </c>
      <c r="V104" s="155">
        <f t="shared" si="274"/>
        <v>2014</v>
      </c>
      <c r="W104" s="86" t="str">
        <f t="shared" si="275"/>
        <v>1T15</v>
      </c>
      <c r="X104" s="86" t="str">
        <f t="shared" ref="X104:Z104" si="276">+X82</f>
        <v>2T15</v>
      </c>
      <c r="Y104" s="86" t="str">
        <f t="shared" si="276"/>
        <v>3T15</v>
      </c>
      <c r="Z104" s="86" t="str">
        <f t="shared" si="276"/>
        <v>4T15E</v>
      </c>
      <c r="AA104" s="155" t="str">
        <f>+AA82</f>
        <v>2015E</v>
      </c>
      <c r="AB104" s="155" t="str">
        <f t="shared" si="274"/>
        <v>2016E</v>
      </c>
      <c r="AC104" s="155" t="str">
        <f t="shared" si="274"/>
        <v>2017E</v>
      </c>
      <c r="AD104" s="155" t="str">
        <f t="shared" si="274"/>
        <v>2018E</v>
      </c>
      <c r="AE104" s="155" t="str">
        <f t="shared" si="274"/>
        <v>2019E</v>
      </c>
      <c r="AF104" s="155" t="str">
        <f t="shared" si="274"/>
        <v>2020E</v>
      </c>
      <c r="AG104" s="155" t="str">
        <f t="shared" si="274"/>
        <v>2021E</v>
      </c>
      <c r="AH104" s="155" t="str">
        <f t="shared" si="274"/>
        <v>2022E</v>
      </c>
      <c r="AI104" s="155" t="str">
        <f t="shared" si="274"/>
        <v>2023E</v>
      </c>
      <c r="AJ104" s="155" t="str">
        <f t="shared" si="274"/>
        <v>2024E</v>
      </c>
      <c r="AK104" s="155" t="str">
        <f t="shared" si="274"/>
        <v>2025E</v>
      </c>
      <c r="AL104" s="155" t="str">
        <f t="shared" si="274"/>
        <v>2026E</v>
      </c>
      <c r="AM104" s="155" t="str">
        <f t="shared" si="274"/>
        <v>2027E</v>
      </c>
      <c r="AN104" s="155" t="str">
        <f t="shared" si="274"/>
        <v>2028E</v>
      </c>
    </row>
    <row r="105" spans="1:50" s="2" customFormat="1">
      <c r="A105" s="2" t="s">
        <v>184</v>
      </c>
      <c r="B105" s="108">
        <f>+B22+B29+B23</f>
        <v>449.47</v>
      </c>
      <c r="C105" s="108">
        <f t="shared" ref="C105:Q105" si="277">+C22+C29+C23</f>
        <v>466.37</v>
      </c>
      <c r="D105" s="108">
        <f t="shared" si="277"/>
        <v>518.54999999999995</v>
      </c>
      <c r="E105" s="108">
        <f t="shared" si="277"/>
        <v>504.1</v>
      </c>
      <c r="F105" s="108">
        <f t="shared" si="277"/>
        <v>481.4</v>
      </c>
      <c r="G105" s="108">
        <f t="shared" si="277"/>
        <v>481.4</v>
      </c>
      <c r="H105" s="108">
        <f t="shared" si="277"/>
        <v>501.1</v>
      </c>
      <c r="I105" s="108">
        <f t="shared" si="277"/>
        <v>518.54999999999995</v>
      </c>
      <c r="J105" s="108">
        <f t="shared" si="277"/>
        <v>608.30000000000007</v>
      </c>
      <c r="K105" s="108">
        <f t="shared" si="277"/>
        <v>627</v>
      </c>
      <c r="L105" s="108">
        <f t="shared" si="277"/>
        <v>627</v>
      </c>
      <c r="M105" s="108">
        <f t="shared" si="277"/>
        <v>635.1</v>
      </c>
      <c r="N105" s="108">
        <f t="shared" ref="N105:P105" si="278">+N22+N29+N23</f>
        <v>642.79999999999995</v>
      </c>
      <c r="O105" s="108">
        <f t="shared" si="278"/>
        <v>1072.77</v>
      </c>
      <c r="P105" s="108">
        <f t="shared" si="278"/>
        <v>1068.0999999999999</v>
      </c>
      <c r="Q105" s="108">
        <f t="shared" si="277"/>
        <v>1068.0999999999999</v>
      </c>
      <c r="R105" s="108">
        <f>+R22+R29+R23</f>
        <v>1110.5999999999999</v>
      </c>
      <c r="S105" s="108">
        <f t="shared" ref="S105" si="279">+S22+S29+S23</f>
        <v>1076.979</v>
      </c>
      <c r="T105" s="108">
        <f>+T22+T29+T23</f>
        <v>1109.3499999999999</v>
      </c>
      <c r="U105" s="108">
        <f>+U22+U29+U23</f>
        <v>1107.232</v>
      </c>
      <c r="V105" s="108">
        <f>+V22+V29+V23</f>
        <v>1107.232</v>
      </c>
      <c r="W105" s="108">
        <f>+W22+W29+W23</f>
        <v>1171.6640000000002</v>
      </c>
      <c r="X105" s="108">
        <f t="shared" ref="X105" si="280">+X22+X29+X23</f>
        <v>1179.5260000000001</v>
      </c>
      <c r="Y105" s="108">
        <f>+Y22+Y29+Y23</f>
        <v>1224.6420000000001</v>
      </c>
      <c r="Z105" s="108">
        <f>+Z22+Z29+Z23</f>
        <v>1236.7544958810918</v>
      </c>
      <c r="AA105" s="108">
        <f>+AA22+AA29+AA23</f>
        <v>1236.7544958810918</v>
      </c>
      <c r="AB105" s="108">
        <f>+AB22+AB29+AB23</f>
        <v>1330.8547052284873</v>
      </c>
      <c r="AC105" s="108">
        <f t="shared" ref="AC105:AN105" si="281">+AC22+AC29+AC23</f>
        <v>1389.76376557136</v>
      </c>
      <c r="AD105" s="108">
        <f t="shared" si="281"/>
        <v>1401.1625878965617</v>
      </c>
      <c r="AE105" s="108">
        <f t="shared" si="281"/>
        <v>1371.4743235861897</v>
      </c>
      <c r="AF105" s="108">
        <f t="shared" si="281"/>
        <v>1319.2578142171162</v>
      </c>
      <c r="AG105" s="108">
        <f t="shared" si="281"/>
        <v>1249.6895884288704</v>
      </c>
      <c r="AH105" s="108">
        <f t="shared" si="281"/>
        <v>1150.0385328299456</v>
      </c>
      <c r="AI105" s="108">
        <f t="shared" si="281"/>
        <v>1002.2772765457555</v>
      </c>
      <c r="AJ105" s="108">
        <f t="shared" si="281"/>
        <v>830.10534178585772</v>
      </c>
      <c r="AK105" s="108">
        <f t="shared" si="281"/>
        <v>625.30081300540542</v>
      </c>
      <c r="AL105" s="108">
        <f t="shared" si="281"/>
        <v>397.52219580435258</v>
      </c>
      <c r="AM105" s="108">
        <f t="shared" si="281"/>
        <v>158.28188841990371</v>
      </c>
      <c r="AN105" s="108">
        <f t="shared" si="281"/>
        <v>56.55786805006673</v>
      </c>
    </row>
    <row r="106" spans="1:50" s="2" customFormat="1">
      <c r="A106" s="2" t="s">
        <v>185</v>
      </c>
      <c r="B106" s="108">
        <f t="shared" ref="B106:M106" si="282">+B105-B7</f>
        <v>374.37</v>
      </c>
      <c r="C106" s="108">
        <f t="shared" si="282"/>
        <v>386.37</v>
      </c>
      <c r="D106" s="108">
        <f t="shared" si="282"/>
        <v>514.65</v>
      </c>
      <c r="E106" s="108">
        <f t="shared" si="282"/>
        <v>430.1</v>
      </c>
      <c r="F106" s="108">
        <f t="shared" si="282"/>
        <v>454.09999999999997</v>
      </c>
      <c r="G106" s="108">
        <f t="shared" si="282"/>
        <v>454.09999999999997</v>
      </c>
      <c r="H106" s="108">
        <f t="shared" si="282"/>
        <v>478.93</v>
      </c>
      <c r="I106" s="108">
        <f t="shared" si="282"/>
        <v>514.65</v>
      </c>
      <c r="J106" s="108">
        <f t="shared" si="282"/>
        <v>545.40000000000009</v>
      </c>
      <c r="K106" s="108">
        <f t="shared" si="282"/>
        <v>579.1</v>
      </c>
      <c r="L106" s="108">
        <f t="shared" si="282"/>
        <v>579.1</v>
      </c>
      <c r="M106" s="108">
        <f t="shared" si="282"/>
        <v>597.54</v>
      </c>
      <c r="N106" s="108">
        <f t="shared" ref="N106:P106" si="283">+N105-N7</f>
        <v>637.79999999999995</v>
      </c>
      <c r="O106" s="108">
        <f t="shared" si="283"/>
        <v>680.17</v>
      </c>
      <c r="P106" s="108">
        <f t="shared" si="283"/>
        <v>717.3</v>
      </c>
      <c r="Q106" s="108">
        <f>+Q105-Q7</f>
        <v>717.3</v>
      </c>
      <c r="R106" s="108">
        <f t="shared" ref="R106:S106" si="284">+R105-R7</f>
        <v>756</v>
      </c>
      <c r="S106" s="108">
        <f t="shared" si="284"/>
        <v>782.78</v>
      </c>
      <c r="T106" s="108">
        <f>+T105-T7</f>
        <v>824.96999999999991</v>
      </c>
      <c r="U106" s="108">
        <f>+U105-U7</f>
        <v>858.38</v>
      </c>
      <c r="V106" s="108">
        <f>+V105-V7</f>
        <v>858.38</v>
      </c>
      <c r="W106" s="108">
        <f>+W105-W7</f>
        <v>910.56700000000023</v>
      </c>
      <c r="X106" s="108">
        <f t="shared" ref="X106:Y106" si="285">+X105-X7</f>
        <v>903.02400000000011</v>
      </c>
      <c r="Y106" s="108">
        <f t="shared" si="285"/>
        <v>926.14900000000011</v>
      </c>
      <c r="Z106" s="108">
        <f>+Z105-Z7</f>
        <v>954.71003446459986</v>
      </c>
      <c r="AA106" s="108">
        <f>+AA105-AA7</f>
        <v>954.71003446459986</v>
      </c>
      <c r="AB106" s="108">
        <f>+AB105-AB7</f>
        <v>1047.5861818461874</v>
      </c>
      <c r="AC106" s="108">
        <f t="shared" ref="AC106:AN106" si="286">+AC105-AC7</f>
        <v>1087.7709237915401</v>
      </c>
      <c r="AD106" s="108">
        <f t="shared" si="286"/>
        <v>1048.0980350034024</v>
      </c>
      <c r="AE106" s="108">
        <f t="shared" si="286"/>
        <v>981.96529175265073</v>
      </c>
      <c r="AF106" s="108">
        <f t="shared" si="286"/>
        <v>893.04547095075941</v>
      </c>
      <c r="AG106" s="108">
        <f t="shared" si="286"/>
        <v>818.96526272760912</v>
      </c>
      <c r="AH106" s="108">
        <f t="shared" si="286"/>
        <v>708.38691779548753</v>
      </c>
      <c r="AI106" s="108">
        <f t="shared" si="286"/>
        <v>555.44136069008994</v>
      </c>
      <c r="AJ106" s="108">
        <f t="shared" si="286"/>
        <v>376.58650290099314</v>
      </c>
      <c r="AK106" s="108">
        <f t="shared" si="286"/>
        <v>148.99578265265018</v>
      </c>
      <c r="AL106" s="108">
        <f t="shared" si="286"/>
        <v>-108.06478092898834</v>
      </c>
      <c r="AM106" s="108">
        <f t="shared" si="286"/>
        <v>-336.19669457835153</v>
      </c>
      <c r="AN106" s="108">
        <f t="shared" si="286"/>
        <v>-584.40947683321031</v>
      </c>
    </row>
    <row r="107" spans="1:50" s="2" customFormat="1">
      <c r="A107" s="2" t="s">
        <v>186</v>
      </c>
      <c r="B107" s="243">
        <f t="shared" ref="B107:Q107" si="287">+B105/B34</f>
        <v>2.0561299176578225</v>
      </c>
      <c r="C107" s="243">
        <f t="shared" si="287"/>
        <v>2.1691627906976745</v>
      </c>
      <c r="D107" s="243">
        <f t="shared" si="287"/>
        <v>2.6189393939393937</v>
      </c>
      <c r="E107" s="243">
        <f t="shared" si="287"/>
        <v>2.3871762087417725</v>
      </c>
      <c r="F107" s="243">
        <f t="shared" si="287"/>
        <v>2.3211186113789775</v>
      </c>
      <c r="G107" s="243">
        <f t="shared" si="287"/>
        <v>2.3211186113789775</v>
      </c>
      <c r="H107" s="243">
        <f t="shared" si="287"/>
        <v>2.444390243902439</v>
      </c>
      <c r="I107" s="243">
        <f t="shared" si="287"/>
        <v>2.6189393939393937</v>
      </c>
      <c r="J107" s="243">
        <f t="shared" si="287"/>
        <v>3.1534473820632454</v>
      </c>
      <c r="K107" s="243">
        <f t="shared" si="287"/>
        <v>3.3315621679064829</v>
      </c>
      <c r="L107" s="243">
        <f t="shared" si="287"/>
        <v>3.3315621679064829</v>
      </c>
      <c r="M107" s="243">
        <f t="shared" si="287"/>
        <v>3.4704918032786884</v>
      </c>
      <c r="N107" s="243">
        <f t="shared" ref="N107:P107" si="288">+N105/N34</f>
        <v>3.5435501653803745</v>
      </c>
      <c r="O107" s="243">
        <f t="shared" si="288"/>
        <v>6.2771796372147453</v>
      </c>
      <c r="P107" s="243">
        <f t="shared" si="288"/>
        <v>6.5527607361963183</v>
      </c>
      <c r="Q107" s="243">
        <f t="shared" si="287"/>
        <v>6.5527607361963183</v>
      </c>
      <c r="R107" s="243">
        <f t="shared" ref="R107:S107" si="289">+R105/R34</f>
        <v>7.6382393397524062</v>
      </c>
      <c r="S107" s="243">
        <f t="shared" si="289"/>
        <v>7.2507237400191205</v>
      </c>
      <c r="T107" s="243">
        <f>+T105/T34</f>
        <v>7.7662732249618447</v>
      </c>
      <c r="U107" s="243">
        <f>+U105/U34</f>
        <v>7.732175030377519</v>
      </c>
      <c r="V107" s="243">
        <f>+V105/V34</f>
        <v>7.732175030377519</v>
      </c>
      <c r="W107" s="243">
        <f>+W105/W34</f>
        <v>10.855173436110288</v>
      </c>
      <c r="X107" s="243">
        <f t="shared" ref="X107:Z107" si="290">+X105/X34</f>
        <v>8.2728471433180442</v>
      </c>
      <c r="Y107" s="243">
        <f t="shared" si="290"/>
        <v>9.6698803742745483</v>
      </c>
      <c r="Z107" s="243">
        <f t="shared" si="290"/>
        <v>9.4803598673224876</v>
      </c>
      <c r="AA107" s="243">
        <f>+AA105/AA34</f>
        <v>9.4803598673224876</v>
      </c>
      <c r="AB107" s="243">
        <f t="shared" ref="AB107:AN107" si="291">+AB105/AB34</f>
        <v>10.527010953625826</v>
      </c>
      <c r="AC107" s="243">
        <f t="shared" si="291"/>
        <v>8.8255500980454613</v>
      </c>
      <c r="AD107" s="243">
        <f t="shared" si="291"/>
        <v>6.1578734233556487</v>
      </c>
      <c r="AE107" s="243">
        <f t="shared" si="291"/>
        <v>4.072406629639902</v>
      </c>
      <c r="AF107" s="243">
        <f t="shared" si="291"/>
        <v>2.8970801754464715</v>
      </c>
      <c r="AG107" s="243">
        <f t="shared" si="291"/>
        <v>2.0951798227014851</v>
      </c>
      <c r="AH107" s="243">
        <f t="shared" si="291"/>
        <v>1.552454320085203</v>
      </c>
      <c r="AI107" s="243">
        <f t="shared" si="291"/>
        <v>1.0880760042319602</v>
      </c>
      <c r="AJ107" s="243">
        <f t="shared" si="291"/>
        <v>0.74106304937929168</v>
      </c>
      <c r="AK107" s="243">
        <f t="shared" si="291"/>
        <v>0.46333771289643993</v>
      </c>
      <c r="AL107" s="243">
        <f t="shared" si="291"/>
        <v>0.24637484365664208</v>
      </c>
      <c r="AM107" s="243">
        <f t="shared" si="291"/>
        <v>8.2688277248742809E-2</v>
      </c>
      <c r="AN107" s="243">
        <f t="shared" si="291"/>
        <v>2.5281880018651132E-2</v>
      </c>
    </row>
    <row r="108" spans="1:50" s="2" customFormat="1">
      <c r="A108" s="2" t="s">
        <v>187</v>
      </c>
      <c r="B108" s="243">
        <f>+B105/B$65</f>
        <v>5.9929333333333341</v>
      </c>
      <c r="G108" s="243">
        <f>+G105/G$65</f>
        <v>6.092591186372033</v>
      </c>
      <c r="H108" s="243">
        <f>+H105/(H$65+F$65+E$65+D$65)</f>
        <v>6.092179008668376</v>
      </c>
      <c r="I108" s="243">
        <f>+I105/(I$65+H$65+F$65+E$65)</f>
        <v>6.2696474343473412</v>
      </c>
      <c r="J108" s="243">
        <f>+J105/(J$65+I$65+H$65+F$65)</f>
        <v>7.1630437342502509</v>
      </c>
      <c r="K108" s="243">
        <f>+K105/(K$65+J$65+I$65+H$65)</f>
        <v>6.7385299902199938</v>
      </c>
      <c r="L108" s="243">
        <f>+L105/L$65</f>
        <v>6.7385299902199982</v>
      </c>
      <c r="M108" s="243">
        <f>+M105/(M$65+K$65+J$65+I$65)</f>
        <v>6.86364569711772</v>
      </c>
      <c r="N108" s="243">
        <f>+N105/(N$65+M$65+K$65+J$65)</f>
        <v>6.5534327019146437</v>
      </c>
      <c r="O108" s="243">
        <f>+O105/(O$65+N$65+M$65+K$65)</f>
        <v>10.951549675364445</v>
      </c>
      <c r="P108" s="243">
        <f>+P105/(P$65+O$65+N$65+M$65)</f>
        <v>10.779633647878084</v>
      </c>
      <c r="Q108" s="243">
        <f>+Q105/Q$65</f>
        <v>10.779633647878081</v>
      </c>
      <c r="R108" s="243">
        <f>+R105/(R$65+P$65+O$65+N$65)</f>
        <v>10.558840866307921</v>
      </c>
      <c r="S108" s="243">
        <f>+S105/(S$65+R$65+P$65+O$65)</f>
        <v>9.7571889325771437</v>
      </c>
      <c r="T108" s="243">
        <f>+T105/(T$65+S$65+R$65+P$65)</f>
        <v>9.6530690381302104</v>
      </c>
      <c r="U108" s="243">
        <f>+U105/(U$65+T$65+S$65+R$65)</f>
        <v>9.5016905517892365</v>
      </c>
      <c r="V108" s="243">
        <f>+V105/(V$65)</f>
        <v>9.5016090139104588</v>
      </c>
      <c r="W108" s="243">
        <f>+W105/(W$65+U$65+T$65+S$65)</f>
        <v>10.517535749230259</v>
      </c>
      <c r="X108" s="243">
        <f>+X105/(X$65+W$65+U$65+T$65)</f>
        <v>10.705056995571045</v>
      </c>
      <c r="Y108" s="243">
        <f>+Y105/(Y$65+X$65+W$65+U$65)</f>
        <v>11.038081246000342</v>
      </c>
      <c r="Z108" s="243">
        <f>+Z105/(Z$65+Y$65+X$65+W$65)</f>
        <v>10.549304012526717</v>
      </c>
      <c r="AA108" s="243">
        <f>+AA105/AA$65</f>
        <v>10.549304012526717</v>
      </c>
      <c r="AB108" s="243">
        <f>+AB105/AB$65</f>
        <v>8.1683646866571777</v>
      </c>
      <c r="AC108" s="243">
        <f t="shared" ref="AC108:AN108" si="292">+AC105/AC$65</f>
        <v>7.0573640558042916</v>
      </c>
      <c r="AD108" s="243">
        <f t="shared" si="292"/>
        <v>6.0354336243676716</v>
      </c>
      <c r="AE108" s="243">
        <f t="shared" si="292"/>
        <v>5.2140948425498328</v>
      </c>
      <c r="AF108" s="243">
        <f t="shared" si="292"/>
        <v>4.472008634325582</v>
      </c>
      <c r="AG108" s="243">
        <f t="shared" si="292"/>
        <v>3.8665098196372689</v>
      </c>
      <c r="AH108" s="243">
        <f t="shared" si="292"/>
        <v>3.2509853422447192</v>
      </c>
      <c r="AI108" s="243">
        <f t="shared" si="292"/>
        <v>2.5891448212256738</v>
      </c>
      <c r="AJ108" s="243">
        <f t="shared" si="292"/>
        <v>1.9633463580295136</v>
      </c>
      <c r="AK108" s="243">
        <f t="shared" si="292"/>
        <v>1.3560574934620864</v>
      </c>
      <c r="AL108" s="243">
        <f t="shared" si="292"/>
        <v>0.79133597759871455</v>
      </c>
      <c r="AM108" s="243">
        <f t="shared" si="292"/>
        <v>0.28954662451734603</v>
      </c>
      <c r="AN108" s="243">
        <f t="shared" si="292"/>
        <v>9.6847906202642872E-2</v>
      </c>
    </row>
    <row r="109" spans="1:50" s="2" customFormat="1">
      <c r="A109" s="244" t="s">
        <v>188</v>
      </c>
      <c r="B109" s="245">
        <f>+B106/B$65</f>
        <v>4.9916</v>
      </c>
      <c r="C109" s="244"/>
      <c r="D109" s="244"/>
      <c r="E109" s="244"/>
      <c r="F109" s="244"/>
      <c r="G109" s="245">
        <f>+G106/G$65</f>
        <v>5.7470827954539683</v>
      </c>
      <c r="H109" s="245">
        <f>+H106/(H$65+F$65+E$65+D$65)</f>
        <v>5.8226447667562269</v>
      </c>
      <c r="I109" s="245">
        <f>+I106/(I$65+H$65+F$65+E$65)</f>
        <v>6.222493591913719</v>
      </c>
      <c r="J109" s="245">
        <f>+J106/(J$65+I$65+H$65+F$65)</f>
        <v>6.4223640517180449</v>
      </c>
      <c r="K109" s="245">
        <f>+K106/(K$65+J$65+I$65+H$65)</f>
        <v>6.2237363912861214</v>
      </c>
      <c r="L109" s="245">
        <f>+L106/L$65</f>
        <v>6.2237363912861268</v>
      </c>
      <c r="M109" s="245">
        <f>+M106/(M$65+K$65+J$65+I$65)</f>
        <v>6.4577276804530346</v>
      </c>
      <c r="N109" s="245">
        <f>+N106/(N$65+M$65+K$65+J$65)</f>
        <v>6.5024570275064715</v>
      </c>
      <c r="O109" s="245">
        <f>+O106/(O$65+N$65+M$65+K$65)</f>
        <v>6.9436277512352458</v>
      </c>
      <c r="P109" s="245">
        <f>+P106/(P$65+O$65+N$65+M$65)</f>
        <v>7.2392390371902913</v>
      </c>
      <c r="Q109" s="245">
        <f>+Q106/Q$65</f>
        <v>7.2392390371902895</v>
      </c>
      <c r="R109" s="245">
        <f>+R106/(R$65+P$65+O$65+N$65)</f>
        <v>7.1875415945694119</v>
      </c>
      <c r="S109" s="245">
        <f>+S106/(S$65+R$65+P$65+O$65)</f>
        <v>7.0918117740854143</v>
      </c>
      <c r="T109" s="245">
        <f>+T106/(T$65+S$65+R$65+P$65)</f>
        <v>7.1785210838655784</v>
      </c>
      <c r="U109" s="245">
        <f>+U106/(U$65+T$65+S$65+R$65)</f>
        <v>7.3661718012528956</v>
      </c>
      <c r="V109" s="245">
        <f>+V106/(V$65)</f>
        <v>7.3661085891307874</v>
      </c>
      <c r="W109" s="245">
        <f>+W106/(W$65+U$65+T$65+S$65)</f>
        <v>8.1737776142045409</v>
      </c>
      <c r="X109" s="245">
        <f>+X106/(X$65+W$65+U$65+T$65)</f>
        <v>8.195600087126989</v>
      </c>
      <c r="Y109" s="245">
        <f>+Y106/(Y$65+X$65+W$65+U$65)</f>
        <v>8.3476705093422989</v>
      </c>
      <c r="Z109" s="245">
        <f>+Z106/(Z$65+Y$65+X$65+W$65)</f>
        <v>8.1435130665943039</v>
      </c>
      <c r="AA109" s="245">
        <f>+AA106/AA$65</f>
        <v>8.1435130665943039</v>
      </c>
      <c r="AB109" s="245">
        <f t="shared" ref="AB109:AN109" si="293">+AB106/AB$65</f>
        <v>6.4297522039066646</v>
      </c>
      <c r="AC109" s="245">
        <f t="shared" si="293"/>
        <v>5.5238131894735059</v>
      </c>
      <c r="AD109" s="245">
        <f t="shared" si="293"/>
        <v>4.514626765470136</v>
      </c>
      <c r="AE109" s="245">
        <f t="shared" si="293"/>
        <v>3.7332526575505152</v>
      </c>
      <c r="AF109" s="245">
        <f t="shared" si="293"/>
        <v>3.0272377498155105</v>
      </c>
      <c r="AG109" s="245">
        <f t="shared" si="293"/>
        <v>2.5338590155489231</v>
      </c>
      <c r="AH109" s="245">
        <f t="shared" si="293"/>
        <v>2.00250289068495</v>
      </c>
      <c r="AI109" s="245">
        <f t="shared" si="293"/>
        <v>1.4348505709733463</v>
      </c>
      <c r="AJ109" s="245">
        <f t="shared" si="293"/>
        <v>0.89069386948297824</v>
      </c>
      <c r="AK109" s="245">
        <f t="shared" si="293"/>
        <v>0.32311943844958346</v>
      </c>
      <c r="AL109" s="245">
        <f t="shared" si="293"/>
        <v>-0.21512144469668773</v>
      </c>
      <c r="AM109" s="245">
        <f t="shared" si="293"/>
        <v>-0.61500793970063528</v>
      </c>
      <c r="AN109" s="245">
        <f t="shared" si="293"/>
        <v>-1.0007243226738205</v>
      </c>
    </row>
    <row r="111" spans="1:50" s="142" customFormat="1">
      <c r="A111" s="138" t="s">
        <v>189</v>
      </c>
      <c r="B111" s="155">
        <f t="shared" ref="B111:AN111" si="294">+B104</f>
        <v>2010</v>
      </c>
      <c r="C111" s="86" t="str">
        <f t="shared" si="294"/>
        <v>1T11</v>
      </c>
      <c r="D111" s="86" t="str">
        <f t="shared" si="294"/>
        <v>2T11</v>
      </c>
      <c r="E111" s="86" t="str">
        <f t="shared" si="294"/>
        <v>3T11</v>
      </c>
      <c r="F111" s="86" t="str">
        <f t="shared" si="294"/>
        <v>4T11</v>
      </c>
      <c r="G111" s="155">
        <f t="shared" si="294"/>
        <v>2011</v>
      </c>
      <c r="H111" s="86" t="str">
        <f t="shared" si="294"/>
        <v>1T12</v>
      </c>
      <c r="I111" s="86" t="str">
        <f t="shared" si="294"/>
        <v>2T12</v>
      </c>
      <c r="J111" s="86" t="str">
        <f t="shared" si="294"/>
        <v>3T12</v>
      </c>
      <c r="K111" s="86" t="str">
        <f t="shared" si="294"/>
        <v>4T12</v>
      </c>
      <c r="L111" s="155">
        <f t="shared" si="294"/>
        <v>2012</v>
      </c>
      <c r="M111" s="86" t="str">
        <f t="shared" si="294"/>
        <v>1T13</v>
      </c>
      <c r="N111" s="86" t="str">
        <f t="shared" si="294"/>
        <v>2T13</v>
      </c>
      <c r="O111" s="86" t="str">
        <f t="shared" si="294"/>
        <v>3T13</v>
      </c>
      <c r="P111" s="86" t="str">
        <f t="shared" si="294"/>
        <v>4T13</v>
      </c>
      <c r="Q111" s="155">
        <f t="shared" si="294"/>
        <v>2013</v>
      </c>
      <c r="R111" s="86" t="str">
        <f t="shared" si="294"/>
        <v>1T14</v>
      </c>
      <c r="S111" s="86" t="str">
        <f t="shared" si="294"/>
        <v>2T14</v>
      </c>
      <c r="T111" s="86" t="str">
        <f t="shared" ref="T111:U111" si="295">+T104</f>
        <v>3T14</v>
      </c>
      <c r="U111" s="86" t="str">
        <f t="shared" si="295"/>
        <v>4T14</v>
      </c>
      <c r="V111" s="155">
        <f t="shared" si="294"/>
        <v>2014</v>
      </c>
      <c r="W111" s="86" t="str">
        <f t="shared" si="294"/>
        <v>1T15</v>
      </c>
      <c r="X111" s="86" t="str">
        <f t="shared" ref="X111:Y111" si="296">+X104</f>
        <v>2T15</v>
      </c>
      <c r="Y111" s="86" t="str">
        <f t="shared" si="296"/>
        <v>3T15</v>
      </c>
      <c r="Z111" s="86" t="str">
        <f>+Z104</f>
        <v>4T15E</v>
      </c>
      <c r="AA111" s="155" t="str">
        <f>+AA104</f>
        <v>2015E</v>
      </c>
      <c r="AB111" s="155" t="str">
        <f t="shared" si="294"/>
        <v>2016E</v>
      </c>
      <c r="AC111" s="155" t="str">
        <f t="shared" si="294"/>
        <v>2017E</v>
      </c>
      <c r="AD111" s="155" t="str">
        <f t="shared" si="294"/>
        <v>2018E</v>
      </c>
      <c r="AE111" s="155" t="str">
        <f t="shared" si="294"/>
        <v>2019E</v>
      </c>
      <c r="AF111" s="155" t="str">
        <f t="shared" si="294"/>
        <v>2020E</v>
      </c>
      <c r="AG111" s="155" t="str">
        <f t="shared" si="294"/>
        <v>2021E</v>
      </c>
      <c r="AH111" s="155" t="str">
        <f t="shared" si="294"/>
        <v>2022E</v>
      </c>
      <c r="AI111" s="155" t="str">
        <f t="shared" si="294"/>
        <v>2023E</v>
      </c>
      <c r="AJ111" s="155" t="str">
        <f t="shared" si="294"/>
        <v>2024E</v>
      </c>
      <c r="AK111" s="155" t="str">
        <f t="shared" si="294"/>
        <v>2025E</v>
      </c>
      <c r="AL111" s="155" t="str">
        <f t="shared" si="294"/>
        <v>2026E</v>
      </c>
      <c r="AM111" s="155" t="str">
        <f t="shared" si="294"/>
        <v>2027E</v>
      </c>
      <c r="AN111" s="155" t="str">
        <f t="shared" si="294"/>
        <v>2028E</v>
      </c>
    </row>
    <row r="112" spans="1:50" s="2" customFormat="1">
      <c r="A112" s="2" t="str">
        <f>+A8</f>
        <v>Contas a Receber</v>
      </c>
      <c r="B112" s="236">
        <f t="shared" ref="B112:M112" si="297">+B8</f>
        <v>7.7</v>
      </c>
      <c r="C112" s="236">
        <f t="shared" si="297"/>
        <v>10.36</v>
      </c>
      <c r="D112" s="236">
        <f t="shared" si="297"/>
        <v>8</v>
      </c>
      <c r="E112" s="236">
        <f t="shared" si="297"/>
        <v>12.6</v>
      </c>
      <c r="F112" s="236">
        <f t="shared" si="297"/>
        <v>9.9</v>
      </c>
      <c r="G112" s="236">
        <f t="shared" si="297"/>
        <v>9.9</v>
      </c>
      <c r="H112" s="236">
        <f t="shared" si="297"/>
        <v>12.28</v>
      </c>
      <c r="I112" s="236">
        <f t="shared" si="297"/>
        <v>8</v>
      </c>
      <c r="J112" s="236">
        <f t="shared" si="297"/>
        <v>10.9</v>
      </c>
      <c r="K112" s="236">
        <f t="shared" si="297"/>
        <v>14.1</v>
      </c>
      <c r="L112" s="236">
        <f t="shared" si="297"/>
        <v>14.1</v>
      </c>
      <c r="M112" s="236">
        <f t="shared" si="297"/>
        <v>10.59</v>
      </c>
      <c r="N112" s="236">
        <f t="shared" ref="N112:O112" si="298">+N8</f>
        <v>11</v>
      </c>
      <c r="O112" s="236">
        <f t="shared" si="298"/>
        <v>13.9</v>
      </c>
      <c r="P112" s="236">
        <f t="shared" ref="P112" si="299">+P8</f>
        <v>16.7</v>
      </c>
      <c r="Q112" s="236">
        <f t="shared" ref="Q112:V112" si="300">+Q8</f>
        <v>16.7</v>
      </c>
      <c r="R112" s="236">
        <f t="shared" si="300"/>
        <v>10.6</v>
      </c>
      <c r="S112" s="236">
        <f t="shared" si="300"/>
        <v>14.311</v>
      </c>
      <c r="T112" s="236">
        <f t="shared" si="300"/>
        <v>17.088000000000001</v>
      </c>
      <c r="U112" s="236">
        <f t="shared" si="300"/>
        <v>18.218</v>
      </c>
      <c r="V112" s="236">
        <f t="shared" si="300"/>
        <v>18.218</v>
      </c>
      <c r="W112" s="236">
        <f t="shared" ref="W112:Y112" si="301">+W8</f>
        <v>11.227</v>
      </c>
      <c r="X112" s="236">
        <f t="shared" si="301"/>
        <v>17.666</v>
      </c>
      <c r="Y112" s="236">
        <f t="shared" si="301"/>
        <v>17.748999999999999</v>
      </c>
      <c r="Z112" s="236">
        <f>+Z113*(Z40*4)</f>
        <v>19.398963502967103</v>
      </c>
      <c r="AA112" s="236">
        <f>Z112</f>
        <v>19.398963502967103</v>
      </c>
      <c r="AB112" s="236">
        <f>+AB113*AB$40</f>
        <v>22.337133224637995</v>
      </c>
      <c r="AC112" s="236">
        <f t="shared" ref="AC112:AN112" si="302">+AC113*AC$40</f>
        <v>25.282708441394469</v>
      </c>
      <c r="AD112" s="236">
        <f t="shared" si="302"/>
        <v>29.252381354124829</v>
      </c>
      <c r="AE112" s="236">
        <f t="shared" si="302"/>
        <v>32.641612885108799</v>
      </c>
      <c r="AF112" s="236">
        <f t="shared" si="302"/>
        <v>36.157966404239396</v>
      </c>
      <c r="AG112" s="236">
        <f t="shared" si="302"/>
        <v>39.371978865183515</v>
      </c>
      <c r="AH112" s="236">
        <f t="shared" si="302"/>
        <v>42.841738193808098</v>
      </c>
      <c r="AI112" s="236">
        <f t="shared" si="302"/>
        <v>46.617396811016114</v>
      </c>
      <c r="AJ112" s="236">
        <f t="shared" si="302"/>
        <v>50.650087076641292</v>
      </c>
      <c r="AK112" s="236">
        <f t="shared" si="302"/>
        <v>54.96997666080874</v>
      </c>
      <c r="AL112" s="236">
        <f t="shared" si="302"/>
        <v>59.607753751558391</v>
      </c>
      <c r="AM112" s="236">
        <f t="shared" si="302"/>
        <v>64.582164583990547</v>
      </c>
      <c r="AN112" s="236">
        <f t="shared" si="302"/>
        <v>68.850640399422602</v>
      </c>
    </row>
    <row r="113" spans="1:40" s="2" customFormat="1">
      <c r="A113" s="2" t="s">
        <v>191</v>
      </c>
      <c r="B113" s="110">
        <f>+B112/B$40</f>
        <v>5.2345343303874921E-2</v>
      </c>
      <c r="C113" s="110">
        <f>+C112/(C$40*4)</f>
        <v>7.3371104815864022E-2</v>
      </c>
      <c r="D113" s="110">
        <f t="shared" ref="D113:F113" si="303">+D112/(D$40*4)</f>
        <v>5.305039787798408E-2</v>
      </c>
      <c r="E113" s="110">
        <f t="shared" si="303"/>
        <v>7.2647601476014761E-2</v>
      </c>
      <c r="F113" s="110">
        <f t="shared" si="303"/>
        <v>5.8482986767485812E-2</v>
      </c>
      <c r="G113" s="110">
        <f>+G112/G$40</f>
        <v>6.2389715149987396E-2</v>
      </c>
      <c r="H113" s="110">
        <f>+H112/(H$40*4)</f>
        <v>7.6749999999999999E-2</v>
      </c>
      <c r="I113" s="110">
        <f t="shared" ref="I113" si="304">+I112/(I$40*4)</f>
        <v>5.0251256281407038E-2</v>
      </c>
      <c r="J113" s="110">
        <f t="shared" ref="J113" si="305">+J112/(J$40*4)</f>
        <v>5.8982683982683984E-2</v>
      </c>
      <c r="K113" s="110">
        <f t="shared" ref="K113" si="306">+K112/(K$40*4)</f>
        <v>7.5969827586206892E-2</v>
      </c>
      <c r="L113" s="110">
        <f>+L112/L$40</f>
        <v>8.1786542923433875E-2</v>
      </c>
      <c r="M113" s="110">
        <f>+M112/(M$40*4)</f>
        <v>6.1016363217331178E-2</v>
      </c>
      <c r="N113" s="110">
        <f>+N112/(N$40*4)</f>
        <v>6.2358276643990927E-2</v>
      </c>
      <c r="O113" s="110">
        <f>+O112/(O$40*4)</f>
        <v>6.751505731494073E-2</v>
      </c>
      <c r="P113" s="110">
        <f>+P112/(P$40*4)</f>
        <v>8.8565973695375472E-2</v>
      </c>
      <c r="Q113" s="110">
        <f>+Q112/Q$40</f>
        <v>8.9736700698549152E-2</v>
      </c>
      <c r="R113" s="110">
        <f>+R112/(R$40*4)</f>
        <v>5.4752066115702477E-2</v>
      </c>
      <c r="S113" s="110">
        <f>+S112/(S$40*4)</f>
        <v>7.3257504402309673E-2</v>
      </c>
      <c r="T113" s="110">
        <f>+T112/(T$40*4)</f>
        <v>8.0876923950701438E-2</v>
      </c>
      <c r="U113" s="110">
        <f>+U112/(U$40*4)</f>
        <v>8.5301444009514352E-2</v>
      </c>
      <c r="V113" s="110">
        <f>+V112/V$40</f>
        <v>8.9544462575939288E-2</v>
      </c>
      <c r="W113" s="110">
        <f>+W112/(W$40*4)</f>
        <v>5.8001487879977685E-2</v>
      </c>
      <c r="X113" s="110">
        <f t="shared" ref="X113:Y113" si="307">+X112/(X$40*4)</f>
        <v>8.9693338748984566E-2</v>
      </c>
      <c r="Y113" s="110">
        <f t="shared" si="307"/>
        <v>8.167519511117656E-2</v>
      </c>
      <c r="Z113" s="197">
        <f>Y113</f>
        <v>8.167519511117656E-2</v>
      </c>
      <c r="AA113" s="110">
        <f>+AA112/(AA$40)</f>
        <v>9.1791444496223687E-2</v>
      </c>
      <c r="AB113" s="197">
        <v>0.09</v>
      </c>
      <c r="AC113" s="197">
        <v>0.09</v>
      </c>
      <c r="AD113" s="197">
        <v>0.09</v>
      </c>
      <c r="AE113" s="197">
        <v>0.09</v>
      </c>
      <c r="AF113" s="197">
        <v>0.09</v>
      </c>
      <c r="AG113" s="197">
        <v>0.09</v>
      </c>
      <c r="AH113" s="197">
        <v>0.09</v>
      </c>
      <c r="AI113" s="197">
        <v>0.09</v>
      </c>
      <c r="AJ113" s="197">
        <v>0.09</v>
      </c>
      <c r="AK113" s="197">
        <v>0.09</v>
      </c>
      <c r="AL113" s="197">
        <v>0.09</v>
      </c>
      <c r="AM113" s="197">
        <v>0.09</v>
      </c>
      <c r="AN113" s="197">
        <v>0.09</v>
      </c>
    </row>
    <row r="114" spans="1:40" s="2" customFormat="1">
      <c r="B114" s="236"/>
      <c r="C114" s="236"/>
      <c r="D114" s="236"/>
      <c r="E114" s="236"/>
      <c r="F114" s="236"/>
      <c r="G114" s="236"/>
      <c r="H114" s="236"/>
      <c r="I114" s="236"/>
      <c r="J114" s="236"/>
      <c r="K114" s="236"/>
      <c r="L114" s="236"/>
      <c r="M114" s="236"/>
      <c r="N114" s="236"/>
      <c r="Q114" s="236"/>
      <c r="R114" s="236"/>
      <c r="S114" s="236"/>
      <c r="T114" s="236"/>
      <c r="U114" s="236"/>
      <c r="V114" s="236"/>
      <c r="W114" s="236"/>
      <c r="X114" s="236"/>
      <c r="Y114" s="236"/>
      <c r="Z114" s="236"/>
    </row>
    <row r="115" spans="1:40" s="2" customFormat="1">
      <c r="A115" s="2" t="str">
        <f>+A9</f>
        <v>Tributos a Recuperar</v>
      </c>
      <c r="B115" s="236">
        <f t="shared" ref="B115:M115" si="308">+B9</f>
        <v>0.2</v>
      </c>
      <c r="C115" s="236">
        <f t="shared" si="308"/>
        <v>0</v>
      </c>
      <c r="D115" s="236">
        <f t="shared" si="308"/>
        <v>1.9</v>
      </c>
      <c r="E115" s="236">
        <f t="shared" si="308"/>
        <v>1.3</v>
      </c>
      <c r="F115" s="236">
        <f t="shared" si="308"/>
        <v>1.8</v>
      </c>
      <c r="G115" s="236">
        <f t="shared" si="308"/>
        <v>1.8</v>
      </c>
      <c r="H115" s="236">
        <f t="shared" si="308"/>
        <v>2</v>
      </c>
      <c r="I115" s="236">
        <f t="shared" si="308"/>
        <v>1.9</v>
      </c>
      <c r="J115" s="236">
        <f t="shared" si="308"/>
        <v>1.9</v>
      </c>
      <c r="K115" s="236">
        <f t="shared" si="308"/>
        <v>3.8</v>
      </c>
      <c r="L115" s="236">
        <f t="shared" si="308"/>
        <v>3.8</v>
      </c>
      <c r="M115" s="236">
        <f t="shared" si="308"/>
        <v>4.4000000000000004</v>
      </c>
      <c r="N115" s="236">
        <f t="shared" ref="N115:O115" si="309">+N9</f>
        <v>5.3</v>
      </c>
      <c r="O115" s="236">
        <f t="shared" si="309"/>
        <v>5.2</v>
      </c>
      <c r="P115" s="236">
        <f t="shared" ref="P115:R115" si="310">+P9</f>
        <v>5.4</v>
      </c>
      <c r="Q115" s="236">
        <f t="shared" si="310"/>
        <v>5.4</v>
      </c>
      <c r="R115" s="236">
        <f t="shared" si="310"/>
        <v>6.1</v>
      </c>
      <c r="S115" s="236">
        <f t="shared" ref="S115:T115" si="311">+S9</f>
        <v>11.082000000000001</v>
      </c>
      <c r="T115" s="236">
        <f t="shared" si="311"/>
        <v>11.211</v>
      </c>
      <c r="U115" s="236">
        <f t="shared" ref="U115:W115" si="312">+U9</f>
        <v>0.313</v>
      </c>
      <c r="V115" s="236">
        <f>+V9</f>
        <v>0.313</v>
      </c>
      <c r="W115" s="236">
        <f t="shared" si="312"/>
        <v>0.38200000000000001</v>
      </c>
      <c r="X115" s="236">
        <f t="shared" ref="X115:Y115" si="313">+X9</f>
        <v>0.312</v>
      </c>
      <c r="Y115" s="236">
        <f t="shared" si="313"/>
        <v>0.32400000000000001</v>
      </c>
      <c r="Z115" s="236">
        <f>+Z199</f>
        <v>0.32400000000000001</v>
      </c>
      <c r="AA115" s="236">
        <f>+Z115</f>
        <v>0.32400000000000001</v>
      </c>
      <c r="AB115" s="236">
        <f>+AB199</f>
        <v>16.581719829149328</v>
      </c>
      <c r="AC115" s="236">
        <f>+AC199</f>
        <v>16.581719829149328</v>
      </c>
      <c r="AD115" s="236">
        <f t="shared" ref="AD115:AN115" si="314">+AD199</f>
        <v>16.581719829149328</v>
      </c>
      <c r="AE115" s="236">
        <f t="shared" si="314"/>
        <v>16.581719829149328</v>
      </c>
      <c r="AF115" s="236">
        <f t="shared" si="314"/>
        <v>16.581719829149328</v>
      </c>
      <c r="AG115" s="236">
        <f t="shared" si="314"/>
        <v>16.581719829149328</v>
      </c>
      <c r="AH115" s="236">
        <f t="shared" si="314"/>
        <v>16.581719829149328</v>
      </c>
      <c r="AI115" s="236">
        <f t="shared" si="314"/>
        <v>16.581719829149328</v>
      </c>
      <c r="AJ115" s="236">
        <f t="shared" si="314"/>
        <v>16.581719829149328</v>
      </c>
      <c r="AK115" s="236">
        <f t="shared" si="314"/>
        <v>16.581719829149328</v>
      </c>
      <c r="AL115" s="236">
        <f t="shared" si="314"/>
        <v>16.581719829149328</v>
      </c>
      <c r="AM115" s="236">
        <f t="shared" si="314"/>
        <v>16.581719829149328</v>
      </c>
      <c r="AN115" s="236">
        <f t="shared" si="314"/>
        <v>16.581719829149328</v>
      </c>
    </row>
    <row r="116" spans="1:40" s="2" customFormat="1">
      <c r="A116" s="2" t="s">
        <v>191</v>
      </c>
      <c r="B116" s="110">
        <f>+B115/B$40</f>
        <v>1.3596193065941538E-3</v>
      </c>
      <c r="C116" s="110">
        <f>+C115/(C$40*4)</f>
        <v>0</v>
      </c>
      <c r="D116" s="110">
        <f t="shared" ref="D116" si="315">+D115/(D$40*4)</f>
        <v>1.2599469496021219E-2</v>
      </c>
      <c r="E116" s="110">
        <f t="shared" ref="E116" si="316">+E115/(E$40*4)</f>
        <v>7.4953874538745387E-3</v>
      </c>
      <c r="F116" s="110">
        <f t="shared" ref="F116" si="317">+F115/(F$40*4)</f>
        <v>1.0633270321361058E-2</v>
      </c>
      <c r="G116" s="110">
        <f>+G115/G$40</f>
        <v>1.1343584572724981E-2</v>
      </c>
      <c r="H116" s="110">
        <f>+H115/(H$40*4)</f>
        <v>1.2500000000000001E-2</v>
      </c>
      <c r="I116" s="110">
        <f t="shared" ref="I116" si="318">+I115/(I$40*4)</f>
        <v>1.193467336683417E-2</v>
      </c>
      <c r="J116" s="110">
        <f t="shared" ref="J116" si="319">+J115/(J$40*4)</f>
        <v>1.028138528138528E-2</v>
      </c>
      <c r="K116" s="110">
        <f t="shared" ref="K116" si="320">+K115/(K$40*4)</f>
        <v>2.0474137931034479E-2</v>
      </c>
      <c r="L116" s="110">
        <f>+L115/L$40</f>
        <v>2.2041763341067284E-2</v>
      </c>
      <c r="M116" s="110">
        <f>+M115/(M$40*4)</f>
        <v>2.5351463470845818E-2</v>
      </c>
      <c r="N116" s="110">
        <f>+N115/(N$40*4)</f>
        <v>3.0045351473922899E-2</v>
      </c>
      <c r="O116" s="110">
        <f>+O115/(O$40*4)</f>
        <v>2.5257431513503004E-2</v>
      </c>
      <c r="P116" s="110">
        <f>+P115/(P$40*4)</f>
        <v>2.8638099278744167E-2</v>
      </c>
      <c r="Q116" s="110">
        <f>+Q115/Q$40</f>
        <v>2.9016657710908111E-2</v>
      </c>
      <c r="R116" s="110">
        <f>+R115/(R$40*4)</f>
        <v>3.1508264462809916E-2</v>
      </c>
      <c r="S116" s="110">
        <f>+S115/(S$40*4)</f>
        <v>5.6728367255006351E-2</v>
      </c>
      <c r="T116" s="110">
        <f>+T115/(T$40*4)</f>
        <v>5.3061282444482313E-2</v>
      </c>
      <c r="U116" s="110">
        <f>+U115/(U$40*4)</f>
        <v>1.4655479182664394E-3</v>
      </c>
      <c r="V116" s="110">
        <f>+V115/V$40</f>
        <v>1.5384464148791852E-3</v>
      </c>
      <c r="W116" s="110">
        <f>+W115/(W$40*4)</f>
        <v>1.9735074703973879E-3</v>
      </c>
      <c r="X116" s="110">
        <f t="shared" ref="X116:Y116" si="321">+X115/(X$40*4)</f>
        <v>1.5840779853777416E-3</v>
      </c>
      <c r="Y116" s="110">
        <f t="shared" si="321"/>
        <v>1.4909438963333825E-3</v>
      </c>
      <c r="Z116" s="197"/>
      <c r="AA116" s="110">
        <f>+AA115/(AA$40)</f>
        <v>1.5330936630829595E-3</v>
      </c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</row>
    <row r="117" spans="1:40" s="2" customFormat="1">
      <c r="B117" s="236"/>
      <c r="C117" s="236"/>
      <c r="D117" s="236"/>
      <c r="E117" s="236"/>
      <c r="F117" s="236"/>
      <c r="G117" s="236"/>
      <c r="H117" s="236"/>
      <c r="I117" s="236"/>
      <c r="J117" s="236"/>
      <c r="K117" s="236"/>
      <c r="L117" s="236"/>
      <c r="M117" s="236"/>
      <c r="N117" s="236"/>
      <c r="Q117" s="236"/>
      <c r="R117" s="236"/>
      <c r="S117" s="236"/>
      <c r="T117" s="236"/>
      <c r="U117" s="236"/>
      <c r="V117" s="236"/>
      <c r="W117" s="236"/>
      <c r="X117" s="236"/>
      <c r="Y117" s="236"/>
      <c r="Z117" s="236"/>
    </row>
    <row r="118" spans="1:40" s="2" customFormat="1">
      <c r="A118" s="2" t="str">
        <f>+A10</f>
        <v>Outros</v>
      </c>
      <c r="B118" s="236">
        <f t="shared" ref="B118:M118" si="322">+B10</f>
        <v>1.5499999999999972</v>
      </c>
      <c r="C118" s="236">
        <f t="shared" si="322"/>
        <v>2</v>
      </c>
      <c r="D118" s="236">
        <f t="shared" si="322"/>
        <v>1.3</v>
      </c>
      <c r="E118" s="236">
        <f t="shared" si="322"/>
        <v>2</v>
      </c>
      <c r="F118" s="236">
        <f t="shared" si="322"/>
        <v>2.1700000000000053</v>
      </c>
      <c r="G118" s="236">
        <f t="shared" si="322"/>
        <v>2.1700000000000053</v>
      </c>
      <c r="H118" s="236">
        <f t="shared" si="322"/>
        <v>3</v>
      </c>
      <c r="I118" s="236">
        <f t="shared" si="322"/>
        <v>1</v>
      </c>
      <c r="J118" s="236">
        <f t="shared" si="322"/>
        <v>7.8699999999999832</v>
      </c>
      <c r="K118" s="236">
        <f t="shared" si="322"/>
        <v>4.7999999999999972</v>
      </c>
      <c r="L118" s="236">
        <f t="shared" si="322"/>
        <v>4.7999999999999972</v>
      </c>
      <c r="M118" s="236">
        <f t="shared" si="322"/>
        <v>2.5399999999999991</v>
      </c>
      <c r="N118" s="236">
        <f t="shared" ref="N118:O118" si="323">+N10</f>
        <v>2</v>
      </c>
      <c r="O118" s="236">
        <f t="shared" si="323"/>
        <v>3.8</v>
      </c>
      <c r="P118" s="236">
        <f t="shared" ref="P118:R118" si="324">+P10</f>
        <v>3.2</v>
      </c>
      <c r="Q118" s="236">
        <f t="shared" si="324"/>
        <v>3.2</v>
      </c>
      <c r="R118" s="236">
        <f t="shared" si="324"/>
        <v>3</v>
      </c>
      <c r="S118" s="236">
        <f t="shared" ref="S118:T118" si="325">+S10</f>
        <v>3.9249999999999998</v>
      </c>
      <c r="T118" s="236">
        <f t="shared" si="325"/>
        <v>2.806</v>
      </c>
      <c r="U118" s="236">
        <f t="shared" ref="U118:W118" si="326">+U10</f>
        <v>2.3600000000000003</v>
      </c>
      <c r="V118" s="236">
        <f>+V10</f>
        <v>2.3600000000000003</v>
      </c>
      <c r="W118" s="236">
        <f t="shared" si="326"/>
        <v>1.9849999999999999</v>
      </c>
      <c r="X118" s="236">
        <f t="shared" ref="X118:Y118" si="327">+X10</f>
        <v>1.599</v>
      </c>
      <c r="Y118" s="236">
        <f t="shared" si="327"/>
        <v>3.8740000000000001</v>
      </c>
      <c r="Z118" s="236">
        <f>+Z119*(Z40*4)</f>
        <v>4.2341306333029785</v>
      </c>
      <c r="AA118" s="236">
        <f>Z118</f>
        <v>4.2341306333029785</v>
      </c>
      <c r="AB118" s="236">
        <f>+AB119*AB$40</f>
        <v>4.9638073832528882</v>
      </c>
      <c r="AC118" s="236">
        <f t="shared" ref="AC118" si="328">+AC119*AC$40</f>
        <v>5.618379653643216</v>
      </c>
      <c r="AD118" s="236">
        <f t="shared" ref="AD118" si="329">+AD119*AD$40</f>
        <v>6.5005291898055182</v>
      </c>
      <c r="AE118" s="236">
        <f t="shared" ref="AE118" si="330">+AE119*AE$40</f>
        <v>7.2536917522464002</v>
      </c>
      <c r="AF118" s="236">
        <f t="shared" ref="AF118" si="331">+AF119*AF$40</f>
        <v>8.035103645386533</v>
      </c>
      <c r="AG118" s="236">
        <f t="shared" ref="AG118" si="332">+AG119*AG$40</f>
        <v>8.7493286367074479</v>
      </c>
      <c r="AH118" s="236">
        <f t="shared" ref="AH118" si="333">+AH119*AH$40</f>
        <v>9.5203862652906892</v>
      </c>
      <c r="AI118" s="236">
        <f t="shared" ref="AI118" si="334">+AI119*AI$40</f>
        <v>10.359421513559138</v>
      </c>
      <c r="AJ118" s="236">
        <f t="shared" ref="AJ118" si="335">+AJ119*AJ$40</f>
        <v>11.255574905920287</v>
      </c>
      <c r="AK118" s="236">
        <f t="shared" ref="AK118" si="336">+AK119*AK$40</f>
        <v>12.215550369068611</v>
      </c>
      <c r="AL118" s="236">
        <f t="shared" ref="AL118" si="337">+AL119*AL$40</f>
        <v>13.24616750034631</v>
      </c>
      <c r="AM118" s="236">
        <f t="shared" ref="AM118" si="338">+AM119*AM$40</f>
        <v>14.351592129775677</v>
      </c>
      <c r="AN118" s="236">
        <f t="shared" ref="AN118" si="339">+AN119*AN$40</f>
        <v>15.300142310982801</v>
      </c>
    </row>
    <row r="119" spans="1:40" s="2" customFormat="1">
      <c r="A119" s="2" t="s">
        <v>191</v>
      </c>
      <c r="B119" s="110">
        <f>+B118/B$40</f>
        <v>1.0537049626104671E-2</v>
      </c>
      <c r="C119" s="110">
        <f>+C118/(C$40*4)</f>
        <v>1.4164305949008501E-2</v>
      </c>
      <c r="D119" s="110">
        <f t="shared" ref="D119" si="340">+D118/(D$40*4)</f>
        <v>8.6206896551724137E-3</v>
      </c>
      <c r="E119" s="110">
        <f t="shared" ref="E119" si="341">+E118/(E$40*4)</f>
        <v>1.1531365313653136E-2</v>
      </c>
      <c r="F119" s="110">
        <f t="shared" ref="F119" si="342">+F118/(F$40*4)</f>
        <v>1.281899810964086E-2</v>
      </c>
      <c r="G119" s="110">
        <f>+G118/G$40</f>
        <v>1.3675321401562926E-2</v>
      </c>
      <c r="H119" s="110">
        <f>+H118/(H$40*4)</f>
        <v>1.8749999999999999E-2</v>
      </c>
      <c r="I119" s="110">
        <f t="shared" ref="I119" si="343">+I118/(I$40*4)</f>
        <v>6.2814070351758797E-3</v>
      </c>
      <c r="J119" s="110">
        <f t="shared" ref="J119" si="344">+J118/(J$40*4)</f>
        <v>4.2586580086579992E-2</v>
      </c>
      <c r="K119" s="110">
        <f t="shared" ref="K119" si="345">+K118/(K$40*4)</f>
        <v>2.5862068965517224E-2</v>
      </c>
      <c r="L119" s="110">
        <f>+L118/L$40</f>
        <v>2.7842227378190237E-2</v>
      </c>
      <c r="M119" s="110">
        <f>+M118/(M$40*4)</f>
        <v>1.463470845817008E-2</v>
      </c>
      <c r="N119" s="110">
        <f>+N118/(N$40*4)</f>
        <v>1.1337868480725623E-2</v>
      </c>
      <c r="O119" s="110">
        <f>+O118/(O$40*4)</f>
        <v>1.8457353798329117E-2</v>
      </c>
      <c r="P119" s="110">
        <f>+P118/(P$40*4)</f>
        <v>1.6970725498515062E-2</v>
      </c>
      <c r="Q119" s="110">
        <f>+Q118/Q$40</f>
        <v>1.719505642127888E-2</v>
      </c>
      <c r="R119" s="110">
        <f>+R118/(R$40*4)</f>
        <v>1.5495867768595042E-2</v>
      </c>
      <c r="S119" s="110">
        <f>+S118/(S$40*4)</f>
        <v>2.0091936606740652E-2</v>
      </c>
      <c r="T119" s="110">
        <f>+T118/(T$40*4)</f>
        <v>1.3280702750799872E-2</v>
      </c>
      <c r="U119" s="110">
        <f>+U118/(U$40*4)</f>
        <v>1.1050137658494561E-2</v>
      </c>
      <c r="V119" s="110">
        <f>+V118/V$40</f>
        <v>1.1599787664903763E-2</v>
      </c>
      <c r="W119" s="110">
        <f>+W118/(W$40*4)</f>
        <v>1.0255006096174909E-2</v>
      </c>
      <c r="X119" s="110">
        <f t="shared" ref="X119:Y119" si="346">+X118/(X$40*4)</f>
        <v>8.1183996750609257E-3</v>
      </c>
      <c r="Y119" s="110">
        <f t="shared" si="346"/>
        <v>1.7826903254307174E-2</v>
      </c>
      <c r="Z119" s="197">
        <f>Y119</f>
        <v>1.7826903254307174E-2</v>
      </c>
      <c r="AA119" s="110">
        <f>+AA118/AA$40</f>
        <v>2.0034934699327885E-2</v>
      </c>
      <c r="AB119" s="197">
        <v>0.02</v>
      </c>
      <c r="AC119" s="197">
        <v>0.02</v>
      </c>
      <c r="AD119" s="197">
        <v>0.02</v>
      </c>
      <c r="AE119" s="197">
        <v>0.02</v>
      </c>
      <c r="AF119" s="197">
        <v>0.02</v>
      </c>
      <c r="AG119" s="197">
        <v>0.02</v>
      </c>
      <c r="AH119" s="197">
        <v>0.02</v>
      </c>
      <c r="AI119" s="197">
        <v>0.02</v>
      </c>
      <c r="AJ119" s="197">
        <v>0.02</v>
      </c>
      <c r="AK119" s="197">
        <v>0.02</v>
      </c>
      <c r="AL119" s="197">
        <v>0.02</v>
      </c>
      <c r="AM119" s="197">
        <v>0.02</v>
      </c>
      <c r="AN119" s="197">
        <v>0.02</v>
      </c>
    </row>
    <row r="120" spans="1:40" s="2" customFormat="1"/>
    <row r="121" spans="1:40" s="2" customFormat="1">
      <c r="A121" s="2" t="str">
        <f>+A21</f>
        <v>Fornecedores</v>
      </c>
      <c r="B121" s="236">
        <f t="shared" ref="B121:M121" si="347">+B21</f>
        <v>9.9</v>
      </c>
      <c r="C121" s="236">
        <f t="shared" si="347"/>
        <v>7.9</v>
      </c>
      <c r="D121" s="236">
        <f t="shared" si="347"/>
        <v>18.149000000000001</v>
      </c>
      <c r="E121" s="236">
        <f t="shared" si="347"/>
        <v>9.4</v>
      </c>
      <c r="F121" s="236">
        <f t="shared" si="347"/>
        <v>21.2</v>
      </c>
      <c r="G121" s="236">
        <f t="shared" si="347"/>
        <v>21.2</v>
      </c>
      <c r="H121" s="236">
        <f t="shared" si="347"/>
        <v>24.9</v>
      </c>
      <c r="I121" s="236">
        <f t="shared" si="347"/>
        <v>18.100000000000001</v>
      </c>
      <c r="J121" s="236">
        <f t="shared" si="347"/>
        <v>14.5</v>
      </c>
      <c r="K121" s="236">
        <f t="shared" si="347"/>
        <v>20.2</v>
      </c>
      <c r="L121" s="236">
        <f t="shared" si="347"/>
        <v>20.2</v>
      </c>
      <c r="M121" s="236">
        <f t="shared" si="347"/>
        <v>27.8</v>
      </c>
      <c r="N121" s="236">
        <f t="shared" ref="N121:O121" si="348">+N21</f>
        <v>29.6</v>
      </c>
      <c r="O121" s="236">
        <f t="shared" si="348"/>
        <v>28.1</v>
      </c>
      <c r="P121" s="236">
        <f t="shared" ref="P121:R121" si="349">+P21</f>
        <v>22.6</v>
      </c>
      <c r="Q121" s="236">
        <f t="shared" si="349"/>
        <v>22.6</v>
      </c>
      <c r="R121" s="236">
        <f t="shared" si="349"/>
        <v>24.2</v>
      </c>
      <c r="S121" s="236">
        <f t="shared" ref="S121:T121" si="350">+S21</f>
        <v>33.683999999999997</v>
      </c>
      <c r="T121" s="236">
        <f t="shared" si="350"/>
        <v>35.292000000000002</v>
      </c>
      <c r="U121" s="236">
        <f t="shared" ref="U121:W121" si="351">+U21</f>
        <v>34.734999999999999</v>
      </c>
      <c r="V121" s="236">
        <f>+V21</f>
        <v>34.734999999999999</v>
      </c>
      <c r="W121" s="236">
        <f t="shared" si="351"/>
        <v>25.638000000000002</v>
      </c>
      <c r="X121" s="236">
        <f t="shared" ref="X121:Y121" si="352">+X21</f>
        <v>22.108000000000001</v>
      </c>
      <c r="Y121" s="236">
        <f t="shared" si="352"/>
        <v>28.861000000000001</v>
      </c>
      <c r="Z121" s="236">
        <f>+Z122*(Z40*4)</f>
        <v>31.543945329828926</v>
      </c>
      <c r="AA121" s="236">
        <f>Z121</f>
        <v>31.543945329828926</v>
      </c>
      <c r="AB121" s="236">
        <f>+AB122*AB$40</f>
        <v>37.044574836460704</v>
      </c>
      <c r="AC121" s="236">
        <f t="shared" ref="AC121" si="353">+AC122*AC$40</f>
        <v>41.929605536514984</v>
      </c>
      <c r="AD121" s="236">
        <f t="shared" ref="AD121" si="354">+AD122*AD$40</f>
        <v>48.513030715253159</v>
      </c>
      <c r="AE121" s="236">
        <f t="shared" ref="AE121" si="355">+AE122*AE$40</f>
        <v>54.133834415754109</v>
      </c>
      <c r="AF121" s="236">
        <f t="shared" ref="AF121" si="356">+AF122*AF$40</f>
        <v>59.965461052031941</v>
      </c>
      <c r="AG121" s="236">
        <f t="shared" ref="AG121" si="357">+AG122*AG$40</f>
        <v>65.295676166809329</v>
      </c>
      <c r="AH121" s="236">
        <f t="shared" ref="AH121" si="358">+AH122*AH$40</f>
        <v>71.050029593504448</v>
      </c>
      <c r="AI121" s="236">
        <f t="shared" ref="AI121" si="359">+AI122*AI$40</f>
        <v>77.311695618212354</v>
      </c>
      <c r="AJ121" s="236">
        <f t="shared" ref="AJ121" si="360">+AJ122*AJ$40</f>
        <v>83.999630673926717</v>
      </c>
      <c r="AK121" s="236">
        <f t="shared" ref="AK121" si="361">+AK122*AK$40</f>
        <v>91.163865733841476</v>
      </c>
      <c r="AL121" s="236">
        <f t="shared" ref="AL121" si="362">+AL122*AL$40</f>
        <v>98.855295013745533</v>
      </c>
      <c r="AM121" s="236">
        <f t="shared" ref="AM121" si="363">+AM122*AM$40</f>
        <v>107.1050078348195</v>
      </c>
      <c r="AN121" s="236">
        <f t="shared" ref="AN121" si="364">+AN122*AN$40</f>
        <v>114.18397675138503</v>
      </c>
    </row>
    <row r="122" spans="1:40" s="2" customFormat="1">
      <c r="A122" s="2" t="s">
        <v>191</v>
      </c>
      <c r="B122" s="110">
        <f>+B121/B$40</f>
        <v>6.7301155676410609E-2</v>
      </c>
      <c r="C122" s="110">
        <f>+C121/(C$40*4)</f>
        <v>5.5949008498583579E-2</v>
      </c>
      <c r="D122" s="110">
        <f t="shared" ref="D122" si="365">+D121/(D$40*4)</f>
        <v>0.12035145888594165</v>
      </c>
      <c r="E122" s="110">
        <f t="shared" ref="E122" si="366">+E121/(E$40*4)</f>
        <v>5.4197416974169743E-2</v>
      </c>
      <c r="F122" s="110">
        <f t="shared" ref="F122" si="367">+F121/(F$40*4)</f>
        <v>0.12523629489603022</v>
      </c>
      <c r="G122" s="110">
        <f>+G121/G$40</f>
        <v>0.13360221830098309</v>
      </c>
      <c r="H122" s="110">
        <f>+H121/(H$40*4)</f>
        <v>0.15562499999999999</v>
      </c>
      <c r="I122" s="110">
        <f t="shared" ref="I122" si="368">+I121/(I$40*4)</f>
        <v>0.11369346733668344</v>
      </c>
      <c r="J122" s="110">
        <f t="shared" ref="J122" si="369">+J121/(J$40*4)</f>
        <v>7.8463203463203457E-2</v>
      </c>
      <c r="K122" s="110">
        <f t="shared" ref="K122" si="370">+K121/(K$40*4)</f>
        <v>0.10883620689655171</v>
      </c>
      <c r="L122" s="110">
        <f>+L121/L$40</f>
        <v>0.11716937354988398</v>
      </c>
      <c r="M122" s="110">
        <f>+M121/(M$40*4)</f>
        <v>0.16017515556579856</v>
      </c>
      <c r="N122" s="110">
        <f>+N121/(N$40*4)</f>
        <v>0.16780045351473924</v>
      </c>
      <c r="O122" s="110">
        <f>+O121/(O$40*4)</f>
        <v>0.13648727414027587</v>
      </c>
      <c r="P122" s="110">
        <f>+P121/(P$40*4)</f>
        <v>0.11985574883326262</v>
      </c>
      <c r="Q122" s="110">
        <f>+Q121/Q$40</f>
        <v>0.12144008597528209</v>
      </c>
      <c r="R122" s="110">
        <f>+R121/(R$40*4)</f>
        <v>0.125</v>
      </c>
      <c r="S122" s="110">
        <f>+S121/(S$40*4)</f>
        <v>0.17242720832138905</v>
      </c>
      <c r="T122" s="110">
        <f>+T121/(T$40*4)</f>
        <v>0.16703583801896973</v>
      </c>
      <c r="U122" s="110">
        <f>+U121/(U$40*4)</f>
        <v>0.16263836083381716</v>
      </c>
      <c r="V122" s="110">
        <f>+V121/V$40</f>
        <v>0.17072823073747123</v>
      </c>
      <c r="W122" s="110">
        <f>+W121/(W$40*4)</f>
        <v>0.13245231551321529</v>
      </c>
      <c r="X122" s="110">
        <f>+X121/(X$40*4)</f>
        <v>0.11224614134849716</v>
      </c>
      <c r="Y122" s="110">
        <f>+Y121/(Y$40*4)</f>
        <v>0.13280904874098073</v>
      </c>
      <c r="Z122" s="197">
        <f>Y122</f>
        <v>0.13280904874098073</v>
      </c>
      <c r="AA122" s="110">
        <f>+AA121/AA$40</f>
        <v>0.14925871201788901</v>
      </c>
      <c r="AB122" s="197">
        <f>+AA122</f>
        <v>0.14925871201788901</v>
      </c>
      <c r="AC122" s="197">
        <f t="shared" ref="AC122:AN122" si="371">+AB122</f>
        <v>0.14925871201788901</v>
      </c>
      <c r="AD122" s="197">
        <f t="shared" si="371"/>
        <v>0.14925871201788901</v>
      </c>
      <c r="AE122" s="197">
        <f t="shared" si="371"/>
        <v>0.14925871201788901</v>
      </c>
      <c r="AF122" s="197">
        <f t="shared" si="371"/>
        <v>0.14925871201788901</v>
      </c>
      <c r="AG122" s="197">
        <f t="shared" si="371"/>
        <v>0.14925871201788901</v>
      </c>
      <c r="AH122" s="197">
        <f t="shared" si="371"/>
        <v>0.14925871201788901</v>
      </c>
      <c r="AI122" s="197">
        <f t="shared" si="371"/>
        <v>0.14925871201788901</v>
      </c>
      <c r="AJ122" s="197">
        <f t="shared" si="371"/>
        <v>0.14925871201788901</v>
      </c>
      <c r="AK122" s="197">
        <f t="shared" si="371"/>
        <v>0.14925871201788901</v>
      </c>
      <c r="AL122" s="197">
        <f t="shared" si="371"/>
        <v>0.14925871201788901</v>
      </c>
      <c r="AM122" s="197">
        <f t="shared" si="371"/>
        <v>0.14925871201788901</v>
      </c>
      <c r="AN122" s="197">
        <f t="shared" si="371"/>
        <v>0.14925871201788901</v>
      </c>
    </row>
    <row r="123" spans="1:40" s="2" customFormat="1">
      <c r="B123" s="236"/>
      <c r="C123" s="236"/>
      <c r="D123" s="236"/>
      <c r="E123" s="236"/>
      <c r="F123" s="236"/>
      <c r="G123" s="236"/>
      <c r="H123" s="236"/>
      <c r="I123" s="236"/>
      <c r="J123" s="236"/>
      <c r="K123" s="236"/>
      <c r="L123" s="236"/>
      <c r="M123" s="236"/>
      <c r="N123" s="236"/>
      <c r="Q123" s="236"/>
      <c r="R123" s="236"/>
      <c r="S123" s="236"/>
      <c r="T123" s="236"/>
      <c r="U123" s="236"/>
      <c r="V123" s="236"/>
      <c r="W123" s="236"/>
      <c r="X123" s="236"/>
      <c r="Y123" s="236"/>
      <c r="Z123" s="236"/>
    </row>
    <row r="124" spans="1:40" s="2" customFormat="1">
      <c r="A124" s="2" t="str">
        <f>+A24</f>
        <v>Provisões Sociais e Trabalhistas</v>
      </c>
      <c r="B124" s="236">
        <f t="shared" ref="B124:M124" si="372">+B24</f>
        <v>2.1</v>
      </c>
      <c r="C124" s="236">
        <f t="shared" si="372"/>
        <v>1.4</v>
      </c>
      <c r="D124" s="236">
        <f t="shared" si="372"/>
        <v>3.2</v>
      </c>
      <c r="E124" s="236">
        <f t="shared" si="372"/>
        <v>2</v>
      </c>
      <c r="F124" s="236">
        <f t="shared" si="372"/>
        <v>3.5</v>
      </c>
      <c r="G124" s="236">
        <f t="shared" si="372"/>
        <v>3.5</v>
      </c>
      <c r="H124" s="236">
        <f t="shared" si="372"/>
        <v>3.3</v>
      </c>
      <c r="I124" s="236">
        <f t="shared" si="372"/>
        <v>3.2</v>
      </c>
      <c r="J124" s="236">
        <f t="shared" si="372"/>
        <v>4</v>
      </c>
      <c r="K124" s="236">
        <f t="shared" si="372"/>
        <v>3.6</v>
      </c>
      <c r="L124" s="236">
        <f t="shared" si="372"/>
        <v>3.6</v>
      </c>
      <c r="M124" s="236">
        <f t="shared" si="372"/>
        <v>2.4</v>
      </c>
      <c r="N124" s="236">
        <f t="shared" ref="N124:O124" si="373">+N24</f>
        <v>3.4</v>
      </c>
      <c r="O124" s="236">
        <f t="shared" si="373"/>
        <v>4</v>
      </c>
      <c r="P124" s="236">
        <f t="shared" ref="P124:R124" si="374">+P24</f>
        <v>5.9</v>
      </c>
      <c r="Q124" s="236">
        <f t="shared" si="374"/>
        <v>5.9</v>
      </c>
      <c r="R124" s="236">
        <f t="shared" si="374"/>
        <v>4.3</v>
      </c>
      <c r="S124" s="236">
        <f t="shared" ref="S124:T124" si="375">+S24</f>
        <v>5.8140000000000001</v>
      </c>
      <c r="T124" s="236">
        <f t="shared" si="375"/>
        <v>6.3450000000000006</v>
      </c>
      <c r="U124" s="236">
        <f t="shared" ref="U124:W124" si="376">+U24</f>
        <v>6.3339999999999996</v>
      </c>
      <c r="V124" s="236">
        <f>+V24</f>
        <v>6.3339999999999996</v>
      </c>
      <c r="W124" s="236">
        <f t="shared" si="376"/>
        <v>5.9740000000000002</v>
      </c>
      <c r="X124" s="236">
        <f t="shared" ref="X124:Y124" si="377">+X24</f>
        <v>6.601</v>
      </c>
      <c r="Y124" s="236">
        <f t="shared" si="377"/>
        <v>6.96</v>
      </c>
      <c r="Z124" s="236">
        <f>+Z125*(Z40*4)</f>
        <v>7.6070080557017885</v>
      </c>
      <c r="AA124" s="236">
        <f>Z124</f>
        <v>7.6070080557017885</v>
      </c>
      <c r="AB124" s="236">
        <f>+AB125*AB$40</f>
        <v>7.4457110748793314</v>
      </c>
      <c r="AC124" s="236">
        <f t="shared" ref="AC124" si="378">+AC125*AC$40</f>
        <v>5.618379653643216</v>
      </c>
      <c r="AD124" s="236">
        <f t="shared" ref="AD124" si="379">+AD125*AD$40</f>
        <v>6.5005291898055182</v>
      </c>
      <c r="AE124" s="236">
        <f t="shared" ref="AE124" si="380">+AE125*AE$40</f>
        <v>7.2536917522464002</v>
      </c>
      <c r="AF124" s="236">
        <f t="shared" ref="AF124" si="381">+AF125*AF$40</f>
        <v>8.035103645386533</v>
      </c>
      <c r="AG124" s="236">
        <f t="shared" ref="AG124" si="382">+AG125*AG$40</f>
        <v>8.7493286367074479</v>
      </c>
      <c r="AH124" s="236">
        <f t="shared" ref="AH124" si="383">+AH125*AH$40</f>
        <v>9.5203862652906892</v>
      </c>
      <c r="AI124" s="236">
        <f t="shared" ref="AI124" si="384">+AI125*AI$40</f>
        <v>10.359421513559138</v>
      </c>
      <c r="AJ124" s="236">
        <f t="shared" ref="AJ124" si="385">+AJ125*AJ$40</f>
        <v>11.255574905920287</v>
      </c>
      <c r="AK124" s="236">
        <f t="shared" ref="AK124" si="386">+AK125*AK$40</f>
        <v>12.215550369068611</v>
      </c>
      <c r="AL124" s="236">
        <f t="shared" ref="AL124" si="387">+AL125*AL$40</f>
        <v>13.24616750034631</v>
      </c>
      <c r="AM124" s="236">
        <f t="shared" ref="AM124" si="388">+AM125*AM$40</f>
        <v>14.351592129775677</v>
      </c>
      <c r="AN124" s="236">
        <f t="shared" ref="AN124" si="389">+AN125*AN$40</f>
        <v>15.300142310982801</v>
      </c>
    </row>
    <row r="125" spans="1:40" s="2" customFormat="1">
      <c r="A125" s="2" t="s">
        <v>191</v>
      </c>
      <c r="B125" s="110">
        <f>+B124/B$40</f>
        <v>1.4276002719238614E-2</v>
      </c>
      <c r="C125" s="110">
        <f>+C124/(C$40*4)</f>
        <v>9.9150141643059488E-3</v>
      </c>
      <c r="D125" s="110">
        <f t="shared" ref="D125" si="390">+D124/(D$40*4)</f>
        <v>2.1220159151193633E-2</v>
      </c>
      <c r="E125" s="110">
        <f t="shared" ref="E125" si="391">+E124/(E$40*4)</f>
        <v>1.1531365313653136E-2</v>
      </c>
      <c r="F125" s="110">
        <f t="shared" ref="F125" si="392">+F124/(F$40*4)</f>
        <v>2.0675803402646499E-2</v>
      </c>
      <c r="G125" s="110">
        <f>+G124/G$40</f>
        <v>2.2056970002520795E-2</v>
      </c>
      <c r="H125" s="110">
        <f>+H124/(H$40*4)</f>
        <v>2.0624999999999998E-2</v>
      </c>
      <c r="I125" s="110">
        <f t="shared" ref="I125" si="393">+I124/(I$40*4)</f>
        <v>2.0100502512562818E-2</v>
      </c>
      <c r="J125" s="110">
        <f t="shared" ref="J125" si="394">+J124/(J$40*4)</f>
        <v>2.1645021645021644E-2</v>
      </c>
      <c r="K125" s="110">
        <f t="shared" ref="K125" si="395">+K124/(K$40*4)</f>
        <v>1.9396551724137928E-2</v>
      </c>
      <c r="L125" s="110">
        <f>+L124/L$40</f>
        <v>2.0881670533642691E-2</v>
      </c>
      <c r="M125" s="110">
        <f>+M124/(M$40*4)</f>
        <v>1.3828070984097718E-2</v>
      </c>
      <c r="N125" s="110">
        <f>+N124/(N$40*4)</f>
        <v>1.927437641723356E-2</v>
      </c>
      <c r="O125" s="110">
        <f>+O124/(O$40*4)</f>
        <v>1.9428793471925387E-2</v>
      </c>
      <c r="P125" s="110">
        <f>+P124/(P$40*4)</f>
        <v>3.1289775137887145E-2</v>
      </c>
      <c r="Q125" s="110">
        <f>+Q124/Q$40</f>
        <v>3.1703385276732936E-2</v>
      </c>
      <c r="R125" s="110">
        <f>+R124/(R$40*4)</f>
        <v>2.2210743801652891E-2</v>
      </c>
      <c r="S125" s="110">
        <f>+S124/(S$40*4)</f>
        <v>2.976166100167902E-2</v>
      </c>
      <c r="T125" s="110">
        <f>+T124/(T$40*4)</f>
        <v>3.003066962003749E-2</v>
      </c>
      <c r="U125" s="110">
        <f>+U124/(U$40*4)</f>
        <v>2.9657445732586666E-2</v>
      </c>
      <c r="V125" s="110">
        <f>+V124/V$40</f>
        <v>3.1132650453178142E-2</v>
      </c>
      <c r="W125" s="110">
        <f>+W124/(W$40*4)</f>
        <v>3.0863177037052346E-2</v>
      </c>
      <c r="X125" s="110">
        <f t="shared" ref="X125:Y125" si="396">+X124/(X$40*4)</f>
        <v>3.3514419171405359E-2</v>
      </c>
      <c r="Y125" s="110">
        <f t="shared" si="396"/>
        <v>3.2027683699013404E-2</v>
      </c>
      <c r="Z125" s="197">
        <f>Y125</f>
        <v>3.2027683699013404E-2</v>
      </c>
      <c r="AA125" s="110">
        <f>+AA124/AA$40</f>
        <v>3.5994616806226655E-2</v>
      </c>
      <c r="AB125" s="197">
        <v>0.03</v>
      </c>
      <c r="AC125" s="197">
        <v>0.02</v>
      </c>
      <c r="AD125" s="197">
        <v>0.02</v>
      </c>
      <c r="AE125" s="197">
        <v>0.02</v>
      </c>
      <c r="AF125" s="197">
        <v>0.02</v>
      </c>
      <c r="AG125" s="197">
        <v>0.02</v>
      </c>
      <c r="AH125" s="197">
        <v>0.02</v>
      </c>
      <c r="AI125" s="197">
        <v>0.02</v>
      </c>
      <c r="AJ125" s="197">
        <v>0.02</v>
      </c>
      <c r="AK125" s="197">
        <v>0.02</v>
      </c>
      <c r="AL125" s="197">
        <v>0.02</v>
      </c>
      <c r="AM125" s="197">
        <v>0.02</v>
      </c>
      <c r="AN125" s="197">
        <v>0.02</v>
      </c>
    </row>
    <row r="126" spans="1:40" s="2" customFormat="1"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97"/>
      <c r="P126" s="197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</row>
    <row r="127" spans="1:40" s="2" customFormat="1">
      <c r="A127" s="2" t="str">
        <f>+A30</f>
        <v>Provisões</v>
      </c>
      <c r="B127" s="236">
        <f>+B30</f>
        <v>6.5</v>
      </c>
      <c r="C127" s="236">
        <f t="shared" ref="C127:F127" si="397">+C30+C25</f>
        <v>86.7</v>
      </c>
      <c r="D127" s="236">
        <f t="shared" si="397"/>
        <v>12.66</v>
      </c>
      <c r="E127" s="236">
        <f t="shared" si="397"/>
        <v>59.370000000000005</v>
      </c>
      <c r="F127" s="236">
        <f t="shared" si="397"/>
        <v>33.6</v>
      </c>
      <c r="G127" s="236">
        <f t="shared" ref="G127:AN127" si="398">+G30</f>
        <v>10.4</v>
      </c>
      <c r="H127" s="236">
        <f t="shared" ref="H127:K127" si="399">+H30+H25</f>
        <v>20.100000000000001</v>
      </c>
      <c r="I127" s="236">
        <f t="shared" si="399"/>
        <v>12.8</v>
      </c>
      <c r="J127" s="236">
        <f t="shared" si="399"/>
        <v>22.189999999999998</v>
      </c>
      <c r="K127" s="236">
        <f t="shared" si="399"/>
        <v>22.8</v>
      </c>
      <c r="L127" s="236">
        <f t="shared" si="398"/>
        <v>19.2</v>
      </c>
      <c r="M127" s="236">
        <f>+M30+M25</f>
        <v>27.25</v>
      </c>
      <c r="N127" s="236">
        <f>+N30+N25</f>
        <v>35.4</v>
      </c>
      <c r="O127" s="236">
        <f>+O30+O25</f>
        <v>39.870000000000005</v>
      </c>
      <c r="P127" s="236">
        <f>+P30+P25</f>
        <v>37.099999999999994</v>
      </c>
      <c r="Q127" s="236">
        <f t="shared" ref="Q127" si="400">+Q30</f>
        <v>36.299999999999997</v>
      </c>
      <c r="R127" s="236">
        <f>+R30+R25</f>
        <v>42.8</v>
      </c>
      <c r="S127" s="236">
        <f>+S30+S25</f>
        <v>37.698999999999998</v>
      </c>
      <c r="T127" s="236">
        <f>+T30+T25</f>
        <v>42.844999999999999</v>
      </c>
      <c r="U127" s="236">
        <f>+U30+U25</f>
        <v>48.356000000000002</v>
      </c>
      <c r="V127" s="236">
        <f>+V30</f>
        <v>47.289000000000001</v>
      </c>
      <c r="W127" s="236">
        <f>+W30+W25</f>
        <v>55.792999999999999</v>
      </c>
      <c r="X127" s="236">
        <f>+X30+X25</f>
        <v>60.752000000000002</v>
      </c>
      <c r="Y127" s="236">
        <f>+Y30+Y25</f>
        <v>69.90100000000001</v>
      </c>
      <c r="Z127" s="236">
        <f>+Z30+Z25</f>
        <v>73.977924638927391</v>
      </c>
      <c r="AA127" s="236">
        <f>Z127</f>
        <v>73.977924638927391</v>
      </c>
      <c r="AB127" s="236">
        <f>+AB30</f>
        <v>75.87761704058542</v>
      </c>
      <c r="AC127" s="236">
        <f t="shared" si="398"/>
        <v>83.190619791473083</v>
      </c>
      <c r="AD127" s="236">
        <f t="shared" si="398"/>
        <v>86.462461190741692</v>
      </c>
      <c r="AE127" s="236">
        <f t="shared" si="398"/>
        <v>76.515665331011547</v>
      </c>
      <c r="AF127" s="236">
        <f t="shared" si="398"/>
        <v>79.633796613069975</v>
      </c>
      <c r="AG127" s="236">
        <f t="shared" si="398"/>
        <v>72.958486294266407</v>
      </c>
      <c r="AH127" s="236">
        <f t="shared" si="398"/>
        <v>74.42777130911017</v>
      </c>
      <c r="AI127" s="236">
        <f t="shared" si="398"/>
        <v>76.418412373191046</v>
      </c>
      <c r="AJ127" s="236">
        <f t="shared" si="398"/>
        <v>78.214675113786399</v>
      </c>
      <c r="AK127" s="236">
        <f t="shared" si="398"/>
        <v>87.471393530922896</v>
      </c>
      <c r="AL127" s="236">
        <f t="shared" si="398"/>
        <v>108.69364553510638</v>
      </c>
      <c r="AM127" s="236">
        <f t="shared" si="398"/>
        <v>107.40866770817976</v>
      </c>
      <c r="AN127" s="236">
        <f t="shared" si="398"/>
        <v>100.23925388341027</v>
      </c>
    </row>
    <row r="128" spans="1:40" s="2" customFormat="1"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97"/>
      <c r="P128" s="197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</row>
    <row r="129" spans="1:40" s="2" customFormat="1">
      <c r="A129" s="2" t="str">
        <f>+A26</f>
        <v>Outros</v>
      </c>
      <c r="B129" s="236">
        <f t="shared" ref="B129:M129" si="401">+B26</f>
        <v>2.6199999999998909</v>
      </c>
      <c r="C129" s="236">
        <f t="shared" si="401"/>
        <v>2</v>
      </c>
      <c r="D129" s="236">
        <f t="shared" si="401"/>
        <v>3</v>
      </c>
      <c r="E129" s="236">
        <f t="shared" si="401"/>
        <v>2</v>
      </c>
      <c r="F129" s="236">
        <f t="shared" si="401"/>
        <v>3.8700000000000045</v>
      </c>
      <c r="G129" s="236">
        <f t="shared" si="401"/>
        <v>3.8700000000000045</v>
      </c>
      <c r="H129" s="236">
        <f t="shared" si="401"/>
        <v>3</v>
      </c>
      <c r="I129" s="236">
        <f t="shared" si="401"/>
        <v>3</v>
      </c>
      <c r="J129" s="236">
        <f t="shared" si="401"/>
        <v>7.7000000000000455</v>
      </c>
      <c r="K129" s="236">
        <f t="shared" si="401"/>
        <v>3.8999999999998636</v>
      </c>
      <c r="L129" s="236">
        <f t="shared" si="401"/>
        <v>3.8999999999998636</v>
      </c>
      <c r="M129" s="236">
        <f t="shared" si="401"/>
        <v>3.4440000000000737</v>
      </c>
      <c r="N129" s="236">
        <f t="shared" ref="N129:O129" si="402">+N26</f>
        <v>2.8</v>
      </c>
      <c r="O129" s="236">
        <f t="shared" si="402"/>
        <v>3</v>
      </c>
      <c r="P129" s="236">
        <f t="shared" ref="P129:Q129" si="403">+P26</f>
        <v>1</v>
      </c>
      <c r="Q129" s="236">
        <f t="shared" si="403"/>
        <v>1</v>
      </c>
      <c r="R129" s="236">
        <f t="shared" ref="R129:W129" si="404">+R26</f>
        <v>1</v>
      </c>
      <c r="S129" s="236">
        <f t="shared" si="404"/>
        <v>2.0750000000000099</v>
      </c>
      <c r="T129" s="236">
        <f t="shared" si="404"/>
        <v>0.78900000000000148</v>
      </c>
      <c r="U129" s="236">
        <f t="shared" si="404"/>
        <v>0.496</v>
      </c>
      <c r="V129" s="236">
        <f t="shared" si="404"/>
        <v>0.496</v>
      </c>
      <c r="W129" s="236">
        <f t="shared" si="404"/>
        <v>2.5270000000000001</v>
      </c>
      <c r="X129" s="236">
        <f t="shared" ref="X129" si="405">+X26</f>
        <v>0.46800000000000003</v>
      </c>
      <c r="Y129" s="236">
        <f>+Y26</f>
        <v>0.76200000000000001</v>
      </c>
      <c r="Z129" s="236">
        <f>+Z130*(Z40*4)</f>
        <v>0.83283622678804059</v>
      </c>
      <c r="AA129" s="236">
        <f>Z129</f>
        <v>0.83283622678804059</v>
      </c>
      <c r="AB129" s="236">
        <f>+AB130*AB$40</f>
        <v>4.9638073832528882</v>
      </c>
      <c r="AC129" s="236">
        <f t="shared" ref="AC129" si="406">+AC130*AC$40</f>
        <v>5.618379653643216</v>
      </c>
      <c r="AD129" s="236">
        <f t="shared" ref="AD129" si="407">+AD130*AD$40</f>
        <v>6.5005291898055182</v>
      </c>
      <c r="AE129" s="236">
        <f t="shared" ref="AE129" si="408">+AE130*AE$40</f>
        <v>7.2536917522464002</v>
      </c>
      <c r="AF129" s="236">
        <f t="shared" ref="AF129" si="409">+AF130*AF$40</f>
        <v>8.035103645386533</v>
      </c>
      <c r="AG129" s="236">
        <f t="shared" ref="AG129" si="410">+AG130*AG$40</f>
        <v>8.7493286367074479</v>
      </c>
      <c r="AH129" s="236">
        <f t="shared" ref="AH129" si="411">+AH130*AH$40</f>
        <v>9.5203862652906892</v>
      </c>
      <c r="AI129" s="236">
        <f t="shared" ref="AI129" si="412">+AI130*AI$40</f>
        <v>10.359421513559138</v>
      </c>
      <c r="AJ129" s="236">
        <f t="shared" ref="AJ129" si="413">+AJ130*AJ$40</f>
        <v>11.255574905920287</v>
      </c>
      <c r="AK129" s="236">
        <f t="shared" ref="AK129" si="414">+AK130*AK$40</f>
        <v>12.215550369068611</v>
      </c>
      <c r="AL129" s="236">
        <f t="shared" ref="AL129" si="415">+AL130*AL$40</f>
        <v>13.24616750034631</v>
      </c>
      <c r="AM129" s="236">
        <f t="shared" ref="AM129" si="416">+AM130*AM$40</f>
        <v>14.351592129775677</v>
      </c>
      <c r="AN129" s="236">
        <f t="shared" ref="AN129" si="417">+AN130*AN$40</f>
        <v>15.300142310982801</v>
      </c>
    </row>
    <row r="130" spans="1:40" s="2" customFormat="1">
      <c r="A130" s="2" t="s">
        <v>191</v>
      </c>
      <c r="B130" s="110">
        <f>+B129/B$40</f>
        <v>1.7811012916382672E-2</v>
      </c>
      <c r="C130" s="110">
        <f>+C129/(C$40*4)</f>
        <v>1.4164305949008501E-2</v>
      </c>
      <c r="D130" s="110">
        <f t="shared" ref="D130" si="418">+D129/(D$40*4)</f>
        <v>1.9893899204244031E-2</v>
      </c>
      <c r="E130" s="110">
        <f t="shared" ref="E130" si="419">+E129/(E$40*4)</f>
        <v>1.1531365313653136E-2</v>
      </c>
      <c r="F130" s="110">
        <f t="shared" ref="F130" si="420">+F129/(F$40*4)</f>
        <v>2.28615311909263E-2</v>
      </c>
      <c r="G130" s="110">
        <f>+G129/G$40</f>
        <v>2.4388706831358738E-2</v>
      </c>
      <c r="H130" s="110">
        <f>+H129/(H$40*4)</f>
        <v>1.8749999999999999E-2</v>
      </c>
      <c r="I130" s="110">
        <f t="shared" ref="I130" si="421">+I129/(I$40*4)</f>
        <v>1.884422110552764E-2</v>
      </c>
      <c r="J130" s="110">
        <f t="shared" ref="J130" si="422">+J129/(J$40*4)</f>
        <v>4.1666666666666907E-2</v>
      </c>
      <c r="K130" s="110">
        <f t="shared" ref="K130" si="423">+K129/(K$40*4)</f>
        <v>2.101293103448202E-2</v>
      </c>
      <c r="L130" s="110">
        <f>+L129/L$40</f>
        <v>2.262180974477879E-2</v>
      </c>
      <c r="M130" s="110">
        <f>+M129/(M$40*4)</f>
        <v>1.9843281862180651E-2</v>
      </c>
      <c r="N130" s="110">
        <f>+N129/(N$40*4)</f>
        <v>1.5873015873015872E-2</v>
      </c>
      <c r="O130" s="110">
        <f>+O129/(O$40*4)</f>
        <v>1.4571595103944041E-2</v>
      </c>
      <c r="P130" s="110">
        <f>+P129/(P$40*4)</f>
        <v>5.3033517182859563E-3</v>
      </c>
      <c r="Q130" s="110">
        <f>+Q129/Q$40</f>
        <v>5.3734551316496505E-3</v>
      </c>
      <c r="R130" s="110">
        <f>+R129/(R$40*4)</f>
        <v>5.1652892561983473E-3</v>
      </c>
      <c r="S130" s="110">
        <f>+S129/(S$40*4)</f>
        <v>1.06218518366846E-2</v>
      </c>
      <c r="T130" s="110">
        <f>+T129/(T$40*4)</f>
        <v>3.7343102175271272E-3</v>
      </c>
      <c r="U130" s="110">
        <f>+U129/(U$40*4)</f>
        <v>2.3224018129717377E-3</v>
      </c>
      <c r="V130" s="110">
        <f>+V129/V$40</f>
        <v>2.4379214753357057E-3</v>
      </c>
      <c r="W130" s="110">
        <f>+W129/(W$40*4)</f>
        <v>1.3055113554173298E-2</v>
      </c>
      <c r="X130" s="110">
        <f>+X129/(X$40*4)</f>
        <v>2.3761169780666127E-3</v>
      </c>
      <c r="Y130" s="110">
        <f>+Y129/(Y$40*4)</f>
        <v>3.5064791635988812E-3</v>
      </c>
      <c r="Z130" s="197">
        <f>Y130</f>
        <v>3.5064791635988812E-3</v>
      </c>
      <c r="AA130" s="110">
        <f>+AA129/AA$40</f>
        <v>3.940789943440332E-3</v>
      </c>
      <c r="AB130" s="197">
        <v>0.02</v>
      </c>
      <c r="AC130" s="197">
        <f>AB130</f>
        <v>0.02</v>
      </c>
      <c r="AD130" s="197">
        <f t="shared" ref="AD130:AN130" si="424">AC130</f>
        <v>0.02</v>
      </c>
      <c r="AE130" s="197">
        <f t="shared" si="424"/>
        <v>0.02</v>
      </c>
      <c r="AF130" s="197">
        <f t="shared" si="424"/>
        <v>0.02</v>
      </c>
      <c r="AG130" s="197">
        <f t="shared" si="424"/>
        <v>0.02</v>
      </c>
      <c r="AH130" s="197">
        <f t="shared" si="424"/>
        <v>0.02</v>
      </c>
      <c r="AI130" s="197">
        <f t="shared" si="424"/>
        <v>0.02</v>
      </c>
      <c r="AJ130" s="197">
        <f t="shared" si="424"/>
        <v>0.02</v>
      </c>
      <c r="AK130" s="197">
        <f t="shared" si="424"/>
        <v>0.02</v>
      </c>
      <c r="AL130" s="197">
        <f t="shared" si="424"/>
        <v>0.02</v>
      </c>
      <c r="AM130" s="197">
        <f t="shared" si="424"/>
        <v>0.02</v>
      </c>
      <c r="AN130" s="197">
        <f t="shared" si="424"/>
        <v>0.02</v>
      </c>
    </row>
    <row r="131" spans="1:40" s="2" customFormat="1">
      <c r="B131" s="236"/>
      <c r="C131" s="236"/>
      <c r="D131" s="236"/>
      <c r="E131" s="236"/>
      <c r="F131" s="236"/>
      <c r="G131" s="236"/>
      <c r="H131" s="236"/>
      <c r="I131" s="236"/>
      <c r="J131" s="236"/>
      <c r="K131" s="236"/>
      <c r="L131" s="236"/>
      <c r="M131" s="236"/>
      <c r="N131" s="236"/>
      <c r="Q131" s="236"/>
      <c r="R131" s="236"/>
      <c r="S131" s="236"/>
      <c r="T131" s="236"/>
      <c r="U131" s="236"/>
      <c r="V131" s="236"/>
      <c r="W131" s="236"/>
      <c r="X131" s="236"/>
      <c r="Y131" s="236"/>
      <c r="Z131" s="236"/>
    </row>
    <row r="132" spans="1:40" s="2" customFormat="1">
      <c r="A132" s="2" t="s">
        <v>189</v>
      </c>
      <c r="B132" s="236">
        <f t="shared" ref="B132:L132" si="425">+(B112+B115+B118)-(B121+B124+B129+B127)</f>
        <v>-11.669999999999893</v>
      </c>
      <c r="C132" s="236">
        <f t="shared" ref="C132:F132" si="426">+(C112+C118)-(C121+C124+C129+C127)</f>
        <v>-85.64</v>
      </c>
      <c r="D132" s="236">
        <f t="shared" si="426"/>
        <v>-27.709</v>
      </c>
      <c r="E132" s="236">
        <f t="shared" si="426"/>
        <v>-58.170000000000009</v>
      </c>
      <c r="F132" s="236">
        <f t="shared" si="426"/>
        <v>-50.099999999999994</v>
      </c>
      <c r="G132" s="236">
        <f t="shared" si="425"/>
        <v>-25.1</v>
      </c>
      <c r="H132" s="236">
        <f t="shared" ref="H132:K132" si="427">+(H112+H118)-(H121+H124+H129+H127)</f>
        <v>-36.019999999999996</v>
      </c>
      <c r="I132" s="236">
        <f t="shared" si="427"/>
        <v>-28.1</v>
      </c>
      <c r="J132" s="236">
        <f t="shared" si="427"/>
        <v>-29.620000000000061</v>
      </c>
      <c r="K132" s="236">
        <f t="shared" si="427"/>
        <v>-31.599999999999866</v>
      </c>
      <c r="L132" s="236">
        <f t="shared" si="425"/>
        <v>-24.199999999999868</v>
      </c>
      <c r="M132" s="236">
        <f t="shared" ref="M132:O132" si="428">+(M112+M118)-(M121+M124+M129+M127)</f>
        <v>-47.764000000000081</v>
      </c>
      <c r="N132" s="236">
        <f t="shared" si="428"/>
        <v>-58.199999999999989</v>
      </c>
      <c r="O132" s="236">
        <f t="shared" si="428"/>
        <v>-57.269999999999996</v>
      </c>
      <c r="P132" s="236">
        <f t="shared" ref="P132" si="429">+(P112+P118)-(P121+P124+P129+P127)</f>
        <v>-46.699999999999996</v>
      </c>
      <c r="Q132" s="236">
        <f>+(Q112+Q115+Q118)-(Q121+Q124+Q129+Q127)</f>
        <v>-40.5</v>
      </c>
      <c r="R132" s="236">
        <f t="shared" ref="R132:AD132" si="430">+(R112+R118)-(R121+R124+R129+R127)</f>
        <v>-58.699999999999996</v>
      </c>
      <c r="S132" s="236">
        <f t="shared" si="430"/>
        <v>-61.036000000000001</v>
      </c>
      <c r="T132" s="236">
        <f t="shared" si="430"/>
        <v>-65.376999999999995</v>
      </c>
      <c r="U132" s="236">
        <f t="shared" si="430"/>
        <v>-69.343000000000004</v>
      </c>
      <c r="V132" s="236">
        <f t="shared" si="430"/>
        <v>-68.27600000000001</v>
      </c>
      <c r="W132" s="236">
        <f t="shared" ref="W132:X132" si="431">+(W112+W118)-(W121+W124+W129+W127)</f>
        <v>-76.72</v>
      </c>
      <c r="X132" s="236">
        <f t="shared" si="431"/>
        <v>-70.664000000000001</v>
      </c>
      <c r="Y132" s="236">
        <f>+(Y112+Y118)-(Y121+Y124+Y129+Y127)</f>
        <v>-84.861000000000018</v>
      </c>
      <c r="Z132" s="236">
        <f>+(Z112+Z118)-(Z121+Z124+Z129+Z127)</f>
        <v>-90.328620114976076</v>
      </c>
      <c r="AA132" s="236">
        <f>+(AA112+AA118)-(AA121+AA124+AA129+AA127)</f>
        <v>-90.328620114976076</v>
      </c>
      <c r="AB132" s="236">
        <f>+(AB112+AB118)-(AB121+AB124+AB129+AB127)</f>
        <v>-98.030769727287463</v>
      </c>
      <c r="AC132" s="236">
        <f t="shared" si="430"/>
        <v>-105.45589654023681</v>
      </c>
      <c r="AD132" s="236">
        <f t="shared" si="430"/>
        <v>-112.22363974167556</v>
      </c>
      <c r="AE132" s="236">
        <f t="shared" ref="AE132:AN132" si="432">+(AE112+AE118)-(AE121+AE124+AE129+AE127)</f>
        <v>-105.26157861390325</v>
      </c>
      <c r="AF132" s="236">
        <f t="shared" si="432"/>
        <v>-111.47639490624903</v>
      </c>
      <c r="AG132" s="236">
        <f t="shared" si="432"/>
        <v>-107.63151223259968</v>
      </c>
      <c r="AH132" s="236">
        <f t="shared" si="432"/>
        <v>-112.1564489740972</v>
      </c>
      <c r="AI132" s="236">
        <f t="shared" si="432"/>
        <v>-117.47213269394643</v>
      </c>
      <c r="AJ132" s="236">
        <f t="shared" si="432"/>
        <v>-122.81979361699211</v>
      </c>
      <c r="AK132" s="236">
        <f t="shared" si="432"/>
        <v>-135.88083297302427</v>
      </c>
      <c r="AL132" s="236">
        <f t="shared" si="432"/>
        <v>-161.18735429763984</v>
      </c>
      <c r="AM132" s="236">
        <f t="shared" si="432"/>
        <v>-164.2831030887844</v>
      </c>
      <c r="AN132" s="236">
        <f t="shared" si="432"/>
        <v>-160.87273254635551</v>
      </c>
    </row>
    <row r="133" spans="1:40" s="2" customFormat="1">
      <c r="A133" s="244" t="s">
        <v>190</v>
      </c>
      <c r="B133" s="244"/>
      <c r="C133" s="246">
        <f>+C132-B132</f>
        <v>-73.970000000000113</v>
      </c>
      <c r="D133" s="246">
        <f>+D132-C132</f>
        <v>57.930999999999997</v>
      </c>
      <c r="E133" s="246">
        <f>+E132-D132</f>
        <v>-30.461000000000009</v>
      </c>
      <c r="F133" s="246">
        <f>+F132-E132</f>
        <v>8.0700000000000145</v>
      </c>
      <c r="G133" s="246">
        <f>+G132-B132</f>
        <v>-13.430000000000108</v>
      </c>
      <c r="H133" s="246">
        <f t="shared" ref="H133:K133" si="433">+H132-G132</f>
        <v>-10.919999999999995</v>
      </c>
      <c r="I133" s="246">
        <f t="shared" si="433"/>
        <v>7.9199999999999946</v>
      </c>
      <c r="J133" s="246">
        <f t="shared" si="433"/>
        <v>-1.52000000000006</v>
      </c>
      <c r="K133" s="246">
        <f t="shared" si="433"/>
        <v>-1.979999999999805</v>
      </c>
      <c r="L133" s="246">
        <f>+L132-G132</f>
        <v>0.90000000000013358</v>
      </c>
      <c r="M133" s="246">
        <f t="shared" ref="M133:W133" si="434">+M132-L132</f>
        <v>-23.564000000000213</v>
      </c>
      <c r="N133" s="246">
        <f t="shared" si="434"/>
        <v>-10.435999999999908</v>
      </c>
      <c r="O133" s="246">
        <f t="shared" si="434"/>
        <v>0.92999999999999261</v>
      </c>
      <c r="P133" s="246">
        <f t="shared" si="434"/>
        <v>10.57</v>
      </c>
      <c r="Q133" s="246">
        <f>+Q132-L132</f>
        <v>-16.300000000000132</v>
      </c>
      <c r="R133" s="246">
        <f t="shared" si="434"/>
        <v>-18.199999999999996</v>
      </c>
      <c r="S133" s="246">
        <f t="shared" si="434"/>
        <v>-2.3360000000000056</v>
      </c>
      <c r="T133" s="246">
        <f t="shared" si="434"/>
        <v>-4.340999999999994</v>
      </c>
      <c r="U133" s="246">
        <f t="shared" si="434"/>
        <v>-3.9660000000000082</v>
      </c>
      <c r="V133" s="246">
        <f>+V132-Q132</f>
        <v>-27.77600000000001</v>
      </c>
      <c r="W133" s="246">
        <f t="shared" si="434"/>
        <v>-8.4439999999999884</v>
      </c>
      <c r="X133" s="246">
        <f t="shared" ref="X133" si="435">+X132-W132</f>
        <v>6.0559999999999974</v>
      </c>
      <c r="Y133" s="246">
        <f t="shared" ref="Y133" si="436">+Y132-X132</f>
        <v>-14.197000000000017</v>
      </c>
      <c r="Z133" s="246">
        <f>+Z132-Y132</f>
        <v>-5.4676201149760573</v>
      </c>
      <c r="AA133" s="246">
        <f>+AA132-V132</f>
        <v>-22.052620114976065</v>
      </c>
      <c r="AB133" s="246">
        <f>+AB132-AA132</f>
        <v>-7.7021496123113877</v>
      </c>
      <c r="AC133" s="246">
        <f t="shared" ref="AC133" si="437">+AC132-AB132</f>
        <v>-7.425126812949344</v>
      </c>
      <c r="AD133" s="246">
        <f t="shared" ref="AD133" si="438">+AD132-AC132</f>
        <v>-6.7677432014387477</v>
      </c>
      <c r="AE133" s="246">
        <f t="shared" ref="AE133" si="439">+AE132-AD132</f>
        <v>6.9620611277723015</v>
      </c>
      <c r="AF133" s="246">
        <f t="shared" ref="AF133" si="440">+AF132-AE132</f>
        <v>-6.2148162923457733</v>
      </c>
      <c r="AG133" s="246">
        <f t="shared" ref="AG133" si="441">+AG132-AF132</f>
        <v>3.8448826736493515</v>
      </c>
      <c r="AH133" s="246">
        <f t="shared" ref="AH133" si="442">+AH132-AG132</f>
        <v>-4.5249367414975268</v>
      </c>
      <c r="AI133" s="246">
        <f t="shared" ref="AI133" si="443">+AI132-AH132</f>
        <v>-5.3156837198492326</v>
      </c>
      <c r="AJ133" s="246">
        <f t="shared" ref="AJ133" si="444">+AJ132-AI132</f>
        <v>-5.3476609230456802</v>
      </c>
      <c r="AK133" s="246">
        <f t="shared" ref="AK133" si="445">+AK132-AJ132</f>
        <v>-13.061039356032154</v>
      </c>
      <c r="AL133" s="246">
        <f t="shared" ref="AL133" si="446">+AL132-AK132</f>
        <v>-25.306521324615574</v>
      </c>
      <c r="AM133" s="246">
        <f t="shared" ref="AM133" si="447">+AM132-AL132</f>
        <v>-3.0957487911445583</v>
      </c>
      <c r="AN133" s="246">
        <f t="shared" ref="AN133" si="448">+AN132-AM132</f>
        <v>3.4103705424288933</v>
      </c>
    </row>
    <row r="134" spans="1:40" s="2" customFormat="1"/>
    <row r="135" spans="1:40" s="142" customFormat="1">
      <c r="A135" s="138" t="s">
        <v>192</v>
      </c>
      <c r="B135" s="155">
        <f>+B111</f>
        <v>2010</v>
      </c>
      <c r="C135" s="86" t="str">
        <f t="shared" ref="C135:AN135" si="449">+C111</f>
        <v>1T11</v>
      </c>
      <c r="D135" s="86" t="str">
        <f t="shared" si="449"/>
        <v>2T11</v>
      </c>
      <c r="E135" s="86" t="str">
        <f t="shared" si="449"/>
        <v>3T11</v>
      </c>
      <c r="F135" s="86" t="str">
        <f t="shared" si="449"/>
        <v>4T11</v>
      </c>
      <c r="G135" s="155">
        <f t="shared" si="449"/>
        <v>2011</v>
      </c>
      <c r="H135" s="86" t="str">
        <f t="shared" si="449"/>
        <v>1T12</v>
      </c>
      <c r="I135" s="86" t="str">
        <f t="shared" si="449"/>
        <v>2T12</v>
      </c>
      <c r="J135" s="86" t="str">
        <f t="shared" si="449"/>
        <v>3T12</v>
      </c>
      <c r="K135" s="86" t="str">
        <f t="shared" si="449"/>
        <v>4T12</v>
      </c>
      <c r="L135" s="155">
        <f t="shared" si="449"/>
        <v>2012</v>
      </c>
      <c r="M135" s="86" t="str">
        <f t="shared" si="449"/>
        <v>1T13</v>
      </c>
      <c r="N135" s="86" t="str">
        <f t="shared" si="449"/>
        <v>2T13</v>
      </c>
      <c r="O135" s="86" t="str">
        <f t="shared" si="449"/>
        <v>3T13</v>
      </c>
      <c r="P135" s="86" t="str">
        <f t="shared" si="449"/>
        <v>4T13</v>
      </c>
      <c r="Q135" s="155">
        <f t="shared" si="449"/>
        <v>2013</v>
      </c>
      <c r="R135" s="86" t="str">
        <f t="shared" si="449"/>
        <v>1T14</v>
      </c>
      <c r="S135" s="86" t="str">
        <f t="shared" si="449"/>
        <v>2T14</v>
      </c>
      <c r="T135" s="86" t="str">
        <f t="shared" si="449"/>
        <v>3T14</v>
      </c>
      <c r="U135" s="86" t="str">
        <f>+U111</f>
        <v>4T14</v>
      </c>
      <c r="V135" s="155">
        <f t="shared" si="449"/>
        <v>2014</v>
      </c>
      <c r="W135" s="86" t="str">
        <f>+W111</f>
        <v>1T15</v>
      </c>
      <c r="X135" s="86" t="str">
        <f t="shared" ref="X135:Y135" si="450">+X111</f>
        <v>2T15</v>
      </c>
      <c r="Y135" s="86" t="str">
        <f t="shared" si="450"/>
        <v>3T15</v>
      </c>
      <c r="Z135" s="86" t="str">
        <f>+Z111</f>
        <v>4T15E</v>
      </c>
      <c r="AA135" s="155" t="str">
        <f>+AA111</f>
        <v>2015E</v>
      </c>
      <c r="AB135" s="155" t="str">
        <f t="shared" si="449"/>
        <v>2016E</v>
      </c>
      <c r="AC135" s="155" t="str">
        <f t="shared" si="449"/>
        <v>2017E</v>
      </c>
      <c r="AD135" s="155" t="str">
        <f t="shared" si="449"/>
        <v>2018E</v>
      </c>
      <c r="AE135" s="155" t="str">
        <f t="shared" si="449"/>
        <v>2019E</v>
      </c>
      <c r="AF135" s="155" t="str">
        <f t="shared" si="449"/>
        <v>2020E</v>
      </c>
      <c r="AG135" s="155" t="str">
        <f t="shared" si="449"/>
        <v>2021E</v>
      </c>
      <c r="AH135" s="155" t="str">
        <f t="shared" si="449"/>
        <v>2022E</v>
      </c>
      <c r="AI135" s="155" t="str">
        <f t="shared" si="449"/>
        <v>2023E</v>
      </c>
      <c r="AJ135" s="155" t="str">
        <f t="shared" si="449"/>
        <v>2024E</v>
      </c>
      <c r="AK135" s="155" t="str">
        <f t="shared" si="449"/>
        <v>2025E</v>
      </c>
      <c r="AL135" s="155" t="str">
        <f t="shared" si="449"/>
        <v>2026E</v>
      </c>
      <c r="AM135" s="155" t="str">
        <f t="shared" si="449"/>
        <v>2027E</v>
      </c>
      <c r="AN135" s="155" t="str">
        <f t="shared" si="449"/>
        <v>2028E</v>
      </c>
    </row>
    <row r="136" spans="1:40" s="2" customFormat="1">
      <c r="A136" s="2" t="str">
        <f>+A105</f>
        <v>Dívida Bruta</v>
      </c>
      <c r="B136" s="108">
        <f>+B105</f>
        <v>449.47</v>
      </c>
      <c r="C136" s="108">
        <f t="shared" ref="C136:M136" si="451">+C105</f>
        <v>466.37</v>
      </c>
      <c r="D136" s="108">
        <f t="shared" si="451"/>
        <v>518.54999999999995</v>
      </c>
      <c r="E136" s="108">
        <f t="shared" si="451"/>
        <v>504.1</v>
      </c>
      <c r="F136" s="108">
        <f t="shared" si="451"/>
        <v>481.4</v>
      </c>
      <c r="G136" s="108">
        <f t="shared" si="451"/>
        <v>481.4</v>
      </c>
      <c r="H136" s="108">
        <f t="shared" si="451"/>
        <v>501.1</v>
      </c>
      <c r="I136" s="108">
        <f t="shared" si="451"/>
        <v>518.54999999999995</v>
      </c>
      <c r="J136" s="108">
        <f t="shared" si="451"/>
        <v>608.30000000000007</v>
      </c>
      <c r="K136" s="108">
        <f t="shared" si="451"/>
        <v>627</v>
      </c>
      <c r="L136" s="108">
        <f t="shared" si="451"/>
        <v>627</v>
      </c>
      <c r="M136" s="108">
        <f t="shared" si="451"/>
        <v>635.1</v>
      </c>
      <c r="N136" s="108">
        <f t="shared" ref="N136:O136" si="452">+N105</f>
        <v>642.79999999999995</v>
      </c>
      <c r="O136" s="108">
        <f t="shared" si="452"/>
        <v>1072.77</v>
      </c>
      <c r="P136" s="108">
        <f t="shared" ref="P136:S136" si="453">+P105</f>
        <v>1068.0999999999999</v>
      </c>
      <c r="Q136" s="108">
        <f>+P136</f>
        <v>1068.0999999999999</v>
      </c>
      <c r="R136" s="108">
        <f t="shared" si="453"/>
        <v>1110.5999999999999</v>
      </c>
      <c r="S136" s="108">
        <f t="shared" si="453"/>
        <v>1076.979</v>
      </c>
      <c r="T136" s="108">
        <f t="shared" ref="T136:V137" si="454">+T105</f>
        <v>1109.3499999999999</v>
      </c>
      <c r="U136" s="108">
        <f t="shared" si="454"/>
        <v>1107.232</v>
      </c>
      <c r="V136" s="108">
        <f t="shared" si="454"/>
        <v>1107.232</v>
      </c>
      <c r="W136" s="108">
        <f t="shared" ref="W136:X136" si="455">+W105</f>
        <v>1171.6640000000002</v>
      </c>
      <c r="X136" s="108">
        <f t="shared" si="455"/>
        <v>1179.5260000000001</v>
      </c>
      <c r="Y136" s="108">
        <f>+Y105</f>
        <v>1224.6420000000001</v>
      </c>
      <c r="Z136" s="108">
        <f>+Y136+Z140+Z159+Z158+Z157</f>
        <v>1224.6420000000001</v>
      </c>
      <c r="AA136" s="108">
        <f t="shared" ref="AA136:AN136" si="456">+Z136+AA140+AA159+AA158+AA157</f>
        <v>1224.6420000000001</v>
      </c>
      <c r="AB136" s="108">
        <f t="shared" si="456"/>
        <v>1224.6420000000001</v>
      </c>
      <c r="AC136" s="108">
        <f t="shared" si="456"/>
        <v>1217.6130000000001</v>
      </c>
      <c r="AD136" s="108">
        <f t="shared" si="456"/>
        <v>1180.2315000000001</v>
      </c>
      <c r="AE136" s="108">
        <f t="shared" si="456"/>
        <v>1122.7215000000001</v>
      </c>
      <c r="AF136" s="108">
        <f t="shared" si="456"/>
        <v>1054.4550000000002</v>
      </c>
      <c r="AG136" s="108">
        <f t="shared" si="456"/>
        <v>979.37250000000017</v>
      </c>
      <c r="AH136" s="108">
        <f t="shared" si="456"/>
        <v>889.27350000000013</v>
      </c>
      <c r="AI136" s="108">
        <f t="shared" si="456"/>
        <v>777.02250000000015</v>
      </c>
      <c r="AJ136" s="108">
        <f t="shared" si="456"/>
        <v>655.18650000000014</v>
      </c>
      <c r="AK136" s="108">
        <f t="shared" si="456"/>
        <v>519.18600000000015</v>
      </c>
      <c r="AL136" s="108">
        <f t="shared" si="456"/>
        <v>374.87850000000014</v>
      </c>
      <c r="AM136" s="108">
        <f t="shared" si="456"/>
        <v>228.86700000000013</v>
      </c>
      <c r="AN136" s="108">
        <f t="shared" si="456"/>
        <v>159.64200000000011</v>
      </c>
    </row>
    <row r="137" spans="1:40" s="2" customFormat="1">
      <c r="A137" s="2" t="str">
        <f>+A106</f>
        <v>Dívida Líquida</v>
      </c>
      <c r="B137" s="236">
        <f>+B106</f>
        <v>374.37</v>
      </c>
      <c r="C137" s="236">
        <f t="shared" ref="C137:Q137" si="457">+C106</f>
        <v>386.37</v>
      </c>
      <c r="D137" s="236">
        <f t="shared" si="457"/>
        <v>514.65</v>
      </c>
      <c r="E137" s="236">
        <f t="shared" si="457"/>
        <v>430.1</v>
      </c>
      <c r="F137" s="236">
        <f t="shared" si="457"/>
        <v>454.09999999999997</v>
      </c>
      <c r="G137" s="236">
        <f t="shared" si="457"/>
        <v>454.09999999999997</v>
      </c>
      <c r="H137" s="236">
        <f t="shared" si="457"/>
        <v>478.93</v>
      </c>
      <c r="I137" s="236">
        <f t="shared" si="457"/>
        <v>514.65</v>
      </c>
      <c r="J137" s="236">
        <f t="shared" si="457"/>
        <v>545.40000000000009</v>
      </c>
      <c r="K137" s="236">
        <f t="shared" si="457"/>
        <v>579.1</v>
      </c>
      <c r="L137" s="108">
        <f t="shared" si="457"/>
        <v>579.1</v>
      </c>
      <c r="M137" s="108">
        <f t="shared" si="457"/>
        <v>597.54</v>
      </c>
      <c r="N137" s="108">
        <f>+N106</f>
        <v>637.79999999999995</v>
      </c>
      <c r="O137" s="108">
        <f>+O106</f>
        <v>680.17</v>
      </c>
      <c r="P137" s="108">
        <f>+P106</f>
        <v>717.3</v>
      </c>
      <c r="Q137" s="108">
        <f t="shared" si="457"/>
        <v>717.3</v>
      </c>
      <c r="R137" s="108">
        <f>+R106</f>
        <v>756</v>
      </c>
      <c r="S137" s="108">
        <f>+S106</f>
        <v>782.78</v>
      </c>
      <c r="T137" s="108">
        <f t="shared" si="454"/>
        <v>824.96999999999991</v>
      </c>
      <c r="U137" s="108">
        <f t="shared" si="454"/>
        <v>858.38</v>
      </c>
      <c r="V137" s="108">
        <f t="shared" si="454"/>
        <v>858.38</v>
      </c>
      <c r="W137" s="108">
        <f t="shared" ref="W137:Y137" si="458">+W106</f>
        <v>910.56700000000023</v>
      </c>
      <c r="X137" s="108">
        <f t="shared" si="458"/>
        <v>903.02400000000011</v>
      </c>
      <c r="Y137" s="108">
        <f t="shared" si="458"/>
        <v>926.14900000000011</v>
      </c>
      <c r="Z137" s="108">
        <f>+Z106</f>
        <v>954.71003446459986</v>
      </c>
      <c r="AA137" s="108">
        <f t="shared" ref="AA137:AN137" si="459">+AA106</f>
        <v>954.71003446459986</v>
      </c>
      <c r="AB137" s="108">
        <f t="shared" si="459"/>
        <v>1047.5861818461874</v>
      </c>
      <c r="AC137" s="108">
        <f t="shared" si="459"/>
        <v>1087.7709237915401</v>
      </c>
      <c r="AD137" s="108">
        <f t="shared" si="459"/>
        <v>1048.0980350034024</v>
      </c>
      <c r="AE137" s="108">
        <f t="shared" si="459"/>
        <v>981.96529175265073</v>
      </c>
      <c r="AF137" s="108">
        <f t="shared" si="459"/>
        <v>893.04547095075941</v>
      </c>
      <c r="AG137" s="108">
        <f t="shared" si="459"/>
        <v>818.96526272760912</v>
      </c>
      <c r="AH137" s="108">
        <f t="shared" si="459"/>
        <v>708.38691779548753</v>
      </c>
      <c r="AI137" s="108">
        <f t="shared" si="459"/>
        <v>555.44136069008994</v>
      </c>
      <c r="AJ137" s="108">
        <f t="shared" si="459"/>
        <v>376.58650290099314</v>
      </c>
      <c r="AK137" s="108">
        <f t="shared" si="459"/>
        <v>148.99578265265018</v>
      </c>
      <c r="AL137" s="108">
        <f t="shared" si="459"/>
        <v>-108.06478092898834</v>
      </c>
      <c r="AM137" s="108">
        <f t="shared" si="459"/>
        <v>-336.19669457835153</v>
      </c>
      <c r="AN137" s="108">
        <f t="shared" si="459"/>
        <v>-584.40947683321031</v>
      </c>
    </row>
    <row r="138" spans="1:40" s="2" customFormat="1">
      <c r="A138" s="2" t="s">
        <v>18</v>
      </c>
      <c r="B138" s="236">
        <f>+B136-B137</f>
        <v>75.100000000000023</v>
      </c>
      <c r="C138" s="236">
        <f t="shared" ref="C138:M138" si="460">+C136-C137</f>
        <v>80</v>
      </c>
      <c r="D138" s="236">
        <f t="shared" si="460"/>
        <v>3.8999999999999773</v>
      </c>
      <c r="E138" s="236">
        <f t="shared" si="460"/>
        <v>74</v>
      </c>
      <c r="F138" s="236">
        <f t="shared" si="460"/>
        <v>27.300000000000011</v>
      </c>
      <c r="G138" s="236">
        <f t="shared" si="460"/>
        <v>27.300000000000011</v>
      </c>
      <c r="H138" s="236">
        <f t="shared" si="460"/>
        <v>22.170000000000016</v>
      </c>
      <c r="I138" s="236">
        <f t="shared" si="460"/>
        <v>3.8999999999999773</v>
      </c>
      <c r="J138" s="236">
        <f t="shared" si="460"/>
        <v>62.899999999999977</v>
      </c>
      <c r="K138" s="236">
        <f t="shared" si="460"/>
        <v>47.899999999999977</v>
      </c>
      <c r="L138" s="108">
        <f t="shared" si="460"/>
        <v>47.899999999999977</v>
      </c>
      <c r="M138" s="108">
        <f t="shared" si="460"/>
        <v>37.560000000000059</v>
      </c>
      <c r="N138" s="108">
        <f t="shared" ref="N138:O138" si="461">+N136-N137</f>
        <v>5</v>
      </c>
      <c r="O138" s="108">
        <f t="shared" si="461"/>
        <v>392.6</v>
      </c>
      <c r="P138" s="108">
        <f t="shared" ref="P138:T138" si="462">+P136-P137</f>
        <v>350.79999999999995</v>
      </c>
      <c r="Q138" s="108">
        <f t="shared" ref="Q138" si="463">+Q136-Q137</f>
        <v>350.79999999999995</v>
      </c>
      <c r="R138" s="108">
        <f t="shared" si="462"/>
        <v>354.59999999999991</v>
      </c>
      <c r="S138" s="108">
        <f t="shared" si="462"/>
        <v>294.19900000000007</v>
      </c>
      <c r="T138" s="108">
        <f t="shared" si="462"/>
        <v>284.38</v>
      </c>
      <c r="U138" s="108">
        <f>+U136-U137</f>
        <v>248.85199999999998</v>
      </c>
      <c r="V138" s="108">
        <f>+V136-V137</f>
        <v>248.85199999999998</v>
      </c>
      <c r="W138" s="108">
        <f t="shared" ref="W138:Y138" si="464">+W136-W137</f>
        <v>261.09699999999998</v>
      </c>
      <c r="X138" s="108">
        <f t="shared" si="464"/>
        <v>276.50199999999995</v>
      </c>
      <c r="Y138" s="108">
        <f t="shared" si="464"/>
        <v>298.49299999999994</v>
      </c>
      <c r="Z138" s="108">
        <f>+Z7</f>
        <v>282.04446141649191</v>
      </c>
      <c r="AA138" s="108">
        <f t="shared" ref="AA138:AN138" si="465">+AA7</f>
        <v>282.04446141649191</v>
      </c>
      <c r="AB138" s="108">
        <f t="shared" si="465"/>
        <v>283.26852338229997</v>
      </c>
      <c r="AC138" s="108">
        <f t="shared" si="465"/>
        <v>301.9928417798198</v>
      </c>
      <c r="AD138" s="108">
        <f t="shared" si="465"/>
        <v>353.06455289315932</v>
      </c>
      <c r="AE138" s="108">
        <f t="shared" si="465"/>
        <v>389.50903183353898</v>
      </c>
      <c r="AF138" s="108">
        <f t="shared" si="465"/>
        <v>426.21234326635687</v>
      </c>
      <c r="AG138" s="108">
        <f t="shared" si="465"/>
        <v>430.72432570126119</v>
      </c>
      <c r="AH138" s="108">
        <f t="shared" si="465"/>
        <v>441.65161503445802</v>
      </c>
      <c r="AI138" s="108">
        <f t="shared" si="465"/>
        <v>446.83591585566558</v>
      </c>
      <c r="AJ138" s="108">
        <f t="shared" si="465"/>
        <v>453.51883888486458</v>
      </c>
      <c r="AK138" s="108">
        <f t="shared" si="465"/>
        <v>476.30503035275524</v>
      </c>
      <c r="AL138" s="108">
        <f t="shared" si="465"/>
        <v>505.58697673334092</v>
      </c>
      <c r="AM138" s="108">
        <f t="shared" si="465"/>
        <v>494.47858299825526</v>
      </c>
      <c r="AN138" s="108">
        <f t="shared" si="465"/>
        <v>640.96734488327706</v>
      </c>
    </row>
    <row r="139" spans="1:40" s="2" customFormat="1"/>
    <row r="140" spans="1:40" s="2" customFormat="1">
      <c r="A140" s="247" t="s">
        <v>249</v>
      </c>
      <c r="B140" s="247"/>
      <c r="C140" s="247"/>
      <c r="D140" s="247"/>
      <c r="E140" s="247"/>
      <c r="F140" s="247"/>
      <c r="G140" s="247"/>
      <c r="H140" s="247"/>
      <c r="I140" s="247"/>
      <c r="J140" s="247"/>
      <c r="K140" s="247"/>
      <c r="L140" s="247"/>
      <c r="M140" s="247"/>
      <c r="N140" s="248">
        <f>+N146</f>
        <v>1065</v>
      </c>
      <c r="O140" s="248"/>
      <c r="P140" s="248"/>
      <c r="Q140" s="247"/>
      <c r="R140" s="247"/>
      <c r="S140" s="247"/>
      <c r="T140" s="247"/>
      <c r="U140" s="247"/>
      <c r="V140" s="247"/>
      <c r="W140" s="247"/>
      <c r="X140" s="247"/>
      <c r="Y140" s="247"/>
      <c r="Z140" s="247"/>
      <c r="AA140" s="247"/>
      <c r="AB140" s="247"/>
      <c r="AC140" s="247"/>
      <c r="AD140" s="247"/>
      <c r="AE140" s="247"/>
      <c r="AF140" s="247"/>
      <c r="AG140" s="247"/>
      <c r="AH140" s="247"/>
      <c r="AI140" s="247"/>
      <c r="AJ140" s="247"/>
      <c r="AK140" s="247"/>
      <c r="AL140" s="247"/>
      <c r="AM140" s="247"/>
      <c r="AN140" s="247"/>
    </row>
    <row r="141" spans="1:40" s="2" customFormat="1">
      <c r="A141" s="249" t="s">
        <v>250</v>
      </c>
      <c r="B141" s="220"/>
      <c r="C141" s="220"/>
      <c r="D141" s="220"/>
      <c r="E141" s="220"/>
      <c r="F141" s="220"/>
      <c r="G141" s="220"/>
      <c r="H141" s="220"/>
      <c r="I141" s="220"/>
      <c r="J141" s="220"/>
      <c r="K141" s="220"/>
      <c r="L141" s="220"/>
      <c r="M141" s="220"/>
      <c r="N141" s="106"/>
      <c r="O141" s="106"/>
      <c r="P141" s="106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  <c r="AE141" s="220"/>
      <c r="AF141" s="220"/>
      <c r="AG141" s="220"/>
      <c r="AH141" s="220"/>
      <c r="AI141" s="220"/>
      <c r="AJ141" s="220"/>
      <c r="AK141" s="220"/>
      <c r="AL141" s="220"/>
      <c r="AM141" s="220"/>
      <c r="AN141" s="220"/>
    </row>
    <row r="142" spans="1:40" s="2" customFormat="1">
      <c r="A142" s="220" t="s">
        <v>251</v>
      </c>
      <c r="B142" s="220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106">
        <f>+N140*5.3%</f>
        <v>56.445</v>
      </c>
      <c r="O142" s="106"/>
      <c r="P142" s="106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  <c r="AB142" s="220"/>
      <c r="AC142" s="220"/>
      <c r="AD142" s="220"/>
      <c r="AE142" s="220"/>
      <c r="AF142" s="220"/>
      <c r="AG142" s="220"/>
      <c r="AH142" s="220"/>
      <c r="AI142" s="220"/>
      <c r="AJ142" s="220"/>
      <c r="AK142" s="220"/>
      <c r="AL142" s="220"/>
      <c r="AM142" s="220"/>
      <c r="AN142" s="220"/>
    </row>
    <row r="143" spans="1:40" s="2" customFormat="1">
      <c r="A143" s="220" t="s">
        <v>252</v>
      </c>
      <c r="B143" s="220"/>
      <c r="C143" s="220"/>
      <c r="D143" s="220"/>
      <c r="E143" s="220"/>
      <c r="F143" s="220"/>
      <c r="G143" s="220"/>
      <c r="H143" s="220"/>
      <c r="I143" s="220"/>
      <c r="J143" s="220"/>
      <c r="K143" s="220"/>
      <c r="L143" s="220"/>
      <c r="M143" s="220"/>
      <c r="N143" s="106"/>
      <c r="O143" s="106"/>
      <c r="P143" s="106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  <c r="AB143" s="220"/>
      <c r="AC143" s="220"/>
      <c r="AD143" s="220"/>
      <c r="AE143" s="220"/>
      <c r="AF143" s="220"/>
      <c r="AG143" s="220"/>
      <c r="AH143" s="220"/>
      <c r="AI143" s="220"/>
      <c r="AJ143" s="220"/>
      <c r="AK143" s="220"/>
      <c r="AL143" s="220"/>
      <c r="AM143" s="220"/>
      <c r="AN143" s="220"/>
    </row>
    <row r="144" spans="1:40" s="220" customFormat="1">
      <c r="A144" s="220" t="s">
        <v>253</v>
      </c>
      <c r="N144" s="106">
        <f>+N140-N142</f>
        <v>1008.5549999999999</v>
      </c>
      <c r="O144" s="106"/>
      <c r="P144" s="106"/>
    </row>
    <row r="145" spans="1:40" s="2" customFormat="1">
      <c r="A145" s="22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106"/>
      <c r="O145" s="250"/>
      <c r="P145" s="25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51"/>
      <c r="AB145" s="220"/>
      <c r="AC145" s="220"/>
      <c r="AD145" s="220"/>
      <c r="AE145" s="220"/>
      <c r="AF145" s="220"/>
      <c r="AG145" s="220"/>
      <c r="AH145" s="220"/>
      <c r="AI145" s="220"/>
      <c r="AJ145" s="220"/>
      <c r="AK145" s="220"/>
      <c r="AL145" s="220"/>
      <c r="AM145" s="220"/>
      <c r="AN145" s="220"/>
    </row>
    <row r="146" spans="1:40" s="2" customFormat="1">
      <c r="A146" s="220" t="s">
        <v>257</v>
      </c>
      <c r="B146" s="220"/>
      <c r="C146" s="220"/>
      <c r="D146" s="220"/>
      <c r="E146" s="220"/>
      <c r="F146" s="220"/>
      <c r="G146" s="220"/>
      <c r="H146" s="220"/>
      <c r="I146" s="220"/>
      <c r="J146" s="220"/>
      <c r="K146" s="220"/>
      <c r="L146" s="220"/>
      <c r="M146" s="220"/>
      <c r="N146" s="106">
        <v>1065</v>
      </c>
      <c r="O146" s="252">
        <f>+N146-($N$146*O150)</f>
        <v>1065</v>
      </c>
      <c r="P146" s="252">
        <f>+O146-($N$146*P150)</f>
        <v>1065</v>
      </c>
      <c r="Q146" s="252">
        <f>+P146</f>
        <v>1065</v>
      </c>
      <c r="R146" s="252">
        <f>+Q146-($N$146*R150)</f>
        <v>1065</v>
      </c>
      <c r="S146" s="252">
        <f>+R146-($N$146*S150)</f>
        <v>1065</v>
      </c>
      <c r="T146" s="252">
        <f>+S146-($N$146*T150)</f>
        <v>1065</v>
      </c>
      <c r="U146" s="252">
        <f>+T146-($N$146*U150)</f>
        <v>1065</v>
      </c>
      <c r="V146" s="252">
        <f>+U146-($Q$146*V150)</f>
        <v>1065</v>
      </c>
      <c r="W146" s="252">
        <f>+V146-($N$146*W150)</f>
        <v>1065</v>
      </c>
      <c r="X146" s="252">
        <f>+W146-($N$146*X150)</f>
        <v>1065</v>
      </c>
      <c r="Y146" s="252">
        <f>+X146-($N$146*Y150)</f>
        <v>1065</v>
      </c>
      <c r="Z146" s="252">
        <f>+Y146-($N$146*Z150)</f>
        <v>1065</v>
      </c>
      <c r="AA146" s="106">
        <f>Z146</f>
        <v>1065</v>
      </c>
      <c r="AB146" s="252">
        <f>+AA146-($N$146*AB150)</f>
        <v>1065</v>
      </c>
      <c r="AC146" s="252">
        <f t="shared" ref="AC146:AN146" si="466">+AB146-($N$146*AC150)</f>
        <v>1057.971</v>
      </c>
      <c r="AD146" s="252">
        <f t="shared" si="466"/>
        <v>1020.5895</v>
      </c>
      <c r="AE146" s="252">
        <f t="shared" si="466"/>
        <v>963.07950000000005</v>
      </c>
      <c r="AF146" s="252">
        <f t="shared" si="466"/>
        <v>894.8130000000001</v>
      </c>
      <c r="AG146" s="252">
        <f t="shared" si="466"/>
        <v>819.73050000000012</v>
      </c>
      <c r="AH146" s="252">
        <f t="shared" si="466"/>
        <v>729.63150000000007</v>
      </c>
      <c r="AI146" s="252">
        <f t="shared" si="466"/>
        <v>617.3805000000001</v>
      </c>
      <c r="AJ146" s="252">
        <f t="shared" si="466"/>
        <v>495.54450000000008</v>
      </c>
      <c r="AK146" s="252">
        <f t="shared" si="466"/>
        <v>359.5440000000001</v>
      </c>
      <c r="AL146" s="252">
        <f t="shared" si="466"/>
        <v>215.23650000000009</v>
      </c>
      <c r="AM146" s="252">
        <f t="shared" si="466"/>
        <v>69.22500000000008</v>
      </c>
      <c r="AN146" s="252">
        <f t="shared" si="466"/>
        <v>0</v>
      </c>
    </row>
    <row r="147" spans="1:40" s="2" customFormat="1" ht="15.75" thickBot="1">
      <c r="A147" s="220" t="s">
        <v>196</v>
      </c>
      <c r="B147" s="253"/>
      <c r="C147" s="220"/>
      <c r="D147" s="220"/>
      <c r="E147" s="220"/>
      <c r="F147" s="220"/>
      <c r="G147" s="220"/>
      <c r="H147" s="220"/>
      <c r="I147" s="220"/>
      <c r="J147" s="220"/>
      <c r="K147" s="220"/>
      <c r="L147" s="220"/>
      <c r="M147" s="220"/>
      <c r="N147" s="106">
        <f>+N146</f>
        <v>1065</v>
      </c>
      <c r="O147" s="106">
        <f>+(N147)*(1+Despesas!G$5/100)</f>
        <v>1080.735375</v>
      </c>
      <c r="P147" s="106">
        <f>+(O147)*(1+Despesas!H$5/100)</f>
        <v>1096.7032401656249</v>
      </c>
      <c r="Q147" s="106">
        <f>+P147</f>
        <v>1096.7032401656249</v>
      </c>
      <c r="R147" s="106">
        <f>+(Q147)*(1+Despesas!J$5/100)</f>
        <v>1120.6113708012356</v>
      </c>
      <c r="S147" s="106">
        <f>+(R147)*(1+Despesas!K$5/100)</f>
        <v>1137.8687859115746</v>
      </c>
      <c r="T147" s="106">
        <f>+(S147)*(1+Despesas!L$5/100)</f>
        <v>1147.3130968346406</v>
      </c>
      <c r="U147" s="106">
        <f>+(T147)*(1+Despesas!M$5/100)</f>
        <v>1167.0468821001966</v>
      </c>
      <c r="V147" s="106">
        <f>+U147</f>
        <v>1167.0468821001966</v>
      </c>
      <c r="W147" s="106">
        <f>+(V147)*(1+Despesas!O$5/100)</f>
        <v>1211.7447776846341</v>
      </c>
      <c r="X147" s="106">
        <f>+(W147)*(1+Despesas!P$5/100)</f>
        <v>1239.1302096603067</v>
      </c>
      <c r="Y147" s="106">
        <f>+(X147)*(1+Despesas!Q$5/100)</f>
        <v>1256.1062935326529</v>
      </c>
      <c r="Z147" s="106">
        <f>+(Y147)*(1+Despesas!R$5/100)</f>
        <v>1288.0113933883824</v>
      </c>
      <c r="AA147" s="106">
        <f>+Z147</f>
        <v>1288.0113933883824</v>
      </c>
      <c r="AB147" s="106">
        <f>+(AA147)*(1+Despesas!T$5/100)</f>
        <v>1370.444122565239</v>
      </c>
      <c r="AC147" s="106">
        <f>+AB146+AC153+AC149</f>
        <v>1414.4734663563086</v>
      </c>
      <c r="AD147" s="106">
        <f>+AC146+AD153+AD149</f>
        <v>1416.4596062278542</v>
      </c>
      <c r="AE147" s="106">
        <f>+AD146+AE153+AE149</f>
        <v>1381.2749629266395</v>
      </c>
      <c r="AF147" s="106">
        <f>+AE146+AF153+AF149</f>
        <v>1325.1678625183431</v>
      </c>
      <c r="AG147" s="106">
        <f t="shared" ref="AG147" si="467">+AF146+AG153+AG149</f>
        <v>1252.5521201810507</v>
      </c>
      <c r="AH147" s="106">
        <f t="shared" ref="AH147:AN147" si="468">+AG146+AH153+AH149</f>
        <v>1149.7410627420265</v>
      </c>
      <c r="AI147" s="106">
        <f t="shared" si="468"/>
        <v>1003.1655923201763</v>
      </c>
      <c r="AJ147" s="106">
        <f t="shared" si="468"/>
        <v>830.23824238887005</v>
      </c>
      <c r="AK147" s="106">
        <f t="shared" si="468"/>
        <v>621.62167614250495</v>
      </c>
      <c r="AL147" s="106">
        <f t="shared" si="468"/>
        <v>385.05857057583012</v>
      </c>
      <c r="AM147" s="106">
        <f t="shared" si="468"/>
        <v>130.24406058042536</v>
      </c>
      <c r="AN147" s="106">
        <f t="shared" si="468"/>
        <v>0</v>
      </c>
    </row>
    <row r="148" spans="1:40" s="2" customFormat="1" ht="15.75" thickBot="1">
      <c r="A148" s="220" t="s">
        <v>195</v>
      </c>
      <c r="B148" s="254">
        <v>0.08</v>
      </c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106"/>
      <c r="O148" s="106"/>
      <c r="P148" s="106"/>
      <c r="Q148" s="220"/>
      <c r="R148" s="220"/>
      <c r="S148" s="220"/>
      <c r="T148" s="220"/>
      <c r="U148" s="220"/>
      <c r="V148" s="106"/>
      <c r="W148" s="220"/>
      <c r="X148" s="220"/>
      <c r="Y148" s="220"/>
      <c r="Z148" s="106">
        <f>-(AVERAGE(Y147:Z147)*$B$148)/4</f>
        <v>-25.441176869210352</v>
      </c>
      <c r="AA148" s="106">
        <f>-(AVERAGE(V147,AA147)*$B$148)</f>
        <v>-98.202331019543166</v>
      </c>
      <c r="AB148" s="106">
        <f>-(AVERAGE(AA147)*$B$148)</f>
        <v>-103.0409114710706</v>
      </c>
      <c r="AC148" s="106">
        <f>-(AVERAGE(AB147)*$B$148)</f>
        <v>-109.63552980521912</v>
      </c>
      <c r="AD148" s="106">
        <f>-(AVERAGE(AC147:AD147)*$B$148)</f>
        <v>-113.23732290336652</v>
      </c>
      <c r="AE148" s="106">
        <f>-(AVERAGE(AD147:AE147)*$B$148)</f>
        <v>-111.90938276617976</v>
      </c>
      <c r="AF148" s="106">
        <f>-(AVERAGE(AE147:AF147)*$B$148)</f>
        <v>-108.2577130177993</v>
      </c>
      <c r="AG148" s="106">
        <f>-(AVERAGE(AF147:AG147)*$B$148)</f>
        <v>-103.10879930797576</v>
      </c>
      <c r="AH148" s="106">
        <f>-(AVERAGE(AG147:AH147)*$B$148)</f>
        <v>-96.091727316923098</v>
      </c>
      <c r="AI148" s="106">
        <f t="shared" ref="AI148:AN148" si="469">-(AVERAGE(AH147)*$B$148)</f>
        <v>-91.979285019362123</v>
      </c>
      <c r="AJ148" s="106">
        <f t="shared" si="469"/>
        <v>-80.253247385614102</v>
      </c>
      <c r="AK148" s="106">
        <f t="shared" si="469"/>
        <v>-66.419059391109599</v>
      </c>
      <c r="AL148" s="106">
        <f t="shared" si="469"/>
        <v>-49.729734091400395</v>
      </c>
      <c r="AM148" s="106">
        <f t="shared" si="469"/>
        <v>-30.80468564606641</v>
      </c>
      <c r="AN148" s="106">
        <f t="shared" si="469"/>
        <v>-10.419524846434028</v>
      </c>
    </row>
    <row r="149" spans="1:40" s="2" customFormat="1">
      <c r="A149" s="240" t="s">
        <v>260</v>
      </c>
      <c r="B149" s="220"/>
      <c r="C149" s="220"/>
      <c r="D149" s="220"/>
      <c r="E149" s="220"/>
      <c r="F149" s="220"/>
      <c r="G149" s="220"/>
      <c r="H149" s="220"/>
      <c r="I149" s="220"/>
      <c r="J149" s="220"/>
      <c r="K149" s="220"/>
      <c r="L149" s="220"/>
      <c r="M149" s="220"/>
      <c r="N149" s="106"/>
      <c r="O149" s="106"/>
      <c r="P149" s="106"/>
      <c r="Q149" s="220"/>
      <c r="R149" s="220"/>
      <c r="S149" s="220"/>
      <c r="T149" s="220"/>
      <c r="U149" s="220"/>
      <c r="V149" s="255"/>
      <c r="W149" s="220"/>
      <c r="X149" s="220"/>
      <c r="Y149" s="220"/>
      <c r="Z149" s="220"/>
      <c r="AA149" s="255">
        <f>-$O$140*AA150</f>
        <v>0</v>
      </c>
      <c r="AB149" s="255">
        <f>-$O$140*AB150</f>
        <v>0</v>
      </c>
      <c r="AC149" s="84">
        <f>-$N$146*AC150</f>
        <v>-7.0289999999999999</v>
      </c>
      <c r="AD149" s="84">
        <f t="shared" ref="AD149:AN149" si="470">-$N$146*AD150</f>
        <v>-37.381500000000003</v>
      </c>
      <c r="AE149" s="84">
        <f t="shared" si="470"/>
        <v>-57.51</v>
      </c>
      <c r="AF149" s="84">
        <f t="shared" si="470"/>
        <v>-68.266500000000008</v>
      </c>
      <c r="AG149" s="84">
        <f t="shared" si="470"/>
        <v>-75.08250000000001</v>
      </c>
      <c r="AH149" s="84">
        <f t="shared" si="470"/>
        <v>-90.099000000000004</v>
      </c>
      <c r="AI149" s="84">
        <f t="shared" si="470"/>
        <v>-112.25099999999999</v>
      </c>
      <c r="AJ149" s="84">
        <f t="shared" si="470"/>
        <v>-121.836</v>
      </c>
      <c r="AK149" s="84">
        <f t="shared" si="470"/>
        <v>-136.00050000000002</v>
      </c>
      <c r="AL149" s="84">
        <f t="shared" si="470"/>
        <v>-144.3075</v>
      </c>
      <c r="AM149" s="84">
        <f t="shared" si="470"/>
        <v>-146.01150000000001</v>
      </c>
      <c r="AN149" s="84">
        <f t="shared" si="470"/>
        <v>-69.225000000000009</v>
      </c>
    </row>
    <row r="150" spans="1:40" s="2" customFormat="1">
      <c r="A150" s="256" t="s">
        <v>193</v>
      </c>
      <c r="B150" s="256"/>
      <c r="C150" s="256"/>
      <c r="D150" s="256"/>
      <c r="E150" s="256"/>
      <c r="F150" s="256"/>
      <c r="G150" s="256"/>
      <c r="H150" s="256"/>
      <c r="I150" s="256"/>
      <c r="J150" s="256"/>
      <c r="K150" s="256"/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  <c r="Z150" s="256"/>
      <c r="AA150" s="256"/>
      <c r="AB150" s="256"/>
      <c r="AC150" s="257">
        <v>6.6E-3</v>
      </c>
      <c r="AD150" s="257">
        <f>1.06%+2.45%</f>
        <v>3.5099999999999999E-2</v>
      </c>
      <c r="AE150" s="257">
        <f>2.59%+2.81%</f>
        <v>5.3999999999999999E-2</v>
      </c>
      <c r="AF150" s="257">
        <f>3.04%+3.37%</f>
        <v>6.4100000000000004E-2</v>
      </c>
      <c r="AG150" s="257">
        <f>3.61%+3.44%</f>
        <v>7.0500000000000007E-2</v>
      </c>
      <c r="AH150" s="257">
        <f>3.6%+4.86%</f>
        <v>8.4600000000000009E-2</v>
      </c>
      <c r="AI150" s="257">
        <f>5.08%+5.46%</f>
        <v>0.10539999999999999</v>
      </c>
      <c r="AJ150" s="257">
        <f>5.36%+6.08%</f>
        <v>0.1144</v>
      </c>
      <c r="AK150" s="257">
        <f>6.08%+6.69%</f>
        <v>0.12770000000000001</v>
      </c>
      <c r="AL150" s="257">
        <f>6.75%+6.8%</f>
        <v>0.13550000000000001</v>
      </c>
      <c r="AM150" s="257">
        <f>6.88%+6.83%</f>
        <v>0.1371</v>
      </c>
      <c r="AN150" s="257">
        <v>6.5000000000000002E-2</v>
      </c>
    </row>
    <row r="151" spans="1:40" s="2" customFormat="1">
      <c r="A151" s="220"/>
      <c r="B151" s="220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106"/>
      <c r="O151" s="106"/>
      <c r="P151" s="106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220"/>
      <c r="AH151" s="220"/>
      <c r="AI151" s="220"/>
      <c r="AJ151" s="220"/>
      <c r="AK151" s="220"/>
      <c r="AL151" s="220"/>
      <c r="AM151" s="220"/>
      <c r="AN151" s="220"/>
    </row>
    <row r="152" spans="1:40" s="2" customFormat="1">
      <c r="A152" s="220" t="s">
        <v>291</v>
      </c>
      <c r="B152" s="220"/>
      <c r="C152" s="220"/>
      <c r="D152" s="220"/>
      <c r="E152" s="220"/>
      <c r="F152" s="220"/>
      <c r="G152" s="220"/>
      <c r="H152" s="220"/>
      <c r="I152" s="220"/>
      <c r="J152" s="220"/>
      <c r="K152" s="220"/>
      <c r="L152" s="220"/>
      <c r="M152" s="220"/>
      <c r="N152" s="106"/>
      <c r="O152" s="106"/>
      <c r="P152" s="106"/>
      <c r="Q152" s="106"/>
      <c r="R152" s="220"/>
      <c r="S152" s="220"/>
      <c r="T152" s="220"/>
      <c r="U152" s="220"/>
      <c r="V152" s="106"/>
      <c r="W152" s="220"/>
      <c r="X152" s="220"/>
      <c r="Y152" s="220"/>
      <c r="Z152" s="220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</row>
    <row r="153" spans="1:40" s="2" customFormat="1">
      <c r="A153" s="220" t="s">
        <v>258</v>
      </c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0"/>
      <c r="M153" s="220"/>
      <c r="N153" s="106"/>
      <c r="O153" s="84"/>
      <c r="P153" s="84"/>
      <c r="Q153" s="84">
        <f t="shared" ref="Q153:Z153" si="471">+Q147-Q146</f>
        <v>31.703240165624948</v>
      </c>
      <c r="R153" s="84">
        <f t="shared" si="471"/>
        <v>55.61137080123558</v>
      </c>
      <c r="S153" s="84">
        <f t="shared" si="471"/>
        <v>72.868785911574605</v>
      </c>
      <c r="T153" s="84">
        <f t="shared" si="471"/>
        <v>82.313096834640646</v>
      </c>
      <c r="U153" s="84">
        <f t="shared" si="471"/>
        <v>102.04688210019663</v>
      </c>
      <c r="V153" s="84">
        <f t="shared" si="471"/>
        <v>102.04688210019663</v>
      </c>
      <c r="W153" s="84">
        <f t="shared" si="471"/>
        <v>146.74477768463407</v>
      </c>
      <c r="X153" s="84">
        <f t="shared" si="471"/>
        <v>174.13020966030672</v>
      </c>
      <c r="Y153" s="84">
        <f t="shared" si="471"/>
        <v>191.1062935326529</v>
      </c>
      <c r="Z153" s="84">
        <f t="shared" si="471"/>
        <v>223.01139338838243</v>
      </c>
      <c r="AA153" s="84">
        <f>+Z153</f>
        <v>223.01139338838243</v>
      </c>
      <c r="AB153" s="84">
        <f>+AB147-AB146</f>
        <v>305.44412256523901</v>
      </c>
      <c r="AC153" s="84">
        <f>+AVERAGE(AB146:AC146)*(Despesas!U5/100)+AB153+AC154</f>
        <v>356.50246635630845</v>
      </c>
      <c r="AD153" s="84">
        <f>+AVERAGE(AC146:AD146)*(Despesas!V5/100)+AC153+AD154</f>
        <v>395.87010622785425</v>
      </c>
      <c r="AE153" s="84">
        <f>+AVERAGE(AD146:AE146)*(Despesas!W5/100)+AD153+AE154</f>
        <v>418.19546292663949</v>
      </c>
      <c r="AF153" s="84">
        <f>+AVERAGE(AE146:AF146)*(Despesas!X5/100)+AE153+AF154</f>
        <v>430.35486251834294</v>
      </c>
      <c r="AG153" s="84">
        <f>+AVERAGE(AF146:AG146)*(Despesas!Y5/100)+AF153+AG154</f>
        <v>432.82162018105043</v>
      </c>
      <c r="AH153" s="84">
        <f>+AVERAGE(AG146:AH146)*(Despesas!Z5/100)+AG153+AH154</f>
        <v>420.1095627420263</v>
      </c>
      <c r="AI153" s="84">
        <f>+AVERAGE(AH146:AI146)*(Despesas!AA5/100)+AH153+AI154</f>
        <v>385.78509232017609</v>
      </c>
      <c r="AJ153" s="84">
        <f>+AVERAGE(AI146:AJ146)*(Despesas!AB5/100)+AI153+AJ154</f>
        <v>334.69374238887002</v>
      </c>
      <c r="AK153" s="84">
        <f>+AVERAGE(AJ146:AK146)*(Despesas!AC5/100)+AJ153+AK154</f>
        <v>262.07767614250486</v>
      </c>
      <c r="AL153" s="84">
        <f>+AVERAGE(AK146:AL146)*(Despesas!AD5/100)+AK153+AL154</f>
        <v>169.82207057583005</v>
      </c>
      <c r="AM153" s="84">
        <f>+AVERAGE(AL146:AM146)*(Despesas!AE5/100)+AL153+AM154</f>
        <v>61.019060580425304</v>
      </c>
      <c r="AN153" s="84"/>
    </row>
    <row r="154" spans="1:40" s="2" customFormat="1">
      <c r="A154" s="240" t="s">
        <v>255</v>
      </c>
      <c r="B154" s="220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106"/>
      <c r="O154" s="106"/>
      <c r="P154" s="106"/>
      <c r="Q154" s="220"/>
      <c r="R154" s="220"/>
      <c r="S154" s="220"/>
      <c r="T154" s="220"/>
      <c r="U154" s="220"/>
      <c r="V154" s="258"/>
      <c r="W154" s="220"/>
      <c r="X154" s="220"/>
      <c r="Y154" s="220"/>
      <c r="Z154" s="220"/>
      <c r="AA154" s="258"/>
      <c r="AB154" s="258"/>
      <c r="AC154" s="84">
        <f t="shared" ref="AC154:AK154" si="472">-AB153*AC155</f>
        <v>-2.0159312089305774</v>
      </c>
      <c r="AD154" s="84">
        <f t="shared" si="472"/>
        <v>-12.596372628454224</v>
      </c>
      <c r="AE154" s="84">
        <f t="shared" si="472"/>
        <v>-22.307195801214785</v>
      </c>
      <c r="AF154" s="84">
        <f t="shared" si="472"/>
        <v>-29.643181658296577</v>
      </c>
      <c r="AG154" s="84">
        <f t="shared" si="472"/>
        <v>-36.110471087292524</v>
      </c>
      <c r="AH154" s="84">
        <f t="shared" si="472"/>
        <v>-47.57270243902412</v>
      </c>
      <c r="AI154" s="84">
        <f t="shared" si="472"/>
        <v>-64.632240421850199</v>
      </c>
      <c r="AJ154" s="84">
        <f t="shared" si="472"/>
        <v>-76.132162431306085</v>
      </c>
      <c r="AK154" s="84">
        <f t="shared" si="472"/>
        <v>-91.855557496365165</v>
      </c>
      <c r="AL154" s="84">
        <f t="shared" ref="AL154:AN154" si="473">-AK153*AL155</f>
        <v>-105.18816681667479</v>
      </c>
      <c r="AM154" s="84">
        <f t="shared" si="473"/>
        <v>-115.20339374540475</v>
      </c>
      <c r="AN154" s="84">
        <f t="shared" si="473"/>
        <v>-61.019060580425304</v>
      </c>
    </row>
    <row r="155" spans="1:40" s="2" customFormat="1">
      <c r="A155" s="259" t="s">
        <v>193</v>
      </c>
      <c r="B155" s="259"/>
      <c r="C155" s="259"/>
      <c r="D155" s="259"/>
      <c r="E155" s="259"/>
      <c r="F155" s="259"/>
      <c r="G155" s="259"/>
      <c r="H155" s="259"/>
      <c r="I155" s="259"/>
      <c r="J155" s="259"/>
      <c r="K155" s="259"/>
      <c r="L155" s="259"/>
      <c r="M155" s="259"/>
      <c r="N155" s="259"/>
      <c r="O155" s="259"/>
      <c r="P155" s="259"/>
      <c r="Q155" s="259"/>
      <c r="R155" s="259"/>
      <c r="S155" s="259"/>
      <c r="T155" s="259"/>
      <c r="U155" s="259"/>
      <c r="V155" s="259"/>
      <c r="W155" s="259"/>
      <c r="X155" s="259"/>
      <c r="Y155" s="259"/>
      <c r="Z155" s="259"/>
      <c r="AA155" s="259"/>
      <c r="AB155" s="259"/>
      <c r="AC155" s="260">
        <f>+AC150</f>
        <v>6.6E-3</v>
      </c>
      <c r="AD155" s="260">
        <f>+AD150/SUM(AD150:$AN$150)</f>
        <v>3.5333199114153412E-2</v>
      </c>
      <c r="AE155" s="260">
        <f>+AE150/SUM(AE150:$AN$150)</f>
        <v>5.634978607951581E-2</v>
      </c>
      <c r="AF155" s="260">
        <f>+AF150/SUM(AF150:$AN$150)</f>
        <v>7.0883556341921936E-2</v>
      </c>
      <c r="AG155" s="260">
        <f>+AG150/SUM(AG150:$AN$150)</f>
        <v>8.390859319209712E-2</v>
      </c>
      <c r="AH155" s="260">
        <f>+AH150/SUM(AH150:$AN$150)</f>
        <v>0.10991295309860985</v>
      </c>
      <c r="AI155" s="260">
        <f>+AI150/SUM(AI150:$AN$150)</f>
        <v>0.15384615384615383</v>
      </c>
      <c r="AJ155" s="260">
        <f>+AJ150/SUM(AJ150:$AN$150)</f>
        <v>0.19734345351043639</v>
      </c>
      <c r="AK155" s="260">
        <f>+AK150/SUM(AK150:$AN$150)</f>
        <v>0.27444659359552981</v>
      </c>
      <c r="AL155" s="260">
        <f>+AL150/SUM(AL150:$AN$150)</f>
        <v>0.40136255924170616</v>
      </c>
      <c r="AM155" s="260">
        <f>+AM150/SUM(AM150:$AN$150)</f>
        <v>0.67837704106877783</v>
      </c>
      <c r="AN155" s="260">
        <f>+AN150/SUM(AN150:$AN$150)</f>
        <v>1</v>
      </c>
    </row>
    <row r="156" spans="1:40" s="2" customFormat="1">
      <c r="N156" s="108"/>
      <c r="O156" s="108"/>
      <c r="P156" s="108"/>
      <c r="AA156" s="261"/>
    </row>
    <row r="157" spans="1:40" s="2" customFormat="1">
      <c r="A157" s="2" t="s">
        <v>209</v>
      </c>
      <c r="N157" s="83"/>
      <c r="O157" s="108"/>
      <c r="P157" s="108"/>
    </row>
    <row r="158" spans="1:40" s="2" customFormat="1">
      <c r="A158" s="262" t="s">
        <v>254</v>
      </c>
      <c r="B158" s="262"/>
      <c r="C158" s="262"/>
      <c r="D158" s="262"/>
      <c r="E158" s="262"/>
      <c r="F158" s="262"/>
      <c r="G158" s="262"/>
      <c r="H158" s="262"/>
      <c r="I158" s="262"/>
      <c r="J158" s="262"/>
      <c r="K158" s="262"/>
      <c r="L158" s="262"/>
      <c r="M158" s="262"/>
      <c r="N158" s="262"/>
      <c r="O158" s="262"/>
      <c r="P158" s="262"/>
      <c r="Q158" s="262"/>
      <c r="R158" s="262"/>
      <c r="S158" s="262"/>
      <c r="T158" s="262"/>
      <c r="U158" s="262"/>
      <c r="V158" s="262"/>
      <c r="W158" s="262"/>
      <c r="X158" s="262"/>
      <c r="Y158" s="262"/>
      <c r="Z158" s="262"/>
      <c r="AA158" s="262"/>
      <c r="AB158" s="262"/>
      <c r="AC158" s="263">
        <f>+AC149</f>
        <v>-7.0289999999999999</v>
      </c>
      <c r="AD158" s="263">
        <f t="shared" ref="AD158:AM158" si="474">+AD149</f>
        <v>-37.381500000000003</v>
      </c>
      <c r="AE158" s="263">
        <f t="shared" si="474"/>
        <v>-57.51</v>
      </c>
      <c r="AF158" s="263">
        <f t="shared" si="474"/>
        <v>-68.266500000000008</v>
      </c>
      <c r="AG158" s="263">
        <f t="shared" si="474"/>
        <v>-75.08250000000001</v>
      </c>
      <c r="AH158" s="263">
        <f t="shared" si="474"/>
        <v>-90.099000000000004</v>
      </c>
      <c r="AI158" s="263">
        <f t="shared" si="474"/>
        <v>-112.25099999999999</v>
      </c>
      <c r="AJ158" s="263">
        <f t="shared" si="474"/>
        <v>-121.836</v>
      </c>
      <c r="AK158" s="263">
        <f t="shared" si="474"/>
        <v>-136.00050000000002</v>
      </c>
      <c r="AL158" s="263">
        <f t="shared" si="474"/>
        <v>-144.3075</v>
      </c>
      <c r="AM158" s="263">
        <f t="shared" si="474"/>
        <v>-146.01150000000001</v>
      </c>
      <c r="AN158" s="263">
        <f t="shared" ref="AN158" si="475">+AN149</f>
        <v>-69.225000000000009</v>
      </c>
    </row>
    <row r="159" spans="1:40" s="2" customFormat="1">
      <c r="A159" s="262" t="s">
        <v>211</v>
      </c>
      <c r="B159" s="262"/>
      <c r="C159" s="262"/>
      <c r="D159" s="262"/>
      <c r="E159" s="262"/>
      <c r="F159" s="262"/>
      <c r="G159" s="262"/>
      <c r="H159" s="262"/>
      <c r="I159" s="262"/>
      <c r="J159" s="262"/>
      <c r="K159" s="262"/>
      <c r="L159" s="262"/>
      <c r="M159" s="262"/>
      <c r="N159" s="263"/>
      <c r="O159" s="263"/>
      <c r="P159" s="263"/>
      <c r="Q159" s="262"/>
      <c r="R159" s="262"/>
      <c r="S159" s="262"/>
      <c r="T159" s="262"/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2"/>
      <c r="AG159" s="262"/>
      <c r="AH159" s="262"/>
      <c r="AI159" s="262"/>
      <c r="AJ159" s="262"/>
      <c r="AK159" s="262"/>
      <c r="AL159" s="262"/>
      <c r="AM159" s="262"/>
      <c r="AN159" s="264"/>
    </row>
    <row r="160" spans="1:40" s="2" customFormat="1"/>
    <row r="161" spans="1:40" s="2" customFormat="1">
      <c r="A161" s="2" t="s">
        <v>194</v>
      </c>
      <c r="B161" s="265"/>
    </row>
    <row r="162" spans="1:40" s="2" customFormat="1">
      <c r="A162" s="2" t="s">
        <v>196</v>
      </c>
      <c r="B162" s="265"/>
      <c r="N162" s="108"/>
      <c r="O162" s="108"/>
      <c r="P162" s="108"/>
      <c r="Q162" s="108">
        <f>+P162</f>
        <v>0</v>
      </c>
      <c r="V162" s="108"/>
      <c r="Z162" s="108"/>
      <c r="AA162" s="108">
        <f>+V162*(1+Despesas!S5/100)</f>
        <v>0</v>
      </c>
      <c r="AB162" s="108">
        <f>+AA162*(1+Despesas!T5/100)</f>
        <v>0</v>
      </c>
      <c r="AC162" s="108">
        <f>+(AB162+AC158)*(1+Despesas!U5/100)</f>
        <v>-7.3804500000000006</v>
      </c>
      <c r="AD162" s="108">
        <f>+(AC162+AD158)*(1+Despesas!V5/100)</f>
        <v>-47.000047500000008</v>
      </c>
      <c r="AE162" s="108">
        <f>+(AD162+AE158)*(1+Despesas!W5/100)</f>
        <v>-109.2129996375</v>
      </c>
      <c r="AF162" s="108">
        <f>+(AE162+AF158)*(1+Despesas!X5/100)</f>
        <v>-185.46607712118748</v>
      </c>
      <c r="AG162" s="108">
        <f>+(AF162+AG158)*(1+Despesas!Y5/100)</f>
        <v>-272.2732630916409</v>
      </c>
      <c r="AH162" s="108">
        <f>+(AG162+AH158)*(1+Despesas!Z5/100)</f>
        <v>-378.67901493076471</v>
      </c>
      <c r="AI162" s="108">
        <f>+(AH162+AI158)*(1+Despesas!AA5/100)</f>
        <v>-513.02186560264909</v>
      </c>
      <c r="AJ162" s="108">
        <f>+(AI162+AJ158)*(1+Despesas!AB5/100)</f>
        <v>-663.42646955476823</v>
      </c>
      <c r="AK162" s="108">
        <f>+(AJ162+AK158)*(1+Despesas!AC5/100)</f>
        <v>-835.40118318473276</v>
      </c>
      <c r="AL162" s="108">
        <f>+(AK162+AL158)*(1+Despesas!AD5/100)</f>
        <v>-1023.7955739280457</v>
      </c>
      <c r="AM162" s="108">
        <f>+(AL162+AM158)*(1+Despesas!AE5/100)</f>
        <v>-1222.4483922548077</v>
      </c>
      <c r="AN162" s="108">
        <f>+(AM162+AN158)*(1+Despesas!AF5/100)</f>
        <v>-1349.7986949062738</v>
      </c>
    </row>
    <row r="163" spans="1:40" s="2" customFormat="1">
      <c r="A163" s="2" t="s">
        <v>259</v>
      </c>
      <c r="M163" s="236"/>
      <c r="N163" s="108"/>
      <c r="O163" s="108"/>
      <c r="P163" s="108"/>
      <c r="Q163" s="236">
        <f>+SUM(M163:P163)</f>
        <v>0</v>
      </c>
      <c r="R163" s="236"/>
      <c r="S163" s="236"/>
      <c r="T163" s="236"/>
      <c r="U163" s="236"/>
      <c r="V163" s="108"/>
      <c r="W163" s="236"/>
      <c r="X163" s="236"/>
      <c r="Y163" s="236"/>
      <c r="Z163" s="108">
        <f>+AA148/4</f>
        <v>-24.550582754885792</v>
      </c>
      <c r="AA163" s="108">
        <f>+AA148+AA154</f>
        <v>-98.202331019543166</v>
      </c>
      <c r="AB163" s="108">
        <f>+AB148+AB154</f>
        <v>-103.0409114710706</v>
      </c>
      <c r="AC163" s="108">
        <f>+AC148+AC154</f>
        <v>-111.6514610141497</v>
      </c>
      <c r="AD163" s="108">
        <f t="shared" ref="AD163:AG163" si="476">+AD148+AD154</f>
        <v>-125.83369553182074</v>
      </c>
      <c r="AE163" s="108">
        <f t="shared" si="476"/>
        <v>-134.21657856739455</v>
      </c>
      <c r="AF163" s="108">
        <f t="shared" si="476"/>
        <v>-137.90089467609587</v>
      </c>
      <c r="AG163" s="108">
        <f t="shared" si="476"/>
        <v>-139.21927039526827</v>
      </c>
      <c r="AH163" s="108">
        <f t="shared" ref="AH163:AN163" si="477">+AH148+AH154</f>
        <v>-143.66442975594722</v>
      </c>
      <c r="AI163" s="108">
        <f t="shared" si="477"/>
        <v>-156.61152544121234</v>
      </c>
      <c r="AJ163" s="108">
        <f t="shared" si="477"/>
        <v>-156.38540981692017</v>
      </c>
      <c r="AK163" s="108">
        <f t="shared" si="477"/>
        <v>-158.27461688747476</v>
      </c>
      <c r="AL163" s="108">
        <f t="shared" si="477"/>
        <v>-154.91790090807518</v>
      </c>
      <c r="AM163" s="108">
        <f t="shared" si="477"/>
        <v>-146.00807939147117</v>
      </c>
      <c r="AN163" s="108">
        <f t="shared" si="477"/>
        <v>-71.438585426859333</v>
      </c>
    </row>
    <row r="164" spans="1:40" s="2" customFormat="1">
      <c r="A164" s="240" t="s">
        <v>230</v>
      </c>
      <c r="M164" s="236"/>
      <c r="N164" s="108"/>
      <c r="O164" s="108"/>
      <c r="P164" s="108"/>
      <c r="Q164" s="236"/>
      <c r="R164" s="236"/>
      <c r="S164" s="236"/>
      <c r="T164" s="236"/>
      <c r="U164" s="236"/>
      <c r="V164" s="108"/>
      <c r="W164" s="236"/>
      <c r="X164" s="236"/>
      <c r="Y164" s="236"/>
      <c r="Z164" s="236"/>
      <c r="AA164" s="108"/>
      <c r="AB164" s="108"/>
      <c r="AC164" s="108"/>
      <c r="AD164" s="108"/>
      <c r="AE164" s="108"/>
      <c r="AF164" s="108"/>
      <c r="AG164" s="108"/>
      <c r="AH164" s="108"/>
      <c r="AI164" s="108"/>
      <c r="AJ164" s="108"/>
      <c r="AK164" s="108"/>
      <c r="AL164" s="108"/>
      <c r="AM164" s="108"/>
      <c r="AN164" s="108"/>
    </row>
    <row r="165" spans="1:40" s="2" customFormat="1">
      <c r="A165" s="240" t="s">
        <v>240</v>
      </c>
      <c r="B165" s="265"/>
    </row>
    <row r="166" spans="1:40" s="2" customFormat="1">
      <c r="A166" s="240"/>
      <c r="B166" s="265"/>
    </row>
    <row r="167" spans="1:40" s="2" customFormat="1">
      <c r="A167" s="240" t="s">
        <v>189</v>
      </c>
      <c r="B167" s="265"/>
    </row>
    <row r="168" spans="1:40" s="2" customFormat="1">
      <c r="A168" s="2" t="s">
        <v>196</v>
      </c>
      <c r="B168" s="265"/>
      <c r="Q168" s="108">
        <f>+P168</f>
        <v>0</v>
      </c>
      <c r="V168" s="108"/>
      <c r="AA168" s="108">
        <f>+Q168+AA157+AA159</f>
        <v>0</v>
      </c>
      <c r="AB168" s="108">
        <f t="shared" ref="AB168:AG168" si="478">+R168+AB157+AB159</f>
        <v>0</v>
      </c>
      <c r="AC168" s="108">
        <f t="shared" si="478"/>
        <v>0</v>
      </c>
      <c r="AD168" s="108">
        <f t="shared" si="478"/>
        <v>0</v>
      </c>
      <c r="AE168" s="108">
        <f t="shared" si="478"/>
        <v>0</v>
      </c>
      <c r="AF168" s="108">
        <f t="shared" si="478"/>
        <v>0</v>
      </c>
      <c r="AG168" s="108">
        <f t="shared" si="478"/>
        <v>0</v>
      </c>
      <c r="AH168" s="108">
        <f t="shared" ref="AH168:AN168" si="479">+AF168+AH157+AH159</f>
        <v>0</v>
      </c>
      <c r="AI168" s="108">
        <f t="shared" si="479"/>
        <v>0</v>
      </c>
      <c r="AJ168" s="108">
        <f t="shared" si="479"/>
        <v>0</v>
      </c>
      <c r="AK168" s="108">
        <f t="shared" si="479"/>
        <v>0</v>
      </c>
      <c r="AL168" s="108">
        <f t="shared" si="479"/>
        <v>0</v>
      </c>
      <c r="AM168" s="108">
        <f t="shared" si="479"/>
        <v>0</v>
      </c>
      <c r="AN168" s="108">
        <f t="shared" si="479"/>
        <v>0</v>
      </c>
    </row>
    <row r="169" spans="1:40" s="2" customFormat="1">
      <c r="A169" s="2" t="s">
        <v>195</v>
      </c>
      <c r="B169" s="265"/>
      <c r="V169" s="108"/>
      <c r="AA169" s="108">
        <f>-AA168*120%*AA172</f>
        <v>0</v>
      </c>
      <c r="AB169" s="108">
        <f t="shared" ref="AB169:AG169" si="480">-AB168*120%*AB172</f>
        <v>0</v>
      </c>
      <c r="AC169" s="108">
        <f t="shared" si="480"/>
        <v>0</v>
      </c>
      <c r="AD169" s="108">
        <f t="shared" si="480"/>
        <v>0</v>
      </c>
      <c r="AE169" s="108">
        <f t="shared" si="480"/>
        <v>0</v>
      </c>
      <c r="AF169" s="108">
        <f t="shared" si="480"/>
        <v>0</v>
      </c>
      <c r="AG169" s="108">
        <f t="shared" si="480"/>
        <v>0</v>
      </c>
      <c r="AH169" s="108">
        <f t="shared" ref="AH169:AN169" si="481">-AH168*120%*AH172</f>
        <v>0</v>
      </c>
      <c r="AI169" s="108">
        <f t="shared" si="481"/>
        <v>0</v>
      </c>
      <c r="AJ169" s="108">
        <f t="shared" si="481"/>
        <v>0</v>
      </c>
      <c r="AK169" s="108">
        <f t="shared" si="481"/>
        <v>0</v>
      </c>
      <c r="AL169" s="108">
        <f t="shared" si="481"/>
        <v>0</v>
      </c>
      <c r="AM169" s="108">
        <f t="shared" si="481"/>
        <v>0</v>
      </c>
      <c r="AN169" s="108">
        <f t="shared" si="481"/>
        <v>0</v>
      </c>
    </row>
    <row r="170" spans="1:40" s="2" customFormat="1">
      <c r="B170" s="265"/>
    </row>
    <row r="171" spans="1:40" s="2" customFormat="1">
      <c r="A171" s="2" t="s">
        <v>62</v>
      </c>
      <c r="B171" s="265"/>
      <c r="M171" s="236"/>
      <c r="N171" s="108"/>
      <c r="O171" s="108"/>
      <c r="P171" s="108"/>
      <c r="R171" s="236"/>
      <c r="S171" s="236"/>
      <c r="T171" s="236"/>
      <c r="U171" s="236"/>
      <c r="V171" s="108"/>
      <c r="W171" s="236">
        <f>W70</f>
        <v>6.93</v>
      </c>
      <c r="X171" s="236">
        <f t="shared" ref="X171:Y171" si="482">X70</f>
        <v>7.4719999999999995</v>
      </c>
      <c r="Y171" s="236">
        <f t="shared" si="482"/>
        <v>9.5249999999999986</v>
      </c>
      <c r="Z171" s="108">
        <f>+Z172*Y138/4</f>
        <v>10.633813124999996</v>
      </c>
      <c r="AA171" s="108">
        <f>Z171+Y171+X171+W171</f>
        <v>34.560813124999996</v>
      </c>
      <c r="AB171" s="108">
        <f>+AB172*AA138</f>
        <v>38.076002291226409</v>
      </c>
      <c r="AC171" s="108">
        <f>+AC172*AB138</f>
        <v>36.11673673124325</v>
      </c>
      <c r="AD171" s="108">
        <f>+AD172*AC138</f>
        <v>38.504087326927028</v>
      </c>
      <c r="AE171" s="108">
        <f t="shared" ref="AE171:AN171" si="483">+AE172*AD138</f>
        <v>45.015730493877811</v>
      </c>
      <c r="AF171" s="108">
        <f t="shared" si="483"/>
        <v>49.662401558776224</v>
      </c>
      <c r="AG171" s="108">
        <f t="shared" si="483"/>
        <v>54.342073766460501</v>
      </c>
      <c r="AH171" s="108">
        <f t="shared" si="483"/>
        <v>54.917351526910807</v>
      </c>
      <c r="AI171" s="108">
        <f t="shared" si="483"/>
        <v>56.3105809168934</v>
      </c>
      <c r="AJ171" s="108">
        <f t="shared" si="483"/>
        <v>56.971579271597363</v>
      </c>
      <c r="AK171" s="108">
        <f t="shared" si="483"/>
        <v>57.823651957820232</v>
      </c>
      <c r="AL171" s="108">
        <f t="shared" si="483"/>
        <v>60.728891369976296</v>
      </c>
      <c r="AM171" s="108">
        <f t="shared" si="483"/>
        <v>64.462339533500966</v>
      </c>
      <c r="AN171" s="108">
        <f t="shared" si="483"/>
        <v>63.046019332277545</v>
      </c>
    </row>
    <row r="172" spans="1:40" s="220" customFormat="1">
      <c r="A172" s="220" t="s">
        <v>197</v>
      </c>
      <c r="B172" s="253"/>
      <c r="N172" s="237"/>
      <c r="O172" s="237"/>
      <c r="P172" s="237"/>
      <c r="V172" s="317">
        <v>1</v>
      </c>
      <c r="Z172" s="237">
        <f>Tráfego!AH8/100</f>
        <v>0.14249999999999999</v>
      </c>
      <c r="AA172" s="237"/>
      <c r="AB172" s="237">
        <f>Tráfego!AN8/100*$V$172</f>
        <v>0.13500000000000001</v>
      </c>
      <c r="AC172" s="237">
        <f>Tráfego!AO8/100*$V$172</f>
        <v>0.1275</v>
      </c>
      <c r="AD172" s="237">
        <f>Tráfego!AP8/100*$V$172</f>
        <v>0.1275</v>
      </c>
      <c r="AE172" s="237">
        <f>Tráfego!AQ8/100*$V$172</f>
        <v>0.1275</v>
      </c>
      <c r="AF172" s="237">
        <f>Tráfego!AR8/100*$V$172</f>
        <v>0.1275</v>
      </c>
      <c r="AG172" s="237">
        <f>Tráfego!AS8/100*$V$172</f>
        <v>0.1275</v>
      </c>
      <c r="AH172" s="237">
        <f>Tráfego!AT8/100*$V$172</f>
        <v>0.1275</v>
      </c>
      <c r="AI172" s="237">
        <f>Tráfego!AU8/100*$V$172</f>
        <v>0.1275</v>
      </c>
      <c r="AJ172" s="237">
        <f>Tráfego!AV8/100*$V$172</f>
        <v>0.1275</v>
      </c>
      <c r="AK172" s="237">
        <f>Tráfego!AW8/100*$V$172</f>
        <v>0.1275</v>
      </c>
      <c r="AL172" s="237">
        <f>Tráfego!AX8/100*$V$172</f>
        <v>0.1275</v>
      </c>
      <c r="AM172" s="237">
        <f>Tráfego!AY8/100*$V$172</f>
        <v>0.1275</v>
      </c>
      <c r="AN172" s="237">
        <f>Tráfego!AZ8/100*$V$172</f>
        <v>0.1275</v>
      </c>
    </row>
    <row r="173" spans="1:40" s="2" customFormat="1">
      <c r="A173" s="220"/>
      <c r="B173" s="253"/>
      <c r="C173" s="220"/>
      <c r="D173" s="220"/>
      <c r="E173" s="220"/>
      <c r="F173" s="220"/>
      <c r="G173" s="220"/>
      <c r="H173" s="220"/>
      <c r="I173" s="220"/>
      <c r="J173" s="220"/>
      <c r="K173" s="220"/>
      <c r="L173" s="220"/>
      <c r="M173" s="220"/>
      <c r="N173" s="237"/>
      <c r="O173" s="237"/>
      <c r="P173" s="237"/>
      <c r="Q173" s="220"/>
      <c r="R173" s="220"/>
      <c r="S173" s="220"/>
      <c r="T173" s="220"/>
      <c r="U173" s="220"/>
      <c r="V173" s="237"/>
      <c r="W173" s="220"/>
      <c r="X173" s="220"/>
      <c r="Y173" s="220"/>
      <c r="Z173" s="220"/>
      <c r="AA173" s="237"/>
      <c r="AB173" s="237"/>
      <c r="AC173" s="237"/>
      <c r="AD173" s="237"/>
      <c r="AE173" s="237"/>
      <c r="AF173" s="237"/>
      <c r="AG173" s="237"/>
      <c r="AH173" s="237"/>
      <c r="AI173" s="237"/>
      <c r="AJ173" s="237"/>
      <c r="AK173" s="237"/>
      <c r="AL173" s="237"/>
      <c r="AM173" s="237"/>
      <c r="AN173" s="237"/>
    </row>
    <row r="174" spans="1:40" s="2" customFormat="1">
      <c r="A174" s="240" t="s">
        <v>294</v>
      </c>
      <c r="B174" s="253"/>
      <c r="C174" s="220"/>
      <c r="D174" s="220"/>
      <c r="E174" s="220"/>
      <c r="F174" s="220"/>
      <c r="G174" s="220"/>
      <c r="H174" s="220"/>
      <c r="I174" s="220"/>
      <c r="J174" s="220"/>
      <c r="K174" s="220"/>
      <c r="L174" s="220"/>
      <c r="M174" s="220"/>
      <c r="N174" s="237"/>
      <c r="O174" s="108"/>
      <c r="P174" s="108"/>
      <c r="Q174" s="220"/>
      <c r="R174" s="220"/>
      <c r="S174" s="220"/>
      <c r="T174" s="220"/>
      <c r="U174" s="220"/>
      <c r="V174" s="108"/>
      <c r="W174" s="220"/>
      <c r="X174" s="220"/>
      <c r="Y174" s="220"/>
      <c r="Z174" s="108">
        <f>+Z163+Z169+Z171</f>
        <v>-13.916769629885795</v>
      </c>
      <c r="AA174" s="108"/>
      <c r="AB174" s="108">
        <f>+AB163+AB169+AB171</f>
        <v>-64.964909179844199</v>
      </c>
      <c r="AC174" s="108">
        <f t="shared" ref="AC174:AN174" si="484">+AC163+AC169+AC171</f>
        <v>-75.534724282906453</v>
      </c>
      <c r="AD174" s="108">
        <f>+AD163+AD169+AD171</f>
        <v>-87.329608204893702</v>
      </c>
      <c r="AE174" s="108">
        <f t="shared" si="484"/>
        <v>-89.200848073516738</v>
      </c>
      <c r="AF174" s="108">
        <f t="shared" si="484"/>
        <v>-88.238493117319649</v>
      </c>
      <c r="AG174" s="108">
        <f t="shared" si="484"/>
        <v>-84.877196628807766</v>
      </c>
      <c r="AH174" s="108">
        <f t="shared" si="484"/>
        <v>-88.747078229036418</v>
      </c>
      <c r="AI174" s="108">
        <f t="shared" si="484"/>
        <v>-100.30094452431894</v>
      </c>
      <c r="AJ174" s="108">
        <f t="shared" si="484"/>
        <v>-99.41383054532281</v>
      </c>
      <c r="AK174" s="108">
        <f t="shared" si="484"/>
        <v>-100.45096492965453</v>
      </c>
      <c r="AL174" s="108">
        <f t="shared" si="484"/>
        <v>-94.189009538098887</v>
      </c>
      <c r="AM174" s="108">
        <f t="shared" si="484"/>
        <v>-81.545739857970204</v>
      </c>
      <c r="AN174" s="108">
        <f t="shared" si="484"/>
        <v>-8.3925660945817881</v>
      </c>
    </row>
    <row r="175" spans="1:40" s="2" customFormat="1">
      <c r="A175" s="266" t="s">
        <v>295</v>
      </c>
      <c r="B175" s="267"/>
      <c r="C175" s="266"/>
      <c r="D175" s="266"/>
      <c r="E175" s="266"/>
      <c r="F175" s="266"/>
      <c r="G175" s="266"/>
      <c r="H175" s="266"/>
      <c r="I175" s="266"/>
      <c r="J175" s="266"/>
      <c r="K175" s="266"/>
      <c r="L175" s="266"/>
      <c r="M175" s="266"/>
      <c r="N175" s="268"/>
      <c r="O175" s="264"/>
      <c r="P175" s="264"/>
      <c r="Q175" s="266"/>
      <c r="R175" s="266"/>
      <c r="S175" s="266"/>
      <c r="T175" s="266"/>
      <c r="U175" s="266"/>
      <c r="V175" s="264"/>
      <c r="W175" s="266"/>
      <c r="X175" s="266"/>
      <c r="Y175" s="266"/>
      <c r="Z175" s="264">
        <f>+Z189-Z185</f>
        <v>-36.663078635977449</v>
      </c>
      <c r="AA175" s="264"/>
      <c r="AB175" s="264">
        <f>+AB189-AB185</f>
        <v>-197.14112081846613</v>
      </c>
      <c r="AC175" s="264">
        <f t="shared" ref="AC175:AN175" si="485">+AC189-AC185</f>
        <v>-177.58952135702248</v>
      </c>
      <c r="AD175" s="264">
        <f t="shared" si="485"/>
        <v>-174.61401785702247</v>
      </c>
      <c r="AE175" s="264">
        <f t="shared" si="485"/>
        <v>-162.03831425702239</v>
      </c>
      <c r="AF175" s="264">
        <f t="shared" si="485"/>
        <v>-153.95088530702242</v>
      </c>
      <c r="AG175" s="264">
        <f t="shared" si="485"/>
        <v>-144.7335446070224</v>
      </c>
      <c r="AH175" s="264">
        <f t="shared" si="485"/>
        <v>-134.11237415702237</v>
      </c>
      <c r="AI175" s="264">
        <f t="shared" si="485"/>
        <v>-121.10126915702239</v>
      </c>
      <c r="AJ175" s="264">
        <f t="shared" si="485"/>
        <v>-106.04947505702239</v>
      </c>
      <c r="AK175" s="264">
        <f t="shared" si="485"/>
        <v>-89.470588107022394</v>
      </c>
      <c r="AL175" s="264">
        <f t="shared" si="485"/>
        <v>-71.446783707022377</v>
      </c>
      <c r="AM175" s="264">
        <f t="shared" si="485"/>
        <v>-52.779272007022357</v>
      </c>
      <c r="AN175" s="264">
        <f t="shared" si="485"/>
        <v>-38.939565057022357</v>
      </c>
    </row>
    <row r="176" spans="1:40" s="220" customFormat="1">
      <c r="A176" s="240" t="s">
        <v>296</v>
      </c>
      <c r="B176" s="253"/>
      <c r="N176" s="237"/>
      <c r="O176" s="106"/>
      <c r="P176" s="106"/>
      <c r="V176" s="106"/>
      <c r="Z176" s="106">
        <f t="shared" ref="Z176:AB176" si="486">+Z68-Z174</f>
        <v>-12.112495881091657</v>
      </c>
      <c r="AA176" s="106"/>
      <c r="AB176" s="106">
        <f t="shared" si="486"/>
        <v>-94.10020934739552</v>
      </c>
      <c r="AC176" s="106">
        <f t="shared" ref="AC176:AN176" si="487">+AC68-AC174</f>
        <v>-65.938060342872788</v>
      </c>
      <c r="AD176" s="106">
        <f t="shared" si="487"/>
        <v>-48.780322325201752</v>
      </c>
      <c r="AE176" s="106">
        <f t="shared" si="487"/>
        <v>-27.821735689627843</v>
      </c>
      <c r="AF176" s="106">
        <f t="shared" si="487"/>
        <v>-16.049990630926544</v>
      </c>
      <c r="AG176" s="106">
        <f t="shared" si="487"/>
        <v>-5.5142742117541275</v>
      </c>
      <c r="AH176" s="106">
        <f t="shared" si="487"/>
        <v>9.5520555989248521</v>
      </c>
      <c r="AI176" s="106">
        <f t="shared" si="487"/>
        <v>35.51025628418995</v>
      </c>
      <c r="AJ176" s="106">
        <f t="shared" si="487"/>
        <v>50.335934759897782</v>
      </c>
      <c r="AK176" s="106">
        <f t="shared" si="487"/>
        <v>68.80402878045237</v>
      </c>
      <c r="AL176" s="106">
        <f t="shared" si="487"/>
        <v>83.471117201052806</v>
      </c>
      <c r="AM176" s="106">
        <f t="shared" si="487"/>
        <v>93.228807384448814</v>
      </c>
      <c r="AN176" s="106">
        <f t="shared" si="487"/>
        <v>32.499020369836977</v>
      </c>
    </row>
    <row r="177" spans="1:40" s="2" customFormat="1">
      <c r="A177" s="269" t="s">
        <v>297</v>
      </c>
      <c r="B177" s="270"/>
      <c r="C177" s="244"/>
      <c r="D177" s="244"/>
      <c r="E177" s="244"/>
      <c r="F177" s="244"/>
      <c r="G177" s="244"/>
      <c r="H177" s="244"/>
      <c r="I177" s="244"/>
      <c r="J177" s="244"/>
      <c r="K177" s="244"/>
      <c r="L177" s="244"/>
      <c r="M177" s="244"/>
      <c r="N177" s="160"/>
      <c r="O177" s="271"/>
      <c r="P177" s="271"/>
      <c r="Q177" s="271">
        <f>+P177+Q176</f>
        <v>0</v>
      </c>
      <c r="R177" s="244"/>
      <c r="S177" s="272"/>
      <c r="T177" s="272"/>
      <c r="U177" s="272"/>
      <c r="V177" s="271"/>
      <c r="W177" s="272"/>
      <c r="X177" s="272"/>
      <c r="Y177" s="272"/>
      <c r="Z177" s="271">
        <f>+U177+Z176</f>
        <v>-12.112495881091657</v>
      </c>
      <c r="AA177" s="271">
        <f>Z177</f>
        <v>-12.112495881091657</v>
      </c>
      <c r="AB177" s="271">
        <f t="shared" ref="AB177:AN177" si="488">+AA177+AB176</f>
        <v>-106.21270522848718</v>
      </c>
      <c r="AC177" s="271">
        <f t="shared" si="488"/>
        <v>-172.15076557135995</v>
      </c>
      <c r="AD177" s="271">
        <f t="shared" si="488"/>
        <v>-220.93108789656171</v>
      </c>
      <c r="AE177" s="271">
        <f t="shared" si="488"/>
        <v>-248.75282358618955</v>
      </c>
      <c r="AF177" s="271">
        <f t="shared" si="488"/>
        <v>-264.80281421711607</v>
      </c>
      <c r="AG177" s="271">
        <f t="shared" si="488"/>
        <v>-270.31708842887019</v>
      </c>
      <c r="AH177" s="271">
        <f t="shared" si="488"/>
        <v>-260.76503282994531</v>
      </c>
      <c r="AI177" s="271">
        <f t="shared" si="488"/>
        <v>-225.25477654575536</v>
      </c>
      <c r="AJ177" s="271">
        <f t="shared" si="488"/>
        <v>-174.91884178585758</v>
      </c>
      <c r="AK177" s="271">
        <f t="shared" si="488"/>
        <v>-106.11481300540521</v>
      </c>
      <c r="AL177" s="271">
        <f t="shared" si="488"/>
        <v>-22.643695804352404</v>
      </c>
      <c r="AM177" s="271">
        <f t="shared" si="488"/>
        <v>70.58511158009641</v>
      </c>
      <c r="AN177" s="271">
        <f t="shared" si="488"/>
        <v>103.08413194993338</v>
      </c>
    </row>
    <row r="178" spans="1:40" s="2" customFormat="1">
      <c r="B178" s="265"/>
    </row>
    <row r="179" spans="1:40" s="142" customFormat="1">
      <c r="A179" s="138" t="s">
        <v>200</v>
      </c>
      <c r="B179" s="155">
        <f>+B135</f>
        <v>2010</v>
      </c>
      <c r="C179" s="86" t="str">
        <f t="shared" ref="C179:AN179" si="489">+C135</f>
        <v>1T11</v>
      </c>
      <c r="D179" s="86" t="str">
        <f t="shared" si="489"/>
        <v>2T11</v>
      </c>
      <c r="E179" s="86" t="str">
        <f t="shared" si="489"/>
        <v>3T11</v>
      </c>
      <c r="F179" s="86" t="str">
        <f t="shared" si="489"/>
        <v>4T11</v>
      </c>
      <c r="G179" s="155">
        <f t="shared" si="489"/>
        <v>2011</v>
      </c>
      <c r="H179" s="86" t="str">
        <f t="shared" si="489"/>
        <v>1T12</v>
      </c>
      <c r="I179" s="86" t="str">
        <f t="shared" si="489"/>
        <v>2T12</v>
      </c>
      <c r="J179" s="86" t="str">
        <f t="shared" si="489"/>
        <v>3T12</v>
      </c>
      <c r="K179" s="86" t="str">
        <f t="shared" si="489"/>
        <v>4T12</v>
      </c>
      <c r="L179" s="155">
        <f t="shared" si="489"/>
        <v>2012</v>
      </c>
      <c r="M179" s="86" t="str">
        <f t="shared" si="489"/>
        <v>1T13</v>
      </c>
      <c r="N179" s="86" t="str">
        <f t="shared" si="489"/>
        <v>2T13</v>
      </c>
      <c r="O179" s="86" t="str">
        <f t="shared" si="489"/>
        <v>3T13</v>
      </c>
      <c r="P179" s="86" t="str">
        <f t="shared" si="489"/>
        <v>4T13</v>
      </c>
      <c r="Q179" s="155">
        <f t="shared" si="489"/>
        <v>2013</v>
      </c>
      <c r="R179" s="86" t="str">
        <f t="shared" si="489"/>
        <v>1T14</v>
      </c>
      <c r="S179" s="86" t="str">
        <f t="shared" si="489"/>
        <v>2T14</v>
      </c>
      <c r="T179" s="86" t="str">
        <f>+T135</f>
        <v>3T14</v>
      </c>
      <c r="U179" s="86" t="str">
        <f>+U135</f>
        <v>4T14</v>
      </c>
      <c r="V179" s="155">
        <f>+V135</f>
        <v>2014</v>
      </c>
      <c r="W179" s="86" t="str">
        <f>+W135</f>
        <v>1T15</v>
      </c>
      <c r="X179" s="86" t="str">
        <f t="shared" ref="X179:Z179" si="490">+X135</f>
        <v>2T15</v>
      </c>
      <c r="Y179" s="86" t="str">
        <f t="shared" si="490"/>
        <v>3T15</v>
      </c>
      <c r="Z179" s="86" t="str">
        <f t="shared" si="490"/>
        <v>4T15E</v>
      </c>
      <c r="AA179" s="155" t="str">
        <f t="shared" si="489"/>
        <v>2015E</v>
      </c>
      <c r="AB179" s="155" t="str">
        <f t="shared" si="489"/>
        <v>2016E</v>
      </c>
      <c r="AC179" s="155" t="str">
        <f t="shared" si="489"/>
        <v>2017E</v>
      </c>
      <c r="AD179" s="155" t="str">
        <f t="shared" si="489"/>
        <v>2018E</v>
      </c>
      <c r="AE179" s="155" t="str">
        <f t="shared" si="489"/>
        <v>2019E</v>
      </c>
      <c r="AF179" s="155" t="str">
        <f t="shared" si="489"/>
        <v>2020E</v>
      </c>
      <c r="AG179" s="155" t="str">
        <f t="shared" si="489"/>
        <v>2021E</v>
      </c>
      <c r="AH179" s="155" t="str">
        <f t="shared" si="489"/>
        <v>2022E</v>
      </c>
      <c r="AI179" s="155" t="str">
        <f t="shared" si="489"/>
        <v>2023E</v>
      </c>
      <c r="AJ179" s="155" t="str">
        <f t="shared" si="489"/>
        <v>2024E</v>
      </c>
      <c r="AK179" s="155" t="str">
        <f t="shared" si="489"/>
        <v>2025E</v>
      </c>
      <c r="AL179" s="155" t="str">
        <f t="shared" si="489"/>
        <v>2026E</v>
      </c>
      <c r="AM179" s="155" t="str">
        <f t="shared" si="489"/>
        <v>2027E</v>
      </c>
      <c r="AN179" s="155" t="str">
        <f t="shared" si="489"/>
        <v>2028E</v>
      </c>
    </row>
    <row r="180" spans="1:40" s="2" customFormat="1">
      <c r="A180" s="2" t="s">
        <v>201</v>
      </c>
      <c r="B180" s="265"/>
      <c r="M180" s="236">
        <v>24.3</v>
      </c>
      <c r="N180" s="236">
        <v>36.9</v>
      </c>
      <c r="O180" s="236">
        <v>52.6</v>
      </c>
      <c r="P180" s="236">
        <v>60.3</v>
      </c>
      <c r="Q180" s="236">
        <f>+P180</f>
        <v>60.3</v>
      </c>
      <c r="R180" s="236">
        <v>78.099999999999994</v>
      </c>
      <c r="S180" s="236">
        <v>87.543999999999997</v>
      </c>
      <c r="T180" s="236">
        <v>93.236000000000004</v>
      </c>
      <c r="U180" s="236">
        <v>105.38</v>
      </c>
      <c r="V180" s="236">
        <f>+U180</f>
        <v>105.38</v>
      </c>
      <c r="W180" s="273">
        <v>140.642</v>
      </c>
      <c r="X180" s="273">
        <v>161</v>
      </c>
      <c r="Y180" s="273">
        <v>176.93299999999999</v>
      </c>
      <c r="Z180" s="236">
        <f>+Y180-(Z78-Z185)-Z191</f>
        <v>175.81854176850314</v>
      </c>
      <c r="AA180" s="236">
        <f>Z180</f>
        <v>175.81854176850314</v>
      </c>
      <c r="AB180" s="236">
        <f>+AA180-(AB78-AB185)-AB191</f>
        <v>204.69493908391064</v>
      </c>
      <c r="AC180" s="236">
        <f>+AB180-(AC78-AC185)-AC191</f>
        <v>201.77229218712063</v>
      </c>
      <c r="AD180" s="108">
        <f t="shared" ref="AD180:AF180" si="491">+AC180-(AD78-AD185)-AD191</f>
        <v>161.54361996182985</v>
      </c>
      <c r="AE180" s="108">
        <f t="shared" si="491"/>
        <v>73.693986023064454</v>
      </c>
      <c r="AF180" s="108">
        <f t="shared" si="491"/>
        <v>-35.409026391431411</v>
      </c>
      <c r="AG180" s="108">
        <f t="shared" ref="AG180:AN180" si="492">+AF180-(AG78-AG185)-AG191</f>
        <v>-148.57277443635479</v>
      </c>
      <c r="AH180" s="108">
        <f t="shared" si="492"/>
        <v>-289.33326722276246</v>
      </c>
      <c r="AI180" s="108">
        <f t="shared" si="492"/>
        <v>-457.39706938772076</v>
      </c>
      <c r="AJ180" s="108">
        <f t="shared" si="492"/>
        <v>-655.11582212900214</v>
      </c>
      <c r="AK180" s="108">
        <f t="shared" si="492"/>
        <v>-886.66649390388409</v>
      </c>
      <c r="AL180" s="108">
        <f t="shared" si="492"/>
        <v>-1154.8559875059107</v>
      </c>
      <c r="AM180" s="108">
        <f t="shared" si="492"/>
        <v>-1462.1064832738257</v>
      </c>
      <c r="AN180" s="108">
        <f t="shared" si="492"/>
        <v>-1800.9984045940676</v>
      </c>
    </row>
    <row r="181" spans="1:40" s="2" customFormat="1">
      <c r="A181" s="2" t="s">
        <v>202</v>
      </c>
      <c r="B181" s="265"/>
      <c r="N181" s="236"/>
      <c r="O181" s="236"/>
      <c r="P181" s="236"/>
      <c r="V181" s="236"/>
      <c r="Z181" s="236">
        <f>0.3*Y180</f>
        <v>53.079899999999995</v>
      </c>
      <c r="AA181" s="236">
        <f>0.3*V180</f>
        <v>31.613999999999997</v>
      </c>
      <c r="AB181" s="236">
        <f>0.3*AA180</f>
        <v>52.745562530550941</v>
      </c>
      <c r="AC181" s="236">
        <f t="shared" ref="AC181:AN181" si="493">0.3*AB180</f>
        <v>61.408481725173189</v>
      </c>
      <c r="AD181" s="236">
        <f t="shared" si="493"/>
        <v>60.531687656136185</v>
      </c>
      <c r="AE181" s="236">
        <f t="shared" si="493"/>
        <v>48.463085988548954</v>
      </c>
      <c r="AF181" s="236">
        <f t="shared" si="493"/>
        <v>22.108195806919337</v>
      </c>
      <c r="AG181" s="236">
        <f t="shared" si="493"/>
        <v>-10.622707917429423</v>
      </c>
      <c r="AH181" s="236">
        <f t="shared" si="493"/>
        <v>-44.571832330906439</v>
      </c>
      <c r="AI181" s="236">
        <f t="shared" si="493"/>
        <v>-86.799980166828732</v>
      </c>
      <c r="AJ181" s="236">
        <f t="shared" si="493"/>
        <v>-137.21912081631623</v>
      </c>
      <c r="AK181" s="236">
        <f t="shared" si="493"/>
        <v>-196.53474663870062</v>
      </c>
      <c r="AL181" s="236">
        <f t="shared" si="493"/>
        <v>-265.99994817116522</v>
      </c>
      <c r="AM181" s="236">
        <f t="shared" si="493"/>
        <v>-346.4567962517732</v>
      </c>
      <c r="AN181" s="236">
        <f t="shared" si="493"/>
        <v>-438.63194498214767</v>
      </c>
    </row>
    <row r="182" spans="1:40" s="2" customFormat="1">
      <c r="A182" s="2" t="s">
        <v>203</v>
      </c>
      <c r="B182" s="265"/>
      <c r="N182" s="110"/>
      <c r="O182" s="110"/>
      <c r="P182" s="110"/>
      <c r="Q182" s="274"/>
      <c r="V182" s="110"/>
      <c r="Z182" s="110">
        <v>0.34</v>
      </c>
      <c r="AA182" s="110">
        <v>0.34</v>
      </c>
      <c r="AB182" s="110">
        <v>0.34</v>
      </c>
      <c r="AC182" s="110">
        <v>0.34</v>
      </c>
      <c r="AD182" s="110">
        <v>0.34</v>
      </c>
      <c r="AE182" s="110">
        <v>0.34</v>
      </c>
      <c r="AF182" s="110">
        <v>0.34</v>
      </c>
      <c r="AG182" s="110">
        <v>0.34</v>
      </c>
      <c r="AH182" s="110">
        <v>0.34</v>
      </c>
      <c r="AI182" s="110">
        <v>0.34</v>
      </c>
      <c r="AJ182" s="110">
        <v>0.34</v>
      </c>
      <c r="AK182" s="110">
        <v>0.34</v>
      </c>
      <c r="AL182" s="110">
        <v>0.34</v>
      </c>
      <c r="AM182" s="110">
        <v>0.34</v>
      </c>
      <c r="AN182" s="110">
        <v>0.34</v>
      </c>
    </row>
    <row r="183" spans="1:40" s="2" customFormat="1">
      <c r="B183" s="265"/>
      <c r="N183" s="110"/>
      <c r="O183" s="110"/>
      <c r="P183" s="110"/>
      <c r="Q183" s="274"/>
      <c r="V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</row>
    <row r="184" spans="1:40" s="2" customFormat="1">
      <c r="A184" s="2" t="s">
        <v>241</v>
      </c>
      <c r="B184" s="265"/>
      <c r="M184" s="108">
        <f>+M31</f>
        <v>42.33</v>
      </c>
      <c r="N184" s="108">
        <f>+N31</f>
        <v>43.1</v>
      </c>
      <c r="O184" s="108">
        <f>+O31</f>
        <v>44.1</v>
      </c>
      <c r="P184" s="108">
        <f>+P31</f>
        <v>45.2</v>
      </c>
      <c r="Q184" s="108">
        <f>+P184</f>
        <v>45.2</v>
      </c>
      <c r="R184" s="108">
        <f>+R31</f>
        <v>46.3</v>
      </c>
      <c r="S184" s="108">
        <f>+S31</f>
        <v>57.362000000000002</v>
      </c>
      <c r="T184" s="108">
        <f>+T31</f>
        <v>59.652999999999999</v>
      </c>
      <c r="U184" s="108">
        <f>+U31</f>
        <v>62.228999999999999</v>
      </c>
      <c r="V184" s="108">
        <f>+U184</f>
        <v>62.228999999999999</v>
      </c>
      <c r="W184" s="275">
        <f>+W31</f>
        <v>64.84</v>
      </c>
      <c r="X184" s="275">
        <f>+X31</f>
        <v>69.945999999999998</v>
      </c>
      <c r="Y184" s="275">
        <f>+Y31</f>
        <v>70.84</v>
      </c>
      <c r="Z184" s="275">
        <f>+Y184+Z185</f>
        <v>74.611643799977401</v>
      </c>
      <c r="AA184" s="275">
        <f>+Z184</f>
        <v>74.611643799977401</v>
      </c>
      <c r="AB184" s="275">
        <f>+AA184+AB185</f>
        <v>89.134149578443342</v>
      </c>
      <c r="AC184" s="275">
        <f t="shared" ref="AC184:AN184" si="494">+AB184+AC185</f>
        <v>103.09258593546568</v>
      </c>
      <c r="AD184" s="275">
        <f t="shared" si="494"/>
        <v>117.05102229248801</v>
      </c>
      <c r="AE184" s="275">
        <f t="shared" si="494"/>
        <v>131.00945864951035</v>
      </c>
      <c r="AF184" s="275">
        <f t="shared" si="494"/>
        <v>144.96789500653267</v>
      </c>
      <c r="AG184" s="275">
        <f t="shared" si="494"/>
        <v>158.92633136355499</v>
      </c>
      <c r="AH184" s="275">
        <f t="shared" si="494"/>
        <v>172.88476772057732</v>
      </c>
      <c r="AI184" s="275">
        <f t="shared" si="494"/>
        <v>186.84320407759964</v>
      </c>
      <c r="AJ184" s="275">
        <f t="shared" si="494"/>
        <v>200.80164043462196</v>
      </c>
      <c r="AK184" s="275">
        <f t="shared" si="494"/>
        <v>214.76007679164428</v>
      </c>
      <c r="AL184" s="275">
        <f t="shared" si="494"/>
        <v>228.7185131486666</v>
      </c>
      <c r="AM184" s="275">
        <f t="shared" si="494"/>
        <v>242.67694950568892</v>
      </c>
      <c r="AN184" s="275">
        <f t="shared" si="494"/>
        <v>256.63538586271125</v>
      </c>
    </row>
    <row r="185" spans="1:40" s="2" customFormat="1">
      <c r="A185" s="2" t="s">
        <v>242</v>
      </c>
      <c r="B185" s="265"/>
      <c r="M185" s="204"/>
      <c r="N185" s="276"/>
      <c r="O185" s="276"/>
      <c r="P185" s="276"/>
      <c r="Q185" s="274"/>
      <c r="R185" s="204"/>
      <c r="S185" s="204"/>
      <c r="T185" s="204"/>
      <c r="U185" s="204"/>
      <c r="V185" s="276"/>
      <c r="W185" s="204"/>
      <c r="X185" s="204"/>
      <c r="Y185" s="204"/>
      <c r="Z185" s="276">
        <f>+$Y$184*((1+Z186)*(1+Z187)-1)/4</f>
        <v>3.7716437999773902</v>
      </c>
      <c r="AA185" s="276"/>
      <c r="AB185" s="276">
        <f>+$Y$184*((1+AB186)*(1+AB187)-1)</f>
        <v>14.522505778465947</v>
      </c>
      <c r="AC185" s="276">
        <f t="shared" ref="AC185:AN185" si="495">+$Y$184*((1+AC186)*(1+AC187)-1)</f>
        <v>13.958436357022331</v>
      </c>
      <c r="AD185" s="276">
        <f t="shared" si="495"/>
        <v>13.958436357022331</v>
      </c>
      <c r="AE185" s="276">
        <f t="shared" si="495"/>
        <v>13.958436357022331</v>
      </c>
      <c r="AF185" s="276">
        <f t="shared" si="495"/>
        <v>13.958436357022331</v>
      </c>
      <c r="AG185" s="276">
        <f t="shared" si="495"/>
        <v>13.958436357022331</v>
      </c>
      <c r="AH185" s="276">
        <f t="shared" si="495"/>
        <v>13.958436357022331</v>
      </c>
      <c r="AI185" s="276">
        <f t="shared" si="495"/>
        <v>13.958436357022331</v>
      </c>
      <c r="AJ185" s="276">
        <f t="shared" si="495"/>
        <v>13.958436357022331</v>
      </c>
      <c r="AK185" s="276">
        <f t="shared" si="495"/>
        <v>13.958436357022331</v>
      </c>
      <c r="AL185" s="276">
        <f t="shared" si="495"/>
        <v>13.958436357022331</v>
      </c>
      <c r="AM185" s="276">
        <f t="shared" si="495"/>
        <v>13.958436357022331</v>
      </c>
      <c r="AN185" s="276">
        <f t="shared" si="495"/>
        <v>13.958436357022331</v>
      </c>
    </row>
    <row r="186" spans="1:40" s="2" customFormat="1">
      <c r="A186" s="2" t="s">
        <v>243</v>
      </c>
      <c r="B186" s="265"/>
      <c r="M186" s="204"/>
      <c r="N186" s="99"/>
      <c r="O186" s="99"/>
      <c r="P186" s="99"/>
      <c r="Q186" s="274"/>
      <c r="R186" s="204"/>
      <c r="S186" s="204"/>
      <c r="T186" s="204"/>
      <c r="U186" s="204"/>
      <c r="V186" s="99"/>
      <c r="W186" s="204"/>
      <c r="X186" s="204"/>
      <c r="Y186" s="204"/>
      <c r="Z186" s="99">
        <f>Despesas!R8/100</f>
        <v>0.14249999999999999</v>
      </c>
      <c r="AA186" s="99"/>
      <c r="AB186" s="99">
        <f>Despesas!T8/100</f>
        <v>0.13500000000000001</v>
      </c>
      <c r="AC186" s="99">
        <f>Despesas!U8/100</f>
        <v>0.1275</v>
      </c>
      <c r="AD186" s="99">
        <f>Despesas!V8/100</f>
        <v>0.1275</v>
      </c>
      <c r="AE186" s="99">
        <f>Despesas!W8/100</f>
        <v>0.1275</v>
      </c>
      <c r="AF186" s="99">
        <f>Despesas!X8/100</f>
        <v>0.1275</v>
      </c>
      <c r="AG186" s="99">
        <f>Despesas!Y8/100</f>
        <v>0.1275</v>
      </c>
      <c r="AH186" s="99">
        <f>Despesas!Z8/100</f>
        <v>0.1275</v>
      </c>
      <c r="AI186" s="99">
        <f>Despesas!AA8/100</f>
        <v>0.1275</v>
      </c>
      <c r="AJ186" s="99">
        <f>Despesas!AB8/100</f>
        <v>0.1275</v>
      </c>
      <c r="AK186" s="99">
        <f>Despesas!AC8/100</f>
        <v>0.1275</v>
      </c>
      <c r="AL186" s="99">
        <f>Despesas!AD8/100</f>
        <v>0.1275</v>
      </c>
      <c r="AM186" s="99">
        <f>Despesas!AE8/100</f>
        <v>0.1275</v>
      </c>
      <c r="AN186" s="99">
        <f>Despesas!AF8/100</f>
        <v>0.1275</v>
      </c>
    </row>
    <row r="187" spans="1:40" s="2" customFormat="1">
      <c r="A187" s="2" t="s">
        <v>244</v>
      </c>
      <c r="B187" s="265"/>
      <c r="M187" s="204"/>
      <c r="N187" s="99"/>
      <c r="O187" s="99"/>
      <c r="P187" s="99"/>
      <c r="Q187" s="274"/>
      <c r="R187" s="204"/>
      <c r="S187" s="204"/>
      <c r="T187" s="204"/>
      <c r="U187" s="204"/>
      <c r="V187" s="99"/>
      <c r="W187" s="204"/>
      <c r="X187" s="204"/>
      <c r="Y187" s="204"/>
      <c r="Z187" s="318">
        <f>+((1+0.5%)^12)-1</f>
        <v>6.1677811864497611E-2</v>
      </c>
      <c r="AA187" s="99"/>
      <c r="AB187" s="99">
        <f t="shared" ref="AB187:AN187" si="496">+((1+0.5%)^12)-1</f>
        <v>6.1677811864497611E-2</v>
      </c>
      <c r="AC187" s="99">
        <f t="shared" si="496"/>
        <v>6.1677811864497611E-2</v>
      </c>
      <c r="AD187" s="99">
        <f t="shared" si="496"/>
        <v>6.1677811864497611E-2</v>
      </c>
      <c r="AE187" s="99">
        <f t="shared" si="496"/>
        <v>6.1677811864497611E-2</v>
      </c>
      <c r="AF187" s="99">
        <f t="shared" si="496"/>
        <v>6.1677811864497611E-2</v>
      </c>
      <c r="AG187" s="99">
        <f t="shared" si="496"/>
        <v>6.1677811864497611E-2</v>
      </c>
      <c r="AH187" s="99">
        <f t="shared" si="496"/>
        <v>6.1677811864497611E-2</v>
      </c>
      <c r="AI187" s="99">
        <f t="shared" si="496"/>
        <v>6.1677811864497611E-2</v>
      </c>
      <c r="AJ187" s="99">
        <f t="shared" si="496"/>
        <v>6.1677811864497611E-2</v>
      </c>
      <c r="AK187" s="99">
        <f t="shared" si="496"/>
        <v>6.1677811864497611E-2</v>
      </c>
      <c r="AL187" s="99">
        <f t="shared" si="496"/>
        <v>6.1677811864497611E-2</v>
      </c>
      <c r="AM187" s="99">
        <f t="shared" si="496"/>
        <v>6.1677811864497611E-2</v>
      </c>
      <c r="AN187" s="99">
        <f t="shared" si="496"/>
        <v>6.1677811864497611E-2</v>
      </c>
    </row>
    <row r="188" spans="1:40" s="2" customFormat="1">
      <c r="B188" s="265"/>
      <c r="N188" s="110"/>
      <c r="O188" s="110"/>
      <c r="P188" s="110"/>
      <c r="Q188" s="274"/>
      <c r="V188" s="110"/>
      <c r="Z188" s="110"/>
      <c r="AA188" s="110"/>
      <c r="AB188" s="110"/>
      <c r="AC188" s="110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</row>
    <row r="189" spans="1:40" s="2" customFormat="1">
      <c r="A189" s="2" t="s">
        <v>261</v>
      </c>
      <c r="B189" s="265"/>
      <c r="N189" s="108"/>
      <c r="O189" s="108"/>
      <c r="P189" s="108"/>
      <c r="Q189" s="274"/>
      <c r="V189" s="108"/>
      <c r="Z189" s="108">
        <f>-((1+$B$148)*(1+Despesas!R5/100)-1)*AVERAGE(Z136)/4</f>
        <v>-32.891434836000059</v>
      </c>
      <c r="AA189" s="108"/>
      <c r="AB189" s="108">
        <f>-((1+$B$148)*(1+Despesas!T5/100)-1)*AVERAGE('Dados Financeiros'!AA136:AB136)</f>
        <v>-182.61861504000018</v>
      </c>
      <c r="AC189" s="108">
        <f>-((1+$B$148)*(1+Despesas!U5/100)-1)*AVERAGE('Dados Financeiros'!AB136:AC136)</f>
        <v>-163.63108500000016</v>
      </c>
      <c r="AD189" s="108">
        <f>-((1+$B$148)*(1+Despesas!V5/100)-1)*AVERAGE('Dados Financeiros'!AC136:AD136)</f>
        <v>-160.65558150000015</v>
      </c>
      <c r="AE189" s="108">
        <f>-((1+$B$148)*(1+Despesas!W5/100)-1)*AVERAGE('Dados Financeiros'!AD136:AE136)</f>
        <v>-148.07987790000007</v>
      </c>
      <c r="AF189" s="108">
        <f>-((1+$B$148)*(1+Despesas!X5/100)-1)*AVERAGE('Dados Financeiros'!AE136:AF136)</f>
        <v>-139.9924489500001</v>
      </c>
      <c r="AG189" s="108">
        <f>-((1+$B$148)*(1+Despesas!Y5/100)-1)*AVERAGE('Dados Financeiros'!AF136:AG136)</f>
        <v>-130.77510825000007</v>
      </c>
      <c r="AH189" s="108">
        <f>-((1+$B$148)*(1+Despesas!Z5/100)-1)*AVERAGE('Dados Financeiros'!AG136:AH136)</f>
        <v>-120.15393780000005</v>
      </c>
      <c r="AI189" s="108">
        <f>-((1+$B$148)*(1+Despesas!AA5/100)-1)*AVERAGE('Dados Financeiros'!AH136:AI136)</f>
        <v>-107.14283280000005</v>
      </c>
      <c r="AJ189" s="108">
        <f>-((1+$B$148)*(1+Despesas!AB5/100)-1)*AVERAGE('Dados Financeiros'!AI136:AJ136)</f>
        <v>-92.091038700000055</v>
      </c>
      <c r="AK189" s="108">
        <f>-((1+$B$148)*(1+Despesas!AC5/100)-1)*AVERAGE('Dados Financeiros'!AJ136:AK136)</f>
        <v>-75.512151750000058</v>
      </c>
      <c r="AL189" s="108">
        <f>-((1+$B$148)*(1+Despesas!AD5/100)-1)*AVERAGE('Dados Financeiros'!AK136:AL136)</f>
        <v>-57.488347350000041</v>
      </c>
      <c r="AM189" s="108">
        <f>-((1+$B$148)*(1+Despesas!AE5/100)-1)*AVERAGE('Dados Financeiros'!AL136:AM136)</f>
        <v>-38.820835650000028</v>
      </c>
      <c r="AN189" s="108">
        <f>-((1+$B$148)*(1+Despesas!AF5/100)-1)*AVERAGE('Dados Financeiros'!AM136:AN136)</f>
        <v>-24.981128700000024</v>
      </c>
    </row>
    <row r="190" spans="1:40" s="2" customFormat="1">
      <c r="A190" s="2" t="s">
        <v>262</v>
      </c>
      <c r="B190" s="265"/>
      <c r="N190" s="108"/>
      <c r="O190" s="108"/>
      <c r="P190" s="108"/>
      <c r="Q190" s="274"/>
      <c r="V190" s="108"/>
      <c r="Z190" s="108">
        <f>+Z69</f>
        <v>-36.663078635977449</v>
      </c>
      <c r="AA190" s="108"/>
      <c r="AB190" s="108">
        <f>+AB69</f>
        <v>-197.14112081846613</v>
      </c>
      <c r="AC190" s="108">
        <f t="shared" ref="AC190:AN190" si="497">+AC69</f>
        <v>-177.58952135702248</v>
      </c>
      <c r="AD190" s="108">
        <f t="shared" si="497"/>
        <v>-174.61401785702247</v>
      </c>
      <c r="AE190" s="108">
        <f t="shared" si="497"/>
        <v>-162.03831425702239</v>
      </c>
      <c r="AF190" s="108">
        <f t="shared" si="497"/>
        <v>-153.95088530702242</v>
      </c>
      <c r="AG190" s="108">
        <f t="shared" si="497"/>
        <v>-144.7335446070224</v>
      </c>
      <c r="AH190" s="108">
        <f t="shared" si="497"/>
        <v>-134.11237415702237</v>
      </c>
      <c r="AI190" s="108">
        <f t="shared" si="497"/>
        <v>-121.10126915702239</v>
      </c>
      <c r="AJ190" s="108">
        <f t="shared" si="497"/>
        <v>-106.04947505702239</v>
      </c>
      <c r="AK190" s="108">
        <f t="shared" si="497"/>
        <v>-89.470588107022394</v>
      </c>
      <c r="AL190" s="108">
        <f t="shared" si="497"/>
        <v>-71.446783707022377</v>
      </c>
      <c r="AM190" s="108">
        <f t="shared" si="497"/>
        <v>-52.779272007022357</v>
      </c>
      <c r="AN190" s="108">
        <f t="shared" si="497"/>
        <v>-38.939565057022357</v>
      </c>
    </row>
    <row r="191" spans="1:40" s="2" customFormat="1">
      <c r="A191" s="2" t="s">
        <v>263</v>
      </c>
      <c r="B191" s="265"/>
      <c r="N191" s="108"/>
      <c r="O191" s="108"/>
      <c r="P191" s="108"/>
      <c r="Q191" s="274"/>
      <c r="V191" s="108"/>
      <c r="Z191" s="108">
        <f>+Z189-Z190</f>
        <v>3.7716437999773902</v>
      </c>
      <c r="AA191" s="108"/>
      <c r="AB191" s="108">
        <f>+AB189-AB190</f>
        <v>14.522505778465955</v>
      </c>
      <c r="AC191" s="108">
        <f t="shared" ref="AC191:AN191" si="498">+AC189-AC190</f>
        <v>13.958436357022322</v>
      </c>
      <c r="AD191" s="108">
        <f t="shared" si="498"/>
        <v>13.958436357022322</v>
      </c>
      <c r="AE191" s="108">
        <f t="shared" si="498"/>
        <v>13.958436357022322</v>
      </c>
      <c r="AF191" s="108">
        <f t="shared" si="498"/>
        <v>13.958436357022322</v>
      </c>
      <c r="AG191" s="108">
        <f t="shared" si="498"/>
        <v>13.958436357022322</v>
      </c>
      <c r="AH191" s="108">
        <f t="shared" si="498"/>
        <v>13.958436357022322</v>
      </c>
      <c r="AI191" s="108">
        <f t="shared" si="498"/>
        <v>13.958436357022336</v>
      </c>
      <c r="AJ191" s="108">
        <f t="shared" si="498"/>
        <v>13.958436357022336</v>
      </c>
      <c r="AK191" s="108">
        <f t="shared" si="498"/>
        <v>13.958436357022336</v>
      </c>
      <c r="AL191" s="108">
        <f t="shared" si="498"/>
        <v>13.958436357022336</v>
      </c>
      <c r="AM191" s="108">
        <f t="shared" si="498"/>
        <v>13.958436357022329</v>
      </c>
      <c r="AN191" s="108">
        <f t="shared" si="498"/>
        <v>13.958436357022332</v>
      </c>
    </row>
    <row r="192" spans="1:40" s="2" customFormat="1">
      <c r="B192" s="265"/>
      <c r="N192" s="110"/>
      <c r="O192" s="110"/>
      <c r="P192" s="110"/>
      <c r="Q192" s="274"/>
      <c r="V192" s="110"/>
      <c r="AA192" s="110"/>
      <c r="AB192" s="110"/>
      <c r="AC192" s="110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</row>
    <row r="193" spans="1:40" s="2" customFormat="1">
      <c r="A193" s="2" t="s">
        <v>204</v>
      </c>
      <c r="B193" s="265"/>
      <c r="N193" s="236"/>
      <c r="O193" s="236"/>
      <c r="P193" s="236"/>
      <c r="V193" s="236"/>
      <c r="Z193" s="236">
        <f>+Z182*(Z72)</f>
        <v>0.37891579870892572</v>
      </c>
      <c r="AA193" s="236">
        <f>+AA182*(AA72)</f>
        <v>-36.125864201291087</v>
      </c>
      <c r="AB193" s="236">
        <f>+AB182*(AB72)</f>
        <v>-14.875719829149329</v>
      </c>
      <c r="AC193" s="236">
        <f t="shared" ref="AC193:AN193" si="499">+AC182*(AC72)</f>
        <v>0.99369994490860458</v>
      </c>
      <c r="AD193" s="236">
        <f t="shared" si="499"/>
        <v>13.677748556598866</v>
      </c>
      <c r="AE193" s="236">
        <f t="shared" si="499"/>
        <v>29.868875539180241</v>
      </c>
      <c r="AF193" s="236">
        <f t="shared" si="499"/>
        <v>44.815511585721261</v>
      </c>
      <c r="AG193" s="236">
        <f t="shared" si="499"/>
        <v>58.296476265566604</v>
      </c>
      <c r="AH193" s="236">
        <f t="shared" si="499"/>
        <v>72.512981132391829</v>
      </c>
      <c r="AI193" s="236">
        <f t="shared" si="499"/>
        <v>86.578322327402773</v>
      </c>
      <c r="AJ193" s="236">
        <f t="shared" si="499"/>
        <v>101.85511504853883</v>
      </c>
      <c r="AK193" s="236">
        <f t="shared" si="499"/>
        <v>119.28367939918157</v>
      </c>
      <c r="AL193" s="236">
        <f t="shared" si="499"/>
        <v>138.15822397680159</v>
      </c>
      <c r="AM193" s="236">
        <f t="shared" si="499"/>
        <v>158.28055842589563</v>
      </c>
      <c r="AN193" s="236">
        <f t="shared" si="499"/>
        <v>174.58068674073075</v>
      </c>
    </row>
    <row r="194" spans="1:40" s="2" customFormat="1">
      <c r="A194" s="2" t="s">
        <v>264</v>
      </c>
      <c r="B194" s="265"/>
      <c r="N194" s="236"/>
      <c r="O194" s="236"/>
      <c r="P194" s="236"/>
      <c r="V194" s="236"/>
      <c r="Z194" s="236">
        <f>IF(Y180&gt;0,30%*Y180,0)</f>
        <v>53.079899999999995</v>
      </c>
      <c r="AA194" s="236">
        <f>+Z194</f>
        <v>53.079899999999995</v>
      </c>
      <c r="AB194" s="236">
        <f>IF(AA180&gt;0,30%*AA180,0)</f>
        <v>52.745562530550941</v>
      </c>
      <c r="AC194" s="236">
        <f t="shared" ref="AC194:AN194" si="500">IF(AB180&gt;0,30%*AB180,0)</f>
        <v>61.408481725173189</v>
      </c>
      <c r="AD194" s="236">
        <f t="shared" si="500"/>
        <v>60.531687656136185</v>
      </c>
      <c r="AE194" s="236">
        <f t="shared" si="500"/>
        <v>48.463085988548954</v>
      </c>
      <c r="AF194" s="236">
        <f t="shared" si="500"/>
        <v>22.108195806919337</v>
      </c>
      <c r="AG194" s="236">
        <f t="shared" si="500"/>
        <v>0</v>
      </c>
      <c r="AH194" s="236">
        <f t="shared" si="500"/>
        <v>0</v>
      </c>
      <c r="AI194" s="236">
        <f t="shared" si="500"/>
        <v>0</v>
      </c>
      <c r="AJ194" s="236">
        <f t="shared" si="500"/>
        <v>0</v>
      </c>
      <c r="AK194" s="236">
        <f t="shared" si="500"/>
        <v>0</v>
      </c>
      <c r="AL194" s="236">
        <f t="shared" si="500"/>
        <v>0</v>
      </c>
      <c r="AM194" s="236">
        <f t="shared" si="500"/>
        <v>0</v>
      </c>
      <c r="AN194" s="236">
        <f t="shared" si="500"/>
        <v>0</v>
      </c>
    </row>
    <row r="195" spans="1:40" s="222" customFormat="1">
      <c r="A195" s="222" t="s">
        <v>301</v>
      </c>
      <c r="B195" s="277"/>
      <c r="N195" s="213"/>
      <c r="O195" s="213"/>
      <c r="P195" s="213"/>
      <c r="V195" s="213"/>
      <c r="Z195" s="213">
        <f t="shared" ref="Z195" si="501">+IF(Z193&lt;0,0,Z193-Z194)</f>
        <v>-52.700984201291071</v>
      </c>
      <c r="AA195" s="213">
        <f t="shared" ref="AA195:AG195" si="502">+IF(AA193&lt;0,0,AA193-AA194)</f>
        <v>0</v>
      </c>
      <c r="AB195" s="213">
        <f>+IF(AB193&lt;0,0,AB193-AB194)</f>
        <v>0</v>
      </c>
      <c r="AC195" s="213">
        <f t="shared" si="502"/>
        <v>-60.414781780264583</v>
      </c>
      <c r="AD195" s="213">
        <f t="shared" si="502"/>
        <v>-46.853939099537321</v>
      </c>
      <c r="AE195" s="213">
        <f t="shared" si="502"/>
        <v>-18.594210449368713</v>
      </c>
      <c r="AF195" s="213">
        <f t="shared" si="502"/>
        <v>22.707315778801924</v>
      </c>
      <c r="AG195" s="213">
        <f t="shared" si="502"/>
        <v>58.296476265566604</v>
      </c>
      <c r="AH195" s="213">
        <f t="shared" ref="AH195:AN195" si="503">+IF(AH193&lt;0,0,AH193-AH194)</f>
        <v>72.512981132391829</v>
      </c>
      <c r="AI195" s="213">
        <f t="shared" si="503"/>
        <v>86.578322327402773</v>
      </c>
      <c r="AJ195" s="213">
        <f t="shared" si="503"/>
        <v>101.85511504853883</v>
      </c>
      <c r="AK195" s="213">
        <f t="shared" si="503"/>
        <v>119.28367939918157</v>
      </c>
      <c r="AL195" s="213">
        <f t="shared" si="503"/>
        <v>138.15822397680159</v>
      </c>
      <c r="AM195" s="213">
        <f t="shared" si="503"/>
        <v>158.28055842589563</v>
      </c>
      <c r="AN195" s="213">
        <f t="shared" si="503"/>
        <v>174.58068674073075</v>
      </c>
    </row>
    <row r="196" spans="1:40" s="142" customFormat="1">
      <c r="A196" s="222"/>
      <c r="B196" s="277"/>
      <c r="C196" s="222"/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13"/>
      <c r="O196" s="213"/>
      <c r="P196" s="213"/>
      <c r="Q196" s="222"/>
      <c r="R196" s="222"/>
      <c r="S196" s="222"/>
      <c r="T196" s="222"/>
      <c r="U196" s="222"/>
      <c r="V196" s="213"/>
      <c r="W196" s="222"/>
      <c r="X196" s="222"/>
      <c r="Y196" s="222"/>
      <c r="Z196" s="222"/>
      <c r="AA196" s="213"/>
      <c r="AB196" s="213"/>
      <c r="AC196" s="213"/>
      <c r="AD196" s="213"/>
      <c r="AE196" s="213"/>
      <c r="AF196" s="213"/>
      <c r="AG196" s="213"/>
      <c r="AH196" s="213"/>
      <c r="AI196" s="213"/>
      <c r="AJ196" s="213"/>
      <c r="AK196" s="213"/>
      <c r="AL196" s="213"/>
      <c r="AM196" s="213"/>
      <c r="AN196" s="213"/>
    </row>
    <row r="197" spans="1:40" s="142" customFormat="1">
      <c r="A197" s="207" t="s">
        <v>299</v>
      </c>
      <c r="B197" s="277"/>
      <c r="C197" s="222"/>
      <c r="D197" s="222"/>
      <c r="E197" s="222"/>
      <c r="F197" s="222"/>
      <c r="G197" s="222"/>
      <c r="H197" s="278">
        <f>+H75</f>
        <v>1.3</v>
      </c>
      <c r="I197" s="278">
        <f t="shared" ref="I197:O197" si="504">+I75</f>
        <v>2.77</v>
      </c>
      <c r="J197" s="278">
        <f t="shared" si="504"/>
        <v>2.77</v>
      </c>
      <c r="K197" s="278"/>
      <c r="L197" s="278"/>
      <c r="M197" s="278">
        <f t="shared" si="504"/>
        <v>0</v>
      </c>
      <c r="N197" s="278">
        <f t="shared" si="504"/>
        <v>6.3</v>
      </c>
      <c r="O197" s="278">
        <f t="shared" si="504"/>
        <v>14.4</v>
      </c>
      <c r="P197" s="278">
        <f t="shared" ref="P197:S197" si="505">+P75</f>
        <v>-1.8999999999999995</v>
      </c>
      <c r="Q197" s="279">
        <f>+SUM(M197:P197)</f>
        <v>18.8</v>
      </c>
      <c r="R197" s="278">
        <f t="shared" si="505"/>
        <v>5.8</v>
      </c>
      <c r="S197" s="278">
        <f t="shared" si="505"/>
        <v>4.4330000000000007</v>
      </c>
      <c r="T197" s="278">
        <f>+T75</f>
        <v>2.767999999999998</v>
      </c>
      <c r="U197" s="278">
        <f t="shared" ref="U197:Y197" si="506">+U75</f>
        <v>6.1880000000000024</v>
      </c>
      <c r="V197" s="278">
        <f>+V75</f>
        <v>19.189</v>
      </c>
      <c r="W197" s="278">
        <f t="shared" si="506"/>
        <v>17.495999999999999</v>
      </c>
      <c r="X197" s="278">
        <f t="shared" si="506"/>
        <v>10.425000000000001</v>
      </c>
      <c r="Y197" s="278">
        <f t="shared" si="506"/>
        <v>8.1000000000000014</v>
      </c>
      <c r="Z197" s="278">
        <f t="shared" ref="Z197:AN197" si="507">+IF(Z72&lt;0,Z72*Z198,0)</f>
        <v>0</v>
      </c>
      <c r="AA197" s="278">
        <v>0</v>
      </c>
      <c r="AB197" s="278">
        <f>+IF(AB72&lt;0,AB72*AB198,0)</f>
        <v>14.875719829149329</v>
      </c>
      <c r="AC197" s="278">
        <f t="shared" si="507"/>
        <v>0</v>
      </c>
      <c r="AD197" s="278">
        <f t="shared" si="507"/>
        <v>0</v>
      </c>
      <c r="AE197" s="278">
        <f t="shared" si="507"/>
        <v>0</v>
      </c>
      <c r="AF197" s="278">
        <f t="shared" si="507"/>
        <v>0</v>
      </c>
      <c r="AG197" s="278">
        <f t="shared" si="507"/>
        <v>0</v>
      </c>
      <c r="AH197" s="278">
        <f t="shared" si="507"/>
        <v>0</v>
      </c>
      <c r="AI197" s="278">
        <f t="shared" si="507"/>
        <v>0</v>
      </c>
      <c r="AJ197" s="278">
        <f t="shared" si="507"/>
        <v>0</v>
      </c>
      <c r="AK197" s="278">
        <f t="shared" si="507"/>
        <v>0</v>
      </c>
      <c r="AL197" s="278">
        <f t="shared" si="507"/>
        <v>0</v>
      </c>
      <c r="AM197" s="278">
        <f t="shared" si="507"/>
        <v>0</v>
      </c>
      <c r="AN197" s="278">
        <f t="shared" si="507"/>
        <v>0</v>
      </c>
    </row>
    <row r="198" spans="1:40" s="142" customFormat="1">
      <c r="A198" s="207" t="s">
        <v>300</v>
      </c>
      <c r="B198" s="277"/>
      <c r="C198" s="222"/>
      <c r="D198" s="222"/>
      <c r="E198" s="222"/>
      <c r="F198" s="222"/>
      <c r="G198" s="222"/>
      <c r="H198" s="280">
        <f>+H75/H72</f>
        <v>-0.30176415970287862</v>
      </c>
      <c r="I198" s="280">
        <f>+I75/I72</f>
        <v>-0.32819905213270179</v>
      </c>
      <c r="J198" s="280">
        <f>+J75/J72</f>
        <v>-0.37131367292225231</v>
      </c>
      <c r="K198" s="280"/>
      <c r="L198" s="222"/>
      <c r="M198" s="280">
        <f>+M75/M72</f>
        <v>0</v>
      </c>
      <c r="N198" s="280">
        <f>+N75/N72</f>
        <v>-0.32440782698249238</v>
      </c>
      <c r="O198" s="280">
        <f>+O75/O72</f>
        <v>-0.49467536928890443</v>
      </c>
      <c r="P198" s="280">
        <f>+P75/P72</f>
        <v>0.30025284450063072</v>
      </c>
      <c r="Q198" s="222"/>
      <c r="R198" s="280">
        <f>+R75/R72</f>
        <v>-0.2457627118644069</v>
      </c>
      <c r="S198" s="280">
        <f>+S75/S72</f>
        <v>-0.33201018573996438</v>
      </c>
      <c r="T198" s="280">
        <f>+T75/T72</f>
        <v>-0.36985569214323732</v>
      </c>
      <c r="U198" s="280">
        <f t="shared" ref="U198:Y198" si="508">+U75/U72</f>
        <v>-0.31288870910653821</v>
      </c>
      <c r="V198" s="280"/>
      <c r="W198" s="280">
        <f t="shared" si="508"/>
        <v>-0.33148291999014795</v>
      </c>
      <c r="X198" s="280">
        <f t="shared" si="508"/>
        <v>-0.33868295377018304</v>
      </c>
      <c r="Y198" s="280">
        <f t="shared" si="508"/>
        <v>-0.33700852922820868</v>
      </c>
      <c r="Z198" s="281">
        <v>-0.34</v>
      </c>
      <c r="AA198" s="281">
        <v>-0.34</v>
      </c>
      <c r="AB198" s="281">
        <v>-0.34</v>
      </c>
      <c r="AC198" s="281">
        <v>-0.34</v>
      </c>
      <c r="AD198" s="281">
        <v>-0.34</v>
      </c>
      <c r="AE198" s="281">
        <v>-0.34</v>
      </c>
      <c r="AF198" s="281">
        <v>-0.34</v>
      </c>
      <c r="AG198" s="281">
        <v>-0.34</v>
      </c>
      <c r="AH198" s="281">
        <v>-0.34</v>
      </c>
      <c r="AI198" s="281">
        <v>-0.34</v>
      </c>
      <c r="AJ198" s="281">
        <v>-0.34</v>
      </c>
      <c r="AK198" s="281">
        <v>-0.34</v>
      </c>
      <c r="AL198" s="281">
        <v>-0.34</v>
      </c>
      <c r="AM198" s="281">
        <v>-0.34</v>
      </c>
      <c r="AN198" s="281">
        <v>-0.34</v>
      </c>
    </row>
    <row r="199" spans="1:40" s="142" customFormat="1">
      <c r="A199" s="159" t="str">
        <f>+A9</f>
        <v>Tributos a Recuperar</v>
      </c>
      <c r="B199" s="282"/>
      <c r="C199" s="224"/>
      <c r="D199" s="224"/>
      <c r="E199" s="224"/>
      <c r="F199" s="224"/>
      <c r="G199" s="224"/>
      <c r="H199" s="283">
        <f>+H9</f>
        <v>2</v>
      </c>
      <c r="I199" s="283">
        <f t="shared" ref="I199:J199" si="509">+I9</f>
        <v>1.9</v>
      </c>
      <c r="J199" s="283">
        <f t="shared" si="509"/>
        <v>1.9</v>
      </c>
      <c r="K199" s="284"/>
      <c r="L199" s="224"/>
      <c r="M199" s="283">
        <f t="shared" ref="M199:O199" si="510">+M9</f>
        <v>4.4000000000000004</v>
      </c>
      <c r="N199" s="283">
        <f t="shared" si="510"/>
        <v>5.3</v>
      </c>
      <c r="O199" s="283">
        <f t="shared" si="510"/>
        <v>5.2</v>
      </c>
      <c r="P199" s="283">
        <f t="shared" ref="P199" si="511">+P9</f>
        <v>5.4</v>
      </c>
      <c r="Q199" s="283">
        <f>+P199</f>
        <v>5.4</v>
      </c>
      <c r="R199" s="283">
        <f t="shared" ref="R199:Y199" si="512">+R9</f>
        <v>6.1</v>
      </c>
      <c r="S199" s="283">
        <f t="shared" si="512"/>
        <v>11.082000000000001</v>
      </c>
      <c r="T199" s="283">
        <f t="shared" si="512"/>
        <v>11.211</v>
      </c>
      <c r="U199" s="283">
        <f t="shared" si="512"/>
        <v>0.313</v>
      </c>
      <c r="V199" s="283">
        <f t="shared" si="512"/>
        <v>0.313</v>
      </c>
      <c r="W199" s="283">
        <f t="shared" si="512"/>
        <v>0.38200000000000001</v>
      </c>
      <c r="X199" s="283">
        <f t="shared" si="512"/>
        <v>0.312</v>
      </c>
      <c r="Y199" s="283">
        <f t="shared" si="512"/>
        <v>0.32400000000000001</v>
      </c>
      <c r="Z199" s="321">
        <f>+Y199+Z197</f>
        <v>0.32400000000000001</v>
      </c>
      <c r="AA199" s="321">
        <f>+Z199</f>
        <v>0.32400000000000001</v>
      </c>
      <c r="AB199" s="283">
        <f>+AA199+AB197+1.382</f>
        <v>16.581719829149328</v>
      </c>
      <c r="AC199" s="283">
        <f>+AB199+AC197</f>
        <v>16.581719829149328</v>
      </c>
      <c r="AD199" s="283">
        <f>+AC199+AD197</f>
        <v>16.581719829149328</v>
      </c>
      <c r="AE199" s="283">
        <f t="shared" ref="AE199:AN199" si="513">+AD199+AE197</f>
        <v>16.581719829149328</v>
      </c>
      <c r="AF199" s="283">
        <f t="shared" si="513"/>
        <v>16.581719829149328</v>
      </c>
      <c r="AG199" s="283">
        <f t="shared" si="513"/>
        <v>16.581719829149328</v>
      </c>
      <c r="AH199" s="283">
        <f t="shared" si="513"/>
        <v>16.581719829149328</v>
      </c>
      <c r="AI199" s="283">
        <f t="shared" si="513"/>
        <v>16.581719829149328</v>
      </c>
      <c r="AJ199" s="283">
        <f t="shared" si="513"/>
        <v>16.581719829149328</v>
      </c>
      <c r="AK199" s="283">
        <f t="shared" si="513"/>
        <v>16.581719829149328</v>
      </c>
      <c r="AL199" s="283">
        <f t="shared" si="513"/>
        <v>16.581719829149328</v>
      </c>
      <c r="AM199" s="283">
        <f t="shared" si="513"/>
        <v>16.581719829149328</v>
      </c>
      <c r="AN199" s="283">
        <f t="shared" si="513"/>
        <v>16.581719829149328</v>
      </c>
    </row>
    <row r="200" spans="1:40" s="2" customFormat="1">
      <c r="B200" s="265"/>
      <c r="AB200" s="216"/>
    </row>
    <row r="201" spans="1:40" s="142" customFormat="1">
      <c r="A201" s="138" t="s">
        <v>198</v>
      </c>
      <c r="B201" s="155">
        <f>+B135</f>
        <v>2010</v>
      </c>
      <c r="C201" s="86" t="str">
        <f t="shared" ref="C201:AN201" si="514">+C135</f>
        <v>1T11</v>
      </c>
      <c r="D201" s="86" t="str">
        <f t="shared" si="514"/>
        <v>2T11</v>
      </c>
      <c r="E201" s="86" t="str">
        <f t="shared" si="514"/>
        <v>3T11</v>
      </c>
      <c r="F201" s="86" t="str">
        <f t="shared" si="514"/>
        <v>4T11</v>
      </c>
      <c r="G201" s="155">
        <f t="shared" si="514"/>
        <v>2011</v>
      </c>
      <c r="H201" s="86" t="str">
        <f t="shared" si="514"/>
        <v>1T12</v>
      </c>
      <c r="I201" s="86" t="str">
        <f t="shared" si="514"/>
        <v>2T12</v>
      </c>
      <c r="J201" s="86" t="str">
        <f t="shared" si="514"/>
        <v>3T12</v>
      </c>
      <c r="K201" s="86" t="str">
        <f t="shared" si="514"/>
        <v>4T12</v>
      </c>
      <c r="L201" s="155">
        <f t="shared" si="514"/>
        <v>2012</v>
      </c>
      <c r="M201" s="86" t="str">
        <f t="shared" si="514"/>
        <v>1T13</v>
      </c>
      <c r="N201" s="86" t="str">
        <f t="shared" si="514"/>
        <v>2T13</v>
      </c>
      <c r="O201" s="86" t="str">
        <f t="shared" si="514"/>
        <v>3T13</v>
      </c>
      <c r="P201" s="86" t="str">
        <f t="shared" si="514"/>
        <v>4T13</v>
      </c>
      <c r="Q201" s="155">
        <f t="shared" si="514"/>
        <v>2013</v>
      </c>
      <c r="R201" s="86" t="str">
        <f t="shared" si="514"/>
        <v>1T14</v>
      </c>
      <c r="S201" s="86" t="str">
        <f t="shared" si="514"/>
        <v>2T14</v>
      </c>
      <c r="T201" s="86" t="str">
        <f>+T135</f>
        <v>3T14</v>
      </c>
      <c r="U201" s="86" t="str">
        <f>+U135</f>
        <v>4T14</v>
      </c>
      <c r="V201" s="155">
        <f t="shared" si="514"/>
        <v>2014</v>
      </c>
      <c r="W201" s="86" t="str">
        <f>+W135</f>
        <v>1T15</v>
      </c>
      <c r="X201" s="86" t="str">
        <f t="shared" ref="X201:Z201" si="515">+X135</f>
        <v>2T15</v>
      </c>
      <c r="Y201" s="86" t="str">
        <f t="shared" si="515"/>
        <v>3T15</v>
      </c>
      <c r="Z201" s="86" t="str">
        <f t="shared" si="515"/>
        <v>4T15E</v>
      </c>
      <c r="AA201" s="155" t="str">
        <f t="shared" si="514"/>
        <v>2015E</v>
      </c>
      <c r="AB201" s="155" t="str">
        <f t="shared" si="514"/>
        <v>2016E</v>
      </c>
      <c r="AC201" s="155" t="str">
        <f t="shared" si="514"/>
        <v>2017E</v>
      </c>
      <c r="AD201" s="155" t="str">
        <f t="shared" si="514"/>
        <v>2018E</v>
      </c>
      <c r="AE201" s="155" t="str">
        <f t="shared" si="514"/>
        <v>2019E</v>
      </c>
      <c r="AF201" s="155" t="str">
        <f t="shared" si="514"/>
        <v>2020E</v>
      </c>
      <c r="AG201" s="155" t="str">
        <f t="shared" si="514"/>
        <v>2021E</v>
      </c>
      <c r="AH201" s="155" t="str">
        <f t="shared" si="514"/>
        <v>2022E</v>
      </c>
      <c r="AI201" s="155" t="str">
        <f t="shared" si="514"/>
        <v>2023E</v>
      </c>
      <c r="AJ201" s="155" t="str">
        <f t="shared" si="514"/>
        <v>2024E</v>
      </c>
      <c r="AK201" s="155" t="str">
        <f t="shared" si="514"/>
        <v>2025E</v>
      </c>
      <c r="AL201" s="155" t="str">
        <f t="shared" si="514"/>
        <v>2026E</v>
      </c>
      <c r="AM201" s="155" t="str">
        <f t="shared" si="514"/>
        <v>2027E</v>
      </c>
      <c r="AN201" s="155" t="str">
        <f t="shared" si="514"/>
        <v>2028E</v>
      </c>
    </row>
    <row r="202" spans="1:40" s="2" customFormat="1">
      <c r="A202" s="2" t="s">
        <v>58</v>
      </c>
      <c r="B202" s="265"/>
      <c r="N202" s="236"/>
      <c r="O202" s="236"/>
      <c r="P202" s="236"/>
      <c r="Q202" s="236">
        <f t="shared" ref="Q202:AN202" si="516">+Q65</f>
        <v>99.085000000000022</v>
      </c>
      <c r="R202" s="236">
        <f t="shared" si="516"/>
        <v>27.600000000000012</v>
      </c>
      <c r="S202" s="236">
        <f>+S65</f>
        <v>30.526000000000003</v>
      </c>
      <c r="T202" s="236"/>
      <c r="U202" s="236"/>
      <c r="V202" s="236"/>
      <c r="W202" s="236"/>
      <c r="X202" s="236"/>
      <c r="Y202" s="236"/>
      <c r="Z202" s="236">
        <f>+Z65</f>
        <v>35.558648381401667</v>
      </c>
      <c r="AA202" s="236"/>
      <c r="AB202" s="236">
        <f>+AB65</f>
        <v>162.9279245333409</v>
      </c>
      <c r="AC202" s="236">
        <f t="shared" si="516"/>
        <v>196.92391586747692</v>
      </c>
      <c r="AD202" s="236">
        <f t="shared" si="516"/>
        <v>232.15607611679445</v>
      </c>
      <c r="AE202" s="236">
        <f t="shared" si="516"/>
        <v>263.03210144821645</v>
      </c>
      <c r="AF202" s="236">
        <f t="shared" si="516"/>
        <v>295.00341392253858</v>
      </c>
      <c r="AG202" s="236">
        <f t="shared" si="516"/>
        <v>323.2086938152683</v>
      </c>
      <c r="AH202" s="236">
        <f t="shared" si="516"/>
        <v>353.75075915779871</v>
      </c>
      <c r="AI202" s="236">
        <f t="shared" si="516"/>
        <v>387.10746047464738</v>
      </c>
      <c r="AJ202" s="236">
        <f t="shared" si="516"/>
        <v>422.80127415673201</v>
      </c>
      <c r="AK202" s="236">
        <f t="shared" si="516"/>
        <v>461.11674174594134</v>
      </c>
      <c r="AL202" s="236">
        <f t="shared" si="516"/>
        <v>502.34313497362001</v>
      </c>
      <c r="AM202" s="236">
        <f t="shared" si="516"/>
        <v>546.65423464614219</v>
      </c>
      <c r="AN202" s="236">
        <f t="shared" si="516"/>
        <v>583.98648218296046</v>
      </c>
    </row>
    <row r="203" spans="1:40" s="2" customFormat="1">
      <c r="A203" s="2" t="s">
        <v>293</v>
      </c>
      <c r="B203" s="265"/>
      <c r="N203" s="236"/>
      <c r="O203" s="236"/>
      <c r="P203" s="236"/>
      <c r="Q203" s="236"/>
      <c r="R203" s="236">
        <f t="shared" ref="R203" si="517">+R174</f>
        <v>0</v>
      </c>
      <c r="S203" s="236">
        <f>+S174</f>
        <v>0</v>
      </c>
      <c r="T203" s="236"/>
      <c r="U203" s="236"/>
      <c r="V203" s="236"/>
      <c r="W203" s="236"/>
      <c r="X203" s="236"/>
      <c r="Y203" s="236"/>
      <c r="Z203" s="236">
        <f>+Z174</f>
        <v>-13.916769629885795</v>
      </c>
      <c r="AA203" s="236"/>
      <c r="AB203" s="236">
        <f>+AB174</f>
        <v>-64.964909179844199</v>
      </c>
      <c r="AC203" s="236">
        <f t="shared" ref="AC203:AN203" si="518">+AC174</f>
        <v>-75.534724282906453</v>
      </c>
      <c r="AD203" s="236">
        <f t="shared" si="518"/>
        <v>-87.329608204893702</v>
      </c>
      <c r="AE203" s="236">
        <f t="shared" si="518"/>
        <v>-89.200848073516738</v>
      </c>
      <c r="AF203" s="236">
        <f t="shared" si="518"/>
        <v>-88.238493117319649</v>
      </c>
      <c r="AG203" s="236">
        <f t="shared" si="518"/>
        <v>-84.877196628807766</v>
      </c>
      <c r="AH203" s="236">
        <f t="shared" si="518"/>
        <v>-88.747078229036418</v>
      </c>
      <c r="AI203" s="236">
        <f t="shared" si="518"/>
        <v>-100.30094452431894</v>
      </c>
      <c r="AJ203" s="236">
        <f t="shared" si="518"/>
        <v>-99.41383054532281</v>
      </c>
      <c r="AK203" s="236">
        <f t="shared" si="518"/>
        <v>-100.45096492965453</v>
      </c>
      <c r="AL203" s="236">
        <f t="shared" si="518"/>
        <v>-94.189009538098887</v>
      </c>
      <c r="AM203" s="236">
        <f t="shared" si="518"/>
        <v>-81.545739857970204</v>
      </c>
      <c r="AN203" s="236">
        <f t="shared" si="518"/>
        <v>-8.3925660945817881</v>
      </c>
    </row>
    <row r="204" spans="1:40" s="2" customFormat="1">
      <c r="A204" s="285" t="s">
        <v>64</v>
      </c>
      <c r="B204" s="265"/>
      <c r="N204" s="236"/>
      <c r="O204" s="236"/>
      <c r="P204" s="236"/>
      <c r="R204" s="236">
        <f t="shared" ref="R204" si="519">+R75</f>
        <v>5.8</v>
      </c>
      <c r="S204" s="236">
        <f>+S75</f>
        <v>4.4330000000000007</v>
      </c>
      <c r="T204" s="236"/>
      <c r="U204" s="236"/>
      <c r="V204" s="236"/>
      <c r="W204" s="236"/>
      <c r="X204" s="236"/>
      <c r="Y204" s="236"/>
      <c r="Z204" s="236">
        <f>+Z75</f>
        <v>0</v>
      </c>
      <c r="AA204" s="236"/>
      <c r="AB204" s="236">
        <f>+AB75</f>
        <v>0</v>
      </c>
      <c r="AC204" s="236">
        <f t="shared" ref="AC204:AN204" si="520">+AC75</f>
        <v>0</v>
      </c>
      <c r="AD204" s="236">
        <f t="shared" si="520"/>
        <v>0</v>
      </c>
      <c r="AE204" s="236">
        <f t="shared" si="520"/>
        <v>0</v>
      </c>
      <c r="AF204" s="236">
        <f t="shared" si="520"/>
        <v>-22.707315778801924</v>
      </c>
      <c r="AG204" s="236">
        <f t="shared" si="520"/>
        <v>-58.296476265566604</v>
      </c>
      <c r="AH204" s="236">
        <f t="shared" si="520"/>
        <v>-72.512981132391829</v>
      </c>
      <c r="AI204" s="236">
        <f t="shared" si="520"/>
        <v>-86.578322327402773</v>
      </c>
      <c r="AJ204" s="236">
        <f t="shared" si="520"/>
        <v>-101.85511504853883</v>
      </c>
      <c r="AK204" s="236">
        <f t="shared" si="520"/>
        <v>-119.28367939918157</v>
      </c>
      <c r="AL204" s="236">
        <f t="shared" si="520"/>
        <v>-138.15822397680159</v>
      </c>
      <c r="AM204" s="236">
        <f t="shared" si="520"/>
        <v>-158.28055842589563</v>
      </c>
      <c r="AN204" s="236">
        <f t="shared" si="520"/>
        <v>-174.58068674073075</v>
      </c>
    </row>
    <row r="205" spans="1:40" s="2" customFormat="1">
      <c r="A205" s="2" t="s">
        <v>190</v>
      </c>
      <c r="N205" s="236"/>
      <c r="O205" s="236"/>
      <c r="P205" s="236"/>
      <c r="R205" s="236">
        <f t="shared" ref="R205" si="521">-R133</f>
        <v>18.199999999999996</v>
      </c>
      <c r="S205" s="236">
        <f>-S133</f>
        <v>2.3360000000000056</v>
      </c>
      <c r="T205" s="236"/>
      <c r="U205" s="236"/>
      <c r="V205" s="236"/>
      <c r="W205" s="236"/>
      <c r="X205" s="236"/>
      <c r="Y205" s="236"/>
      <c r="Z205" s="236">
        <f>-Z133</f>
        <v>5.4676201149760573</v>
      </c>
      <c r="AA205" s="236"/>
      <c r="AB205" s="236">
        <f>-AB133</f>
        <v>7.7021496123113877</v>
      </c>
      <c r="AC205" s="236">
        <f t="shared" ref="AC205:AN205" si="522">-AC133</f>
        <v>7.425126812949344</v>
      </c>
      <c r="AD205" s="236">
        <f t="shared" si="522"/>
        <v>6.7677432014387477</v>
      </c>
      <c r="AE205" s="236">
        <f t="shared" si="522"/>
        <v>-6.9620611277723015</v>
      </c>
      <c r="AF205" s="236">
        <f t="shared" si="522"/>
        <v>6.2148162923457733</v>
      </c>
      <c r="AG205" s="236">
        <f t="shared" si="522"/>
        <v>-3.8448826736493515</v>
      </c>
      <c r="AH205" s="236">
        <f t="shared" si="522"/>
        <v>4.5249367414975268</v>
      </c>
      <c r="AI205" s="236">
        <f t="shared" si="522"/>
        <v>5.3156837198492326</v>
      </c>
      <c r="AJ205" s="236">
        <f t="shared" si="522"/>
        <v>5.3476609230456802</v>
      </c>
      <c r="AK205" s="236">
        <f t="shared" si="522"/>
        <v>13.061039356032154</v>
      </c>
      <c r="AL205" s="236">
        <f t="shared" si="522"/>
        <v>25.306521324615574</v>
      </c>
      <c r="AM205" s="236">
        <f t="shared" si="522"/>
        <v>3.0957487911445583</v>
      </c>
      <c r="AN205" s="236">
        <f t="shared" si="522"/>
        <v>-3.4103705424288933</v>
      </c>
    </row>
    <row r="206" spans="1:40" s="2" customFormat="1">
      <c r="A206" s="142" t="s">
        <v>199</v>
      </c>
      <c r="M206" s="230">
        <v>25.2</v>
      </c>
      <c r="N206" s="230">
        <f>53.9-M206</f>
        <v>28.7</v>
      </c>
      <c r="O206" s="230">
        <f>77.1-N206-M206</f>
        <v>23.199999999999992</v>
      </c>
      <c r="P206" s="230">
        <f>+Q206-SUM(M206:O206)</f>
        <v>-5.5689999999999884</v>
      </c>
      <c r="Q206" s="230">
        <v>71.531000000000006</v>
      </c>
      <c r="R206" s="230">
        <v>32.700000000000003</v>
      </c>
      <c r="S206" s="230">
        <v>32.700000000000003</v>
      </c>
      <c r="T206" s="230">
        <f>92.707-S206-R206</f>
        <v>27.306999999999988</v>
      </c>
      <c r="U206" s="230">
        <f>+V206-T206-S206-R206</f>
        <v>26.486000000000004</v>
      </c>
      <c r="V206" s="230">
        <v>119.193</v>
      </c>
      <c r="W206" s="230">
        <v>21.652999999999999</v>
      </c>
      <c r="X206" s="230">
        <f>36.721-W206</f>
        <v>15.067999999999998</v>
      </c>
      <c r="Y206" s="230">
        <f>74.082-X206-W206</f>
        <v>37.360999999999997</v>
      </c>
      <c r="Z206" s="230">
        <f>+SUM(Z202:Z205)</f>
        <v>27.109498866491929</v>
      </c>
      <c r="AA206" s="230">
        <f>+SUM(W206:Z206)</f>
        <v>101.19149886649193</v>
      </c>
      <c r="AB206" s="230">
        <f>+SUM(AB202:AB205)</f>
        <v>105.66516496580809</v>
      </c>
      <c r="AC206" s="230">
        <f t="shared" ref="AC206:AN206" si="523">+SUM(AC202:AC205)</f>
        <v>128.8143183975198</v>
      </c>
      <c r="AD206" s="230">
        <f t="shared" si="523"/>
        <v>151.5942111133395</v>
      </c>
      <c r="AE206" s="230">
        <f t="shared" si="523"/>
        <v>166.86919224692741</v>
      </c>
      <c r="AF206" s="230">
        <f t="shared" si="523"/>
        <v>190.27242131876278</v>
      </c>
      <c r="AG206" s="230">
        <f t="shared" si="523"/>
        <v>176.19013824724456</v>
      </c>
      <c r="AH206" s="230">
        <f t="shared" si="523"/>
        <v>197.01563653786798</v>
      </c>
      <c r="AI206" s="230">
        <f t="shared" si="523"/>
        <v>205.54387734277492</v>
      </c>
      <c r="AJ206" s="230">
        <f t="shared" si="523"/>
        <v>226.87998948591604</v>
      </c>
      <c r="AK206" s="230">
        <f t="shared" si="523"/>
        <v>254.44313677313738</v>
      </c>
      <c r="AL206" s="230">
        <f t="shared" si="523"/>
        <v>295.30242278333509</v>
      </c>
      <c r="AM206" s="230">
        <f t="shared" si="523"/>
        <v>309.92368515342088</v>
      </c>
      <c r="AN206" s="230">
        <f t="shared" si="523"/>
        <v>397.60285880521906</v>
      </c>
    </row>
    <row r="207" spans="1:40" s="2" customFormat="1"/>
    <row r="208" spans="1:40" s="2" customFormat="1">
      <c r="A208" s="2" t="s">
        <v>91</v>
      </c>
      <c r="N208" s="236"/>
      <c r="O208" s="236"/>
      <c r="P208" s="236"/>
      <c r="V208" s="236"/>
      <c r="Z208" s="236">
        <f>-Z92</f>
        <v>-43.55803745</v>
      </c>
      <c r="AA208" s="236"/>
      <c r="AB208" s="236">
        <f t="shared" ref="AB208:AN208" si="524">-AB92</f>
        <v>-104.44110300000001</v>
      </c>
      <c r="AC208" s="236">
        <f t="shared" si="524"/>
        <v>-103.06099999999999</v>
      </c>
      <c r="AD208" s="236">
        <f t="shared" si="524"/>
        <v>-63.140999999999991</v>
      </c>
      <c r="AE208" s="236">
        <f t="shared" si="524"/>
        <v>-62.857545250225051</v>
      </c>
      <c r="AF208" s="236">
        <f t="shared" si="524"/>
        <v>-63.340201401253559</v>
      </c>
      <c r="AG208" s="236">
        <f t="shared" si="524"/>
        <v>-91.319902708716242</v>
      </c>
      <c r="AH208" s="236">
        <f t="shared" si="524"/>
        <v>-67.69841019344031</v>
      </c>
      <c r="AI208" s="236">
        <f t="shared" si="524"/>
        <v>-62.918453324965505</v>
      </c>
      <c r="AJ208" s="236">
        <f t="shared" si="524"/>
        <v>-56.345115915477457</v>
      </c>
      <c r="AK208" s="236">
        <f t="shared" si="524"/>
        <v>-46.226757119926425</v>
      </c>
      <c r="AL208" s="236">
        <f t="shared" si="524"/>
        <v>-63.825308459028953</v>
      </c>
      <c r="AM208" s="236">
        <f t="shared" si="524"/>
        <v>-107.97320548799986</v>
      </c>
      <c r="AN208" s="236">
        <f t="shared" si="524"/>
        <v>-105.07647297821849</v>
      </c>
    </row>
    <row r="209" spans="1:40" s="142" customFormat="1">
      <c r="A209" s="142" t="s">
        <v>205</v>
      </c>
      <c r="M209" s="230">
        <v>-30.6</v>
      </c>
      <c r="N209" s="230">
        <f>-76.3-M209</f>
        <v>-45.699999999999996</v>
      </c>
      <c r="O209" s="230">
        <f>-112.8-N209-M209</f>
        <v>-36.499999999999993</v>
      </c>
      <c r="P209" s="230">
        <f>+Q209-SUM(M209:O209)</f>
        <v>-25.279000000000025</v>
      </c>
      <c r="Q209" s="230">
        <v>-138.07900000000001</v>
      </c>
      <c r="R209" s="230">
        <v>-27.8</v>
      </c>
      <c r="S209" s="230">
        <f>-70.005-R209</f>
        <v>-42.204999999999998</v>
      </c>
      <c r="T209" s="230">
        <f>-113.543-S209-R209</f>
        <v>-43.538000000000011</v>
      </c>
      <c r="U209" s="230">
        <f>V209-T209-S209-R209</f>
        <v>-37.292000000000002</v>
      </c>
      <c r="V209" s="230">
        <v>-150.83500000000001</v>
      </c>
      <c r="W209" s="230">
        <v>-10.661</v>
      </c>
      <c r="X209" s="230">
        <f>15.266-W209</f>
        <v>25.927</v>
      </c>
      <c r="Y209" s="230">
        <f>-8.018-X209-W209</f>
        <v>-23.283999999999999</v>
      </c>
      <c r="Z209" s="230">
        <f>+Z208</f>
        <v>-43.55803745</v>
      </c>
      <c r="AA209" s="230">
        <f>+SUM(W209:Z209)</f>
        <v>-51.576037450000001</v>
      </c>
      <c r="AB209" s="230">
        <f t="shared" ref="AB209:AN209" si="525">+AB208</f>
        <v>-104.44110300000001</v>
      </c>
      <c r="AC209" s="230">
        <f t="shared" si="525"/>
        <v>-103.06099999999999</v>
      </c>
      <c r="AD209" s="230">
        <f t="shared" si="525"/>
        <v>-63.140999999999991</v>
      </c>
      <c r="AE209" s="230">
        <f t="shared" si="525"/>
        <v>-62.857545250225051</v>
      </c>
      <c r="AF209" s="230">
        <f t="shared" si="525"/>
        <v>-63.340201401253559</v>
      </c>
      <c r="AG209" s="230">
        <f t="shared" si="525"/>
        <v>-91.319902708716242</v>
      </c>
      <c r="AH209" s="230">
        <f t="shared" si="525"/>
        <v>-67.69841019344031</v>
      </c>
      <c r="AI209" s="230">
        <f t="shared" si="525"/>
        <v>-62.918453324965505</v>
      </c>
      <c r="AJ209" s="230">
        <f t="shared" si="525"/>
        <v>-56.345115915477457</v>
      </c>
      <c r="AK209" s="230">
        <f t="shared" si="525"/>
        <v>-46.226757119926425</v>
      </c>
      <c r="AL209" s="230">
        <f t="shared" si="525"/>
        <v>-63.825308459028953</v>
      </c>
      <c r="AM209" s="230">
        <f t="shared" si="525"/>
        <v>-107.97320548799986</v>
      </c>
      <c r="AN209" s="230">
        <f t="shared" si="525"/>
        <v>-105.07647297821849</v>
      </c>
    </row>
    <row r="210" spans="1:40" s="2" customFormat="1"/>
    <row r="211" spans="1:40" s="2" customFormat="1">
      <c r="A211" s="2" t="s">
        <v>206</v>
      </c>
      <c r="X211" s="2">
        <v>55</v>
      </c>
      <c r="Z211" s="108"/>
      <c r="AA211" s="230">
        <f>+SUM(W211:Z211)</f>
        <v>55</v>
      </c>
      <c r="AB211" s="108"/>
      <c r="AC211" s="83"/>
      <c r="AD211" s="83"/>
      <c r="AE211" s="83"/>
      <c r="AG211" s="83">
        <v>22</v>
      </c>
      <c r="AI211" s="83">
        <v>10</v>
      </c>
    </row>
    <row r="212" spans="1:40" s="2" customFormat="1">
      <c r="A212" s="2" t="s">
        <v>207</v>
      </c>
      <c r="N212" s="108"/>
      <c r="O212" s="108"/>
      <c r="P212" s="108"/>
      <c r="V212" s="108"/>
      <c r="Z212" s="108">
        <f>+Z140</f>
        <v>0</v>
      </c>
      <c r="AA212" s="108"/>
      <c r="AB212" s="108">
        <f>+AB140</f>
        <v>0</v>
      </c>
      <c r="AC212" s="108">
        <f t="shared" ref="AC212:AN212" si="526">+AC140</f>
        <v>0</v>
      </c>
      <c r="AD212" s="108">
        <f t="shared" si="526"/>
        <v>0</v>
      </c>
      <c r="AE212" s="108">
        <f t="shared" si="526"/>
        <v>0</v>
      </c>
      <c r="AF212" s="108">
        <f t="shared" si="526"/>
        <v>0</v>
      </c>
      <c r="AG212" s="108">
        <f t="shared" si="526"/>
        <v>0</v>
      </c>
      <c r="AH212" s="108">
        <f t="shared" si="526"/>
        <v>0</v>
      </c>
      <c r="AI212" s="108">
        <f t="shared" si="526"/>
        <v>0</v>
      </c>
      <c r="AJ212" s="108">
        <f t="shared" si="526"/>
        <v>0</v>
      </c>
      <c r="AK212" s="108">
        <f t="shared" si="526"/>
        <v>0</v>
      </c>
      <c r="AL212" s="108">
        <f t="shared" si="526"/>
        <v>0</v>
      </c>
      <c r="AM212" s="108">
        <f t="shared" si="526"/>
        <v>0</v>
      </c>
      <c r="AN212" s="108">
        <f t="shared" si="526"/>
        <v>0</v>
      </c>
    </row>
    <row r="213" spans="1:40" s="2" customFormat="1">
      <c r="A213" s="2" t="s">
        <v>209</v>
      </c>
      <c r="N213" s="83"/>
      <c r="O213" s="108"/>
      <c r="P213" s="108"/>
      <c r="V213" s="108"/>
      <c r="Z213" s="108">
        <f>+Z157</f>
        <v>0</v>
      </c>
      <c r="AA213" s="108"/>
      <c r="AB213" s="108">
        <f>+AB157</f>
        <v>0</v>
      </c>
      <c r="AC213" s="108">
        <f t="shared" ref="AC213:AN213" si="527">+AC157</f>
        <v>0</v>
      </c>
      <c r="AD213" s="108">
        <f t="shared" si="527"/>
        <v>0</v>
      </c>
      <c r="AE213" s="108">
        <f t="shared" si="527"/>
        <v>0</v>
      </c>
      <c r="AF213" s="108">
        <f t="shared" si="527"/>
        <v>0</v>
      </c>
      <c r="AG213" s="108">
        <f t="shared" si="527"/>
        <v>0</v>
      </c>
      <c r="AH213" s="108">
        <f t="shared" si="527"/>
        <v>0</v>
      </c>
      <c r="AI213" s="108">
        <f t="shared" si="527"/>
        <v>0</v>
      </c>
      <c r="AJ213" s="108">
        <f t="shared" si="527"/>
        <v>0</v>
      </c>
      <c r="AK213" s="108">
        <f t="shared" si="527"/>
        <v>0</v>
      </c>
      <c r="AL213" s="108">
        <f t="shared" si="527"/>
        <v>0</v>
      </c>
      <c r="AM213" s="108">
        <f t="shared" si="527"/>
        <v>0</v>
      </c>
      <c r="AN213" s="108">
        <f t="shared" si="527"/>
        <v>0</v>
      </c>
    </row>
    <row r="214" spans="1:40" s="2" customFormat="1">
      <c r="A214" s="2" t="s">
        <v>210</v>
      </c>
      <c r="N214" s="83"/>
      <c r="O214" s="108"/>
      <c r="P214" s="108"/>
      <c r="V214" s="108"/>
      <c r="Z214" s="108">
        <f>+Z158</f>
        <v>0</v>
      </c>
      <c r="AA214" s="108"/>
      <c r="AB214" s="108">
        <f>+AB158</f>
        <v>0</v>
      </c>
      <c r="AC214" s="108">
        <f t="shared" ref="AC214:AN214" si="528">+AC158</f>
        <v>-7.0289999999999999</v>
      </c>
      <c r="AD214" s="108">
        <f t="shared" si="528"/>
        <v>-37.381500000000003</v>
      </c>
      <c r="AE214" s="108">
        <f t="shared" si="528"/>
        <v>-57.51</v>
      </c>
      <c r="AF214" s="108">
        <f t="shared" si="528"/>
        <v>-68.266500000000008</v>
      </c>
      <c r="AG214" s="108">
        <f t="shared" si="528"/>
        <v>-75.08250000000001</v>
      </c>
      <c r="AH214" s="108">
        <f t="shared" si="528"/>
        <v>-90.099000000000004</v>
      </c>
      <c r="AI214" s="108">
        <f t="shared" si="528"/>
        <v>-112.25099999999999</v>
      </c>
      <c r="AJ214" s="108">
        <f t="shared" si="528"/>
        <v>-121.836</v>
      </c>
      <c r="AK214" s="108">
        <f t="shared" si="528"/>
        <v>-136.00050000000002</v>
      </c>
      <c r="AL214" s="108">
        <f t="shared" si="528"/>
        <v>-144.3075</v>
      </c>
      <c r="AM214" s="108">
        <f t="shared" si="528"/>
        <v>-146.01150000000001</v>
      </c>
      <c r="AN214" s="108">
        <f t="shared" si="528"/>
        <v>-69.225000000000009</v>
      </c>
    </row>
    <row r="215" spans="1:40" s="2" customFormat="1">
      <c r="A215" s="2" t="s">
        <v>211</v>
      </c>
      <c r="N215" s="236"/>
      <c r="O215" s="108"/>
      <c r="P215" s="108"/>
      <c r="V215" s="108"/>
      <c r="Z215" s="108">
        <f>+Z159</f>
        <v>0</v>
      </c>
      <c r="AA215" s="108"/>
      <c r="AB215" s="108">
        <f>+AB159</f>
        <v>0</v>
      </c>
      <c r="AC215" s="108">
        <f t="shared" ref="AC215:AN215" si="529">+AC159</f>
        <v>0</v>
      </c>
      <c r="AD215" s="108">
        <f t="shared" si="529"/>
        <v>0</v>
      </c>
      <c r="AE215" s="108">
        <f t="shared" si="529"/>
        <v>0</v>
      </c>
      <c r="AF215" s="108">
        <f t="shared" si="529"/>
        <v>0</v>
      </c>
      <c r="AG215" s="108">
        <f t="shared" si="529"/>
        <v>0</v>
      </c>
      <c r="AH215" s="108">
        <f t="shared" si="529"/>
        <v>0</v>
      </c>
      <c r="AI215" s="108">
        <f t="shared" si="529"/>
        <v>0</v>
      </c>
      <c r="AJ215" s="108">
        <f t="shared" si="529"/>
        <v>0</v>
      </c>
      <c r="AK215" s="108">
        <f t="shared" si="529"/>
        <v>0</v>
      </c>
      <c r="AL215" s="108">
        <f t="shared" si="529"/>
        <v>0</v>
      </c>
      <c r="AM215" s="108">
        <f t="shared" si="529"/>
        <v>0</v>
      </c>
      <c r="AN215" s="108">
        <f t="shared" si="529"/>
        <v>0</v>
      </c>
    </row>
    <row r="216" spans="1:40" s="2" customFormat="1">
      <c r="A216" s="2" t="s">
        <v>208</v>
      </c>
      <c r="N216" s="83"/>
      <c r="O216" s="108"/>
      <c r="P216" s="108"/>
      <c r="V216" s="108"/>
      <c r="Z216" s="108">
        <f>-Z80*U78</f>
        <v>0</v>
      </c>
      <c r="AA216" s="108"/>
      <c r="AB216" s="108">
        <f>-AB80*W78</f>
        <v>0</v>
      </c>
      <c r="AC216" s="108">
        <f t="shared" ref="AC216:AN216" si="530">-AC80*AB78</f>
        <v>0</v>
      </c>
      <c r="AD216" s="108">
        <f t="shared" si="530"/>
        <v>0</v>
      </c>
      <c r="AE216" s="108">
        <f t="shared" si="530"/>
        <v>-10.057168056322695</v>
      </c>
      <c r="AF216" s="108">
        <f t="shared" si="530"/>
        <v>-21.962408484691352</v>
      </c>
      <c r="AG216" s="108">
        <f t="shared" si="530"/>
        <v>-27.27575310362397</v>
      </c>
      <c r="AH216" s="108">
        <f t="shared" si="530"/>
        <v>-28.290937011230845</v>
      </c>
      <c r="AI216" s="108">
        <f t="shared" si="530"/>
        <v>-35.190123196601917</v>
      </c>
      <c r="AJ216" s="108">
        <f t="shared" si="530"/>
        <v>-42.015950541239576</v>
      </c>
      <c r="AK216" s="108">
        <f t="shared" si="530"/>
        <v>-49.429688185320316</v>
      </c>
      <c r="AL216" s="108">
        <f t="shared" si="530"/>
        <v>-57.887667943720459</v>
      </c>
      <c r="AM216" s="108">
        <f t="shared" si="530"/>
        <v>-67.047373400506658</v>
      </c>
      <c r="AN216" s="108">
        <f t="shared" si="530"/>
        <v>-76.812623941978757</v>
      </c>
    </row>
    <row r="217" spans="1:40" s="2" customFormat="1">
      <c r="A217" s="142" t="s">
        <v>212</v>
      </c>
      <c r="M217" s="230">
        <f>+M219-M206-M209</f>
        <v>-4.9399999999999906</v>
      </c>
      <c r="N217" s="230">
        <f>+N219-N206-N209</f>
        <v>-15.560000000000009</v>
      </c>
      <c r="O217" s="230">
        <f>+O219-O206-O209</f>
        <v>400.90000000000003</v>
      </c>
      <c r="P217" s="230">
        <f>+P219-P206-P209</f>
        <v>-10.951999999999998</v>
      </c>
      <c r="Q217" s="230">
        <f>+SUM(M217:P217)</f>
        <v>369.44800000000004</v>
      </c>
      <c r="R217" s="230">
        <v>-3.9</v>
      </c>
      <c r="S217" s="230">
        <f>-69.707-R217</f>
        <v>-65.806999999999988</v>
      </c>
      <c r="T217" s="230">
        <f>-69.707-S217-R217</f>
        <v>-5.773159728050814E-15</v>
      </c>
      <c r="U217" s="230">
        <f>V217-T217-S217-R217</f>
        <v>-31.544000000000018</v>
      </c>
      <c r="V217" s="104">
        <v>-101.251</v>
      </c>
      <c r="W217" s="230">
        <v>0</v>
      </c>
      <c r="X217" s="230">
        <f>6.916-W217</f>
        <v>6.9160000000000004</v>
      </c>
      <c r="Y217" s="230">
        <f>6.916-X217-W217</f>
        <v>0</v>
      </c>
      <c r="Z217" s="104">
        <f>+SUM(Z211:Z216)</f>
        <v>0</v>
      </c>
      <c r="AA217" s="104"/>
      <c r="AB217" s="104">
        <f t="shared" ref="AB217:AN217" si="531">+SUM(AB211:AB216)</f>
        <v>0</v>
      </c>
      <c r="AC217" s="104">
        <f t="shared" si="531"/>
        <v>-7.0289999999999999</v>
      </c>
      <c r="AD217" s="104">
        <f t="shared" si="531"/>
        <v>-37.381500000000003</v>
      </c>
      <c r="AE217" s="104">
        <f t="shared" si="531"/>
        <v>-67.567168056322686</v>
      </c>
      <c r="AF217" s="104">
        <f t="shared" si="531"/>
        <v>-90.22890848469136</v>
      </c>
      <c r="AG217" s="104">
        <f t="shared" si="531"/>
        <v>-80.35825310362398</v>
      </c>
      <c r="AH217" s="104">
        <f t="shared" si="531"/>
        <v>-118.38993701123084</v>
      </c>
      <c r="AI217" s="104">
        <f t="shared" si="531"/>
        <v>-137.44112319660189</v>
      </c>
      <c r="AJ217" s="104">
        <f t="shared" si="531"/>
        <v>-163.85195054123957</v>
      </c>
      <c r="AK217" s="104">
        <f t="shared" si="531"/>
        <v>-185.43018818532033</v>
      </c>
      <c r="AL217" s="104">
        <f t="shared" si="531"/>
        <v>-202.19516794372046</v>
      </c>
      <c r="AM217" s="104">
        <f t="shared" si="531"/>
        <v>-213.05887340050668</v>
      </c>
      <c r="AN217" s="104">
        <f t="shared" si="531"/>
        <v>-146.03762394197878</v>
      </c>
    </row>
    <row r="218" spans="1:40" s="2" customFormat="1"/>
    <row r="219" spans="1:40" s="2" customFormat="1">
      <c r="A219" s="224" t="s">
        <v>213</v>
      </c>
      <c r="B219" s="244"/>
      <c r="C219" s="244"/>
      <c r="D219" s="244"/>
      <c r="E219" s="244"/>
      <c r="F219" s="244"/>
      <c r="G219" s="244"/>
      <c r="H219" s="244"/>
      <c r="I219" s="244"/>
      <c r="J219" s="244"/>
      <c r="K219" s="244"/>
      <c r="L219" s="244"/>
      <c r="M219" s="242">
        <f>+M7-L7</f>
        <v>-10.339999999999996</v>
      </c>
      <c r="N219" s="242">
        <f>+N7-M7</f>
        <v>-32.56</v>
      </c>
      <c r="O219" s="242">
        <f>+O7-N7</f>
        <v>387.6</v>
      </c>
      <c r="P219" s="242">
        <f>+P7-O7</f>
        <v>-41.800000000000011</v>
      </c>
      <c r="Q219" s="242">
        <f>+Q206+Q209+Q217</f>
        <v>302.90000000000003</v>
      </c>
      <c r="R219" s="242">
        <f>+R7-Q7</f>
        <v>3.7999999999999545</v>
      </c>
      <c r="S219" s="242">
        <f>+S7-R7</f>
        <v>-60.400999999999954</v>
      </c>
      <c r="T219" s="242">
        <f t="shared" ref="T219" si="532">+T7-S7</f>
        <v>-9.8190000000000168</v>
      </c>
      <c r="U219" s="242">
        <f>+U7-T7</f>
        <v>-35.527999999999992</v>
      </c>
      <c r="V219" s="242">
        <f>+V206+V209+V217</f>
        <v>-132.89300000000003</v>
      </c>
      <c r="W219" s="242">
        <f>+W206+W209+W217</f>
        <v>10.991999999999999</v>
      </c>
      <c r="X219" s="242">
        <f t="shared" ref="X219" si="533">+X206+X209+X217</f>
        <v>47.911000000000001</v>
      </c>
      <c r="Y219" s="242">
        <f>+Y206+Y209+Y217</f>
        <v>14.076999999999998</v>
      </c>
      <c r="Z219" s="242">
        <f>+Z206+Z209+Z217</f>
        <v>-16.448538583508071</v>
      </c>
      <c r="AA219" s="242"/>
      <c r="AB219" s="242">
        <f t="shared" ref="AB219:AN219" si="534">+AB206+AB209+AB217</f>
        <v>1.224061965808076</v>
      </c>
      <c r="AC219" s="242">
        <f t="shared" si="534"/>
        <v>18.724318397519806</v>
      </c>
      <c r="AD219" s="242">
        <f t="shared" si="534"/>
        <v>51.071711113339504</v>
      </c>
      <c r="AE219" s="242">
        <f t="shared" si="534"/>
        <v>36.444478940379668</v>
      </c>
      <c r="AF219" s="242">
        <f t="shared" si="534"/>
        <v>36.70331143281787</v>
      </c>
      <c r="AG219" s="242">
        <f t="shared" si="534"/>
        <v>4.5119824349043398</v>
      </c>
      <c r="AH219" s="242">
        <f t="shared" si="534"/>
        <v>10.927289333196825</v>
      </c>
      <c r="AI219" s="242">
        <f t="shared" si="534"/>
        <v>5.184300821207529</v>
      </c>
      <c r="AJ219" s="242">
        <f t="shared" si="534"/>
        <v>6.6829230291990029</v>
      </c>
      <c r="AK219" s="242">
        <f t="shared" si="534"/>
        <v>22.786191467890632</v>
      </c>
      <c r="AL219" s="242">
        <f t="shared" si="534"/>
        <v>29.28194638058568</v>
      </c>
      <c r="AM219" s="242">
        <f t="shared" si="534"/>
        <v>-11.108393735085656</v>
      </c>
      <c r="AN219" s="242">
        <f t="shared" si="534"/>
        <v>146.4887618850218</v>
      </c>
    </row>
    <row r="220" spans="1:40" s="2" customFormat="1"/>
    <row r="221" spans="1:40" s="2" customFormat="1">
      <c r="A221" s="286" t="s">
        <v>214</v>
      </c>
      <c r="B221" s="217"/>
      <c r="C221" s="217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87"/>
      <c r="O221" s="287"/>
      <c r="P221" s="287"/>
      <c r="Q221" s="288"/>
      <c r="R221" s="217"/>
      <c r="S221" s="289"/>
      <c r="T221" s="289"/>
      <c r="U221" s="289"/>
      <c r="V221" s="287">
        <f>+Q7</f>
        <v>350.8</v>
      </c>
      <c r="W221" s="289"/>
      <c r="X221" s="289"/>
      <c r="Y221" s="289"/>
      <c r="Z221" s="287">
        <f>Y7</f>
        <v>298.49299999999999</v>
      </c>
      <c r="AA221" s="287">
        <f>+V7</f>
        <v>248.852</v>
      </c>
      <c r="AB221" s="287">
        <f>AA7</f>
        <v>282.04446141649191</v>
      </c>
      <c r="AC221" s="287">
        <f t="shared" ref="AC221:AN221" si="535">+AB7</f>
        <v>283.26852338229997</v>
      </c>
      <c r="AD221" s="287">
        <f t="shared" si="535"/>
        <v>301.9928417798198</v>
      </c>
      <c r="AE221" s="287">
        <f t="shared" si="535"/>
        <v>353.06455289315932</v>
      </c>
      <c r="AF221" s="287">
        <f t="shared" si="535"/>
        <v>389.50903183353898</v>
      </c>
      <c r="AG221" s="287">
        <f t="shared" si="535"/>
        <v>426.21234326635687</v>
      </c>
      <c r="AH221" s="287">
        <f t="shared" si="535"/>
        <v>430.72432570126119</v>
      </c>
      <c r="AI221" s="287">
        <f t="shared" si="535"/>
        <v>441.65161503445802</v>
      </c>
      <c r="AJ221" s="287">
        <f t="shared" si="535"/>
        <v>446.83591585566558</v>
      </c>
      <c r="AK221" s="287">
        <f t="shared" si="535"/>
        <v>453.51883888486458</v>
      </c>
      <c r="AL221" s="287">
        <f t="shared" si="535"/>
        <v>476.30503035275524</v>
      </c>
      <c r="AM221" s="287">
        <f t="shared" si="535"/>
        <v>505.58697673334092</v>
      </c>
      <c r="AN221" s="287">
        <f t="shared" si="535"/>
        <v>494.47858299825526</v>
      </c>
    </row>
    <row r="222" spans="1:40" s="2" customFormat="1">
      <c r="A222" s="224" t="s">
        <v>215</v>
      </c>
      <c r="B222" s="244"/>
      <c r="C222" s="244"/>
      <c r="D222" s="244"/>
      <c r="E222" s="244"/>
      <c r="F222" s="244"/>
      <c r="G222" s="244"/>
      <c r="H222" s="244"/>
      <c r="I222" s="244"/>
      <c r="J222" s="244"/>
      <c r="K222" s="244"/>
      <c r="L222" s="244"/>
      <c r="M222" s="244"/>
      <c r="N222" s="271"/>
      <c r="O222" s="271"/>
      <c r="P222" s="271"/>
      <c r="Q222" s="290"/>
      <c r="R222" s="244"/>
      <c r="S222" s="272"/>
      <c r="T222" s="272"/>
      <c r="U222" s="272"/>
      <c r="V222" s="271">
        <f>+V7</f>
        <v>248.852</v>
      </c>
      <c r="W222" s="272"/>
      <c r="X222" s="272"/>
      <c r="Y222" s="272"/>
      <c r="Z222" s="271">
        <f>+Z221+Z219</f>
        <v>282.04446141649191</v>
      </c>
      <c r="AA222" s="271">
        <f>Z222</f>
        <v>282.04446141649191</v>
      </c>
      <c r="AB222" s="271">
        <f>AB221+AB219</f>
        <v>283.26852338229997</v>
      </c>
      <c r="AC222" s="271">
        <f t="shared" ref="AC222:AN222" si="536">AC221+AC219</f>
        <v>301.9928417798198</v>
      </c>
      <c r="AD222" s="271">
        <f t="shared" si="536"/>
        <v>353.06455289315932</v>
      </c>
      <c r="AE222" s="271">
        <f t="shared" si="536"/>
        <v>389.50903183353898</v>
      </c>
      <c r="AF222" s="271">
        <f t="shared" si="536"/>
        <v>426.21234326635687</v>
      </c>
      <c r="AG222" s="271">
        <f t="shared" si="536"/>
        <v>430.72432570126119</v>
      </c>
      <c r="AH222" s="271">
        <f t="shared" si="536"/>
        <v>441.65161503445802</v>
      </c>
      <c r="AI222" s="271">
        <f t="shared" si="536"/>
        <v>446.83591585566558</v>
      </c>
      <c r="AJ222" s="271">
        <f t="shared" si="536"/>
        <v>453.51883888486458</v>
      </c>
      <c r="AK222" s="271">
        <f t="shared" si="536"/>
        <v>476.30503035275524</v>
      </c>
      <c r="AL222" s="271">
        <f t="shared" si="536"/>
        <v>505.58697673334092</v>
      </c>
      <c r="AM222" s="271">
        <f t="shared" si="536"/>
        <v>494.47858299825526</v>
      </c>
      <c r="AN222" s="271">
        <f t="shared" si="536"/>
        <v>640.96734488327706</v>
      </c>
    </row>
    <row r="223" spans="1:40" s="2" customFormat="1">
      <c r="AA223" s="204"/>
    </row>
    <row r="224" spans="1:40" s="142" customFormat="1">
      <c r="A224" s="138" t="s">
        <v>216</v>
      </c>
      <c r="B224" s="155">
        <f>+B201</f>
        <v>2010</v>
      </c>
      <c r="C224" s="86" t="str">
        <f t="shared" ref="C224:AN224" si="537">+C201</f>
        <v>1T11</v>
      </c>
      <c r="D224" s="86" t="str">
        <f t="shared" si="537"/>
        <v>2T11</v>
      </c>
      <c r="E224" s="86" t="str">
        <f t="shared" si="537"/>
        <v>3T11</v>
      </c>
      <c r="F224" s="86" t="str">
        <f t="shared" si="537"/>
        <v>4T11</v>
      </c>
      <c r="G224" s="155">
        <f t="shared" si="537"/>
        <v>2011</v>
      </c>
      <c r="H224" s="86" t="str">
        <f t="shared" si="537"/>
        <v>1T12</v>
      </c>
      <c r="I224" s="86" t="str">
        <f t="shared" si="537"/>
        <v>2T12</v>
      </c>
      <c r="J224" s="86" t="str">
        <f t="shared" si="537"/>
        <v>3T12</v>
      </c>
      <c r="K224" s="86" t="str">
        <f t="shared" si="537"/>
        <v>4T12</v>
      </c>
      <c r="L224" s="155">
        <f t="shared" si="537"/>
        <v>2012</v>
      </c>
      <c r="M224" s="86" t="str">
        <f t="shared" si="537"/>
        <v>1T13</v>
      </c>
      <c r="N224" s="86" t="str">
        <f t="shared" si="537"/>
        <v>2T13</v>
      </c>
      <c r="O224" s="86" t="str">
        <f t="shared" si="537"/>
        <v>3T13</v>
      </c>
      <c r="P224" s="86" t="str">
        <f t="shared" si="537"/>
        <v>4T13</v>
      </c>
      <c r="Q224" s="155">
        <f t="shared" si="537"/>
        <v>2013</v>
      </c>
      <c r="R224" s="86" t="str">
        <f t="shared" si="537"/>
        <v>1T14</v>
      </c>
      <c r="S224" s="86" t="str">
        <f t="shared" si="537"/>
        <v>2T14</v>
      </c>
      <c r="T224" s="86" t="str">
        <f t="shared" si="537"/>
        <v>3T14</v>
      </c>
      <c r="U224" s="86" t="str">
        <f t="shared" si="537"/>
        <v>4T14</v>
      </c>
      <c r="V224" s="155">
        <f t="shared" si="537"/>
        <v>2014</v>
      </c>
      <c r="W224" s="86" t="str">
        <f t="shared" ref="W224:Z224" si="538">+W201</f>
        <v>1T15</v>
      </c>
      <c r="X224" s="86" t="str">
        <f t="shared" si="538"/>
        <v>2T15</v>
      </c>
      <c r="Y224" s="86" t="str">
        <f t="shared" si="538"/>
        <v>3T15</v>
      </c>
      <c r="Z224" s="86" t="str">
        <f t="shared" si="538"/>
        <v>4T15E</v>
      </c>
      <c r="AA224" s="155" t="str">
        <f t="shared" si="537"/>
        <v>2015E</v>
      </c>
      <c r="AB224" s="155" t="str">
        <f>+AB201</f>
        <v>2016E</v>
      </c>
      <c r="AC224" s="155" t="str">
        <f t="shared" si="537"/>
        <v>2017E</v>
      </c>
      <c r="AD224" s="155" t="str">
        <f t="shared" si="537"/>
        <v>2018E</v>
      </c>
      <c r="AE224" s="155" t="str">
        <f t="shared" si="537"/>
        <v>2019E</v>
      </c>
      <c r="AF224" s="155" t="str">
        <f t="shared" si="537"/>
        <v>2020E</v>
      </c>
      <c r="AG224" s="155" t="str">
        <f t="shared" si="537"/>
        <v>2021E</v>
      </c>
      <c r="AH224" s="155" t="str">
        <f t="shared" si="537"/>
        <v>2022E</v>
      </c>
      <c r="AI224" s="155" t="str">
        <f t="shared" si="537"/>
        <v>2023E</v>
      </c>
      <c r="AJ224" s="155" t="str">
        <f t="shared" si="537"/>
        <v>2024E</v>
      </c>
      <c r="AK224" s="155" t="str">
        <f t="shared" si="537"/>
        <v>2025E</v>
      </c>
      <c r="AL224" s="155" t="str">
        <f t="shared" si="537"/>
        <v>2026E</v>
      </c>
      <c r="AM224" s="155" t="str">
        <f t="shared" si="537"/>
        <v>2027E</v>
      </c>
      <c r="AN224" s="155" t="str">
        <f t="shared" si="537"/>
        <v>2028E</v>
      </c>
    </row>
    <row r="225" spans="1:40" s="2" customFormat="1">
      <c r="A225" s="2" t="s">
        <v>217</v>
      </c>
      <c r="B225" s="291" t="s">
        <v>218</v>
      </c>
      <c r="N225" s="236"/>
      <c r="O225" s="236"/>
      <c r="P225" s="236"/>
      <c r="Q225" s="236">
        <f>+AVERAGE(Q93:AA93)</f>
        <v>43.55803745</v>
      </c>
      <c r="V225" s="236">
        <f>+AVERAGE(AB93:AD93)</f>
        <v>67.23297766666667</v>
      </c>
      <c r="AA225" s="236">
        <f>+AVERAGE(AB92:AD92)</f>
        <v>90.214367666666661</v>
      </c>
      <c r="AB225" s="236">
        <f t="shared" ref="AB225:AN225" si="539">+AVERAGE(AC92:AE92)</f>
        <v>76.353181750075024</v>
      </c>
      <c r="AC225" s="236">
        <f t="shared" si="539"/>
        <v>63.112915550492865</v>
      </c>
      <c r="AD225" s="236">
        <f t="shared" si="539"/>
        <v>72.505883120064951</v>
      </c>
      <c r="AE225" s="236">
        <f t="shared" si="539"/>
        <v>74.119504767803377</v>
      </c>
      <c r="AF225" s="236">
        <f t="shared" si="539"/>
        <v>73.978922075707345</v>
      </c>
      <c r="AG225" s="236">
        <f t="shared" si="539"/>
        <v>62.320659811294426</v>
      </c>
      <c r="AH225" s="236">
        <f t="shared" si="539"/>
        <v>55.163442120123129</v>
      </c>
      <c r="AI225" s="236">
        <f t="shared" si="539"/>
        <v>55.465727164810943</v>
      </c>
      <c r="AJ225" s="236">
        <f t="shared" si="539"/>
        <v>72.675090355651747</v>
      </c>
      <c r="AK225" s="236">
        <f t="shared" si="539"/>
        <v>92.291662308415766</v>
      </c>
      <c r="AL225" s="236">
        <f t="shared" si="539"/>
        <v>101.09623477010258</v>
      </c>
      <c r="AM225" s="236">
        <f t="shared" si="539"/>
        <v>105.01159191595845</v>
      </c>
      <c r="AN225" s="236">
        <f t="shared" si="539"/>
        <v>102.84458558017479</v>
      </c>
    </row>
    <row r="226" spans="1:40" s="2" customFormat="1">
      <c r="A226" s="2" t="s">
        <v>219</v>
      </c>
      <c r="B226" s="291" t="s">
        <v>238</v>
      </c>
      <c r="N226" s="236"/>
      <c r="O226" s="236"/>
      <c r="P226" s="236"/>
      <c r="Q226" s="236">
        <f>-V214-V148+V154</f>
        <v>0</v>
      </c>
      <c r="V226" s="236">
        <f>-AA214-AA148+AA154</f>
        <v>98.202331019543166</v>
      </c>
      <c r="AA226" s="236">
        <f>-AB214-AB148-AB154</f>
        <v>103.0409114710706</v>
      </c>
      <c r="AB226" s="236">
        <f>-AC214-AC148-AC154</f>
        <v>118.6804610141497</v>
      </c>
      <c r="AC226" s="236">
        <f>-AD214-AD148-AD154</f>
        <v>163.21519553182074</v>
      </c>
      <c r="AD226" s="236">
        <f t="shared" ref="AD226:AN226" si="540">-AE214-AE148-AE154</f>
        <v>191.72657856739454</v>
      </c>
      <c r="AE226" s="236">
        <f t="shared" si="540"/>
        <v>206.16739467609588</v>
      </c>
      <c r="AF226" s="236">
        <f t="shared" si="540"/>
        <v>214.30177039526831</v>
      </c>
      <c r="AG226" s="236">
        <f t="shared" si="540"/>
        <v>233.76342975594721</v>
      </c>
      <c r="AH226" s="236">
        <f t="shared" si="540"/>
        <v>268.86252544121231</v>
      </c>
      <c r="AI226" s="236">
        <f t="shared" si="540"/>
        <v>278.22140981692019</v>
      </c>
      <c r="AJ226" s="236">
        <f t="shared" si="540"/>
        <v>294.27511688747478</v>
      </c>
      <c r="AK226" s="236">
        <f t="shared" si="540"/>
        <v>299.22540090807519</v>
      </c>
      <c r="AL226" s="236">
        <f t="shared" si="540"/>
        <v>292.01957939147121</v>
      </c>
      <c r="AM226" s="236">
        <f t="shared" si="540"/>
        <v>140.66358542685936</v>
      </c>
      <c r="AN226" s="236">
        <f t="shared" si="540"/>
        <v>0</v>
      </c>
    </row>
    <row r="227" spans="1:40" s="2" customFormat="1">
      <c r="A227" s="2" t="s">
        <v>220</v>
      </c>
      <c r="B227" s="291" t="s">
        <v>221</v>
      </c>
      <c r="N227" s="236"/>
      <c r="O227" s="236"/>
      <c r="P227" s="236"/>
      <c r="Q227" s="236">
        <f>-(Q49+Q50+Q52+Q53)/4</f>
        <v>16.453749999999999</v>
      </c>
      <c r="V227" s="236">
        <f>-(V49+V50+V52+V53)/4</f>
        <v>16.279249999999998</v>
      </c>
      <c r="AA227" s="236">
        <f t="shared" ref="AA227:AN227" si="541">-(AA49+AA50+AA52+AA53)/4</f>
        <v>17.826542742484165</v>
      </c>
      <c r="AB227" s="236">
        <f>-(AB49+AB50+AB52+AB53)/4</f>
        <v>15.031080545591813</v>
      </c>
      <c r="AC227" s="236">
        <f t="shared" si="541"/>
        <v>15.458658887434046</v>
      </c>
      <c r="AD227" s="236">
        <f t="shared" si="541"/>
        <v>16.345735146814228</v>
      </c>
      <c r="AE227" s="236">
        <f t="shared" si="541"/>
        <v>17.13457169054892</v>
      </c>
      <c r="AF227" s="236">
        <f t="shared" si="541"/>
        <v>17.941687350342999</v>
      </c>
      <c r="AG227" s="236">
        <f t="shared" si="541"/>
        <v>18.850448812701011</v>
      </c>
      <c r="AH227" s="236">
        <f t="shared" si="541"/>
        <v>19.807203638252833</v>
      </c>
      <c r="AI227" s="236">
        <f t="shared" si="541"/>
        <v>20.816580438544189</v>
      </c>
      <c r="AJ227" s="236">
        <f t="shared" si="541"/>
        <v>21.876945642750837</v>
      </c>
      <c r="AK227" s="236">
        <f t="shared" si="541"/>
        <v>22.991782141984423</v>
      </c>
      <c r="AL227" s="236">
        <f t="shared" si="541"/>
        <v>24.16467608071623</v>
      </c>
      <c r="AM227" s="236">
        <f t="shared" si="541"/>
        <v>25.398523793273675</v>
      </c>
      <c r="AN227" s="236">
        <f t="shared" si="541"/>
        <v>26.628491817889063</v>
      </c>
    </row>
    <row r="228" spans="1:40" s="2" customFormat="1">
      <c r="A228" s="2" t="s">
        <v>222</v>
      </c>
      <c r="B228" s="291" t="s">
        <v>232</v>
      </c>
      <c r="N228" s="236">
        <v>158.95500000000001</v>
      </c>
      <c r="O228" s="236"/>
      <c r="P228" s="236">
        <v>115.30200000000001</v>
      </c>
      <c r="Q228" s="236">
        <f>+P228</f>
        <v>115.30200000000001</v>
      </c>
      <c r="S228" s="216">
        <v>74.433999999999997</v>
      </c>
      <c r="V228" s="236">
        <v>29.393000000000001</v>
      </c>
      <c r="AA228" s="236">
        <f>+V228-AA243</f>
        <v>29.393000000000001</v>
      </c>
      <c r="AB228" s="236">
        <v>0</v>
      </c>
      <c r="AC228" s="236">
        <v>0</v>
      </c>
      <c r="AD228" s="236">
        <v>0</v>
      </c>
      <c r="AE228" s="236">
        <v>0</v>
      </c>
      <c r="AF228" s="236">
        <v>0</v>
      </c>
      <c r="AG228" s="236">
        <v>0</v>
      </c>
      <c r="AH228" s="236">
        <v>0</v>
      </c>
      <c r="AI228" s="236">
        <v>0</v>
      </c>
      <c r="AJ228" s="236">
        <v>0</v>
      </c>
      <c r="AK228" s="236">
        <v>0</v>
      </c>
      <c r="AL228" s="236">
        <v>0</v>
      </c>
      <c r="AM228" s="236">
        <v>0</v>
      </c>
      <c r="AN228" s="236">
        <v>0</v>
      </c>
    </row>
    <row r="229" spans="1:40" s="2" customFormat="1"/>
    <row r="230" spans="1:40" s="142" customFormat="1">
      <c r="A230" s="224" t="s">
        <v>223</v>
      </c>
      <c r="B230" s="224"/>
      <c r="C230" s="224"/>
      <c r="D230" s="224"/>
      <c r="E230" s="224"/>
      <c r="F230" s="224"/>
      <c r="G230" s="224"/>
      <c r="H230" s="224"/>
      <c r="I230" s="224"/>
      <c r="J230" s="224"/>
      <c r="K230" s="224"/>
      <c r="L230" s="224"/>
      <c r="M230" s="224"/>
      <c r="N230" s="242"/>
      <c r="O230" s="242"/>
      <c r="P230" s="242"/>
      <c r="Q230" s="242">
        <f t="shared" ref="Q230:AN230" si="542">+SUM(Q225:Q228)</f>
        <v>175.31378745000001</v>
      </c>
      <c r="R230" s="224"/>
      <c r="S230" s="292"/>
      <c r="T230" s="292"/>
      <c r="U230" s="292"/>
      <c r="V230" s="242">
        <f>+SUM(V225:V228)</f>
        <v>211.10755868620984</v>
      </c>
      <c r="W230" s="292"/>
      <c r="X230" s="292"/>
      <c r="Y230" s="292"/>
      <c r="Z230" s="292"/>
      <c r="AA230" s="242">
        <f t="shared" si="542"/>
        <v>240.47482188022141</v>
      </c>
      <c r="AB230" s="242">
        <f t="shared" si="542"/>
        <v>210.06472330981654</v>
      </c>
      <c r="AC230" s="242">
        <f t="shared" si="542"/>
        <v>241.78676996974764</v>
      </c>
      <c r="AD230" s="242">
        <f t="shared" si="542"/>
        <v>280.57819683427368</v>
      </c>
      <c r="AE230" s="242">
        <f t="shared" si="542"/>
        <v>297.42147113444815</v>
      </c>
      <c r="AF230" s="242">
        <f t="shared" si="542"/>
        <v>306.22237982131861</v>
      </c>
      <c r="AG230" s="242">
        <f t="shared" si="542"/>
        <v>314.93453837994264</v>
      </c>
      <c r="AH230" s="242">
        <f t="shared" si="542"/>
        <v>343.83317119958826</v>
      </c>
      <c r="AI230" s="242">
        <f t="shared" si="542"/>
        <v>354.50371742027528</v>
      </c>
      <c r="AJ230" s="242">
        <f t="shared" si="542"/>
        <v>388.82715288587741</v>
      </c>
      <c r="AK230" s="242">
        <f t="shared" si="542"/>
        <v>414.50884535847536</v>
      </c>
      <c r="AL230" s="242">
        <f t="shared" si="542"/>
        <v>417.28049024229</v>
      </c>
      <c r="AM230" s="242">
        <f t="shared" si="542"/>
        <v>271.07370113609147</v>
      </c>
      <c r="AN230" s="242">
        <f t="shared" si="542"/>
        <v>129.47307739806385</v>
      </c>
    </row>
    <row r="231" spans="1:40" s="2" customFormat="1">
      <c r="AB231" s="216"/>
      <c r="AC231" s="216"/>
      <c r="AJ231" s="325"/>
      <c r="AK231" s="325"/>
      <c r="AL231" s="325"/>
      <c r="AM231" s="325"/>
      <c r="AN231" s="325"/>
    </row>
    <row r="232" spans="1:40" s="2" customFormat="1">
      <c r="A232" s="2" t="s">
        <v>233</v>
      </c>
      <c r="N232" s="83"/>
      <c r="O232" s="83"/>
      <c r="P232" s="83"/>
      <c r="Q232" s="83"/>
      <c r="V232" s="83" t="str">
        <f t="shared" ref="V232:AN232" si="543">+IF(V230&lt;V222,"ok", "checar")</f>
        <v>ok</v>
      </c>
      <c r="AA232" s="83" t="str">
        <f t="shared" si="543"/>
        <v>ok</v>
      </c>
      <c r="AB232" s="83" t="str">
        <f t="shared" si="543"/>
        <v>ok</v>
      </c>
      <c r="AC232" s="83" t="str">
        <f t="shared" si="543"/>
        <v>ok</v>
      </c>
      <c r="AD232" s="83" t="str">
        <f t="shared" si="543"/>
        <v>ok</v>
      </c>
      <c r="AE232" s="83" t="str">
        <f t="shared" si="543"/>
        <v>ok</v>
      </c>
      <c r="AF232" s="83" t="str">
        <f t="shared" si="543"/>
        <v>ok</v>
      </c>
      <c r="AG232" s="83" t="str">
        <f t="shared" si="543"/>
        <v>ok</v>
      </c>
      <c r="AH232" s="83" t="str">
        <f t="shared" si="543"/>
        <v>ok</v>
      </c>
      <c r="AI232" s="83" t="str">
        <f t="shared" si="543"/>
        <v>ok</v>
      </c>
      <c r="AJ232" s="83" t="str">
        <f t="shared" si="543"/>
        <v>ok</v>
      </c>
      <c r="AK232" s="83" t="str">
        <f t="shared" si="543"/>
        <v>ok</v>
      </c>
      <c r="AL232" s="83" t="str">
        <f t="shared" si="543"/>
        <v>ok</v>
      </c>
      <c r="AM232" s="83" t="str">
        <f t="shared" si="543"/>
        <v>ok</v>
      </c>
      <c r="AN232" s="83" t="str">
        <f t="shared" si="543"/>
        <v>ok</v>
      </c>
    </row>
    <row r="233" spans="1:40" s="2" customFormat="1"/>
    <row r="234" spans="1:40" s="142" customFormat="1">
      <c r="A234" s="138" t="s">
        <v>231</v>
      </c>
      <c r="B234" s="155">
        <f>+B224</f>
        <v>2010</v>
      </c>
      <c r="C234" s="86" t="str">
        <f t="shared" ref="C234:AN234" si="544">+C224</f>
        <v>1T11</v>
      </c>
      <c r="D234" s="86" t="str">
        <f t="shared" si="544"/>
        <v>2T11</v>
      </c>
      <c r="E234" s="86" t="str">
        <f t="shared" si="544"/>
        <v>3T11</v>
      </c>
      <c r="F234" s="86" t="str">
        <f t="shared" si="544"/>
        <v>4T11</v>
      </c>
      <c r="G234" s="155">
        <f t="shared" si="544"/>
        <v>2011</v>
      </c>
      <c r="H234" s="86" t="str">
        <f t="shared" si="544"/>
        <v>1T12</v>
      </c>
      <c r="I234" s="86" t="str">
        <f t="shared" si="544"/>
        <v>2T12</v>
      </c>
      <c r="J234" s="86" t="str">
        <f t="shared" si="544"/>
        <v>3T12</v>
      </c>
      <c r="K234" s="86" t="str">
        <f t="shared" si="544"/>
        <v>4T12</v>
      </c>
      <c r="L234" s="155">
        <f t="shared" si="544"/>
        <v>2012</v>
      </c>
      <c r="M234" s="86" t="str">
        <f t="shared" si="544"/>
        <v>1T13</v>
      </c>
      <c r="N234" s="86" t="str">
        <f t="shared" si="544"/>
        <v>2T13</v>
      </c>
      <c r="O234" s="86" t="str">
        <f t="shared" si="544"/>
        <v>3T13</v>
      </c>
      <c r="P234" s="86" t="str">
        <f t="shared" ref="P234:U234" si="545">+P224</f>
        <v>4T13</v>
      </c>
      <c r="Q234" s="155">
        <f t="shared" si="544"/>
        <v>2013</v>
      </c>
      <c r="R234" s="86" t="str">
        <f t="shared" si="545"/>
        <v>1T14</v>
      </c>
      <c r="S234" s="86" t="str">
        <f t="shared" si="545"/>
        <v>2T14</v>
      </c>
      <c r="T234" s="86" t="str">
        <f t="shared" si="545"/>
        <v>3T14</v>
      </c>
      <c r="U234" s="86" t="str">
        <f t="shared" si="545"/>
        <v>4T14</v>
      </c>
      <c r="V234" s="155">
        <f>+V224</f>
        <v>2014</v>
      </c>
      <c r="W234" s="86" t="str">
        <f t="shared" ref="W234:Z234" si="546">+W224</f>
        <v>1T15</v>
      </c>
      <c r="X234" s="86" t="str">
        <f t="shared" si="546"/>
        <v>2T15</v>
      </c>
      <c r="Y234" s="86" t="str">
        <f t="shared" si="546"/>
        <v>3T15</v>
      </c>
      <c r="Z234" s="86" t="str">
        <f t="shared" si="546"/>
        <v>4T15E</v>
      </c>
      <c r="AA234" s="155" t="str">
        <f t="shared" si="544"/>
        <v>2015E</v>
      </c>
      <c r="AB234" s="155" t="str">
        <f t="shared" si="544"/>
        <v>2016E</v>
      </c>
      <c r="AC234" s="155" t="str">
        <f t="shared" si="544"/>
        <v>2017E</v>
      </c>
      <c r="AD234" s="155" t="str">
        <f t="shared" si="544"/>
        <v>2018E</v>
      </c>
      <c r="AE234" s="155" t="str">
        <f t="shared" si="544"/>
        <v>2019E</v>
      </c>
      <c r="AF234" s="155" t="str">
        <f t="shared" si="544"/>
        <v>2020E</v>
      </c>
      <c r="AG234" s="155" t="str">
        <f t="shared" si="544"/>
        <v>2021E</v>
      </c>
      <c r="AH234" s="155" t="str">
        <f t="shared" si="544"/>
        <v>2022E</v>
      </c>
      <c r="AI234" s="155" t="str">
        <f t="shared" si="544"/>
        <v>2023E</v>
      </c>
      <c r="AJ234" s="155" t="str">
        <f t="shared" si="544"/>
        <v>2024E</v>
      </c>
      <c r="AK234" s="155" t="str">
        <f t="shared" si="544"/>
        <v>2025E</v>
      </c>
      <c r="AL234" s="155" t="str">
        <f t="shared" si="544"/>
        <v>2026E</v>
      </c>
      <c r="AM234" s="155" t="str">
        <f t="shared" si="544"/>
        <v>2027E</v>
      </c>
      <c r="AN234" s="155" t="str">
        <f t="shared" si="544"/>
        <v>2028E</v>
      </c>
    </row>
    <row r="235" spans="1:40" s="2" customFormat="1">
      <c r="A235" s="2" t="s">
        <v>239</v>
      </c>
      <c r="B235" s="110">
        <f t="shared" ref="B235:K235" si="547">+(B136)/(B34+B31+B136)</f>
        <v>0.64020681698406146</v>
      </c>
      <c r="C235" s="110">
        <f t="shared" si="547"/>
        <v>0.65101832851738628</v>
      </c>
      <c r="D235" s="110">
        <f t="shared" si="547"/>
        <v>0.68541405062454563</v>
      </c>
      <c r="E235" s="110">
        <f t="shared" si="547"/>
        <v>0.6699715584381063</v>
      </c>
      <c r="F235" s="110">
        <f t="shared" si="547"/>
        <v>0.66217331499312237</v>
      </c>
      <c r="G235" s="110">
        <f t="shared" si="547"/>
        <v>0.66217331499312237</v>
      </c>
      <c r="H235" s="110">
        <f t="shared" si="547"/>
        <v>0.67234670602441982</v>
      </c>
      <c r="I235" s="110">
        <f t="shared" si="547"/>
        <v>0.68541405062454563</v>
      </c>
      <c r="J235" s="110">
        <f t="shared" si="547"/>
        <v>0.72238649993468484</v>
      </c>
      <c r="K235" s="110">
        <f t="shared" si="547"/>
        <v>0.7317927170868348</v>
      </c>
      <c r="L235" s="110">
        <f>+(L136+L153)/(L34+L31+L136+L153)</f>
        <v>0.7317927170868348</v>
      </c>
      <c r="M235" s="110">
        <f t="shared" ref="M235:Q235" si="548">+(M136+M153)/(M34+M31+M136+M153)</f>
        <v>0.73811931243680484</v>
      </c>
      <c r="N235" s="110">
        <f t="shared" si="548"/>
        <v>0.74115069756716245</v>
      </c>
      <c r="O235" s="110">
        <f t="shared" si="548"/>
        <v>0.8330447207187619</v>
      </c>
      <c r="P235" s="110">
        <f t="shared" ref="P235" si="549">+(P136+P153)/(P34+P31+P136+P153)</f>
        <v>0.83687220872835533</v>
      </c>
      <c r="Q235" s="110">
        <f t="shared" si="548"/>
        <v>0.84082608237756595</v>
      </c>
      <c r="R235" s="99"/>
      <c r="S235" s="99">
        <f t="shared" ref="S235" si="550">+(S136+S153)/(S34+S31+S136+S153)</f>
        <v>0.8481305965481083</v>
      </c>
      <c r="T235" s="99"/>
      <c r="U235" s="151">
        <f>+(U136)/(U34+U136+U184)</f>
        <v>0.84350314895186018</v>
      </c>
      <c r="V235" s="151">
        <f>+(V136)/(V34+V136+V184)</f>
        <v>0.84350314895186018</v>
      </c>
      <c r="W235" s="99"/>
      <c r="X235" s="151">
        <f>+(X136)/(X34+X136+X184)</f>
        <v>0.84733019647282792</v>
      </c>
      <c r="Y235" s="99"/>
      <c r="Z235" s="151">
        <f t="shared" ref="Z235:AE235" si="551">+(Z147)/(Z34+Z147+Z184)</f>
        <v>0.86265546319605579</v>
      </c>
      <c r="AA235" s="151">
        <f t="shared" si="551"/>
        <v>0.86265546319605579</v>
      </c>
      <c r="AB235" s="151">
        <f t="shared" si="551"/>
        <v>0.86408773940747385</v>
      </c>
      <c r="AC235" s="151">
        <f>+(AC147)/(AC34+AC147+AC184)</f>
        <v>0.84444334450136249</v>
      </c>
      <c r="AD235" s="151">
        <f t="shared" si="551"/>
        <v>0.80432644823293442</v>
      </c>
      <c r="AE235" s="151">
        <f t="shared" si="551"/>
        <v>0.74701594660682158</v>
      </c>
      <c r="AF235" s="151">
        <f t="shared" ref="AF235:AN235" si="552">+(AF147)/(AF34+AF147+AF184)</f>
        <v>0.688216294886561</v>
      </c>
      <c r="AG235" s="151">
        <f t="shared" si="552"/>
        <v>0.62380025976304443</v>
      </c>
      <c r="AH235" s="151">
        <f t="shared" si="552"/>
        <v>0.55720350614187586</v>
      </c>
      <c r="AI235" s="151">
        <f t="shared" si="552"/>
        <v>0.47517378246393854</v>
      </c>
      <c r="AJ235" s="151">
        <f t="shared" si="552"/>
        <v>0.38594286414483886</v>
      </c>
      <c r="AK235" s="151">
        <f t="shared" si="552"/>
        <v>0.28437282499251609</v>
      </c>
      <c r="AL235" s="151">
        <f t="shared" si="552"/>
        <v>0.17288424044017392</v>
      </c>
      <c r="AM235" s="151">
        <f t="shared" si="552"/>
        <v>5.6946732680234535E-2</v>
      </c>
      <c r="AN235" s="151">
        <f t="shared" si="552"/>
        <v>0</v>
      </c>
    </row>
    <row r="236" spans="1:40" s="2" customFormat="1">
      <c r="A236" s="2" t="s">
        <v>233</v>
      </c>
      <c r="Q236" s="83" t="str">
        <f t="shared" ref="Q236:AA236" si="553">+IF(Q235&lt;=85%,"ok","checar")</f>
        <v>ok</v>
      </c>
      <c r="R236" s="83"/>
      <c r="S236" s="83" t="str">
        <f t="shared" si="553"/>
        <v>ok</v>
      </c>
      <c r="T236" s="83"/>
      <c r="U236" s="83" t="str">
        <f t="shared" si="553"/>
        <v>ok</v>
      </c>
      <c r="V236" s="83" t="str">
        <f t="shared" si="553"/>
        <v>ok</v>
      </c>
      <c r="W236" s="83"/>
      <c r="X236" s="83" t="str">
        <f t="shared" ref="X236:Z236" si="554">+IF(X235&lt;=85%,"ok","checar")</f>
        <v>ok</v>
      </c>
      <c r="Y236" s="83"/>
      <c r="Z236" s="83" t="str">
        <f t="shared" si="554"/>
        <v>checar</v>
      </c>
      <c r="AA236" s="83" t="str">
        <f t="shared" si="553"/>
        <v>checar</v>
      </c>
      <c r="AB236" s="83" t="str">
        <f>+IF(AB235&lt;=85%,"ok","checar")</f>
        <v>checar</v>
      </c>
      <c r="AC236" s="83" t="str">
        <f>+IF(AC235&lt;=85%,"ok","checar")</f>
        <v>ok</v>
      </c>
      <c r="AD236" s="83" t="str">
        <f>+IF(AD235&lt;=85%,"ok","checar")</f>
        <v>ok</v>
      </c>
      <c r="AE236" s="83" t="str">
        <f t="shared" ref="AE236:AN236" si="555">+IF(AE235&lt;=75%,"ok","checar")</f>
        <v>ok</v>
      </c>
      <c r="AF236" s="83" t="str">
        <f t="shared" si="555"/>
        <v>ok</v>
      </c>
      <c r="AG236" s="83" t="str">
        <f t="shared" si="555"/>
        <v>ok</v>
      </c>
      <c r="AH236" s="83" t="str">
        <f t="shared" si="555"/>
        <v>ok</v>
      </c>
      <c r="AI236" s="83" t="str">
        <f t="shared" si="555"/>
        <v>ok</v>
      </c>
      <c r="AJ236" s="83" t="str">
        <f t="shared" si="555"/>
        <v>ok</v>
      </c>
      <c r="AK236" s="83" t="str">
        <f t="shared" si="555"/>
        <v>ok</v>
      </c>
      <c r="AL236" s="83" t="str">
        <f t="shared" si="555"/>
        <v>ok</v>
      </c>
      <c r="AM236" s="83" t="str">
        <f t="shared" si="555"/>
        <v>ok</v>
      </c>
      <c r="AN236" s="83" t="str">
        <f t="shared" si="555"/>
        <v>ok</v>
      </c>
    </row>
    <row r="237" spans="1:40" s="2" customFormat="1">
      <c r="A237" s="2" t="s">
        <v>234</v>
      </c>
      <c r="V237" s="293">
        <f>+IF((V239-V242)&lt;1,1.3,V238/(V239-V242))</f>
        <v>1.3</v>
      </c>
      <c r="AA237" s="293">
        <f t="shared" ref="AA237:AK237" si="556">+IF((AA239-AA242)&lt;1,1.3,AA238/(AA239-AA242))</f>
        <v>2.2558048705969269</v>
      </c>
      <c r="AB237" s="293">
        <f t="shared" si="556"/>
        <v>1.011879378281235</v>
      </c>
      <c r="AC237" s="293">
        <f t="shared" si="556"/>
        <v>1.1577708599841672</v>
      </c>
      <c r="AD237" s="293">
        <f t="shared" si="556"/>
        <v>1.3129102712950675</v>
      </c>
      <c r="AE237" s="293">
        <f t="shared" si="556"/>
        <v>1.242541474135556</v>
      </c>
      <c r="AF237" s="293">
        <f t="shared" si="556"/>
        <v>1.2845538209845322</v>
      </c>
      <c r="AG237" s="293">
        <f t="shared" si="556"/>
        <v>1.1483316515766413</v>
      </c>
      <c r="AH237" s="293">
        <f t="shared" si="556"/>
        <v>1.167768869516383</v>
      </c>
      <c r="AI237" s="293">
        <f t="shared" si="556"/>
        <v>1.1501675399037246</v>
      </c>
      <c r="AJ237" s="293">
        <f t="shared" si="556"/>
        <v>1.1750363985377121</v>
      </c>
      <c r="AK237" s="293">
        <f t="shared" si="556"/>
        <v>1.2454026029010974</v>
      </c>
      <c r="AL237" s="293">
        <f>+IF((AL239-AL242)&lt;1,1.3,AL238/(AL239-AL242))+0.009</f>
        <v>1.3003175621446839</v>
      </c>
      <c r="AM237" s="293">
        <f t="shared" ref="AM237:AN237" si="557">+IF((AM239-AM242)&lt;1,1.3,AM238/(AM239-AM242))</f>
        <v>1.1915590036188333</v>
      </c>
      <c r="AN237" s="293">
        <f t="shared" si="557"/>
        <v>2.5874853832949549</v>
      </c>
    </row>
    <row r="238" spans="1:40" s="2" customFormat="1">
      <c r="A238" s="2" t="s">
        <v>235</v>
      </c>
      <c r="N238" s="294"/>
      <c r="O238" s="294"/>
      <c r="P238" s="294"/>
      <c r="Q238" s="236"/>
      <c r="R238" s="294"/>
      <c r="S238" s="294"/>
      <c r="T238" s="294"/>
      <c r="U238" s="294"/>
      <c r="V238" s="135">
        <f>+V60+V62+V63+V70+V209+V164+V205+IF(V74&lt;0,V74,0)</f>
        <v>-0.13099999999997181</v>
      </c>
      <c r="W238" s="294"/>
      <c r="X238" s="294"/>
      <c r="Y238" s="294"/>
      <c r="Z238" s="294"/>
      <c r="AA238" s="135">
        <f>+AA60+AA62+AA63+AA70+AA209+AA164+AA205+IF(AA74&lt;0,AA74,0)+AA211</f>
        <v>155.22042405640167</v>
      </c>
      <c r="AB238" s="135">
        <f>+AB60+AB62+AB63+AB70+AB209+AB164+AB205+IF(AB74&lt;0,AB74,0)+AB211</f>
        <v>104.26497343687869</v>
      </c>
      <c r="AC238" s="135">
        <f>+AC60+AC62+AC63+AC70+AC209+AC164+AC205+IF(AC74&lt;0,AC74,0)+AC211</f>
        <v>137.40477941166952</v>
      </c>
      <c r="AD238" s="135">
        <f t="shared" ref="AD238:AN238" si="558">+AD60+AD62+AD63+AD70+AD209+AD164+AD205+IF(AD74&lt;0,AD74,0)+AD211</f>
        <v>214.28690664516026</v>
      </c>
      <c r="AE238" s="135">
        <f t="shared" si="558"/>
        <v>238.2282255640969</v>
      </c>
      <c r="AF238" s="135">
        <f t="shared" si="558"/>
        <v>264.83311459360505</v>
      </c>
      <c r="AG238" s="135">
        <f t="shared" si="558"/>
        <v>246.08950593379657</v>
      </c>
      <c r="AH238" s="135">
        <f t="shared" si="558"/>
        <v>272.98165610037495</v>
      </c>
      <c r="AI238" s="135">
        <f t="shared" si="558"/>
        <v>309.23694945902173</v>
      </c>
      <c r="AJ238" s="135">
        <f t="shared" si="558"/>
        <v>326.92028338735878</v>
      </c>
      <c r="AK238" s="135">
        <f t="shared" si="558"/>
        <v>366.49099654068579</v>
      </c>
      <c r="AL238" s="135">
        <f t="shared" si="558"/>
        <v>386.39501523238135</v>
      </c>
      <c r="AM238" s="135">
        <f t="shared" si="558"/>
        <v>347.95855905689223</v>
      </c>
      <c r="AN238" s="135">
        <f t="shared" si="558"/>
        <v>363.9649712538598</v>
      </c>
    </row>
    <row r="239" spans="1:40" s="2" customFormat="1">
      <c r="A239" s="220" t="s">
        <v>236</v>
      </c>
      <c r="B239" s="220"/>
      <c r="C239" s="220"/>
      <c r="D239" s="220"/>
      <c r="E239" s="220"/>
      <c r="F239" s="220"/>
      <c r="G239" s="220"/>
      <c r="H239" s="220"/>
      <c r="I239" s="220"/>
      <c r="J239" s="220"/>
      <c r="K239" s="220"/>
      <c r="L239" s="220"/>
      <c r="M239" s="220"/>
      <c r="N239" s="106"/>
      <c r="O239" s="106"/>
      <c r="P239" s="106"/>
      <c r="Q239" s="236"/>
      <c r="R239" s="220"/>
      <c r="S239" s="220"/>
      <c r="T239" s="220"/>
      <c r="U239" s="220"/>
      <c r="V239" s="106">
        <f t="shared" ref="V239" si="559">-(V163+V158)</f>
        <v>0</v>
      </c>
      <c r="W239" s="220"/>
      <c r="X239" s="220"/>
      <c r="Y239" s="220"/>
      <c r="Z239" s="220"/>
      <c r="AA239" s="106">
        <f t="shared" ref="AA239:AN239" si="560">-(AA163+AA158)</f>
        <v>98.202331019543166</v>
      </c>
      <c r="AB239" s="106">
        <f t="shared" si="560"/>
        <v>103.0409114710706</v>
      </c>
      <c r="AC239" s="106">
        <f>-(AC163+AC158)</f>
        <v>118.6804610141497</v>
      </c>
      <c r="AD239" s="106">
        <f t="shared" si="560"/>
        <v>163.21519553182074</v>
      </c>
      <c r="AE239" s="106">
        <f t="shared" si="560"/>
        <v>191.72657856739454</v>
      </c>
      <c r="AF239" s="106">
        <f t="shared" si="560"/>
        <v>206.16739467609588</v>
      </c>
      <c r="AG239" s="106">
        <f t="shared" si="560"/>
        <v>214.30177039526828</v>
      </c>
      <c r="AH239" s="106">
        <f t="shared" si="560"/>
        <v>233.76342975594724</v>
      </c>
      <c r="AI239" s="106">
        <f t="shared" si="560"/>
        <v>268.86252544121231</v>
      </c>
      <c r="AJ239" s="106">
        <f t="shared" si="560"/>
        <v>278.22140981692019</v>
      </c>
      <c r="AK239" s="106">
        <f t="shared" si="560"/>
        <v>294.27511688747478</v>
      </c>
      <c r="AL239" s="106">
        <f t="shared" si="560"/>
        <v>299.22540090807519</v>
      </c>
      <c r="AM239" s="106">
        <f t="shared" si="560"/>
        <v>292.01957939147121</v>
      </c>
      <c r="AN239" s="106">
        <f t="shared" si="560"/>
        <v>140.66358542685936</v>
      </c>
    </row>
    <row r="240" spans="1:40" s="2" customFormat="1">
      <c r="A240" s="244" t="s">
        <v>233</v>
      </c>
      <c r="B240" s="244"/>
      <c r="C240" s="244"/>
      <c r="D240" s="244"/>
      <c r="E240" s="244"/>
      <c r="F240" s="244"/>
      <c r="G240" s="244"/>
      <c r="H240" s="244"/>
      <c r="I240" s="244"/>
      <c r="J240" s="244"/>
      <c r="K240" s="244"/>
      <c r="L240" s="244"/>
      <c r="M240" s="244"/>
      <c r="N240" s="244"/>
      <c r="O240" s="244"/>
      <c r="P240" s="244"/>
      <c r="Q240" s="244"/>
      <c r="R240" s="244"/>
      <c r="S240" s="272"/>
      <c r="T240" s="272"/>
      <c r="U240" s="272"/>
      <c r="V240" s="290" t="str">
        <f>+IF(V237&gt;1.14,"ok", "verificar")</f>
        <v>ok</v>
      </c>
      <c r="W240" s="272"/>
      <c r="X240" s="272"/>
      <c r="Y240" s="272"/>
      <c r="Z240" s="272"/>
      <c r="AA240" s="290" t="str">
        <f>+IF(AA237&gt;1.14,"ok", "verificar")</f>
        <v>ok</v>
      </c>
      <c r="AB240" s="290" t="str">
        <f>+IF(AB237&gt;1.14,"ok", "verificar")</f>
        <v>verificar</v>
      </c>
      <c r="AC240" s="290" t="str">
        <f>+IF(AC237&gt;1.14,"ok", "verificar")</f>
        <v>ok</v>
      </c>
      <c r="AD240" s="290" t="str">
        <f>+IF(AD237&gt;1.14,"ok", "verificar")</f>
        <v>ok</v>
      </c>
      <c r="AE240" s="290" t="str">
        <f t="shared" ref="AE240:AN240" si="561">+IF(AE237&gt;1.14,"ok", "verificar")</f>
        <v>ok</v>
      </c>
      <c r="AF240" s="290" t="str">
        <f t="shared" si="561"/>
        <v>ok</v>
      </c>
      <c r="AG240" s="290" t="str">
        <f>+IF(AG237&gt;1.14,"ok", "verificar")</f>
        <v>ok</v>
      </c>
      <c r="AH240" s="290" t="str">
        <f>+IF(AH237&gt;1.14,"ok", "verificar")</f>
        <v>ok</v>
      </c>
      <c r="AI240" s="290" t="str">
        <f>+IF(AI237&gt;1.14,"ok", "verificar")</f>
        <v>ok</v>
      </c>
      <c r="AJ240" s="290" t="str">
        <f t="shared" si="561"/>
        <v>ok</v>
      </c>
      <c r="AK240" s="290" t="str">
        <f t="shared" si="561"/>
        <v>ok</v>
      </c>
      <c r="AL240" s="290" t="str">
        <f t="shared" si="561"/>
        <v>ok</v>
      </c>
      <c r="AM240" s="290" t="str">
        <f t="shared" si="561"/>
        <v>ok</v>
      </c>
      <c r="AN240" s="290" t="str">
        <f t="shared" si="561"/>
        <v>ok</v>
      </c>
    </row>
    <row r="241" spans="1:40" s="2" customFormat="1"/>
    <row r="242" spans="1:40" s="2" customFormat="1">
      <c r="A242" s="289" t="s">
        <v>248</v>
      </c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19"/>
      <c r="R242" s="289"/>
      <c r="S242" s="289"/>
      <c r="T242" s="289"/>
      <c r="U242" s="289"/>
      <c r="V242" s="219"/>
      <c r="W242" s="289"/>
      <c r="X242" s="289"/>
      <c r="Y242" s="289"/>
      <c r="Z242" s="289"/>
      <c r="AA242" s="219">
        <f>+V228</f>
        <v>29.393000000000001</v>
      </c>
      <c r="AB242" s="219">
        <v>0</v>
      </c>
      <c r="AC242" s="219">
        <v>0</v>
      </c>
      <c r="AD242" s="219">
        <f t="shared" ref="AD242:AN242" si="562">+(AD228-AC228)*-1</f>
        <v>0</v>
      </c>
      <c r="AE242" s="219">
        <f t="shared" si="562"/>
        <v>0</v>
      </c>
      <c r="AF242" s="219">
        <f t="shared" si="562"/>
        <v>0</v>
      </c>
      <c r="AG242" s="219">
        <f t="shared" si="562"/>
        <v>0</v>
      </c>
      <c r="AH242" s="219">
        <f t="shared" si="562"/>
        <v>0</v>
      </c>
      <c r="AI242" s="219">
        <f t="shared" si="562"/>
        <v>0</v>
      </c>
      <c r="AJ242" s="219">
        <f t="shared" si="562"/>
        <v>0</v>
      </c>
      <c r="AK242" s="219">
        <f t="shared" si="562"/>
        <v>0</v>
      </c>
      <c r="AL242" s="219">
        <f t="shared" si="562"/>
        <v>0</v>
      </c>
      <c r="AM242" s="219">
        <f t="shared" si="562"/>
        <v>0</v>
      </c>
      <c r="AN242" s="219">
        <f t="shared" si="562"/>
        <v>0</v>
      </c>
    </row>
    <row r="243" spans="1:40" s="2" customFormat="1">
      <c r="A243" s="220" t="s">
        <v>247</v>
      </c>
      <c r="B243" s="220"/>
      <c r="C243" s="220"/>
      <c r="D243" s="220"/>
      <c r="E243" s="220"/>
      <c r="F243" s="220"/>
      <c r="G243" s="220"/>
      <c r="H243" s="220"/>
      <c r="I243" s="220"/>
      <c r="J243" s="220"/>
      <c r="K243" s="220"/>
      <c r="L243" s="220"/>
      <c r="M243" s="220"/>
      <c r="N243" s="220"/>
      <c r="O243" s="220"/>
      <c r="P243" s="220"/>
      <c r="Q243" s="84"/>
      <c r="R243" s="220"/>
      <c r="S243" s="220"/>
      <c r="T243" s="220"/>
      <c r="U243" s="220"/>
      <c r="V243" s="84"/>
      <c r="W243" s="220"/>
      <c r="X243" s="220"/>
      <c r="Y243" s="220"/>
      <c r="Z243" s="220"/>
      <c r="AA243" s="84">
        <f>+IF(AA244&lt;1.3,(AA239-(AA238/1.3)),0)</f>
        <v>0</v>
      </c>
      <c r="AB243" s="84">
        <f>+IF(AB244&lt;1.3,(AB239-(AB238/1.3)),0)</f>
        <v>22.837085750394692</v>
      </c>
      <c r="AC243" s="84">
        <f>+IF(AC244&lt;1.3,(AC239-(AC238/1.3)),0)</f>
        <v>12.984476851326988</v>
      </c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</row>
    <row r="244" spans="1:40" s="2" customFormat="1">
      <c r="A244" s="220" t="s">
        <v>245</v>
      </c>
      <c r="B244" s="220"/>
      <c r="C244" s="220"/>
      <c r="D244" s="220"/>
      <c r="E244" s="220"/>
      <c r="F244" s="220"/>
      <c r="G244" s="220"/>
      <c r="H244" s="220"/>
      <c r="I244" s="220"/>
      <c r="J244" s="220"/>
      <c r="K244" s="220"/>
      <c r="L244" s="220"/>
      <c r="M244" s="220"/>
      <c r="N244" s="220"/>
      <c r="O244" s="220"/>
      <c r="P244" s="220"/>
      <c r="Q244" s="192"/>
      <c r="R244" s="220"/>
      <c r="S244" s="220"/>
      <c r="T244" s="220"/>
      <c r="U244" s="220"/>
      <c r="V244" s="192"/>
      <c r="W244" s="220"/>
      <c r="X244" s="220"/>
      <c r="Y244" s="220"/>
      <c r="Z244" s="220"/>
      <c r="AA244" s="192">
        <f>+AA238/AA239</f>
        <v>1.5806185295694395</v>
      </c>
      <c r="AB244" s="192">
        <f t="shared" ref="AB244:AN244" si="563">+AB238/AB239</f>
        <v>1.011879378281235</v>
      </c>
      <c r="AC244" s="192">
        <f>+AC238/AC239</f>
        <v>1.1577708599841672</v>
      </c>
      <c r="AD244" s="192">
        <f t="shared" si="563"/>
        <v>1.3129102712950675</v>
      </c>
      <c r="AE244" s="192">
        <f t="shared" si="563"/>
        <v>1.242541474135556</v>
      </c>
      <c r="AF244" s="192">
        <f t="shared" si="563"/>
        <v>1.2845538209845322</v>
      </c>
      <c r="AG244" s="192">
        <f t="shared" si="563"/>
        <v>1.1483316515766413</v>
      </c>
      <c r="AH244" s="192">
        <f t="shared" si="563"/>
        <v>1.167768869516383</v>
      </c>
      <c r="AI244" s="192">
        <f t="shared" si="563"/>
        <v>1.1501675399037246</v>
      </c>
      <c r="AJ244" s="192">
        <f t="shared" si="563"/>
        <v>1.1750363985377121</v>
      </c>
      <c r="AK244" s="192">
        <f t="shared" si="563"/>
        <v>1.2454026029010974</v>
      </c>
      <c r="AL244" s="192">
        <f t="shared" si="563"/>
        <v>1.291317562144684</v>
      </c>
      <c r="AM244" s="192">
        <f t="shared" si="563"/>
        <v>1.1915590036188333</v>
      </c>
      <c r="AN244" s="192">
        <f t="shared" si="563"/>
        <v>2.5874853832949549</v>
      </c>
    </row>
    <row r="245" spans="1:40" s="2" customFormat="1">
      <c r="A245" s="244" t="s">
        <v>246</v>
      </c>
      <c r="B245" s="244"/>
      <c r="C245" s="244"/>
      <c r="D245" s="244"/>
      <c r="E245" s="244"/>
      <c r="F245" s="244"/>
      <c r="G245" s="244"/>
      <c r="H245" s="244"/>
      <c r="I245" s="244"/>
      <c r="J245" s="244"/>
      <c r="K245" s="244"/>
      <c r="L245" s="244"/>
      <c r="M245" s="244"/>
      <c r="N245" s="244"/>
      <c r="O245" s="244"/>
      <c r="P245" s="244"/>
      <c r="Q245" s="295"/>
      <c r="R245" s="244"/>
      <c r="S245" s="272"/>
      <c r="T245" s="272"/>
      <c r="U245" s="272"/>
      <c r="V245" s="295"/>
      <c r="W245" s="272"/>
      <c r="X245" s="272"/>
      <c r="Y245" s="272"/>
      <c r="Z245" s="272"/>
      <c r="AA245" s="295">
        <f t="shared" ref="AA245:AN245" si="564">1.3-AA244</f>
        <v>-0.28061852956943945</v>
      </c>
      <c r="AB245" s="295">
        <f t="shared" si="564"/>
        <v>0.28812062171876507</v>
      </c>
      <c r="AC245" s="295">
        <f>1.3-AC244</f>
        <v>0.14222914001583287</v>
      </c>
      <c r="AD245" s="295">
        <f t="shared" si="564"/>
        <v>-1.2910271295067499E-2</v>
      </c>
      <c r="AE245" s="295">
        <f t="shared" si="564"/>
        <v>5.7458525864443999E-2</v>
      </c>
      <c r="AF245" s="295">
        <f t="shared" si="564"/>
        <v>1.5446179015467854E-2</v>
      </c>
      <c r="AG245" s="295">
        <f t="shared" si="564"/>
        <v>0.15166834842335875</v>
      </c>
      <c r="AH245" s="295">
        <f t="shared" si="564"/>
        <v>0.13223113048361701</v>
      </c>
      <c r="AI245" s="295">
        <f t="shared" si="564"/>
        <v>0.14983246009627549</v>
      </c>
      <c r="AJ245" s="295">
        <f t="shared" si="564"/>
        <v>0.12496360146228791</v>
      </c>
      <c r="AK245" s="295">
        <f t="shared" si="564"/>
        <v>5.4597397098902656E-2</v>
      </c>
      <c r="AL245" s="295">
        <f t="shared" si="564"/>
        <v>8.682437855316083E-3</v>
      </c>
      <c r="AM245" s="295">
        <f t="shared" si="564"/>
        <v>0.10844099638116678</v>
      </c>
      <c r="AN245" s="295">
        <f t="shared" si="564"/>
        <v>-1.2874853832949549</v>
      </c>
    </row>
    <row r="246" spans="1:40" s="2" customFormat="1"/>
    <row r="247" spans="1:40" s="2" customFormat="1">
      <c r="AB247" s="316"/>
    </row>
    <row r="248" spans="1:40" s="2" customFormat="1">
      <c r="AA248" s="327"/>
      <c r="AB248" s="327"/>
      <c r="AC248" s="327"/>
      <c r="AD248" s="327"/>
      <c r="AE248" s="327"/>
      <c r="AF248" s="327"/>
      <c r="AG248" s="327"/>
      <c r="AH248" s="204"/>
      <c r="AI248" s="204"/>
      <c r="AJ248" s="204"/>
      <c r="AK248" s="204"/>
    </row>
    <row r="249" spans="1:40" s="2" customFormat="1">
      <c r="AA249" s="204"/>
      <c r="AB249" s="204"/>
      <c r="AC249" s="204"/>
      <c r="AD249" s="204"/>
      <c r="AE249" s="204"/>
      <c r="AF249" s="204"/>
      <c r="AG249" s="204"/>
    </row>
    <row r="250" spans="1:40" s="2" customFormat="1">
      <c r="Y250" s="216"/>
      <c r="Z250" s="216"/>
    </row>
    <row r="251" spans="1:40" s="2" customFormat="1">
      <c r="Y251" s="204"/>
      <c r="Z251" s="204"/>
      <c r="AA251" s="204"/>
      <c r="AB251" s="204"/>
    </row>
    <row r="252" spans="1:40" s="2" customFormat="1"/>
    <row r="254" spans="1:40">
      <c r="X254" s="29"/>
    </row>
    <row r="256" spans="1:40">
      <c r="X256" s="29"/>
      <c r="Y256" s="29"/>
    </row>
    <row r="258" spans="24:26">
      <c r="X258" s="29"/>
      <c r="Z258" s="29"/>
    </row>
    <row r="261" spans="24:26">
      <c r="Y261" s="29"/>
    </row>
  </sheetData>
  <pageMargins left="0.7" right="0.7" top="0.75" bottom="0.75" header="0.3" footer="0.3"/>
  <pageSetup paperSize="9" orientation="portrait" r:id="rId1"/>
  <ignoredErrors>
    <ignoredError sqref="K56:K57 K69:K76 F56:F62 F64:F76 Q76" formulaRange="1"/>
    <ignoredError sqref="L97 G97 G133:L133 G113:L113 G116:L116 G119:L119 G122:L122 G125:L125 G130:K130 Q136 M32 Q41:Q47 Q56 Q70:Q74 Q180 Q210:Q216 Q199 Q96:Q97 Q113:Q129 R219 Q20:Q28 Q6 Q51 Q54 Q58:Q69 Q133 Q49 Q131" formula="1"/>
    <ignoredError sqref="Q55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K191"/>
  <sheetViews>
    <sheetView showGridLines="0" zoomScale="85" zoomScaleNormal="85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AK22" sqref="AK22"/>
    </sheetView>
  </sheetViews>
  <sheetFormatPr defaultRowHeight="15" outlineLevelCol="1"/>
  <cols>
    <col min="1" max="1" width="38.5703125" style="2" bestFit="1" customWidth="1"/>
    <col min="2" max="2" width="9.140625" style="11" hidden="1" customWidth="1" outlineLevel="1"/>
    <col min="3" max="4" width="9.140625" style="18" hidden="1" customWidth="1" outlineLevel="1"/>
    <col min="5" max="5" width="9.140625" style="83" customWidth="1" collapsed="1"/>
    <col min="6" max="9" width="9.140625" style="83" hidden="1" customWidth="1" outlineLevel="1"/>
    <col min="10" max="10" width="9.140625" style="83" customWidth="1" collapsed="1"/>
    <col min="11" max="14" width="9.140625" style="83" hidden="1" customWidth="1" outlineLevel="1"/>
    <col min="15" max="15" width="9.140625" style="83" customWidth="1" collapsed="1"/>
    <col min="16" max="19" width="9.140625" style="83" hidden="1" customWidth="1" outlineLevel="1"/>
    <col min="20" max="20" width="9.140625" style="83" customWidth="1" collapsed="1"/>
    <col min="21" max="24" width="9.140625" style="83" hidden="1" customWidth="1" outlineLevel="1"/>
    <col min="25" max="25" width="9.140625" style="83" customWidth="1" collapsed="1"/>
    <col min="26" max="29" width="9.140625" style="83" hidden="1" customWidth="1" outlineLevel="1"/>
    <col min="30" max="30" width="9.140625" style="83" customWidth="1" collapsed="1"/>
    <col min="31" max="34" width="9.140625" style="83" customWidth="1" outlineLevel="1"/>
    <col min="35" max="35" width="9.140625" style="83" customWidth="1"/>
    <col min="36" max="39" width="9.140625" style="83" customWidth="1" outlineLevel="1"/>
    <col min="40" max="40" width="9.140625" style="83" customWidth="1"/>
    <col min="41" max="44" width="9.140625" style="83" hidden="1" customWidth="1" outlineLevel="1"/>
    <col min="45" max="45" width="9.140625" style="83" customWidth="1" collapsed="1"/>
    <col min="46" max="49" width="9.140625" style="83" hidden="1" customWidth="1" outlineLevel="1"/>
    <col min="50" max="50" width="9.140625" style="83" customWidth="1" collapsed="1"/>
    <col min="51" max="54" width="9.140625" style="83" hidden="1" customWidth="1" outlineLevel="1"/>
    <col min="55" max="55" width="9.140625" style="83" customWidth="1" collapsed="1"/>
    <col min="56" max="59" width="9.140625" style="83" hidden="1" customWidth="1" outlineLevel="1"/>
    <col min="60" max="60" width="9.140625" style="83" customWidth="1" collapsed="1"/>
    <col min="61" max="64" width="9.140625" style="83" hidden="1" customWidth="1" outlineLevel="1"/>
    <col min="65" max="65" width="9.140625" style="83" customWidth="1" collapsed="1"/>
    <col min="66" max="69" width="9.140625" style="83" hidden="1" customWidth="1" outlineLevel="1"/>
    <col min="70" max="70" width="9.140625" style="83" customWidth="1" collapsed="1"/>
    <col min="71" max="74" width="9.140625" style="83" hidden="1" customWidth="1" outlineLevel="1"/>
    <col min="75" max="75" width="9.140625" style="83" customWidth="1" collapsed="1"/>
    <col min="76" max="79" width="9.140625" style="83" hidden="1" customWidth="1" outlineLevel="1"/>
    <col min="80" max="80" width="9.140625" style="83" customWidth="1" collapsed="1"/>
    <col min="81" max="84" width="9.140625" style="83" hidden="1" customWidth="1" outlineLevel="1"/>
    <col min="85" max="85" width="9.140625" style="83" customWidth="1" collapsed="1"/>
    <col min="86" max="89" width="9.140625" style="83" hidden="1" customWidth="1" outlineLevel="1"/>
    <col min="90" max="90" width="9.140625" style="83" customWidth="1" collapsed="1"/>
    <col min="91" max="94" width="9.140625" style="83" hidden="1" customWidth="1" outlineLevel="1"/>
    <col min="95" max="95" width="9.140625" style="83" customWidth="1" collapsed="1"/>
    <col min="96" max="99" width="9.140625" style="83" hidden="1" customWidth="1" outlineLevel="1"/>
    <col min="100" max="100" width="9.140625" style="83" customWidth="1" collapsed="1"/>
    <col min="101" max="16384" width="9.140625" style="11"/>
  </cols>
  <sheetData>
    <row r="1" spans="1:115" s="2" customFormat="1" ht="27" hidden="1" customHeight="1" thickBot="1">
      <c r="A1" s="3" t="s">
        <v>0</v>
      </c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>
        <f>65*0.3</f>
        <v>19.5</v>
      </c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83"/>
      <c r="BW1" s="83"/>
      <c r="BX1" s="83"/>
      <c r="BY1" s="83"/>
      <c r="BZ1" s="83"/>
      <c r="CA1" s="83"/>
      <c r="CB1" s="83"/>
      <c r="CC1" s="83"/>
      <c r="CD1" s="83"/>
      <c r="CE1" s="83"/>
      <c r="CF1" s="83"/>
      <c r="CG1" s="83"/>
      <c r="CH1" s="83"/>
      <c r="CI1" s="83"/>
      <c r="CJ1" s="83"/>
      <c r="CK1" s="83"/>
      <c r="CL1" s="83"/>
      <c r="CM1" s="83"/>
      <c r="CN1" s="83"/>
      <c r="CO1" s="83"/>
      <c r="CP1" s="83"/>
      <c r="CQ1" s="83"/>
      <c r="CR1" s="83"/>
      <c r="CS1" s="83"/>
      <c r="CT1" s="83"/>
      <c r="CU1" s="83"/>
      <c r="CV1" s="83"/>
    </row>
    <row r="2" spans="1:115">
      <c r="B2" s="7"/>
      <c r="C2" s="7"/>
      <c r="D2" s="7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</row>
    <row r="3" spans="1:115" s="1" customFormat="1">
      <c r="A3" s="138" t="s">
        <v>173</v>
      </c>
      <c r="B3" s="4" t="s">
        <v>82</v>
      </c>
      <c r="C3" s="4" t="s">
        <v>83</v>
      </c>
      <c r="D3" s="4" t="s">
        <v>2</v>
      </c>
      <c r="E3" s="85">
        <v>2009</v>
      </c>
      <c r="F3" s="86" t="s">
        <v>3</v>
      </c>
      <c r="G3" s="86" t="s">
        <v>4</v>
      </c>
      <c r="H3" s="86" t="s">
        <v>5</v>
      </c>
      <c r="I3" s="86" t="s">
        <v>6</v>
      </c>
      <c r="J3" s="85">
        <v>2010</v>
      </c>
      <c r="K3" s="86" t="s">
        <v>7</v>
      </c>
      <c r="L3" s="86" t="s">
        <v>8</v>
      </c>
      <c r="M3" s="86" t="s">
        <v>9</v>
      </c>
      <c r="N3" s="86" t="s">
        <v>10</v>
      </c>
      <c r="O3" s="85">
        <v>2011</v>
      </c>
      <c r="P3" s="86" t="s">
        <v>11</v>
      </c>
      <c r="Q3" s="86" t="s">
        <v>12</v>
      </c>
      <c r="R3" s="86" t="s">
        <v>13</v>
      </c>
      <c r="S3" s="86" t="s">
        <v>14</v>
      </c>
      <c r="T3" s="85">
        <v>2012</v>
      </c>
      <c r="U3" s="86" t="s">
        <v>15</v>
      </c>
      <c r="V3" s="86" t="s">
        <v>292</v>
      </c>
      <c r="W3" s="86" t="s">
        <v>298</v>
      </c>
      <c r="X3" s="86" t="s">
        <v>302</v>
      </c>
      <c r="Y3" s="85">
        <v>2013</v>
      </c>
      <c r="Z3" s="86" t="s">
        <v>303</v>
      </c>
      <c r="AA3" s="86" t="s">
        <v>305</v>
      </c>
      <c r="AB3" s="86" t="s">
        <v>304</v>
      </c>
      <c r="AC3" s="86" t="s">
        <v>306</v>
      </c>
      <c r="AD3" s="85">
        <v>2014</v>
      </c>
      <c r="AE3" s="86" t="s">
        <v>318</v>
      </c>
      <c r="AF3" s="86" t="s">
        <v>320</v>
      </c>
      <c r="AG3" s="86" t="s">
        <v>321</v>
      </c>
      <c r="AH3" s="86" t="s">
        <v>101</v>
      </c>
      <c r="AI3" s="85" t="s">
        <v>102</v>
      </c>
      <c r="AJ3" s="86" t="s">
        <v>103</v>
      </c>
      <c r="AK3" s="86" t="s">
        <v>104</v>
      </c>
      <c r="AL3" s="86" t="s">
        <v>105</v>
      </c>
      <c r="AM3" s="86" t="s">
        <v>106</v>
      </c>
      <c r="AN3" s="85" t="s">
        <v>107</v>
      </c>
      <c r="AO3" s="86" t="s">
        <v>108</v>
      </c>
      <c r="AP3" s="86" t="s">
        <v>109</v>
      </c>
      <c r="AQ3" s="86" t="s">
        <v>110</v>
      </c>
      <c r="AR3" s="86" t="s">
        <v>111</v>
      </c>
      <c r="AS3" s="85" t="s">
        <v>112</v>
      </c>
      <c r="AT3" s="86" t="s">
        <v>113</v>
      </c>
      <c r="AU3" s="86" t="s">
        <v>114</v>
      </c>
      <c r="AV3" s="86" t="s">
        <v>115</v>
      </c>
      <c r="AW3" s="86" t="s">
        <v>116</v>
      </c>
      <c r="AX3" s="85" t="s">
        <v>117</v>
      </c>
      <c r="AY3" s="86" t="s">
        <v>118</v>
      </c>
      <c r="AZ3" s="86" t="s">
        <v>119</v>
      </c>
      <c r="BA3" s="86" t="s">
        <v>120</v>
      </c>
      <c r="BB3" s="86" t="s">
        <v>121</v>
      </c>
      <c r="BC3" s="85" t="s">
        <v>122</v>
      </c>
      <c r="BD3" s="86" t="s">
        <v>123</v>
      </c>
      <c r="BE3" s="86" t="s">
        <v>124</v>
      </c>
      <c r="BF3" s="86" t="s">
        <v>125</v>
      </c>
      <c r="BG3" s="86" t="s">
        <v>126</v>
      </c>
      <c r="BH3" s="85" t="s">
        <v>127</v>
      </c>
      <c r="BI3" s="86" t="s">
        <v>128</v>
      </c>
      <c r="BJ3" s="86" t="s">
        <v>129</v>
      </c>
      <c r="BK3" s="86" t="s">
        <v>130</v>
      </c>
      <c r="BL3" s="86" t="s">
        <v>131</v>
      </c>
      <c r="BM3" s="85" t="s">
        <v>132</v>
      </c>
      <c r="BN3" s="86" t="s">
        <v>133</v>
      </c>
      <c r="BO3" s="86" t="s">
        <v>134</v>
      </c>
      <c r="BP3" s="86" t="s">
        <v>135</v>
      </c>
      <c r="BQ3" s="86" t="s">
        <v>136</v>
      </c>
      <c r="BR3" s="85" t="s">
        <v>137</v>
      </c>
      <c r="BS3" s="86" t="s">
        <v>138</v>
      </c>
      <c r="BT3" s="86" t="s">
        <v>139</v>
      </c>
      <c r="BU3" s="86" t="s">
        <v>140</v>
      </c>
      <c r="BV3" s="86" t="s">
        <v>141</v>
      </c>
      <c r="BW3" s="85" t="s">
        <v>142</v>
      </c>
      <c r="BX3" s="86" t="s">
        <v>143</v>
      </c>
      <c r="BY3" s="86" t="s">
        <v>144</v>
      </c>
      <c r="BZ3" s="86" t="s">
        <v>145</v>
      </c>
      <c r="CA3" s="86" t="s">
        <v>146</v>
      </c>
      <c r="CB3" s="85" t="s">
        <v>147</v>
      </c>
      <c r="CC3" s="86" t="s">
        <v>148</v>
      </c>
      <c r="CD3" s="86" t="s">
        <v>149</v>
      </c>
      <c r="CE3" s="86" t="s">
        <v>150</v>
      </c>
      <c r="CF3" s="86" t="s">
        <v>151</v>
      </c>
      <c r="CG3" s="85" t="s">
        <v>152</v>
      </c>
      <c r="CH3" s="86" t="s">
        <v>153</v>
      </c>
      <c r="CI3" s="86" t="s">
        <v>154</v>
      </c>
      <c r="CJ3" s="86" t="s">
        <v>155</v>
      </c>
      <c r="CK3" s="86" t="s">
        <v>156</v>
      </c>
      <c r="CL3" s="85" t="s">
        <v>157</v>
      </c>
      <c r="CM3" s="86" t="s">
        <v>158</v>
      </c>
      <c r="CN3" s="86" t="s">
        <v>159</v>
      </c>
      <c r="CO3" s="86" t="s">
        <v>160</v>
      </c>
      <c r="CP3" s="86" t="s">
        <v>161</v>
      </c>
      <c r="CQ3" s="85" t="s">
        <v>162</v>
      </c>
      <c r="CR3" s="86" t="s">
        <v>163</v>
      </c>
      <c r="CS3" s="86" t="s">
        <v>164</v>
      </c>
      <c r="CT3" s="86" t="s">
        <v>165</v>
      </c>
      <c r="CU3" s="86" t="s">
        <v>166</v>
      </c>
      <c r="CV3" s="85" t="s">
        <v>167</v>
      </c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</row>
    <row r="4" spans="1:115" s="16" customFormat="1">
      <c r="A4" s="74" t="s">
        <v>168</v>
      </c>
      <c r="B4" s="75"/>
      <c r="C4" s="75"/>
      <c r="D4" s="75"/>
      <c r="E4" s="76">
        <v>-0.32824803986598594</v>
      </c>
      <c r="F4" s="75"/>
      <c r="G4" s="75"/>
      <c r="H4" s="75"/>
      <c r="I4" s="75"/>
      <c r="J4" s="76">
        <v>7.5336154528701238</v>
      </c>
      <c r="K4" s="75">
        <v>4.235653966354147</v>
      </c>
      <c r="L4" s="75">
        <v>3.3143580012650276</v>
      </c>
      <c r="M4" s="75">
        <v>2.1219663970130753</v>
      </c>
      <c r="N4" s="75">
        <v>1.3664596273291751</v>
      </c>
      <c r="O4" s="76">
        <v>2.7325092432441078</v>
      </c>
      <c r="P4" s="75">
        <v>0.752743046695592</v>
      </c>
      <c r="Q4" s="75">
        <v>0.48977592751315857</v>
      </c>
      <c r="R4" s="75">
        <v>0.6</v>
      </c>
      <c r="S4" s="75">
        <v>2.9499999999999997</v>
      </c>
      <c r="T4" s="76">
        <v>1</v>
      </c>
      <c r="U4" s="75">
        <v>2.7066659715250898</v>
      </c>
      <c r="V4" s="75">
        <v>3.3</v>
      </c>
      <c r="W4" s="75">
        <v>3.8386617923796398</v>
      </c>
      <c r="X4" s="75">
        <v>3.4717007961712301</v>
      </c>
      <c r="Y4" s="76">
        <v>3.3</v>
      </c>
      <c r="Z4" s="75">
        <v>2</v>
      </c>
      <c r="AA4" s="75">
        <v>2</v>
      </c>
      <c r="AB4" s="75">
        <v>2</v>
      </c>
      <c r="AC4" s="75">
        <v>2</v>
      </c>
      <c r="AD4" s="76">
        <f>Despesas!N4</f>
        <v>0.14458388757159199</v>
      </c>
      <c r="AE4" s="75">
        <f>AI4</f>
        <v>-3.1</v>
      </c>
      <c r="AF4" s="75">
        <f>AI4</f>
        <v>-3.1</v>
      </c>
      <c r="AG4" s="75">
        <f>AI4</f>
        <v>-3.1</v>
      </c>
      <c r="AH4" s="75">
        <f>AI4</f>
        <v>-3.1</v>
      </c>
      <c r="AI4" s="76">
        <f>Despesas!S4</f>
        <v>-3.1</v>
      </c>
      <c r="AJ4" s="75">
        <f>AN4</f>
        <v>-2</v>
      </c>
      <c r="AK4" s="75">
        <f>AN4</f>
        <v>-2</v>
      </c>
      <c r="AL4" s="75">
        <f>AN4</f>
        <v>-2</v>
      </c>
      <c r="AM4" s="75">
        <f>AN4</f>
        <v>-2</v>
      </c>
      <c r="AN4" s="76">
        <f>Despesas!T4</f>
        <v>-2</v>
      </c>
      <c r="AO4" s="75">
        <f>AS4</f>
        <v>1</v>
      </c>
      <c r="AP4" s="75">
        <f>AS4</f>
        <v>1</v>
      </c>
      <c r="AQ4" s="75">
        <f>AS4</f>
        <v>1</v>
      </c>
      <c r="AR4" s="75">
        <f>AS4</f>
        <v>1</v>
      </c>
      <c r="AS4" s="76">
        <f>Despesas!U4</f>
        <v>1</v>
      </c>
      <c r="AT4" s="75">
        <f>AX4</f>
        <v>2</v>
      </c>
      <c r="AU4" s="75">
        <f>AX4</f>
        <v>2</v>
      </c>
      <c r="AV4" s="75">
        <f>AX4</f>
        <v>2</v>
      </c>
      <c r="AW4" s="75">
        <f>AX4</f>
        <v>2</v>
      </c>
      <c r="AX4" s="76">
        <f>Despesas!V4</f>
        <v>2</v>
      </c>
      <c r="AY4" s="75">
        <f>BC4</f>
        <v>2</v>
      </c>
      <c r="AZ4" s="75">
        <f>BC4</f>
        <v>2</v>
      </c>
      <c r="BA4" s="75">
        <f>BC4</f>
        <v>2</v>
      </c>
      <c r="BB4" s="75">
        <f>BC4</f>
        <v>2</v>
      </c>
      <c r="BC4" s="76">
        <f>Despesas!W4</f>
        <v>2</v>
      </c>
      <c r="BD4" s="75">
        <f>BH4</f>
        <v>2</v>
      </c>
      <c r="BE4" s="75">
        <f>BH4</f>
        <v>2</v>
      </c>
      <c r="BF4" s="75">
        <f>BH4</f>
        <v>2</v>
      </c>
      <c r="BG4" s="75">
        <f>BH4</f>
        <v>2</v>
      </c>
      <c r="BH4" s="76">
        <f>Despesas!X4</f>
        <v>2</v>
      </c>
      <c r="BI4" s="75">
        <f>BM4</f>
        <v>2</v>
      </c>
      <c r="BJ4" s="75">
        <f>BM4</f>
        <v>2</v>
      </c>
      <c r="BK4" s="75">
        <f>BM4</f>
        <v>2</v>
      </c>
      <c r="BL4" s="75">
        <f>BM4</f>
        <v>2</v>
      </c>
      <c r="BM4" s="76">
        <f>Despesas!Y4</f>
        <v>2</v>
      </c>
      <c r="BN4" s="75">
        <f>BR4</f>
        <v>2</v>
      </c>
      <c r="BO4" s="75">
        <f>BR4</f>
        <v>2</v>
      </c>
      <c r="BP4" s="75">
        <f>BR4</f>
        <v>2</v>
      </c>
      <c r="BQ4" s="75">
        <f>BR4</f>
        <v>2</v>
      </c>
      <c r="BR4" s="76">
        <f>Despesas!Z4</f>
        <v>2</v>
      </c>
      <c r="BS4" s="75">
        <f>BW4</f>
        <v>2</v>
      </c>
      <c r="BT4" s="75">
        <f>BW4</f>
        <v>2</v>
      </c>
      <c r="BU4" s="75">
        <f>BW4</f>
        <v>2</v>
      </c>
      <c r="BV4" s="75">
        <f>BW4</f>
        <v>2</v>
      </c>
      <c r="BW4" s="76">
        <f>Despesas!AA4</f>
        <v>2</v>
      </c>
      <c r="BX4" s="75">
        <f>CB4</f>
        <v>2</v>
      </c>
      <c r="BY4" s="75">
        <f>CB4</f>
        <v>2</v>
      </c>
      <c r="BZ4" s="75">
        <f>CB4</f>
        <v>2</v>
      </c>
      <c r="CA4" s="75">
        <f>CB4</f>
        <v>2</v>
      </c>
      <c r="CB4" s="76">
        <f>Despesas!AB4</f>
        <v>2</v>
      </c>
      <c r="CC4" s="75">
        <f>CG4</f>
        <v>2</v>
      </c>
      <c r="CD4" s="75">
        <f>CG4</f>
        <v>2</v>
      </c>
      <c r="CE4" s="75">
        <f>CG4</f>
        <v>2</v>
      </c>
      <c r="CF4" s="75">
        <f>CG4</f>
        <v>2</v>
      </c>
      <c r="CG4" s="76">
        <f>Despesas!AC4</f>
        <v>2</v>
      </c>
      <c r="CH4" s="75">
        <f>CL4</f>
        <v>2</v>
      </c>
      <c r="CI4" s="75">
        <f>CL4</f>
        <v>2</v>
      </c>
      <c r="CJ4" s="75">
        <f>CL4</f>
        <v>2</v>
      </c>
      <c r="CK4" s="75">
        <f>CL4</f>
        <v>2</v>
      </c>
      <c r="CL4" s="76">
        <f>Despesas!AD4</f>
        <v>2</v>
      </c>
      <c r="CM4" s="75">
        <f>CQ4</f>
        <v>2</v>
      </c>
      <c r="CN4" s="75">
        <f>CQ4</f>
        <v>2</v>
      </c>
      <c r="CO4" s="75">
        <f>CQ4</f>
        <v>2</v>
      </c>
      <c r="CP4" s="75">
        <f>CQ4</f>
        <v>2</v>
      </c>
      <c r="CQ4" s="76">
        <f>Despesas!AE4</f>
        <v>2</v>
      </c>
      <c r="CR4" s="75">
        <f>CV4</f>
        <v>2</v>
      </c>
      <c r="CS4" s="75">
        <f>CV4</f>
        <v>2</v>
      </c>
      <c r="CT4" s="75">
        <f>CV4</f>
        <v>2</v>
      </c>
      <c r="CU4" s="75">
        <f>CV4</f>
        <v>2</v>
      </c>
      <c r="CV4" s="76">
        <f>Despesas!AF4</f>
        <v>2</v>
      </c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</row>
    <row r="5" spans="1:115" s="16" customFormat="1">
      <c r="A5" s="74" t="s">
        <v>169</v>
      </c>
      <c r="B5" s="75"/>
      <c r="C5" s="75"/>
      <c r="D5" s="75"/>
      <c r="E5" s="76">
        <v>4.31165006256784</v>
      </c>
      <c r="F5" s="75"/>
      <c r="G5" s="75"/>
      <c r="H5" s="75"/>
      <c r="I5" s="75"/>
      <c r="J5" s="76">
        <v>5.9086887217945305</v>
      </c>
      <c r="K5" s="75">
        <v>2.4396959845301325</v>
      </c>
      <c r="L5" s="75">
        <v>1.3956003005626494</v>
      </c>
      <c r="M5" s="75">
        <v>1.0634041376000214</v>
      </c>
      <c r="N5" s="75">
        <v>1.4569971799999859</v>
      </c>
      <c r="O5" s="76">
        <v>6.5033527436801686</v>
      </c>
      <c r="P5" s="75">
        <v>1.2245389616685198</v>
      </c>
      <c r="Q5" s="75">
        <v>1.0828899898705835</v>
      </c>
      <c r="R5" s="75">
        <v>1.41656104910002</v>
      </c>
      <c r="S5" s="75">
        <v>1.9018947800000019</v>
      </c>
      <c r="T5" s="76">
        <v>5.84</v>
      </c>
      <c r="U5" s="75">
        <f>+Y5/4</f>
        <v>1.35</v>
      </c>
      <c r="V5" s="75">
        <f>+Y5/4</f>
        <v>1.35</v>
      </c>
      <c r="W5" s="75">
        <v>0</v>
      </c>
      <c r="X5" s="75">
        <f>+Y5/4</f>
        <v>1.35</v>
      </c>
      <c r="Y5" s="76">
        <v>5.4</v>
      </c>
      <c r="Z5" s="75">
        <f>+AD5/4</f>
        <v>1.6025</v>
      </c>
      <c r="AA5" s="75">
        <f>+AD5/4</f>
        <v>1.6025</v>
      </c>
      <c r="AB5" s="75">
        <f>+AD5/4</f>
        <v>1.6025</v>
      </c>
      <c r="AC5" s="75">
        <f>+AD5/4</f>
        <v>1.6025</v>
      </c>
      <c r="AD5" s="76">
        <f>Despesas!N5</f>
        <v>6.41</v>
      </c>
      <c r="AE5" s="75">
        <f>AI5/4</f>
        <v>2.5</v>
      </c>
      <c r="AF5" s="75">
        <f>AI5/4</f>
        <v>2.5</v>
      </c>
      <c r="AG5" s="75">
        <f>AI5/4</f>
        <v>2.5</v>
      </c>
      <c r="AH5" s="75">
        <f>AI5/4</f>
        <v>2.5</v>
      </c>
      <c r="AI5" s="76">
        <f>Despesas!S5</f>
        <v>10</v>
      </c>
      <c r="AJ5" s="75">
        <f>AN5/4</f>
        <v>1.6</v>
      </c>
      <c r="AK5" s="75">
        <f>AN5/4</f>
        <v>1.6</v>
      </c>
      <c r="AL5" s="75">
        <f>AN5/4</f>
        <v>1.6</v>
      </c>
      <c r="AM5" s="75">
        <f>AN5/4</f>
        <v>1.6</v>
      </c>
      <c r="AN5" s="76">
        <f>Despesas!T5</f>
        <v>6.4</v>
      </c>
      <c r="AO5" s="75">
        <f>AS5/4</f>
        <v>1.25</v>
      </c>
      <c r="AP5" s="75">
        <f>AS5/4</f>
        <v>1.25</v>
      </c>
      <c r="AQ5" s="75">
        <f>AS5/4</f>
        <v>1.25</v>
      </c>
      <c r="AR5" s="75">
        <f>AS5/4</f>
        <v>1.25</v>
      </c>
      <c r="AS5" s="76">
        <f>Despesas!U5</f>
        <v>5</v>
      </c>
      <c r="AT5" s="75">
        <f>AX5/4</f>
        <v>1.25</v>
      </c>
      <c r="AU5" s="75">
        <f>AX5/4</f>
        <v>1.25</v>
      </c>
      <c r="AV5" s="75">
        <f>AX5/4</f>
        <v>1.25</v>
      </c>
      <c r="AW5" s="75">
        <f>AX5/4</f>
        <v>1.25</v>
      </c>
      <c r="AX5" s="76">
        <f>Despesas!V5</f>
        <v>5</v>
      </c>
      <c r="AY5" s="75">
        <f>BC5/4</f>
        <v>1.125</v>
      </c>
      <c r="AZ5" s="75">
        <f>BC5/4</f>
        <v>1.125</v>
      </c>
      <c r="BA5" s="75">
        <f>BC5/4</f>
        <v>1.125</v>
      </c>
      <c r="BB5" s="75">
        <f>BC5/4</f>
        <v>1.125</v>
      </c>
      <c r="BC5" s="76">
        <f>Despesas!W5</f>
        <v>4.5</v>
      </c>
      <c r="BD5" s="75">
        <f>BH5/4</f>
        <v>1.125</v>
      </c>
      <c r="BE5" s="75">
        <f>BH5/4</f>
        <v>1.125</v>
      </c>
      <c r="BF5" s="75">
        <f>BH5/4</f>
        <v>1.125</v>
      </c>
      <c r="BG5" s="75">
        <f>BH5/4</f>
        <v>1.125</v>
      </c>
      <c r="BH5" s="76">
        <f>Despesas!X5</f>
        <v>4.5</v>
      </c>
      <c r="BI5" s="75">
        <f>BM5/4</f>
        <v>1.125</v>
      </c>
      <c r="BJ5" s="75">
        <f>BM5/4</f>
        <v>1.125</v>
      </c>
      <c r="BK5" s="75">
        <f>BM5/4</f>
        <v>1.125</v>
      </c>
      <c r="BL5" s="75">
        <f>BM5/4</f>
        <v>1.125</v>
      </c>
      <c r="BM5" s="76">
        <f>Despesas!Y5</f>
        <v>4.5</v>
      </c>
      <c r="BN5" s="75">
        <f>BR5/4</f>
        <v>1.125</v>
      </c>
      <c r="BO5" s="75">
        <f>BR5/4</f>
        <v>1.125</v>
      </c>
      <c r="BP5" s="75">
        <f>BR5/4</f>
        <v>1.125</v>
      </c>
      <c r="BQ5" s="75">
        <f>BR5/4</f>
        <v>1.125</v>
      </c>
      <c r="BR5" s="76">
        <f>Despesas!Z5</f>
        <v>4.5</v>
      </c>
      <c r="BS5" s="75">
        <f>BW5/4</f>
        <v>1.125</v>
      </c>
      <c r="BT5" s="75">
        <f>BW5/4</f>
        <v>1.125</v>
      </c>
      <c r="BU5" s="75">
        <f>BW5/4</f>
        <v>1.125</v>
      </c>
      <c r="BV5" s="75">
        <f>BW5/4</f>
        <v>1.125</v>
      </c>
      <c r="BW5" s="76">
        <f>Despesas!AA5</f>
        <v>4.5</v>
      </c>
      <c r="BX5" s="75">
        <f>CB5/4</f>
        <v>1.125</v>
      </c>
      <c r="BY5" s="75">
        <f>CB5/4</f>
        <v>1.125</v>
      </c>
      <c r="BZ5" s="75">
        <f>CB5/4</f>
        <v>1.125</v>
      </c>
      <c r="CA5" s="75">
        <f>CB5/4</f>
        <v>1.125</v>
      </c>
      <c r="CB5" s="76">
        <f>Despesas!AB5</f>
        <v>4.5</v>
      </c>
      <c r="CC5" s="75">
        <f>CG5/4</f>
        <v>1.125</v>
      </c>
      <c r="CD5" s="75">
        <f>CG5/4</f>
        <v>1.125</v>
      </c>
      <c r="CE5" s="75">
        <f>CG5/4</f>
        <v>1.125</v>
      </c>
      <c r="CF5" s="75">
        <f>CG5/4</f>
        <v>1.125</v>
      </c>
      <c r="CG5" s="76">
        <f>Despesas!AC5</f>
        <v>4.5</v>
      </c>
      <c r="CH5" s="75">
        <f>CL5/4</f>
        <v>1.125</v>
      </c>
      <c r="CI5" s="75">
        <f>CL5/4</f>
        <v>1.125</v>
      </c>
      <c r="CJ5" s="75">
        <f>CL5/4</f>
        <v>1.125</v>
      </c>
      <c r="CK5" s="75">
        <f>CL5/4</f>
        <v>1.125</v>
      </c>
      <c r="CL5" s="76">
        <f>Despesas!AD5</f>
        <v>4.5</v>
      </c>
      <c r="CM5" s="75">
        <f>CQ5/4</f>
        <v>1.125</v>
      </c>
      <c r="CN5" s="75">
        <f>CQ5/4</f>
        <v>1.125</v>
      </c>
      <c r="CO5" s="75">
        <f>CQ5/4</f>
        <v>1.125</v>
      </c>
      <c r="CP5" s="75">
        <f>CQ5/4</f>
        <v>1.125</v>
      </c>
      <c r="CQ5" s="76">
        <f>Despesas!AE5</f>
        <v>4.5</v>
      </c>
      <c r="CR5" s="75">
        <f>CV5/4</f>
        <v>1.125</v>
      </c>
      <c r="CS5" s="75">
        <f>CV5/4</f>
        <v>1.125</v>
      </c>
      <c r="CT5" s="75">
        <f>CV5/4</f>
        <v>1.125</v>
      </c>
      <c r="CU5" s="75">
        <f>CV5/4</f>
        <v>1.125</v>
      </c>
      <c r="CV5" s="76">
        <f>Despesas!AF5</f>
        <v>4.5</v>
      </c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</row>
    <row r="6" spans="1:115" s="16" customFormat="1">
      <c r="A6" s="74" t="s">
        <v>170</v>
      </c>
      <c r="B6" s="75"/>
      <c r="C6" s="75"/>
      <c r="D6" s="75"/>
      <c r="E6" s="76">
        <v>-1.7192492255360459</v>
      </c>
      <c r="F6" s="75"/>
      <c r="G6" s="75"/>
      <c r="H6" s="75"/>
      <c r="I6" s="75"/>
      <c r="J6" s="76">
        <v>11.323142949673537</v>
      </c>
      <c r="K6" s="75">
        <v>2.4312626443201424</v>
      </c>
      <c r="L6" s="75">
        <v>0.69680367870716964</v>
      </c>
      <c r="M6" s="75">
        <v>0.97144444229142479</v>
      </c>
      <c r="N6" s="75">
        <v>0.91198891198891463</v>
      </c>
      <c r="O6" s="76">
        <v>5.0968130206239914</v>
      </c>
      <c r="P6" s="75">
        <v>0.61573960596046362</v>
      </c>
      <c r="Q6" s="75">
        <v>2.5570914344997364</v>
      </c>
      <c r="R6" s="75">
        <v>3.7862168714000166</v>
      </c>
      <c r="S6" s="75">
        <v>0.66992595919999065</v>
      </c>
      <c r="T6" s="76">
        <v>7.82</v>
      </c>
      <c r="U6" s="75">
        <f>+Y6/4</f>
        <v>1.25</v>
      </c>
      <c r="V6" s="75">
        <f>+Y6/4</f>
        <v>1.25</v>
      </c>
      <c r="W6" s="75">
        <f>+Y6/4</f>
        <v>1.25</v>
      </c>
      <c r="X6" s="75">
        <f>+Y6/4</f>
        <v>1.25</v>
      </c>
      <c r="Y6" s="76">
        <v>5</v>
      </c>
      <c r="Z6" s="75">
        <f>+AD6/4</f>
        <v>0.92249999999999999</v>
      </c>
      <c r="AA6" s="75">
        <f>+AD6/4</f>
        <v>0.92249999999999999</v>
      </c>
      <c r="AB6" s="75">
        <f>+AD6/4</f>
        <v>0.92249999999999999</v>
      </c>
      <c r="AC6" s="75">
        <f>+AD6/4</f>
        <v>0.92249999999999999</v>
      </c>
      <c r="AD6" s="76">
        <f>Despesas!N6</f>
        <v>3.69</v>
      </c>
      <c r="AE6" s="75">
        <f>AI6/4</f>
        <v>2.4750000000000001</v>
      </c>
      <c r="AF6" s="75">
        <f>AI6/4</f>
        <v>2.4750000000000001</v>
      </c>
      <c r="AG6" s="75">
        <f>AI6/4</f>
        <v>2.4750000000000001</v>
      </c>
      <c r="AH6" s="75">
        <f>AI6/4</f>
        <v>2.4750000000000001</v>
      </c>
      <c r="AI6" s="76">
        <f>Despesas!S6</f>
        <v>9.9</v>
      </c>
      <c r="AJ6" s="75">
        <f>AN6/4</f>
        <v>1.625</v>
      </c>
      <c r="AK6" s="75">
        <f>AN6/4</f>
        <v>1.625</v>
      </c>
      <c r="AL6" s="75">
        <f>AN6/4</f>
        <v>1.625</v>
      </c>
      <c r="AM6" s="75">
        <f>AN6/4</f>
        <v>1.625</v>
      </c>
      <c r="AN6" s="76">
        <f>Despesas!T6</f>
        <v>6.5</v>
      </c>
      <c r="AO6" s="75">
        <f>AS6/4</f>
        <v>1.375</v>
      </c>
      <c r="AP6" s="75">
        <f>AS6/4</f>
        <v>1.375</v>
      </c>
      <c r="AQ6" s="75">
        <f>AS6/4</f>
        <v>1.375</v>
      </c>
      <c r="AR6" s="75">
        <f>AS6/4</f>
        <v>1.375</v>
      </c>
      <c r="AS6" s="76">
        <f>Despesas!U6</f>
        <v>5.5</v>
      </c>
      <c r="AT6" s="75">
        <f>AX6/4</f>
        <v>1.375</v>
      </c>
      <c r="AU6" s="75">
        <f>AX6/4</f>
        <v>1.375</v>
      </c>
      <c r="AV6" s="75">
        <f>AX6/4</f>
        <v>1.375</v>
      </c>
      <c r="AW6" s="75">
        <f>AX6/4</f>
        <v>1.375</v>
      </c>
      <c r="AX6" s="76">
        <f>Despesas!V6</f>
        <v>5.5</v>
      </c>
      <c r="AY6" s="75">
        <f>BC6/4</f>
        <v>1.375</v>
      </c>
      <c r="AZ6" s="75">
        <f>BC6/4</f>
        <v>1.375</v>
      </c>
      <c r="BA6" s="75">
        <f>BC6/4</f>
        <v>1.375</v>
      </c>
      <c r="BB6" s="75">
        <f>BC6/4</f>
        <v>1.375</v>
      </c>
      <c r="BC6" s="76">
        <f>Despesas!W6</f>
        <v>5.5</v>
      </c>
      <c r="BD6" s="75">
        <f>BH6/4</f>
        <v>1.375</v>
      </c>
      <c r="BE6" s="75">
        <f>BH6/4</f>
        <v>1.375</v>
      </c>
      <c r="BF6" s="75">
        <f>BH6/4</f>
        <v>1.375</v>
      </c>
      <c r="BG6" s="75">
        <f>BH6/4</f>
        <v>1.375</v>
      </c>
      <c r="BH6" s="76">
        <f>Despesas!X6</f>
        <v>5.5</v>
      </c>
      <c r="BI6" s="75">
        <f>BM6/4</f>
        <v>1.375</v>
      </c>
      <c r="BJ6" s="75">
        <f>BM6/4</f>
        <v>1.375</v>
      </c>
      <c r="BK6" s="75">
        <f>BM6/4</f>
        <v>1.375</v>
      </c>
      <c r="BL6" s="75">
        <f>BM6/4</f>
        <v>1.375</v>
      </c>
      <c r="BM6" s="76">
        <f>Despesas!Y6</f>
        <v>5.5</v>
      </c>
      <c r="BN6" s="75">
        <f>BR6/4</f>
        <v>1.375</v>
      </c>
      <c r="BO6" s="75">
        <f>BR6/4</f>
        <v>1.375</v>
      </c>
      <c r="BP6" s="75">
        <f>BR6/4</f>
        <v>1.375</v>
      </c>
      <c r="BQ6" s="75">
        <f>BR6/4</f>
        <v>1.375</v>
      </c>
      <c r="BR6" s="76">
        <f>Despesas!Z6</f>
        <v>5.5</v>
      </c>
      <c r="BS6" s="75">
        <f>BW6/4</f>
        <v>1.375</v>
      </c>
      <c r="BT6" s="75">
        <f>BW6/4</f>
        <v>1.375</v>
      </c>
      <c r="BU6" s="75">
        <f>BW6/4</f>
        <v>1.375</v>
      </c>
      <c r="BV6" s="75">
        <f>BW6/4</f>
        <v>1.375</v>
      </c>
      <c r="BW6" s="76">
        <f>Despesas!AA6</f>
        <v>5.5</v>
      </c>
      <c r="BX6" s="75">
        <f>CB6/4</f>
        <v>1.375</v>
      </c>
      <c r="BY6" s="75">
        <f>CB6/4</f>
        <v>1.375</v>
      </c>
      <c r="BZ6" s="75">
        <f>CB6/4</f>
        <v>1.375</v>
      </c>
      <c r="CA6" s="75">
        <f>CB6/4</f>
        <v>1.375</v>
      </c>
      <c r="CB6" s="76">
        <f>Despesas!AB6</f>
        <v>5.5</v>
      </c>
      <c r="CC6" s="75">
        <f>CG6/4</f>
        <v>1.375</v>
      </c>
      <c r="CD6" s="75">
        <f>CG6/4</f>
        <v>1.375</v>
      </c>
      <c r="CE6" s="75">
        <f>CG6/4</f>
        <v>1.375</v>
      </c>
      <c r="CF6" s="75">
        <f>CG6/4</f>
        <v>1.375</v>
      </c>
      <c r="CG6" s="76">
        <f>Despesas!AC6</f>
        <v>5.5</v>
      </c>
      <c r="CH6" s="75">
        <f>CL6/4</f>
        <v>1.375</v>
      </c>
      <c r="CI6" s="75">
        <f>CL6/4</f>
        <v>1.375</v>
      </c>
      <c r="CJ6" s="75">
        <f>CL6/4</f>
        <v>1.375</v>
      </c>
      <c r="CK6" s="75">
        <f>CL6/4</f>
        <v>1.375</v>
      </c>
      <c r="CL6" s="76">
        <f>Despesas!AD6</f>
        <v>5.5</v>
      </c>
      <c r="CM6" s="75">
        <f>CQ6/4</f>
        <v>1.375</v>
      </c>
      <c r="CN6" s="75">
        <f>CQ6/4</f>
        <v>1.375</v>
      </c>
      <c r="CO6" s="75">
        <f>CQ6/4</f>
        <v>1.375</v>
      </c>
      <c r="CP6" s="75">
        <f>CQ6/4</f>
        <v>1.375</v>
      </c>
      <c r="CQ6" s="76">
        <f>Despesas!AE6</f>
        <v>5.5</v>
      </c>
      <c r="CR6" s="75">
        <f>CV6/4</f>
        <v>1.375</v>
      </c>
      <c r="CS6" s="75">
        <f>CV6/4</f>
        <v>1.375</v>
      </c>
      <c r="CT6" s="75">
        <f>CV6/4</f>
        <v>1.375</v>
      </c>
      <c r="CU6" s="75">
        <f>CV6/4</f>
        <v>1.375</v>
      </c>
      <c r="CV6" s="76">
        <f>Despesas!AF6</f>
        <v>5.5</v>
      </c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</row>
    <row r="7" spans="1:115" s="16" customFormat="1">
      <c r="A7" s="74" t="s">
        <v>171</v>
      </c>
      <c r="B7" s="75"/>
      <c r="C7" s="75"/>
      <c r="D7" s="75"/>
      <c r="E7" s="76">
        <v>8.75</v>
      </c>
      <c r="F7" s="75"/>
      <c r="G7" s="75"/>
      <c r="H7" s="75"/>
      <c r="I7" s="75"/>
      <c r="J7" s="76">
        <v>10.75</v>
      </c>
      <c r="K7" s="75">
        <v>11.75</v>
      </c>
      <c r="L7" s="75">
        <v>12.25</v>
      </c>
      <c r="M7" s="75">
        <v>12</v>
      </c>
      <c r="N7" s="75">
        <v>11</v>
      </c>
      <c r="O7" s="76">
        <v>11</v>
      </c>
      <c r="P7" s="75">
        <v>9.75</v>
      </c>
      <c r="Q7" s="75">
        <v>8.5</v>
      </c>
      <c r="R7" s="75">
        <v>7.5</v>
      </c>
      <c r="S7" s="75">
        <v>7.25</v>
      </c>
      <c r="T7" s="76">
        <v>7.25</v>
      </c>
      <c r="U7" s="75">
        <f>+Y7</f>
        <v>8.75</v>
      </c>
      <c r="V7" s="75">
        <f>+Y7</f>
        <v>8.75</v>
      </c>
      <c r="W7" s="75">
        <f>+Y7</f>
        <v>8.75</v>
      </c>
      <c r="X7" s="75">
        <f>+Y7</f>
        <v>8.75</v>
      </c>
      <c r="Y7" s="76">
        <v>8.75</v>
      </c>
      <c r="Z7" s="75">
        <f>+AD7</f>
        <v>11.75</v>
      </c>
      <c r="AA7" s="75">
        <f>+AD7</f>
        <v>11.75</v>
      </c>
      <c r="AB7" s="75">
        <f>+AD7</f>
        <v>11.75</v>
      </c>
      <c r="AC7" s="75">
        <f>+AD7</f>
        <v>11.75</v>
      </c>
      <c r="AD7" s="76">
        <f>Despesas!N7</f>
        <v>11.75</v>
      </c>
      <c r="AE7" s="75">
        <f>AI7</f>
        <v>14.25</v>
      </c>
      <c r="AF7" s="75">
        <f>AI7</f>
        <v>14.25</v>
      </c>
      <c r="AG7" s="75">
        <f>AI7</f>
        <v>14.25</v>
      </c>
      <c r="AH7" s="75">
        <f>AI7</f>
        <v>14.25</v>
      </c>
      <c r="AI7" s="76">
        <f>Despesas!S7</f>
        <v>14.25</v>
      </c>
      <c r="AJ7" s="75">
        <f>AN7</f>
        <v>12.75</v>
      </c>
      <c r="AK7" s="75">
        <f>AN7</f>
        <v>12.75</v>
      </c>
      <c r="AL7" s="75">
        <f>AN7</f>
        <v>12.75</v>
      </c>
      <c r="AM7" s="75">
        <f>AN7</f>
        <v>12.75</v>
      </c>
      <c r="AN7" s="76">
        <f>Despesas!T7</f>
        <v>12.75</v>
      </c>
      <c r="AO7" s="75">
        <f>AS7</f>
        <v>12.75</v>
      </c>
      <c r="AP7" s="75">
        <f>AS7</f>
        <v>12.75</v>
      </c>
      <c r="AQ7" s="75">
        <f>AS7</f>
        <v>12.75</v>
      </c>
      <c r="AR7" s="75">
        <f>AS7</f>
        <v>12.75</v>
      </c>
      <c r="AS7" s="76">
        <f>Despesas!U7</f>
        <v>12.75</v>
      </c>
      <c r="AT7" s="75">
        <f>AX7</f>
        <v>12.75</v>
      </c>
      <c r="AU7" s="75">
        <f>AX7</f>
        <v>12.75</v>
      </c>
      <c r="AV7" s="75">
        <f>AX7</f>
        <v>12.75</v>
      </c>
      <c r="AW7" s="75">
        <f>AX7</f>
        <v>12.75</v>
      </c>
      <c r="AX7" s="76">
        <f>Despesas!V7</f>
        <v>12.75</v>
      </c>
      <c r="AY7" s="75">
        <f>BC7</f>
        <v>12.75</v>
      </c>
      <c r="AZ7" s="75">
        <f>BC7</f>
        <v>12.75</v>
      </c>
      <c r="BA7" s="75">
        <f>BC7</f>
        <v>12.75</v>
      </c>
      <c r="BB7" s="75">
        <f>BC7</f>
        <v>12.75</v>
      </c>
      <c r="BC7" s="76">
        <f>Despesas!W7</f>
        <v>12.75</v>
      </c>
      <c r="BD7" s="75">
        <f>BH7</f>
        <v>12.75</v>
      </c>
      <c r="BE7" s="75">
        <f>BH7</f>
        <v>12.75</v>
      </c>
      <c r="BF7" s="75">
        <f>BH7</f>
        <v>12.75</v>
      </c>
      <c r="BG7" s="75">
        <f>BH7</f>
        <v>12.75</v>
      </c>
      <c r="BH7" s="76">
        <f>Despesas!X7</f>
        <v>12.75</v>
      </c>
      <c r="BI7" s="75">
        <f>BM7</f>
        <v>12.75</v>
      </c>
      <c r="BJ7" s="75">
        <f>BM7</f>
        <v>12.75</v>
      </c>
      <c r="BK7" s="75">
        <f>BM7</f>
        <v>12.75</v>
      </c>
      <c r="BL7" s="75">
        <f>BM7</f>
        <v>12.75</v>
      </c>
      <c r="BM7" s="76">
        <f>Despesas!Y7</f>
        <v>12.75</v>
      </c>
      <c r="BN7" s="75">
        <f>BR7</f>
        <v>12.75</v>
      </c>
      <c r="BO7" s="75">
        <f>BR7</f>
        <v>12.75</v>
      </c>
      <c r="BP7" s="75">
        <f>BR7</f>
        <v>12.75</v>
      </c>
      <c r="BQ7" s="75">
        <f>BR7</f>
        <v>12.75</v>
      </c>
      <c r="BR7" s="76">
        <f>Despesas!Z7</f>
        <v>12.75</v>
      </c>
      <c r="BS7" s="75">
        <f>BW7</f>
        <v>12.75</v>
      </c>
      <c r="BT7" s="75">
        <f>BW7</f>
        <v>12.75</v>
      </c>
      <c r="BU7" s="75">
        <f>BW7</f>
        <v>12.75</v>
      </c>
      <c r="BV7" s="75">
        <f>BW7</f>
        <v>12.75</v>
      </c>
      <c r="BW7" s="76">
        <f>Despesas!AA7</f>
        <v>12.75</v>
      </c>
      <c r="BX7" s="75">
        <f>CB7</f>
        <v>12.75</v>
      </c>
      <c r="BY7" s="75">
        <f>CB7</f>
        <v>12.75</v>
      </c>
      <c r="BZ7" s="75">
        <f>CB7</f>
        <v>12.75</v>
      </c>
      <c r="CA7" s="75">
        <f>CB7</f>
        <v>12.75</v>
      </c>
      <c r="CB7" s="76">
        <f>Despesas!AB7</f>
        <v>12.75</v>
      </c>
      <c r="CC7" s="75">
        <f>CG7</f>
        <v>12.75</v>
      </c>
      <c r="CD7" s="75">
        <f>CG7</f>
        <v>12.75</v>
      </c>
      <c r="CE7" s="75">
        <f>CG7</f>
        <v>12.75</v>
      </c>
      <c r="CF7" s="75">
        <f>CG7</f>
        <v>12.75</v>
      </c>
      <c r="CG7" s="76">
        <f>Despesas!AC7</f>
        <v>12.75</v>
      </c>
      <c r="CH7" s="75">
        <f>CL7</f>
        <v>12.75</v>
      </c>
      <c r="CI7" s="75">
        <f>CL7</f>
        <v>12.75</v>
      </c>
      <c r="CJ7" s="75">
        <f>CL7</f>
        <v>12.75</v>
      </c>
      <c r="CK7" s="75">
        <f>CL7</f>
        <v>12.75</v>
      </c>
      <c r="CL7" s="76">
        <f>Despesas!AD7</f>
        <v>12.75</v>
      </c>
      <c r="CM7" s="75">
        <f>CQ7</f>
        <v>12.75</v>
      </c>
      <c r="CN7" s="75">
        <f>CQ7</f>
        <v>12.75</v>
      </c>
      <c r="CO7" s="75">
        <f>CQ7</f>
        <v>12.75</v>
      </c>
      <c r="CP7" s="75">
        <f>CQ7</f>
        <v>12.75</v>
      </c>
      <c r="CQ7" s="76">
        <f>Despesas!AE7</f>
        <v>12.75</v>
      </c>
      <c r="CR7" s="75">
        <f>CV7</f>
        <v>12.75</v>
      </c>
      <c r="CS7" s="75">
        <f>CV7</f>
        <v>12.75</v>
      </c>
      <c r="CT7" s="75">
        <f>CV7</f>
        <v>12.75</v>
      </c>
      <c r="CU7" s="75">
        <f>CV7</f>
        <v>12.75</v>
      </c>
      <c r="CV7" s="76">
        <f>Despesas!AF7</f>
        <v>12.75</v>
      </c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</row>
    <row r="8" spans="1:115" s="16" customFormat="1">
      <c r="A8" s="77" t="s">
        <v>172</v>
      </c>
      <c r="B8" s="78"/>
      <c r="C8" s="78"/>
      <c r="D8" s="78"/>
      <c r="E8" s="79">
        <v>9.9166666666666661</v>
      </c>
      <c r="F8" s="78"/>
      <c r="G8" s="78"/>
      <c r="H8" s="78"/>
      <c r="I8" s="78"/>
      <c r="J8" s="79">
        <v>10</v>
      </c>
      <c r="K8" s="78">
        <v>11.333333333333334</v>
      </c>
      <c r="L8" s="78">
        <v>12.012096774193548</v>
      </c>
      <c r="M8" s="78">
        <v>12.280769230769231</v>
      </c>
      <c r="N8" s="78">
        <v>11.415384615384616</v>
      </c>
      <c r="O8" s="79">
        <v>11.708333333333334</v>
      </c>
      <c r="P8" s="78">
        <v>10.380952380952381</v>
      </c>
      <c r="Q8" s="78">
        <v>8.6666666666666661</v>
      </c>
      <c r="R8" s="78">
        <v>7.666666666666667</v>
      </c>
      <c r="S8" s="78">
        <v>7.25</v>
      </c>
      <c r="T8" s="79">
        <v>8.4583333333333339</v>
      </c>
      <c r="U8" s="78">
        <f>+AVERAGE(T7:U7)</f>
        <v>8</v>
      </c>
      <c r="V8" s="78">
        <f>+AVERAGE(U7:V7)</f>
        <v>8.75</v>
      </c>
      <c r="W8" s="78">
        <f>+AVERAGE(V7:W7)</f>
        <v>8.75</v>
      </c>
      <c r="X8" s="78">
        <f>+AVERAGE(W7:X7)</f>
        <v>8.75</v>
      </c>
      <c r="Y8" s="79">
        <v>7.729166666666667</v>
      </c>
      <c r="Z8" s="78">
        <f>+AVERAGE(Y7:Z7)</f>
        <v>10.25</v>
      </c>
      <c r="AA8" s="78">
        <f>+AVERAGE(Z7:AA7)</f>
        <v>11.75</v>
      </c>
      <c r="AB8" s="78">
        <f>+AVERAGE(AA7:AB7)</f>
        <v>11.75</v>
      </c>
      <c r="AC8" s="78">
        <f>+AVERAGE(AB7:AC7)</f>
        <v>11.75</v>
      </c>
      <c r="AD8" s="79">
        <f>Despesas!N8</f>
        <v>11.0208333333333</v>
      </c>
      <c r="AE8" s="78">
        <f>AVERAGE(AD7:AE7)</f>
        <v>13</v>
      </c>
      <c r="AF8" s="78">
        <f>AVERAGE(AE7:AF7)</f>
        <v>14.25</v>
      </c>
      <c r="AG8" s="78">
        <f>AVERAGE(AF7:AG7)</f>
        <v>14.25</v>
      </c>
      <c r="AH8" s="78">
        <f>AVERAGE(AG7:AH7)</f>
        <v>14.25</v>
      </c>
      <c r="AI8" s="79">
        <f>Despesas!S8</f>
        <v>13.58</v>
      </c>
      <c r="AJ8" s="78">
        <f>AVERAGE(AI7:AJ7)</f>
        <v>13.5</v>
      </c>
      <c r="AK8" s="78">
        <f>AVERAGE(AJ7:AK7)</f>
        <v>12.75</v>
      </c>
      <c r="AL8" s="78">
        <f>AVERAGE(AK7:AL7)</f>
        <v>12.75</v>
      </c>
      <c r="AM8" s="78">
        <f>AVERAGE(AL7:AM7)</f>
        <v>12.75</v>
      </c>
      <c r="AN8" s="79">
        <f>Despesas!T8</f>
        <v>13.5</v>
      </c>
      <c r="AO8" s="78">
        <f>AVERAGE(AN7:AO7)</f>
        <v>12.75</v>
      </c>
      <c r="AP8" s="78">
        <f>AVERAGE(AO7:AP7)</f>
        <v>12.75</v>
      </c>
      <c r="AQ8" s="78">
        <f>AVERAGE(AP7:AQ7)</f>
        <v>12.75</v>
      </c>
      <c r="AR8" s="78">
        <f>AVERAGE(AQ7:AR7)</f>
        <v>12.75</v>
      </c>
      <c r="AS8" s="79">
        <f>Despesas!U8</f>
        <v>12.75</v>
      </c>
      <c r="AT8" s="78">
        <f>AVERAGE(AS7:AT7)</f>
        <v>12.75</v>
      </c>
      <c r="AU8" s="78">
        <f>AVERAGE(AT7:AU7)</f>
        <v>12.75</v>
      </c>
      <c r="AV8" s="78">
        <f>AVERAGE(AU7:AV7)</f>
        <v>12.75</v>
      </c>
      <c r="AW8" s="78">
        <f>AVERAGE(AV7:AW7)</f>
        <v>12.75</v>
      </c>
      <c r="AX8" s="79">
        <f>Despesas!V8</f>
        <v>12.75</v>
      </c>
      <c r="AY8" s="78">
        <f>AVERAGE(AX7:AY7)</f>
        <v>12.75</v>
      </c>
      <c r="AZ8" s="78">
        <f>AVERAGE(AY7:AZ7)</f>
        <v>12.75</v>
      </c>
      <c r="BA8" s="78">
        <f>AVERAGE(AZ7:BA7)</f>
        <v>12.75</v>
      </c>
      <c r="BB8" s="78">
        <f>AVERAGE(BA7:BB7)</f>
        <v>12.75</v>
      </c>
      <c r="BC8" s="79">
        <f>Despesas!W8</f>
        <v>12.75</v>
      </c>
      <c r="BD8" s="78">
        <f>AVERAGE(BC7:BD7)</f>
        <v>12.75</v>
      </c>
      <c r="BE8" s="78">
        <f>AVERAGE(BD7:BE7)</f>
        <v>12.75</v>
      </c>
      <c r="BF8" s="78">
        <f>AVERAGE(BE7:BF7)</f>
        <v>12.75</v>
      </c>
      <c r="BG8" s="78">
        <f>AVERAGE(BF7:BG7)</f>
        <v>12.75</v>
      </c>
      <c r="BH8" s="79">
        <f>Despesas!X8</f>
        <v>12.75</v>
      </c>
      <c r="BI8" s="78">
        <f>AVERAGE(BH7:BI7)</f>
        <v>12.75</v>
      </c>
      <c r="BJ8" s="78">
        <f>AVERAGE(BI7:BJ7)</f>
        <v>12.75</v>
      </c>
      <c r="BK8" s="78">
        <f>AVERAGE(BJ7:BK7)</f>
        <v>12.75</v>
      </c>
      <c r="BL8" s="78">
        <f>AVERAGE(BK7:BL7)</f>
        <v>12.75</v>
      </c>
      <c r="BM8" s="79">
        <f>Despesas!Y8</f>
        <v>12.75</v>
      </c>
      <c r="BN8" s="78">
        <f>AVERAGE(BM7:BN7)</f>
        <v>12.75</v>
      </c>
      <c r="BO8" s="78">
        <f>AVERAGE(BN7:BO7)</f>
        <v>12.75</v>
      </c>
      <c r="BP8" s="78">
        <f>AVERAGE(BO7:BP7)</f>
        <v>12.75</v>
      </c>
      <c r="BQ8" s="78">
        <f>AVERAGE(BP7:BQ7)</f>
        <v>12.75</v>
      </c>
      <c r="BR8" s="79">
        <f>Despesas!Z8</f>
        <v>12.75</v>
      </c>
      <c r="BS8" s="78">
        <f>AVERAGE(BR7:BS7)</f>
        <v>12.75</v>
      </c>
      <c r="BT8" s="78">
        <f>AVERAGE(BS7:BT7)</f>
        <v>12.75</v>
      </c>
      <c r="BU8" s="78">
        <f>AVERAGE(BT7:BU7)</f>
        <v>12.75</v>
      </c>
      <c r="BV8" s="78">
        <f>AVERAGE(BU7:BV7)</f>
        <v>12.75</v>
      </c>
      <c r="BW8" s="79">
        <f>Despesas!AA8</f>
        <v>12.75</v>
      </c>
      <c r="BX8" s="78">
        <f>AVERAGE(BW7:BX7)</f>
        <v>12.75</v>
      </c>
      <c r="BY8" s="78">
        <f>AVERAGE(BX7:BY7)</f>
        <v>12.75</v>
      </c>
      <c r="BZ8" s="78">
        <f>AVERAGE(BY7:BZ7)</f>
        <v>12.75</v>
      </c>
      <c r="CA8" s="78">
        <f>AVERAGE(BZ7:CA7)</f>
        <v>12.75</v>
      </c>
      <c r="CB8" s="79">
        <f>Despesas!AB8</f>
        <v>12.75</v>
      </c>
      <c r="CC8" s="78">
        <f>AVERAGE(CB7:CC7)</f>
        <v>12.75</v>
      </c>
      <c r="CD8" s="78">
        <f>AVERAGE(CC7:CD7)</f>
        <v>12.75</v>
      </c>
      <c r="CE8" s="78">
        <f>AVERAGE(CD7:CE7)</f>
        <v>12.75</v>
      </c>
      <c r="CF8" s="78">
        <f>AVERAGE(CE7:CF7)</f>
        <v>12.75</v>
      </c>
      <c r="CG8" s="79">
        <f>Despesas!AC8</f>
        <v>12.75</v>
      </c>
      <c r="CH8" s="78">
        <f>AVERAGE(CG7:CH7)</f>
        <v>12.75</v>
      </c>
      <c r="CI8" s="78">
        <f>AVERAGE(CH7:CI7)</f>
        <v>12.75</v>
      </c>
      <c r="CJ8" s="78">
        <f>AVERAGE(CI7:CJ7)</f>
        <v>12.75</v>
      </c>
      <c r="CK8" s="78">
        <f>AVERAGE(CJ7:CK7)</f>
        <v>12.75</v>
      </c>
      <c r="CL8" s="79">
        <f>Despesas!AD8</f>
        <v>12.75</v>
      </c>
      <c r="CM8" s="78">
        <f>AVERAGE(CL7:CM7)</f>
        <v>12.75</v>
      </c>
      <c r="CN8" s="78">
        <f>AVERAGE(CM7:CN7)</f>
        <v>12.75</v>
      </c>
      <c r="CO8" s="78">
        <f>AVERAGE(CN7:CO7)</f>
        <v>12.75</v>
      </c>
      <c r="CP8" s="78">
        <f>AVERAGE(CO7:CP7)</f>
        <v>12.75</v>
      </c>
      <c r="CQ8" s="79">
        <f>Despesas!AE8</f>
        <v>12.75</v>
      </c>
      <c r="CR8" s="78">
        <f>AVERAGE(CQ7:CR7)</f>
        <v>12.75</v>
      </c>
      <c r="CS8" s="78">
        <f>AVERAGE(CR7:CS7)</f>
        <v>12.75</v>
      </c>
      <c r="CT8" s="78">
        <f>AVERAGE(CS7:CT7)</f>
        <v>12.75</v>
      </c>
      <c r="CU8" s="78">
        <f>AVERAGE(CT7:CU7)</f>
        <v>12.75</v>
      </c>
      <c r="CV8" s="79">
        <f>Despesas!AF8</f>
        <v>12.75</v>
      </c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</row>
    <row r="9" spans="1:115" s="16" customFormat="1">
      <c r="A9" s="139"/>
      <c r="B9" s="68"/>
      <c r="C9" s="68"/>
      <c r="D9" s="68"/>
      <c r="E9" s="87"/>
      <c r="F9" s="88"/>
      <c r="G9" s="88"/>
      <c r="H9" s="88"/>
      <c r="I9" s="88"/>
      <c r="J9" s="87"/>
      <c r="K9" s="88"/>
      <c r="L9" s="88"/>
      <c r="M9" s="88"/>
      <c r="N9" s="88"/>
      <c r="O9" s="87"/>
      <c r="P9" s="88"/>
      <c r="Q9" s="88"/>
      <c r="R9" s="88"/>
      <c r="S9" s="88"/>
      <c r="T9" s="87"/>
      <c r="U9" s="88"/>
      <c r="V9" s="88"/>
      <c r="W9" s="88"/>
      <c r="X9" s="88"/>
      <c r="Y9" s="87"/>
      <c r="Z9" s="88"/>
      <c r="AA9" s="88"/>
      <c r="AB9" s="88"/>
      <c r="AC9" s="88"/>
      <c r="AD9" s="87"/>
      <c r="AE9" s="88"/>
      <c r="AF9" s="88"/>
      <c r="AG9" s="88"/>
      <c r="AH9" s="88"/>
      <c r="AI9" s="87"/>
      <c r="AJ9" s="88"/>
      <c r="AK9" s="88"/>
      <c r="AL9" s="88"/>
      <c r="AM9" s="88"/>
      <c r="AN9" s="87"/>
      <c r="AO9" s="88"/>
      <c r="AP9" s="88"/>
      <c r="AQ9" s="88"/>
      <c r="AR9" s="88"/>
      <c r="AS9" s="87"/>
      <c r="AT9" s="88"/>
      <c r="AU9" s="88"/>
      <c r="AV9" s="88"/>
      <c r="AW9" s="88"/>
      <c r="AX9" s="87"/>
      <c r="AY9" s="88"/>
      <c r="AZ9" s="88"/>
      <c r="BA9" s="88"/>
      <c r="BB9" s="88"/>
      <c r="BC9" s="87"/>
      <c r="BD9" s="88"/>
      <c r="BE9" s="88"/>
      <c r="BF9" s="88"/>
      <c r="BG9" s="88"/>
      <c r="BH9" s="87"/>
      <c r="BI9" s="88"/>
      <c r="BJ9" s="88"/>
      <c r="BK9" s="88"/>
      <c r="BL9" s="88"/>
      <c r="BM9" s="87"/>
      <c r="BN9" s="88"/>
      <c r="BO9" s="88"/>
      <c r="BP9" s="88"/>
      <c r="BQ9" s="88"/>
      <c r="BR9" s="87"/>
      <c r="BS9" s="88"/>
      <c r="BT9" s="88"/>
      <c r="BU9" s="88"/>
      <c r="BV9" s="88"/>
      <c r="BW9" s="87"/>
      <c r="BX9" s="88"/>
      <c r="BY9" s="88"/>
      <c r="BZ9" s="88"/>
      <c r="CA9" s="88"/>
      <c r="CB9" s="87"/>
      <c r="CC9" s="88"/>
      <c r="CD9" s="88"/>
      <c r="CE9" s="88"/>
      <c r="CF9" s="88"/>
      <c r="CG9" s="87"/>
      <c r="CH9" s="88"/>
      <c r="CI9" s="88"/>
      <c r="CJ9" s="88"/>
      <c r="CK9" s="88"/>
      <c r="CL9" s="87"/>
      <c r="CM9" s="88"/>
      <c r="CN9" s="88"/>
      <c r="CO9" s="88"/>
      <c r="CP9" s="88"/>
      <c r="CQ9" s="87"/>
      <c r="CR9" s="88"/>
      <c r="CS9" s="88"/>
      <c r="CT9" s="88"/>
      <c r="CU9" s="88"/>
      <c r="CV9" s="87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</row>
    <row r="10" spans="1:115" s="1" customFormat="1">
      <c r="A10" s="140" t="s">
        <v>174</v>
      </c>
      <c r="B10" s="66" t="s">
        <v>82</v>
      </c>
      <c r="C10" s="66" t="s">
        <v>83</v>
      </c>
      <c r="D10" s="66" t="s">
        <v>2</v>
      </c>
      <c r="E10" s="85">
        <f>E3</f>
        <v>2009</v>
      </c>
      <c r="F10" s="89" t="str">
        <f t="shared" ref="F10:BQ10" si="0">F3</f>
        <v>1T10</v>
      </c>
      <c r="G10" s="89" t="str">
        <f t="shared" si="0"/>
        <v>2T10</v>
      </c>
      <c r="H10" s="89" t="str">
        <f t="shared" si="0"/>
        <v>3T10</v>
      </c>
      <c r="I10" s="89" t="str">
        <f t="shared" si="0"/>
        <v>4T10</v>
      </c>
      <c r="J10" s="85">
        <f>J3</f>
        <v>2010</v>
      </c>
      <c r="K10" s="89" t="str">
        <f t="shared" si="0"/>
        <v>1T11</v>
      </c>
      <c r="L10" s="89" t="str">
        <f t="shared" si="0"/>
        <v>2T11</v>
      </c>
      <c r="M10" s="89" t="str">
        <f t="shared" si="0"/>
        <v>3T11</v>
      </c>
      <c r="N10" s="89" t="str">
        <f t="shared" si="0"/>
        <v>4T11</v>
      </c>
      <c r="O10" s="85">
        <f>O3</f>
        <v>2011</v>
      </c>
      <c r="P10" s="89" t="str">
        <f t="shared" si="0"/>
        <v>1T12</v>
      </c>
      <c r="Q10" s="89" t="str">
        <f t="shared" si="0"/>
        <v>2T12</v>
      </c>
      <c r="R10" s="89" t="str">
        <f t="shared" si="0"/>
        <v>3T12</v>
      </c>
      <c r="S10" s="89" t="str">
        <f t="shared" si="0"/>
        <v>4T12</v>
      </c>
      <c r="T10" s="85">
        <f>T3</f>
        <v>2012</v>
      </c>
      <c r="U10" s="89" t="str">
        <f t="shared" si="0"/>
        <v>1T13</v>
      </c>
      <c r="V10" s="89" t="str">
        <f t="shared" si="0"/>
        <v>2T13</v>
      </c>
      <c r="W10" s="89" t="str">
        <f t="shared" si="0"/>
        <v>3T13</v>
      </c>
      <c r="X10" s="89" t="str">
        <f t="shared" si="0"/>
        <v>4T13</v>
      </c>
      <c r="Y10" s="85">
        <f t="shared" si="0"/>
        <v>2013</v>
      </c>
      <c r="Z10" s="89" t="str">
        <f t="shared" si="0"/>
        <v>1T14</v>
      </c>
      <c r="AA10" s="89" t="str">
        <f t="shared" si="0"/>
        <v>2T14</v>
      </c>
      <c r="AB10" s="89" t="str">
        <f t="shared" si="0"/>
        <v>3T14</v>
      </c>
      <c r="AC10" s="89" t="str">
        <f t="shared" si="0"/>
        <v>4T14</v>
      </c>
      <c r="AD10" s="85">
        <f>AD3</f>
        <v>2014</v>
      </c>
      <c r="AE10" s="89" t="str">
        <f t="shared" si="0"/>
        <v>1T15</v>
      </c>
      <c r="AF10" s="89" t="str">
        <f t="shared" si="0"/>
        <v>2T15</v>
      </c>
      <c r="AG10" s="89" t="str">
        <f t="shared" si="0"/>
        <v>3T15</v>
      </c>
      <c r="AH10" s="89" t="str">
        <f t="shared" si="0"/>
        <v>4T15E</v>
      </c>
      <c r="AI10" s="85" t="str">
        <f t="shared" si="0"/>
        <v>2015E</v>
      </c>
      <c r="AJ10" s="89" t="str">
        <f t="shared" si="0"/>
        <v>1T16E</v>
      </c>
      <c r="AK10" s="89" t="str">
        <f t="shared" si="0"/>
        <v>2T16E</v>
      </c>
      <c r="AL10" s="89" t="str">
        <f t="shared" si="0"/>
        <v>3T16E</v>
      </c>
      <c r="AM10" s="89" t="str">
        <f t="shared" si="0"/>
        <v>4T16E</v>
      </c>
      <c r="AN10" s="85" t="str">
        <f t="shared" si="0"/>
        <v>2016E</v>
      </c>
      <c r="AO10" s="89" t="str">
        <f t="shared" si="0"/>
        <v>1T17E</v>
      </c>
      <c r="AP10" s="89" t="str">
        <f t="shared" si="0"/>
        <v>2T17E</v>
      </c>
      <c r="AQ10" s="89" t="str">
        <f t="shared" si="0"/>
        <v>3T17E</v>
      </c>
      <c r="AR10" s="89" t="str">
        <f t="shared" si="0"/>
        <v>4T17E</v>
      </c>
      <c r="AS10" s="85" t="str">
        <f t="shared" si="0"/>
        <v>2017E</v>
      </c>
      <c r="AT10" s="89" t="str">
        <f t="shared" si="0"/>
        <v>1T18E</v>
      </c>
      <c r="AU10" s="89" t="str">
        <f t="shared" si="0"/>
        <v>2T18E</v>
      </c>
      <c r="AV10" s="89" t="str">
        <f t="shared" si="0"/>
        <v>3T18E</v>
      </c>
      <c r="AW10" s="89" t="str">
        <f t="shared" si="0"/>
        <v>4T18E</v>
      </c>
      <c r="AX10" s="85" t="str">
        <f t="shared" si="0"/>
        <v>2018E</v>
      </c>
      <c r="AY10" s="89" t="str">
        <f t="shared" si="0"/>
        <v>1T19E</v>
      </c>
      <c r="AZ10" s="89" t="str">
        <f t="shared" si="0"/>
        <v>2T19E</v>
      </c>
      <c r="BA10" s="89" t="str">
        <f t="shared" si="0"/>
        <v>3T19E</v>
      </c>
      <c r="BB10" s="89" t="str">
        <f t="shared" si="0"/>
        <v>4T19E</v>
      </c>
      <c r="BC10" s="85" t="str">
        <f t="shared" si="0"/>
        <v>2019E</v>
      </c>
      <c r="BD10" s="89" t="str">
        <f t="shared" si="0"/>
        <v>1T20E</v>
      </c>
      <c r="BE10" s="89" t="str">
        <f t="shared" si="0"/>
        <v>2T20E</v>
      </c>
      <c r="BF10" s="89" t="str">
        <f t="shared" si="0"/>
        <v>3T20E</v>
      </c>
      <c r="BG10" s="89" t="str">
        <f t="shared" si="0"/>
        <v>4T20E</v>
      </c>
      <c r="BH10" s="85" t="str">
        <f t="shared" si="0"/>
        <v>2020E</v>
      </c>
      <c r="BI10" s="89" t="str">
        <f t="shared" si="0"/>
        <v>1T21E</v>
      </c>
      <c r="BJ10" s="89" t="str">
        <f t="shared" si="0"/>
        <v>2T21E</v>
      </c>
      <c r="BK10" s="89" t="str">
        <f t="shared" si="0"/>
        <v>3T21E</v>
      </c>
      <c r="BL10" s="89" t="str">
        <f t="shared" si="0"/>
        <v>4T21E</v>
      </c>
      <c r="BM10" s="85" t="str">
        <f t="shared" si="0"/>
        <v>2021E</v>
      </c>
      <c r="BN10" s="89" t="str">
        <f t="shared" si="0"/>
        <v>1T22E</v>
      </c>
      <c r="BO10" s="89" t="str">
        <f t="shared" si="0"/>
        <v>2T22E</v>
      </c>
      <c r="BP10" s="89" t="str">
        <f t="shared" si="0"/>
        <v>3T22E</v>
      </c>
      <c r="BQ10" s="89" t="str">
        <f t="shared" si="0"/>
        <v>4T22E</v>
      </c>
      <c r="BR10" s="85" t="str">
        <f t="shared" ref="BR10:CV10" si="1">BR3</f>
        <v>2022E</v>
      </c>
      <c r="BS10" s="89" t="str">
        <f t="shared" si="1"/>
        <v>1T23E</v>
      </c>
      <c r="BT10" s="89" t="str">
        <f t="shared" si="1"/>
        <v>2T23E</v>
      </c>
      <c r="BU10" s="89" t="str">
        <f t="shared" si="1"/>
        <v>3T23E</v>
      </c>
      <c r="BV10" s="89" t="str">
        <f t="shared" si="1"/>
        <v>4T23E</v>
      </c>
      <c r="BW10" s="85" t="str">
        <f t="shared" si="1"/>
        <v>2023E</v>
      </c>
      <c r="BX10" s="89" t="str">
        <f t="shared" si="1"/>
        <v>1T24E</v>
      </c>
      <c r="BY10" s="89" t="str">
        <f t="shared" si="1"/>
        <v>2T24E</v>
      </c>
      <c r="BZ10" s="89" t="str">
        <f t="shared" si="1"/>
        <v>3T24E</v>
      </c>
      <c r="CA10" s="89" t="str">
        <f t="shared" si="1"/>
        <v>4T24E</v>
      </c>
      <c r="CB10" s="85" t="str">
        <f t="shared" si="1"/>
        <v>2024E</v>
      </c>
      <c r="CC10" s="89" t="str">
        <f t="shared" si="1"/>
        <v>1T25E</v>
      </c>
      <c r="CD10" s="89" t="str">
        <f t="shared" si="1"/>
        <v>2T25E</v>
      </c>
      <c r="CE10" s="89" t="str">
        <f t="shared" si="1"/>
        <v>3T25E</v>
      </c>
      <c r="CF10" s="89" t="str">
        <f t="shared" si="1"/>
        <v>4T25E</v>
      </c>
      <c r="CG10" s="85" t="str">
        <f t="shared" si="1"/>
        <v>2025E</v>
      </c>
      <c r="CH10" s="89" t="str">
        <f t="shared" si="1"/>
        <v>1T26E</v>
      </c>
      <c r="CI10" s="89" t="str">
        <f t="shared" si="1"/>
        <v>2T26E</v>
      </c>
      <c r="CJ10" s="89" t="str">
        <f t="shared" si="1"/>
        <v>3T26E</v>
      </c>
      <c r="CK10" s="89" t="str">
        <f t="shared" si="1"/>
        <v>4T26E</v>
      </c>
      <c r="CL10" s="85" t="str">
        <f t="shared" si="1"/>
        <v>2026E</v>
      </c>
      <c r="CM10" s="89" t="str">
        <f t="shared" si="1"/>
        <v>1T27E</v>
      </c>
      <c r="CN10" s="89" t="str">
        <f t="shared" si="1"/>
        <v>2T27E</v>
      </c>
      <c r="CO10" s="89" t="str">
        <f t="shared" si="1"/>
        <v>3T27E</v>
      </c>
      <c r="CP10" s="89" t="str">
        <f t="shared" si="1"/>
        <v>4T27E</v>
      </c>
      <c r="CQ10" s="85" t="str">
        <f t="shared" si="1"/>
        <v>2027E</v>
      </c>
      <c r="CR10" s="89" t="str">
        <f t="shared" si="1"/>
        <v>1T28E</v>
      </c>
      <c r="CS10" s="89" t="str">
        <f t="shared" si="1"/>
        <v>2T28E</v>
      </c>
      <c r="CT10" s="89" t="str">
        <f t="shared" si="1"/>
        <v>3T28E</v>
      </c>
      <c r="CU10" s="89" t="str">
        <f t="shared" si="1"/>
        <v>4T28E</v>
      </c>
      <c r="CV10" s="85" t="str">
        <f t="shared" si="1"/>
        <v>2028E</v>
      </c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</row>
    <row r="11" spans="1:115" s="18" customFormat="1">
      <c r="A11" s="80" t="s">
        <v>72</v>
      </c>
      <c r="B11" s="73"/>
      <c r="C11" s="73"/>
      <c r="D11" s="73"/>
      <c r="E11" s="90"/>
      <c r="F11" s="91"/>
      <c r="G11" s="91"/>
      <c r="H11" s="91"/>
      <c r="I11" s="91"/>
      <c r="J11" s="90"/>
      <c r="K11" s="91"/>
      <c r="L11" s="91"/>
      <c r="M11" s="91"/>
      <c r="N11" s="91"/>
      <c r="O11" s="90"/>
      <c r="P11" s="91"/>
      <c r="Q11" s="91"/>
      <c r="R11" s="91"/>
      <c r="S11" s="91"/>
      <c r="T11" s="90"/>
      <c r="U11" s="81">
        <v>8.294E-2</v>
      </c>
      <c r="V11" s="81">
        <f>+U11</f>
        <v>8.294E-2</v>
      </c>
      <c r="W11" s="81">
        <f>+V11*(1+(W$5/100)*4)</f>
        <v>8.294E-2</v>
      </c>
      <c r="X11" s="91">
        <f>+W11</f>
        <v>8.294E-2</v>
      </c>
      <c r="Y11" s="90"/>
      <c r="Z11" s="91">
        <f>+X11</f>
        <v>8.294E-2</v>
      </c>
      <c r="AA11" s="91">
        <f>+Z11</f>
        <v>8.294E-2</v>
      </c>
      <c r="AB11" s="323">
        <f>+AA11*(1+(AB$5/100)*4)</f>
        <v>8.8256453999999998E-2</v>
      </c>
      <c r="AC11" s="91">
        <f>+AB11</f>
        <v>8.8256453999999998E-2</v>
      </c>
      <c r="AD11" s="90"/>
      <c r="AE11" s="91">
        <f>+AC11</f>
        <v>8.8256453999999998E-2</v>
      </c>
      <c r="AF11" s="91">
        <f>+AE11</f>
        <v>8.8256453999999998E-2</v>
      </c>
      <c r="AG11" s="323">
        <f>+AF11*(1+(AG$5/100)*4)</f>
        <v>9.708209940000001E-2</v>
      </c>
      <c r="AH11" s="91">
        <f>+AG11</f>
        <v>9.708209940000001E-2</v>
      </c>
      <c r="AI11" s="90"/>
      <c r="AJ11" s="91">
        <f>+AH11</f>
        <v>9.708209940000001E-2</v>
      </c>
      <c r="AK11" s="91">
        <f>+AJ11</f>
        <v>9.708209940000001E-2</v>
      </c>
      <c r="AL11" s="91">
        <f>+AK11*(1+(AL$5/100)*4)</f>
        <v>0.10329535376160001</v>
      </c>
      <c r="AM11" s="91">
        <f>+AL11</f>
        <v>0.10329535376160001</v>
      </c>
      <c r="AN11" s="90"/>
      <c r="AO11" s="91">
        <f>+AM11</f>
        <v>0.10329535376160001</v>
      </c>
      <c r="AP11" s="91">
        <f>+AO11</f>
        <v>0.10329535376160001</v>
      </c>
      <c r="AQ11" s="81">
        <f>+AP11*(1+(AQ$5/100)*4)</f>
        <v>0.10846012144968002</v>
      </c>
      <c r="AR11" s="91">
        <f>+AQ11</f>
        <v>0.10846012144968002</v>
      </c>
      <c r="AS11" s="90"/>
      <c r="AT11" s="91">
        <f>+AR11</f>
        <v>0.10846012144968002</v>
      </c>
      <c r="AU11" s="91">
        <f>+AT11</f>
        <v>0.10846012144968002</v>
      </c>
      <c r="AV11" s="91">
        <f>+AU11*(1+(AV$5/100)*4)</f>
        <v>0.11388312752216402</v>
      </c>
      <c r="AW11" s="91">
        <f>+AV11</f>
        <v>0.11388312752216402</v>
      </c>
      <c r="AX11" s="90"/>
      <c r="AY11" s="91">
        <f>+AW11</f>
        <v>0.11388312752216402</v>
      </c>
      <c r="AZ11" s="91">
        <f>+AY11</f>
        <v>0.11388312752216402</v>
      </c>
      <c r="BA11" s="91">
        <f>+AZ11*(1+(BA$5/100)*4)</f>
        <v>0.1190078682606614</v>
      </c>
      <c r="BB11" s="91">
        <f>+BA11</f>
        <v>0.1190078682606614</v>
      </c>
      <c r="BC11" s="90"/>
      <c r="BD11" s="91">
        <f>+BB11</f>
        <v>0.1190078682606614</v>
      </c>
      <c r="BE11" s="91">
        <f>+BD11</f>
        <v>0.1190078682606614</v>
      </c>
      <c r="BF11" s="91">
        <f>+BE11*(1+(BF$5/100)*4)</f>
        <v>0.12436322233239115</v>
      </c>
      <c r="BG11" s="91">
        <f>+BF11</f>
        <v>0.12436322233239115</v>
      </c>
      <c r="BH11" s="90"/>
      <c r="BI11" s="81">
        <f>+BG11</f>
        <v>0.12436322233239115</v>
      </c>
      <c r="BJ11" s="81">
        <f>+BI11</f>
        <v>0.12436322233239115</v>
      </c>
      <c r="BK11" s="81">
        <f>+BJ11*(1+(BK$5/100)*4)</f>
        <v>0.12995956733734876</v>
      </c>
      <c r="BL11" s="91">
        <f>+BK11</f>
        <v>0.12995956733734876</v>
      </c>
      <c r="BM11" s="90"/>
      <c r="BN11" s="91">
        <f>+BL11</f>
        <v>0.12995956733734876</v>
      </c>
      <c r="BO11" s="91">
        <f>+BN11</f>
        <v>0.12995956733734876</v>
      </c>
      <c r="BP11" s="91">
        <f>+BO11*(1+(BP$5/100)*4)</f>
        <v>0.13580774786752944</v>
      </c>
      <c r="BQ11" s="91">
        <f>+BP11</f>
        <v>0.13580774786752944</v>
      </c>
      <c r="BR11" s="90"/>
      <c r="BS11" s="91">
        <f>+BQ11</f>
        <v>0.13580774786752944</v>
      </c>
      <c r="BT11" s="91">
        <f>+BS11</f>
        <v>0.13580774786752944</v>
      </c>
      <c r="BU11" s="91">
        <f>+BT11*(1+(BU$5/100)*4)</f>
        <v>0.14191909652156826</v>
      </c>
      <c r="BV11" s="91">
        <f>+BU11</f>
        <v>0.14191909652156826</v>
      </c>
      <c r="BW11" s="90"/>
      <c r="BX11" s="91">
        <f>+BV11</f>
        <v>0.14191909652156826</v>
      </c>
      <c r="BY11" s="91">
        <f>+BX11</f>
        <v>0.14191909652156826</v>
      </c>
      <c r="BZ11" s="91">
        <f>+BY11*(1+(BZ$5/100)*4)</f>
        <v>0.14830545586503882</v>
      </c>
      <c r="CA11" s="91">
        <f>+BZ11</f>
        <v>0.14830545586503882</v>
      </c>
      <c r="CB11" s="90"/>
      <c r="CC11" s="91">
        <f>+CA11</f>
        <v>0.14830545586503882</v>
      </c>
      <c r="CD11" s="91">
        <f>+CC11</f>
        <v>0.14830545586503882</v>
      </c>
      <c r="CE11" s="81">
        <f>+CD11*(1+(CE$5/100)*4)</f>
        <v>0.15497920137896556</v>
      </c>
      <c r="CF11" s="91">
        <f>+CE11</f>
        <v>0.15497920137896556</v>
      </c>
      <c r="CG11" s="90"/>
      <c r="CH11" s="91">
        <f>+CF11</f>
        <v>0.15497920137896556</v>
      </c>
      <c r="CI11" s="91">
        <f>+CH11</f>
        <v>0.15497920137896556</v>
      </c>
      <c r="CJ11" s="91">
        <f>+CI11*(1+(CJ$5/100)*4)</f>
        <v>0.16195326544101901</v>
      </c>
      <c r="CK11" s="91">
        <f>+CJ11</f>
        <v>0.16195326544101901</v>
      </c>
      <c r="CL11" s="90"/>
      <c r="CM11" s="91">
        <f>+CK11</f>
        <v>0.16195326544101901</v>
      </c>
      <c r="CN11" s="91">
        <f>+CM11</f>
        <v>0.16195326544101901</v>
      </c>
      <c r="CO11" s="91">
        <f>+CN11*(1+(CO$5/100)*4)</f>
        <v>0.16924116238586487</v>
      </c>
      <c r="CP11" s="91">
        <f>+CO11</f>
        <v>0.16924116238586487</v>
      </c>
      <c r="CQ11" s="90"/>
      <c r="CR11" s="81">
        <f>+CP11</f>
        <v>0.16924116238586487</v>
      </c>
      <c r="CS11" s="81">
        <f>+CR11</f>
        <v>0.16924116238586487</v>
      </c>
      <c r="CT11" s="81">
        <f>+CS11*(1+(CT$5/100)*4)</f>
        <v>0.17685701469322879</v>
      </c>
      <c r="CU11" s="91">
        <f>+CT11</f>
        <v>0.17685701469322879</v>
      </c>
      <c r="CV11" s="90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</row>
    <row r="12" spans="1:115" s="18" customFormat="1">
      <c r="A12" s="80" t="s">
        <v>73</v>
      </c>
      <c r="B12" s="73"/>
      <c r="C12" s="73"/>
      <c r="D12" s="73"/>
      <c r="E12" s="90"/>
      <c r="F12" s="91"/>
      <c r="G12" s="91"/>
      <c r="H12" s="91"/>
      <c r="I12" s="91"/>
      <c r="J12" s="90"/>
      <c r="K12" s="91"/>
      <c r="L12" s="91"/>
      <c r="M12" s="91"/>
      <c r="N12" s="91"/>
      <c r="O12" s="90"/>
      <c r="P12" s="91"/>
      <c r="Q12" s="91"/>
      <c r="R12" s="91"/>
      <c r="S12" s="91"/>
      <c r="T12" s="90"/>
      <c r="U12" s="81">
        <v>0.11611200000000001</v>
      </c>
      <c r="V12" s="81">
        <f>+U12</f>
        <v>0.11611200000000001</v>
      </c>
      <c r="W12" s="81">
        <f>+V12*(1+(W$5/100)*4)</f>
        <v>0.11611200000000001</v>
      </c>
      <c r="X12" s="91">
        <f>+W12</f>
        <v>0.11611200000000001</v>
      </c>
      <c r="Y12" s="90"/>
      <c r="Z12" s="91">
        <f>+X12</f>
        <v>0.11611200000000001</v>
      </c>
      <c r="AA12" s="91">
        <f>+Z12</f>
        <v>0.11611200000000001</v>
      </c>
      <c r="AB12" s="323">
        <f>+AA12*(1+(AB$5/100)*4)</f>
        <v>0.12355477920000001</v>
      </c>
      <c r="AC12" s="91">
        <f>+AB12</f>
        <v>0.12355477920000001</v>
      </c>
      <c r="AD12" s="90"/>
      <c r="AE12" s="91">
        <f>+AC12</f>
        <v>0.12355477920000001</v>
      </c>
      <c r="AF12" s="91">
        <f>+AE12</f>
        <v>0.12355477920000001</v>
      </c>
      <c r="AG12" s="323">
        <f>+AF12*(1+(AG$5/100)*4)</f>
        <v>0.13591025712000002</v>
      </c>
      <c r="AH12" s="91">
        <f>+AG12</f>
        <v>0.13591025712000002</v>
      </c>
      <c r="AI12" s="90"/>
      <c r="AJ12" s="91">
        <f>+AH12</f>
        <v>0.13591025712000002</v>
      </c>
      <c r="AK12" s="91">
        <f>+AJ12</f>
        <v>0.13591025712000002</v>
      </c>
      <c r="AL12" s="91">
        <f>+AK12*(1+(AL$5/100)*4)</f>
        <v>0.14460851357568003</v>
      </c>
      <c r="AM12" s="91">
        <f>+AL12</f>
        <v>0.14460851357568003</v>
      </c>
      <c r="AN12" s="90"/>
      <c r="AO12" s="91">
        <f>+AM12</f>
        <v>0.14460851357568003</v>
      </c>
      <c r="AP12" s="91">
        <f>+AO12</f>
        <v>0.14460851357568003</v>
      </c>
      <c r="AQ12" s="81">
        <f>+AP12*(1+(AQ$5/100)*4)</f>
        <v>0.15183893925446404</v>
      </c>
      <c r="AR12" s="91">
        <f>+AQ12</f>
        <v>0.15183893925446404</v>
      </c>
      <c r="AS12" s="90"/>
      <c r="AT12" s="91">
        <f>+AR12</f>
        <v>0.15183893925446404</v>
      </c>
      <c r="AU12" s="91">
        <f>+AT12</f>
        <v>0.15183893925446404</v>
      </c>
      <c r="AV12" s="91">
        <f>+AU12*(1+(AV$5/100)*4)</f>
        <v>0.15943088621718723</v>
      </c>
      <c r="AW12" s="91">
        <f>+AV12</f>
        <v>0.15943088621718723</v>
      </c>
      <c r="AX12" s="90"/>
      <c r="AY12" s="91">
        <f>+AW12</f>
        <v>0.15943088621718723</v>
      </c>
      <c r="AZ12" s="91">
        <f>+AY12</f>
        <v>0.15943088621718723</v>
      </c>
      <c r="BA12" s="91">
        <f>+AZ12*(1+(BA$5/100)*4)</f>
        <v>0.16660527609696066</v>
      </c>
      <c r="BB12" s="91">
        <f>+BA12</f>
        <v>0.16660527609696066</v>
      </c>
      <c r="BC12" s="90"/>
      <c r="BD12" s="91">
        <f>+BB12</f>
        <v>0.16660527609696066</v>
      </c>
      <c r="BE12" s="91">
        <f>+BD12</f>
        <v>0.16660527609696066</v>
      </c>
      <c r="BF12" s="91">
        <f>+BE12*(1+(BF$5/100)*4)</f>
        <v>0.17410251352132389</v>
      </c>
      <c r="BG12" s="91">
        <f>+BF12</f>
        <v>0.17410251352132389</v>
      </c>
      <c r="BH12" s="90"/>
      <c r="BI12" s="81">
        <f>+BG12</f>
        <v>0.17410251352132389</v>
      </c>
      <c r="BJ12" s="81">
        <f>+BI12</f>
        <v>0.17410251352132389</v>
      </c>
      <c r="BK12" s="81">
        <f>+BJ12*(1+(BK$5/100)*4)</f>
        <v>0.18193712662978345</v>
      </c>
      <c r="BL12" s="91">
        <f>+BK12</f>
        <v>0.18193712662978345</v>
      </c>
      <c r="BM12" s="90"/>
      <c r="BN12" s="91">
        <f>+BL12</f>
        <v>0.18193712662978345</v>
      </c>
      <c r="BO12" s="91">
        <f>+BN12</f>
        <v>0.18193712662978345</v>
      </c>
      <c r="BP12" s="91">
        <f>+BO12*(1+(BP$5/100)*4)</f>
        <v>0.19012429732812369</v>
      </c>
      <c r="BQ12" s="91">
        <f>+BP12</f>
        <v>0.19012429732812369</v>
      </c>
      <c r="BR12" s="90"/>
      <c r="BS12" s="91">
        <f>+BQ12</f>
        <v>0.19012429732812369</v>
      </c>
      <c r="BT12" s="91">
        <f>+BS12</f>
        <v>0.19012429732812369</v>
      </c>
      <c r="BU12" s="91">
        <f>+BT12*(1+(BU$5/100)*4)</f>
        <v>0.19867989070788925</v>
      </c>
      <c r="BV12" s="91">
        <f>+BU12</f>
        <v>0.19867989070788925</v>
      </c>
      <c r="BW12" s="90"/>
      <c r="BX12" s="91">
        <f>+BV12</f>
        <v>0.19867989070788925</v>
      </c>
      <c r="BY12" s="91">
        <f>+BX12</f>
        <v>0.19867989070788925</v>
      </c>
      <c r="BZ12" s="91">
        <f>+BY12*(1+(BZ$5/100)*4)</f>
        <v>0.20762048578974424</v>
      </c>
      <c r="CA12" s="91">
        <f>+BZ12</f>
        <v>0.20762048578974424</v>
      </c>
      <c r="CB12" s="90"/>
      <c r="CC12" s="91">
        <f>+CA12</f>
        <v>0.20762048578974424</v>
      </c>
      <c r="CD12" s="91">
        <f>+CC12</f>
        <v>0.20762048578974424</v>
      </c>
      <c r="CE12" s="81">
        <f>+CD12*(1+(CE$5/100)*4)</f>
        <v>0.21696340765028271</v>
      </c>
      <c r="CF12" s="91">
        <f>+CE12</f>
        <v>0.21696340765028271</v>
      </c>
      <c r="CG12" s="90"/>
      <c r="CH12" s="91">
        <f>+CF12</f>
        <v>0.21696340765028271</v>
      </c>
      <c r="CI12" s="91">
        <f>+CH12</f>
        <v>0.21696340765028271</v>
      </c>
      <c r="CJ12" s="91">
        <f>+CI12*(1+(CJ$5/100)*4)</f>
        <v>0.22672676099454542</v>
      </c>
      <c r="CK12" s="91">
        <f>+CJ12</f>
        <v>0.22672676099454542</v>
      </c>
      <c r="CL12" s="90"/>
      <c r="CM12" s="91">
        <f>+CK12</f>
        <v>0.22672676099454542</v>
      </c>
      <c r="CN12" s="91">
        <f>+CM12</f>
        <v>0.22672676099454542</v>
      </c>
      <c r="CO12" s="91">
        <f>+CN12*(1+(CO$5/100)*4)</f>
        <v>0.23692946523929995</v>
      </c>
      <c r="CP12" s="91">
        <f>+CO12</f>
        <v>0.23692946523929995</v>
      </c>
      <c r="CQ12" s="90"/>
      <c r="CR12" s="81">
        <f>+CP12</f>
        <v>0.23692946523929995</v>
      </c>
      <c r="CS12" s="81">
        <f>+CR12</f>
        <v>0.23692946523929995</v>
      </c>
      <c r="CT12" s="81">
        <f>+CS12*(1+(CT$5/100)*4)</f>
        <v>0.24759129117506842</v>
      </c>
      <c r="CU12" s="91">
        <f>+CT12</f>
        <v>0.24759129117506842</v>
      </c>
      <c r="CV12" s="90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</row>
    <row r="13" spans="1:115" s="18" customFormat="1">
      <c r="A13" s="2"/>
      <c r="B13" s="7"/>
      <c r="C13" s="7"/>
      <c r="D13" s="7"/>
      <c r="E13" s="92"/>
      <c r="F13" s="84"/>
      <c r="G13" s="84"/>
      <c r="H13" s="84"/>
      <c r="I13" s="84"/>
      <c r="J13" s="92"/>
      <c r="K13" s="84"/>
      <c r="L13" s="84"/>
      <c r="M13" s="84"/>
      <c r="N13" s="84"/>
      <c r="O13" s="92"/>
      <c r="P13" s="84"/>
      <c r="Q13" s="84"/>
      <c r="R13" s="84"/>
      <c r="S13" s="84"/>
      <c r="T13" s="92"/>
      <c r="U13" s="84"/>
      <c r="V13" s="84"/>
      <c r="W13" s="84"/>
      <c r="X13" s="84"/>
      <c r="Y13" s="92"/>
      <c r="Z13" s="84"/>
      <c r="AA13" s="84"/>
      <c r="AB13" s="84"/>
      <c r="AC13" s="84"/>
      <c r="AD13" s="92"/>
      <c r="AE13" s="84"/>
      <c r="AF13" s="84"/>
      <c r="AG13" s="84"/>
      <c r="AH13" s="84"/>
      <c r="AI13" s="92"/>
      <c r="AJ13" s="84"/>
      <c r="AK13" s="84"/>
      <c r="AL13" s="84"/>
      <c r="AM13" s="84"/>
      <c r="AN13" s="92"/>
      <c r="AO13" s="84"/>
      <c r="AP13" s="84"/>
      <c r="AQ13" s="84"/>
      <c r="AR13" s="84"/>
      <c r="AS13" s="92"/>
      <c r="AT13" s="84"/>
      <c r="AU13" s="84"/>
      <c r="AV13" s="84"/>
      <c r="AW13" s="84"/>
      <c r="AX13" s="92"/>
      <c r="AY13" s="84"/>
      <c r="AZ13" s="84"/>
      <c r="BA13" s="84"/>
      <c r="BB13" s="84"/>
      <c r="BC13" s="92"/>
      <c r="BD13" s="84"/>
      <c r="BE13" s="84"/>
      <c r="BF13" s="84"/>
      <c r="BG13" s="84"/>
      <c r="BH13" s="92"/>
      <c r="BI13" s="84"/>
      <c r="BJ13" s="84"/>
      <c r="BK13" s="84"/>
      <c r="BL13" s="84"/>
      <c r="BM13" s="92"/>
      <c r="BN13" s="84"/>
      <c r="BO13" s="84"/>
      <c r="BP13" s="84"/>
      <c r="BQ13" s="84"/>
      <c r="BR13" s="92"/>
      <c r="BS13" s="84"/>
      <c r="BT13" s="84"/>
      <c r="BU13" s="84"/>
      <c r="BV13" s="84"/>
      <c r="BW13" s="92"/>
      <c r="BX13" s="84"/>
      <c r="BY13" s="84"/>
      <c r="BZ13" s="84"/>
      <c r="CA13" s="84"/>
      <c r="CB13" s="92"/>
      <c r="CC13" s="84"/>
      <c r="CD13" s="84"/>
      <c r="CE13" s="84"/>
      <c r="CF13" s="84"/>
      <c r="CG13" s="92"/>
      <c r="CH13" s="84"/>
      <c r="CI13" s="84"/>
      <c r="CJ13" s="84"/>
      <c r="CK13" s="84"/>
      <c r="CL13" s="92"/>
      <c r="CM13" s="84"/>
      <c r="CN13" s="84"/>
      <c r="CO13" s="84"/>
      <c r="CP13" s="84"/>
      <c r="CQ13" s="92"/>
      <c r="CR13" s="84"/>
      <c r="CS13" s="84"/>
      <c r="CT13" s="84"/>
      <c r="CU13" s="84"/>
      <c r="CV13" s="92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</row>
    <row r="14" spans="1:115" s="1" customFormat="1">
      <c r="A14" s="138" t="s">
        <v>68</v>
      </c>
      <c r="B14" s="4" t="s">
        <v>82</v>
      </c>
      <c r="C14" s="4" t="s">
        <v>83</v>
      </c>
      <c r="D14" s="4" t="s">
        <v>2</v>
      </c>
      <c r="E14" s="85">
        <f t="shared" ref="E14:AJ14" si="2">E3</f>
        <v>2009</v>
      </c>
      <c r="F14" s="86" t="str">
        <f t="shared" si="2"/>
        <v>1T10</v>
      </c>
      <c r="G14" s="86" t="str">
        <f t="shared" si="2"/>
        <v>2T10</v>
      </c>
      <c r="H14" s="86" t="str">
        <f t="shared" si="2"/>
        <v>3T10</v>
      </c>
      <c r="I14" s="86" t="str">
        <f t="shared" si="2"/>
        <v>4T10</v>
      </c>
      <c r="J14" s="85">
        <f t="shared" si="2"/>
        <v>2010</v>
      </c>
      <c r="K14" s="86" t="str">
        <f t="shared" si="2"/>
        <v>1T11</v>
      </c>
      <c r="L14" s="86" t="str">
        <f t="shared" si="2"/>
        <v>2T11</v>
      </c>
      <c r="M14" s="86" t="str">
        <f t="shared" si="2"/>
        <v>3T11</v>
      </c>
      <c r="N14" s="86" t="str">
        <f t="shared" si="2"/>
        <v>4T11</v>
      </c>
      <c r="O14" s="85">
        <f t="shared" si="2"/>
        <v>2011</v>
      </c>
      <c r="P14" s="86" t="str">
        <f t="shared" si="2"/>
        <v>1T12</v>
      </c>
      <c r="Q14" s="86" t="str">
        <f t="shared" si="2"/>
        <v>2T12</v>
      </c>
      <c r="R14" s="86" t="str">
        <f t="shared" si="2"/>
        <v>3T12</v>
      </c>
      <c r="S14" s="86" t="str">
        <f t="shared" si="2"/>
        <v>4T12</v>
      </c>
      <c r="T14" s="85">
        <f t="shared" si="2"/>
        <v>2012</v>
      </c>
      <c r="U14" s="86" t="str">
        <f t="shared" si="2"/>
        <v>1T13</v>
      </c>
      <c r="V14" s="86" t="str">
        <f t="shared" si="2"/>
        <v>2T13</v>
      </c>
      <c r="W14" s="86" t="str">
        <f t="shared" si="2"/>
        <v>3T13</v>
      </c>
      <c r="X14" s="86" t="str">
        <f t="shared" si="2"/>
        <v>4T13</v>
      </c>
      <c r="Y14" s="85">
        <f t="shared" si="2"/>
        <v>2013</v>
      </c>
      <c r="Z14" s="86" t="str">
        <f t="shared" si="2"/>
        <v>1T14</v>
      </c>
      <c r="AA14" s="86" t="str">
        <f t="shared" si="2"/>
        <v>2T14</v>
      </c>
      <c r="AB14" s="86" t="str">
        <f t="shared" si="2"/>
        <v>3T14</v>
      </c>
      <c r="AC14" s="86" t="str">
        <f t="shared" si="2"/>
        <v>4T14</v>
      </c>
      <c r="AD14" s="85">
        <f t="shared" si="2"/>
        <v>2014</v>
      </c>
      <c r="AE14" s="86" t="str">
        <f t="shared" si="2"/>
        <v>1T15</v>
      </c>
      <c r="AF14" s="86" t="str">
        <f t="shared" si="2"/>
        <v>2T15</v>
      </c>
      <c r="AG14" s="86" t="str">
        <f t="shared" si="2"/>
        <v>3T15</v>
      </c>
      <c r="AH14" s="86" t="str">
        <f t="shared" si="2"/>
        <v>4T15E</v>
      </c>
      <c r="AI14" s="85" t="str">
        <f t="shared" si="2"/>
        <v>2015E</v>
      </c>
      <c r="AJ14" s="86" t="str">
        <f t="shared" si="2"/>
        <v>1T16E</v>
      </c>
      <c r="AK14" s="86" t="str">
        <f t="shared" ref="AK14:BP14" si="3">AK3</f>
        <v>2T16E</v>
      </c>
      <c r="AL14" s="86" t="str">
        <f t="shared" si="3"/>
        <v>3T16E</v>
      </c>
      <c r="AM14" s="86" t="str">
        <f t="shared" si="3"/>
        <v>4T16E</v>
      </c>
      <c r="AN14" s="85" t="str">
        <f t="shared" si="3"/>
        <v>2016E</v>
      </c>
      <c r="AO14" s="86" t="str">
        <f t="shared" si="3"/>
        <v>1T17E</v>
      </c>
      <c r="AP14" s="86" t="str">
        <f t="shared" si="3"/>
        <v>2T17E</v>
      </c>
      <c r="AQ14" s="86" t="str">
        <f t="shared" si="3"/>
        <v>3T17E</v>
      </c>
      <c r="AR14" s="86" t="str">
        <f t="shared" si="3"/>
        <v>4T17E</v>
      </c>
      <c r="AS14" s="85" t="str">
        <f t="shared" si="3"/>
        <v>2017E</v>
      </c>
      <c r="AT14" s="86" t="str">
        <f t="shared" si="3"/>
        <v>1T18E</v>
      </c>
      <c r="AU14" s="86" t="str">
        <f t="shared" si="3"/>
        <v>2T18E</v>
      </c>
      <c r="AV14" s="86" t="str">
        <f t="shared" si="3"/>
        <v>3T18E</v>
      </c>
      <c r="AW14" s="86" t="str">
        <f t="shared" si="3"/>
        <v>4T18E</v>
      </c>
      <c r="AX14" s="85" t="str">
        <f t="shared" si="3"/>
        <v>2018E</v>
      </c>
      <c r="AY14" s="86" t="str">
        <f t="shared" si="3"/>
        <v>1T19E</v>
      </c>
      <c r="AZ14" s="86" t="str">
        <f t="shared" si="3"/>
        <v>2T19E</v>
      </c>
      <c r="BA14" s="86" t="str">
        <f t="shared" si="3"/>
        <v>3T19E</v>
      </c>
      <c r="BB14" s="86" t="str">
        <f t="shared" si="3"/>
        <v>4T19E</v>
      </c>
      <c r="BC14" s="85" t="str">
        <f t="shared" si="3"/>
        <v>2019E</v>
      </c>
      <c r="BD14" s="86" t="str">
        <f t="shared" si="3"/>
        <v>1T20E</v>
      </c>
      <c r="BE14" s="86" t="str">
        <f t="shared" si="3"/>
        <v>2T20E</v>
      </c>
      <c r="BF14" s="86" t="str">
        <f t="shared" si="3"/>
        <v>3T20E</v>
      </c>
      <c r="BG14" s="86" t="str">
        <f t="shared" si="3"/>
        <v>4T20E</v>
      </c>
      <c r="BH14" s="85" t="str">
        <f t="shared" si="3"/>
        <v>2020E</v>
      </c>
      <c r="BI14" s="86" t="str">
        <f t="shared" si="3"/>
        <v>1T21E</v>
      </c>
      <c r="BJ14" s="86" t="str">
        <f t="shared" si="3"/>
        <v>2T21E</v>
      </c>
      <c r="BK14" s="86" t="str">
        <f t="shared" si="3"/>
        <v>3T21E</v>
      </c>
      <c r="BL14" s="86" t="str">
        <f t="shared" si="3"/>
        <v>4T21E</v>
      </c>
      <c r="BM14" s="85" t="str">
        <f t="shared" si="3"/>
        <v>2021E</v>
      </c>
      <c r="BN14" s="86" t="str">
        <f t="shared" si="3"/>
        <v>1T22E</v>
      </c>
      <c r="BO14" s="86" t="str">
        <f t="shared" si="3"/>
        <v>2T22E</v>
      </c>
      <c r="BP14" s="86" t="str">
        <f t="shared" si="3"/>
        <v>3T22E</v>
      </c>
      <c r="BQ14" s="86" t="str">
        <f t="shared" ref="BQ14:CV14" si="4">BQ3</f>
        <v>4T22E</v>
      </c>
      <c r="BR14" s="85" t="str">
        <f t="shared" si="4"/>
        <v>2022E</v>
      </c>
      <c r="BS14" s="86" t="str">
        <f t="shared" si="4"/>
        <v>1T23E</v>
      </c>
      <c r="BT14" s="86" t="str">
        <f t="shared" si="4"/>
        <v>2T23E</v>
      </c>
      <c r="BU14" s="86" t="str">
        <f t="shared" si="4"/>
        <v>3T23E</v>
      </c>
      <c r="BV14" s="86" t="str">
        <f t="shared" si="4"/>
        <v>4T23E</v>
      </c>
      <c r="BW14" s="85" t="str">
        <f t="shared" si="4"/>
        <v>2023E</v>
      </c>
      <c r="BX14" s="86" t="str">
        <f t="shared" si="4"/>
        <v>1T24E</v>
      </c>
      <c r="BY14" s="86" t="str">
        <f t="shared" si="4"/>
        <v>2T24E</v>
      </c>
      <c r="BZ14" s="86" t="str">
        <f t="shared" si="4"/>
        <v>3T24E</v>
      </c>
      <c r="CA14" s="86" t="str">
        <f t="shared" si="4"/>
        <v>4T24E</v>
      </c>
      <c r="CB14" s="85" t="str">
        <f t="shared" si="4"/>
        <v>2024E</v>
      </c>
      <c r="CC14" s="86" t="str">
        <f t="shared" si="4"/>
        <v>1T25E</v>
      </c>
      <c r="CD14" s="86" t="str">
        <f t="shared" si="4"/>
        <v>2T25E</v>
      </c>
      <c r="CE14" s="86" t="str">
        <f t="shared" si="4"/>
        <v>3T25E</v>
      </c>
      <c r="CF14" s="86" t="str">
        <f t="shared" si="4"/>
        <v>4T25E</v>
      </c>
      <c r="CG14" s="85" t="str">
        <f t="shared" si="4"/>
        <v>2025E</v>
      </c>
      <c r="CH14" s="86" t="str">
        <f t="shared" si="4"/>
        <v>1T26E</v>
      </c>
      <c r="CI14" s="86" t="str">
        <f t="shared" si="4"/>
        <v>2T26E</v>
      </c>
      <c r="CJ14" s="86" t="str">
        <f t="shared" si="4"/>
        <v>3T26E</v>
      </c>
      <c r="CK14" s="86" t="str">
        <f t="shared" si="4"/>
        <v>4T26E</v>
      </c>
      <c r="CL14" s="85" t="str">
        <f t="shared" si="4"/>
        <v>2026E</v>
      </c>
      <c r="CM14" s="86" t="str">
        <f t="shared" si="4"/>
        <v>1T27E</v>
      </c>
      <c r="CN14" s="86" t="str">
        <f t="shared" si="4"/>
        <v>2T27E</v>
      </c>
      <c r="CO14" s="86" t="str">
        <f t="shared" si="4"/>
        <v>3T27E</v>
      </c>
      <c r="CP14" s="86" t="str">
        <f t="shared" si="4"/>
        <v>4T27E</v>
      </c>
      <c r="CQ14" s="85" t="str">
        <f t="shared" si="4"/>
        <v>2027E</v>
      </c>
      <c r="CR14" s="86" t="str">
        <f t="shared" si="4"/>
        <v>1T28E</v>
      </c>
      <c r="CS14" s="86" t="str">
        <f t="shared" si="4"/>
        <v>2T28E</v>
      </c>
      <c r="CT14" s="86" t="str">
        <f t="shared" si="4"/>
        <v>3T28E</v>
      </c>
      <c r="CU14" s="86" t="str">
        <f t="shared" si="4"/>
        <v>4T28E</v>
      </c>
      <c r="CV14" s="85" t="str">
        <f t="shared" si="4"/>
        <v>2028E</v>
      </c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</row>
    <row r="15" spans="1:115" s="14" customFormat="1">
      <c r="A15" s="141" t="s">
        <v>87</v>
      </c>
      <c r="B15" s="9"/>
      <c r="C15" s="9"/>
      <c r="D15" s="9"/>
      <c r="E15" s="93"/>
      <c r="F15" s="94"/>
      <c r="G15" s="94"/>
      <c r="H15" s="94"/>
      <c r="I15" s="94"/>
      <c r="J15" s="93"/>
      <c r="K15" s="94"/>
      <c r="L15" s="94"/>
      <c r="M15" s="94"/>
      <c r="N15" s="94"/>
      <c r="O15" s="93"/>
      <c r="P15" s="94"/>
      <c r="Q15" s="94"/>
      <c r="R15" s="94"/>
      <c r="S15" s="94"/>
      <c r="T15" s="93"/>
      <c r="U15" s="94"/>
      <c r="V15" s="94"/>
      <c r="W15" s="94"/>
      <c r="X15" s="94"/>
      <c r="Y15" s="93"/>
      <c r="Z15" s="94"/>
      <c r="AA15" s="94"/>
      <c r="AB15" s="94"/>
      <c r="AC15" s="94"/>
      <c r="AD15" s="93"/>
      <c r="AE15" s="94"/>
      <c r="AF15" s="94"/>
      <c r="AG15" s="94"/>
      <c r="AH15" s="94"/>
      <c r="AI15" s="93"/>
      <c r="AJ15" s="94"/>
      <c r="AK15" s="94"/>
      <c r="AL15" s="94"/>
      <c r="AM15" s="94"/>
      <c r="AN15" s="93"/>
      <c r="AO15" s="94"/>
      <c r="AP15" s="94"/>
      <c r="AQ15" s="94"/>
      <c r="AR15" s="94"/>
      <c r="AS15" s="93"/>
      <c r="AT15" s="94"/>
      <c r="AU15" s="94"/>
      <c r="AV15" s="94"/>
      <c r="AW15" s="94"/>
      <c r="AX15" s="93"/>
      <c r="AY15" s="94"/>
      <c r="AZ15" s="94"/>
      <c r="BA15" s="94"/>
      <c r="BB15" s="94"/>
      <c r="BC15" s="93"/>
      <c r="BD15" s="94"/>
      <c r="BE15" s="94"/>
      <c r="BF15" s="94"/>
      <c r="BG15" s="94"/>
      <c r="BH15" s="93"/>
      <c r="BI15" s="94"/>
      <c r="BJ15" s="94"/>
      <c r="BK15" s="94"/>
      <c r="BL15" s="94"/>
      <c r="BM15" s="93"/>
      <c r="BN15" s="94"/>
      <c r="BO15" s="94"/>
      <c r="BP15" s="94"/>
      <c r="BQ15" s="94"/>
      <c r="BR15" s="93"/>
      <c r="BS15" s="94"/>
      <c r="BT15" s="94"/>
      <c r="BU15" s="94"/>
      <c r="BV15" s="94"/>
      <c r="BW15" s="93"/>
      <c r="BX15" s="94"/>
      <c r="BY15" s="94"/>
      <c r="BZ15" s="94"/>
      <c r="CA15" s="94"/>
      <c r="CB15" s="93"/>
      <c r="CC15" s="94"/>
      <c r="CD15" s="94"/>
      <c r="CE15" s="94"/>
      <c r="CF15" s="94"/>
      <c r="CG15" s="93"/>
      <c r="CH15" s="94"/>
      <c r="CI15" s="94"/>
      <c r="CJ15" s="94"/>
      <c r="CK15" s="94"/>
      <c r="CL15" s="93"/>
      <c r="CM15" s="94"/>
      <c r="CN15" s="94"/>
      <c r="CO15" s="94"/>
      <c r="CP15" s="94"/>
      <c r="CQ15" s="93"/>
      <c r="CR15" s="94"/>
      <c r="CS15" s="94"/>
      <c r="CT15" s="94"/>
      <c r="CU15" s="94"/>
      <c r="CV15" s="93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</row>
    <row r="16" spans="1:115" s="14" customFormat="1">
      <c r="A16" s="2" t="s">
        <v>69</v>
      </c>
      <c r="B16" s="7"/>
      <c r="C16" s="7"/>
      <c r="D16" s="7"/>
      <c r="E16" s="95"/>
      <c r="F16" s="96"/>
      <c r="G16" s="96"/>
      <c r="H16" s="96"/>
      <c r="I16" s="96"/>
      <c r="J16" s="95">
        <f t="shared" ref="J16:Y16" si="5">+J35*1000/J31</f>
        <v>3.5306709154406835</v>
      </c>
      <c r="K16" s="96">
        <f t="shared" si="5"/>
        <v>3.6037023805312693</v>
      </c>
      <c r="L16" s="96">
        <f t="shared" si="5"/>
        <v>3.5994226411513117</v>
      </c>
      <c r="M16" s="96">
        <f t="shared" si="5"/>
        <v>3.9045793214253575</v>
      </c>
      <c r="N16" s="96">
        <f t="shared" si="5"/>
        <v>3.920704129556666</v>
      </c>
      <c r="O16" s="95">
        <f t="shared" si="5"/>
        <v>3.7630187482781041</v>
      </c>
      <c r="P16" s="96">
        <f t="shared" si="5"/>
        <v>3.9186029749348035</v>
      </c>
      <c r="Q16" s="96">
        <f t="shared" si="5"/>
        <v>3.8893873863062685</v>
      </c>
      <c r="R16" s="96">
        <f t="shared" si="5"/>
        <v>4.1025070891455693</v>
      </c>
      <c r="S16" s="96">
        <f t="shared" si="5"/>
        <v>4.1027697851872871</v>
      </c>
      <c r="T16" s="95">
        <f t="shared" si="5"/>
        <v>4.0082272817385984</v>
      </c>
      <c r="U16" s="96">
        <f t="shared" si="5"/>
        <v>4.110551964046171</v>
      </c>
      <c r="V16" s="96">
        <f t="shared" si="5"/>
        <v>4.0032897782667662</v>
      </c>
      <c r="W16" s="96">
        <f t="shared" si="5"/>
        <v>4.1801687660908495</v>
      </c>
      <c r="X16" s="96">
        <f t="shared" si="5"/>
        <v>3.796041294229437</v>
      </c>
      <c r="Y16" s="95">
        <f t="shared" si="5"/>
        <v>4.0191953834325354</v>
      </c>
      <c r="Z16" s="96">
        <f>+Z35*1000/Z31</f>
        <v>4.0817355742061636</v>
      </c>
      <c r="AA16" s="96">
        <f t="shared" ref="AA16:AI16" si="6">+AA35*1000/AA31</f>
        <v>4.1288172728248025</v>
      </c>
      <c r="AB16" s="96">
        <f t="shared" si="6"/>
        <v>4.2940383422236623</v>
      </c>
      <c r="AC16" s="96">
        <f t="shared" si="6"/>
        <v>4.2574181083119127</v>
      </c>
      <c r="AD16" s="95">
        <f t="shared" si="6"/>
        <v>4.1924275878846888</v>
      </c>
      <c r="AE16" s="96">
        <f t="shared" si="6"/>
        <v>4.2915581235592004</v>
      </c>
      <c r="AF16" s="96">
        <f t="shared" si="6"/>
        <v>4.2914190792099749</v>
      </c>
      <c r="AG16" s="96">
        <f t="shared" si="6"/>
        <v>4.6712476615494998</v>
      </c>
      <c r="AH16" s="96">
        <f t="shared" si="6"/>
        <v>4.8055436572725174</v>
      </c>
      <c r="AI16" s="95">
        <f t="shared" si="6"/>
        <v>4.5218971870515299</v>
      </c>
      <c r="AJ16" s="96">
        <f t="shared" ref="AJ16:AL16" si="7">+AJ35*1000/AJ31</f>
        <v>4.904153104723342</v>
      </c>
      <c r="AK16" s="96">
        <f t="shared" si="7"/>
        <v>4.9865240048161033</v>
      </c>
      <c r="AL16" s="96">
        <f t="shared" si="7"/>
        <v>5.3085727504325799</v>
      </c>
      <c r="AM16" s="96">
        <f>+AM35*1000/AM31</f>
        <v>5.3096405618914684</v>
      </c>
      <c r="AN16" s="95">
        <f>+AN35*1000/AN31</f>
        <v>5.1300870624152282</v>
      </c>
      <c r="AO16" s="96">
        <f t="shared" ref="AO16:CV16" si="8">+AO35*1000/AO31</f>
        <v>5.3031000370189538</v>
      </c>
      <c r="AP16" s="96">
        <f t="shared" si="8"/>
        <v>5.3404432417169598</v>
      </c>
      <c r="AQ16" s="96">
        <f t="shared" si="8"/>
        <v>5.6089408499113391</v>
      </c>
      <c r="AR16" s="96">
        <f t="shared" si="8"/>
        <v>5.6107547142648073</v>
      </c>
      <c r="AS16" s="95">
        <f t="shared" si="8"/>
        <v>5.4728228476144416</v>
      </c>
      <c r="AT16" s="96">
        <f t="shared" si="8"/>
        <v>5.6038304758224982</v>
      </c>
      <c r="AU16" s="96">
        <f t="shared" si="8"/>
        <v>5.7536321817141385</v>
      </c>
      <c r="AV16" s="96">
        <f t="shared" si="8"/>
        <v>6.0426376078211481</v>
      </c>
      <c r="AW16" s="96">
        <f t="shared" si="8"/>
        <v>6.0390352681324151</v>
      </c>
      <c r="AX16" s="95">
        <f t="shared" si="8"/>
        <v>5.8687590959857019</v>
      </c>
      <c r="AY16" s="96">
        <f t="shared" si="8"/>
        <v>6.0460778010269269</v>
      </c>
      <c r="AZ16" s="96">
        <f t="shared" si="8"/>
        <v>6.0388280891665289</v>
      </c>
      <c r="BA16" s="96">
        <f t="shared" si="8"/>
        <v>6.3118631372787686</v>
      </c>
      <c r="BB16" s="96">
        <f t="shared" si="8"/>
        <v>6.3085506616342171</v>
      </c>
      <c r="BC16" s="95">
        <f t="shared" si="8"/>
        <v>6.1826666145055045</v>
      </c>
      <c r="BD16" s="96">
        <f t="shared" si="8"/>
        <v>6.3191364772433083</v>
      </c>
      <c r="BE16" s="96">
        <f t="shared" si="8"/>
        <v>6.3078154398684383</v>
      </c>
      <c r="BF16" s="96">
        <f t="shared" si="8"/>
        <v>6.592907050178427</v>
      </c>
      <c r="BG16" s="96">
        <f t="shared" si="8"/>
        <v>6.5899304796705449</v>
      </c>
      <c r="BH16" s="95">
        <f t="shared" si="8"/>
        <v>6.4588958356462145</v>
      </c>
      <c r="BI16" s="96">
        <f t="shared" si="8"/>
        <v>6.6036095673340531</v>
      </c>
      <c r="BJ16" s="96">
        <f t="shared" si="8"/>
        <v>6.5917983062315102</v>
      </c>
      <c r="BK16" s="96">
        <f t="shared" si="8"/>
        <v>6.8897226713954582</v>
      </c>
      <c r="BL16" s="96">
        <f t="shared" si="8"/>
        <v>6.8871549581849631</v>
      </c>
      <c r="BM16" s="95">
        <f t="shared" si="8"/>
        <v>6.7498001484043861</v>
      </c>
      <c r="BN16" s="96">
        <f t="shared" si="8"/>
        <v>6.9008549738324811</v>
      </c>
      <c r="BO16" s="96">
        <f t="shared" si="8"/>
        <v>6.8885264047146562</v>
      </c>
      <c r="BP16" s="96">
        <f t="shared" si="8"/>
        <v>7.1998601978888388</v>
      </c>
      <c r="BQ16" s="96">
        <f t="shared" si="8"/>
        <v>7.1966118880754149</v>
      </c>
      <c r="BR16" s="95">
        <f t="shared" si="8"/>
        <v>7.0534952443293371</v>
      </c>
      <c r="BS16" s="96">
        <f t="shared" si="8"/>
        <v>7.2114445961365723</v>
      </c>
      <c r="BT16" s="96">
        <f t="shared" si="8"/>
        <v>7.2074611076894168</v>
      </c>
      <c r="BU16" s="96">
        <f t="shared" si="8"/>
        <v>7.5329614562773743</v>
      </c>
      <c r="BV16" s="96">
        <f t="shared" si="8"/>
        <v>7.5292529464084881</v>
      </c>
      <c r="BW16" s="95">
        <f t="shared" si="8"/>
        <v>7.3777500004377004</v>
      </c>
      <c r="BX16" s="96">
        <f t="shared" si="8"/>
        <v>7.5449521071642414</v>
      </c>
      <c r="BY16" s="96">
        <f t="shared" si="8"/>
        <v>7.5318159571643708</v>
      </c>
      <c r="BZ16" s="96">
        <f t="shared" si="8"/>
        <v>7.8719644922826149</v>
      </c>
      <c r="CA16" s="96">
        <f t="shared" si="8"/>
        <v>7.8680872527525958</v>
      </c>
      <c r="CB16" s="95">
        <f t="shared" si="8"/>
        <v>7.7118834302683545</v>
      </c>
      <c r="CC16" s="96">
        <f t="shared" si="8"/>
        <v>7.8844532491584829</v>
      </c>
      <c r="CD16" s="96">
        <f t="shared" si="8"/>
        <v>7.8707224434570753</v>
      </c>
      <c r="CE16" s="96">
        <f t="shared" si="8"/>
        <v>8.2261767250996058</v>
      </c>
      <c r="CF16" s="96">
        <f t="shared" si="8"/>
        <v>8.2221268384762212</v>
      </c>
      <c r="CG16" s="95">
        <f t="shared" si="8"/>
        <v>8.0588950141650173</v>
      </c>
      <c r="CH16" s="96">
        <f t="shared" si="8"/>
        <v>8.2391905474893719</v>
      </c>
      <c r="CI16" s="96">
        <f t="shared" si="8"/>
        <v>8.2248313992139206</v>
      </c>
      <c r="CJ16" s="96">
        <f t="shared" si="8"/>
        <v>8.5962787825533908</v>
      </c>
      <c r="CK16" s="96">
        <f t="shared" si="8"/>
        <v>8.592045490003013</v>
      </c>
      <c r="CL16" s="95">
        <f t="shared" si="8"/>
        <v>8.4214760465612706</v>
      </c>
      <c r="CM16" s="96">
        <f t="shared" si="8"/>
        <v>8.6098456278135451</v>
      </c>
      <c r="CN16" s="96">
        <f t="shared" si="8"/>
        <v>8.594822822315221</v>
      </c>
      <c r="CO16" s="96">
        <f t="shared" si="8"/>
        <v>8.9829808080345916</v>
      </c>
      <c r="CP16" s="96">
        <f t="shared" si="8"/>
        <v>8.9785557421653834</v>
      </c>
      <c r="CQ16" s="95">
        <f t="shared" si="8"/>
        <v>8.8003237060049369</v>
      </c>
      <c r="CR16" s="96">
        <f t="shared" si="8"/>
        <v>8.9971419644752419</v>
      </c>
      <c r="CS16" s="96">
        <f t="shared" si="8"/>
        <v>8.9814075443381647</v>
      </c>
      <c r="CT16" s="96">
        <f t="shared" si="8"/>
        <v>9.3870336750484835</v>
      </c>
      <c r="CU16" s="96">
        <f t="shared" si="8"/>
        <v>9.382427663589338</v>
      </c>
      <c r="CV16" s="95">
        <f t="shared" si="8"/>
        <v>9.1961709300128405</v>
      </c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</row>
    <row r="17" spans="1:115" s="14" customFormat="1">
      <c r="A17" s="2" t="s">
        <v>312</v>
      </c>
      <c r="C17" s="18"/>
      <c r="D17" s="18"/>
      <c r="E17" s="97"/>
      <c r="F17" s="98"/>
      <c r="G17" s="98"/>
      <c r="H17" s="98"/>
      <c r="I17" s="98"/>
      <c r="J17" s="97"/>
      <c r="K17" s="98"/>
      <c r="L17" s="98"/>
      <c r="M17" s="98"/>
      <c r="N17" s="98"/>
      <c r="O17" s="97">
        <f t="shared" ref="O17:AD17" si="9">+O16/J16-1</f>
        <v>6.580840820403111E-2</v>
      </c>
      <c r="P17" s="99">
        <f t="shared" si="9"/>
        <v>8.7382519739909847E-2</v>
      </c>
      <c r="Q17" s="99">
        <f t="shared" si="9"/>
        <v>8.0558682339734622E-2</v>
      </c>
      <c r="R17" s="99">
        <f t="shared" si="9"/>
        <v>5.0691188839252055E-2</v>
      </c>
      <c r="S17" s="99">
        <f t="shared" si="9"/>
        <v>4.6436979076819096E-2</v>
      </c>
      <c r="T17" s="97">
        <f t="shared" si="9"/>
        <v>6.5162719046429896E-2</v>
      </c>
      <c r="U17" s="99">
        <f t="shared" si="9"/>
        <v>4.8984035978934859E-2</v>
      </c>
      <c r="V17" s="99">
        <f t="shared" si="9"/>
        <v>2.9285432549486901E-2</v>
      </c>
      <c r="W17" s="99">
        <f t="shared" si="9"/>
        <v>1.8930296830140136E-2</v>
      </c>
      <c r="X17" s="99">
        <f t="shared" si="9"/>
        <v>-7.4761321501700673E-2</v>
      </c>
      <c r="Y17" s="97">
        <f t="shared" si="9"/>
        <v>2.7363971459171132E-3</v>
      </c>
      <c r="Z17" s="98">
        <f t="shared" si="9"/>
        <v>-7.0103455915546675E-3</v>
      </c>
      <c r="AA17" s="98">
        <f t="shared" si="9"/>
        <v>3.1356084997769873E-2</v>
      </c>
      <c r="AB17" s="98">
        <f t="shared" si="9"/>
        <v>2.7240425567625959E-2</v>
      </c>
      <c r="AC17" s="98">
        <f t="shared" si="9"/>
        <v>0.1215415687874204</v>
      </c>
      <c r="AD17" s="97">
        <f t="shared" si="9"/>
        <v>4.3101215025831197E-2</v>
      </c>
      <c r="AE17" s="98">
        <f t="shared" ref="AE17" si="10">+AE16/Z16-1</f>
        <v>5.140522837367878E-2</v>
      </c>
      <c r="AF17" s="98">
        <f t="shared" ref="AF17" si="11">+AF16/AA16-1</f>
        <v>3.9382175485311643E-2</v>
      </c>
      <c r="AG17" s="98">
        <f t="shared" ref="AG17" si="12">+AG16/AB16-1</f>
        <v>8.7844888485671957E-2</v>
      </c>
      <c r="AH17" s="98">
        <f t="shared" ref="AH17:AI17" si="13">+AH16/AC16-1</f>
        <v>0.1287459993394775</v>
      </c>
      <c r="AI17" s="97">
        <f t="shared" si="13"/>
        <v>7.858683119988652E-2</v>
      </c>
      <c r="AJ17" s="99">
        <f t="shared" ref="AJ17" si="14">+AJ16/AE16-1</f>
        <v>0.14274418836394243</v>
      </c>
      <c r="AK17" s="99">
        <f t="shared" ref="AK17" si="15">+AK16/AF16-1</f>
        <v>0.16197554067222275</v>
      </c>
      <c r="AL17" s="99">
        <f t="shared" ref="AL17" si="16">+AL16/AG16-1</f>
        <v>0.13643573089243421</v>
      </c>
      <c r="AM17" s="99">
        <f t="shared" ref="AM17" si="17">+AM16/AH16-1</f>
        <v>0.10489903756385011</v>
      </c>
      <c r="AN17" s="193">
        <f>+AN16/AI16-1</f>
        <v>0.13449882874499064</v>
      </c>
      <c r="AO17" s="194">
        <f t="shared" ref="AO17" si="18">+AO16/AJ16-1</f>
        <v>8.134879229430525E-2</v>
      </c>
      <c r="AP17" s="194">
        <f t="shared" ref="AP17" si="19">+AP16/AK16-1</f>
        <v>7.0975139507807983E-2</v>
      </c>
      <c r="AQ17" s="194">
        <f t="shared" ref="AQ17" si="20">+AQ16/AL16-1</f>
        <v>5.6581705403638605E-2</v>
      </c>
      <c r="AR17" s="194">
        <f t="shared" ref="AR17" si="21">+AR16/AM16-1</f>
        <v>5.6710835481879052E-2</v>
      </c>
      <c r="AS17" s="193">
        <f t="shared" ref="AS17" si="22">+AS16/AN16-1</f>
        <v>6.6808960750434965E-2</v>
      </c>
      <c r="AT17" s="195">
        <f t="shared" ref="AT17" si="23">+AT16/AO16-1</f>
        <v>5.6708422753532384E-2</v>
      </c>
      <c r="AU17" s="195">
        <f t="shared" ref="AU17" si="24">+AU16/AP16-1</f>
        <v>7.7369783985259177E-2</v>
      </c>
      <c r="AV17" s="195">
        <f t="shared" ref="AV17" si="25">+AV16/AQ16-1</f>
        <v>7.7322398205833087E-2</v>
      </c>
      <c r="AW17" s="195">
        <f t="shared" ref="AW17" si="26">+AW16/AR16-1</f>
        <v>7.633207575065537E-2</v>
      </c>
      <c r="AX17" s="193">
        <f t="shared" ref="AX17" si="27">+AX16/AS16-1</f>
        <v>7.234589158021909E-2</v>
      </c>
      <c r="AY17" s="194">
        <f t="shared" ref="AY17" si="28">+AY16/AT16-1</f>
        <v>7.8918755146588859E-2</v>
      </c>
      <c r="AZ17" s="194">
        <f t="shared" ref="AZ17" si="29">+AZ16/AU16-1</f>
        <v>4.9567976965712912E-2</v>
      </c>
      <c r="BA17" s="194">
        <f t="shared" ref="BA17" si="30">+BA16/AV16-1</f>
        <v>4.4554306733396443E-2</v>
      </c>
      <c r="BB17" s="194">
        <f t="shared" ref="BB17" si="31">+BB16/AW16-1</f>
        <v>4.4628882186533492E-2</v>
      </c>
      <c r="BC17" s="193">
        <f t="shared" ref="BC17" si="32">+BC16/AX16-1</f>
        <v>5.3487886175890065E-2</v>
      </c>
      <c r="BD17" s="195">
        <f t="shared" ref="BD17" si="33">+BD16/AY16-1</f>
        <v>4.5162944507594949E-2</v>
      </c>
      <c r="BE17" s="195">
        <f t="shared" ref="BE17" si="34">+BE16/AZ16-1</f>
        <v>4.4542972035329864E-2</v>
      </c>
      <c r="BF17" s="195">
        <f t="shared" ref="BF17" si="35">+BF16/BA16-1</f>
        <v>4.4526300204415614E-2</v>
      </c>
      <c r="BG17" s="195">
        <f t="shared" ref="BG17" si="36">+BG16/BB16-1</f>
        <v>4.4602925953746153E-2</v>
      </c>
      <c r="BH17" s="193">
        <f t="shared" ref="BH17" si="37">+BH16/BC16-1</f>
        <v>4.4678006815478843E-2</v>
      </c>
      <c r="BI17" s="194">
        <f t="shared" ref="BI17" si="38">+BI16/BD16-1</f>
        <v>4.501771580898728E-2</v>
      </c>
      <c r="BJ17" s="194">
        <f t="shared" ref="BJ17" si="39">+BJ16/BE16-1</f>
        <v>4.5020795086705201E-2</v>
      </c>
      <c r="BK17" s="194">
        <f t="shared" ref="BK17" si="40">+BK16/BF16-1</f>
        <v>4.5020446816248949E-2</v>
      </c>
      <c r="BL17" s="194">
        <f t="shared" ref="BL17" si="41">+BL16/BG16-1</f>
        <v>4.5102824594483115E-2</v>
      </c>
      <c r="BM17" s="193">
        <f t="shared" ref="BM17" si="42">+BM16/BH16-1</f>
        <v>4.5039325630967797E-2</v>
      </c>
      <c r="BN17" s="195">
        <f t="shared" ref="BN17" si="43">+BN16/BI16-1</f>
        <v>4.5012565244439307E-2</v>
      </c>
      <c r="BO17" s="195">
        <f t="shared" ref="BO17" si="44">+BO16/BJ16-1</f>
        <v>4.5014741759109356E-2</v>
      </c>
      <c r="BP17" s="195">
        <f t="shared" ref="BP17" si="45">+BP16/BK16-1</f>
        <v>4.5014515283902545E-2</v>
      </c>
      <c r="BQ17" s="195">
        <f t="shared" ref="BQ17" si="46">+BQ16/BL16-1</f>
        <v>4.4932476729405035E-2</v>
      </c>
      <c r="BR17" s="193">
        <f t="shared" ref="BR17" si="47">+BR16/BM16-1</f>
        <v>4.4993198205541374E-2</v>
      </c>
      <c r="BS17" s="194">
        <f t="shared" ref="BS17" si="48">+BS16/BN16-1</f>
        <v>4.5007411905021E-2</v>
      </c>
      <c r="BT17" s="194">
        <f t="shared" ref="BT17" si="49">+BT16/BO16-1</f>
        <v>4.6299409225821542E-2</v>
      </c>
      <c r="BU17" s="194">
        <f t="shared" ref="BU17" si="50">+BU16/BP16-1</f>
        <v>4.6264961989985309E-2</v>
      </c>
      <c r="BV17" s="194">
        <f t="shared" ref="BV17" si="51">+BV16/BQ16-1</f>
        <v>4.6221897679969315E-2</v>
      </c>
      <c r="BW17" s="193">
        <f t="shared" ref="BW17" si="52">+BW16/BR16-1</f>
        <v>4.5970791058383087E-2</v>
      </c>
      <c r="BX17" s="195">
        <f t="shared" ref="BX17" si="53">+BX16/BS16-1</f>
        <v>4.6246976813264506E-2</v>
      </c>
      <c r="BY17" s="195">
        <f t="shared" ref="BY17" si="54">+BY16/BT16-1</f>
        <v>4.5002649980158793E-2</v>
      </c>
      <c r="BZ17" s="195">
        <f t="shared" ref="BZ17" si="55">+BZ16/BU16-1</f>
        <v>4.5002624528596602E-2</v>
      </c>
      <c r="CA17" s="195">
        <f t="shared" ref="CA17" si="56">+CA16/BV16-1</f>
        <v>4.5002380549020282E-2</v>
      </c>
      <c r="CB17" s="193">
        <f t="shared" ref="CB17" si="57">+CB16/BW16-1</f>
        <v>4.5289340220369567E-2</v>
      </c>
      <c r="CC17" s="194">
        <f t="shared" ref="CC17" si="58">+CC16/BX16-1</f>
        <v>4.4997123530031491E-2</v>
      </c>
      <c r="CD17" s="194">
        <f t="shared" ref="CD17" si="59">+CD16/BY16-1</f>
        <v>4.4996649973945813E-2</v>
      </c>
      <c r="CE17" s="194">
        <f t="shared" ref="CE17" si="60">+CE16/BZ16-1</f>
        <v>4.4996675628332428E-2</v>
      </c>
      <c r="CF17" s="194">
        <f t="shared" ref="CF17" si="61">+CF16/CA16-1</f>
        <v>4.4996906408195647E-2</v>
      </c>
      <c r="CG17" s="193">
        <f t="shared" ref="CG17" si="62">+CG16/CB16-1</f>
        <v>4.4996995485522717E-2</v>
      </c>
      <c r="CH17" s="195">
        <f t="shared" ref="CH17" si="63">+CH16/CC16-1</f>
        <v>4.4991997177324938E-2</v>
      </c>
      <c r="CI17" s="195">
        <f t="shared" ref="CI17" si="64">+CI16/CD16-1</f>
        <v>4.4990654708096711E-2</v>
      </c>
      <c r="CJ17" s="195">
        <f t="shared" ref="CJ17" si="65">+CJ16/CE16-1</f>
        <v>4.4990773942958695E-2</v>
      </c>
      <c r="CK17" s="195">
        <f t="shared" ref="CK17" si="66">+CK16/CF16-1</f>
        <v>4.4990628190716198E-2</v>
      </c>
      <c r="CL17" s="193">
        <f t="shared" ref="CL17" si="67">+CL16/CG16-1</f>
        <v>4.4991407849208853E-2</v>
      </c>
      <c r="CM17" s="194">
        <f t="shared" ref="CM17" si="68">+CM16/CH16-1</f>
        <v>4.4986831920900139E-2</v>
      </c>
      <c r="CN17" s="194">
        <f t="shared" ref="CN17" si="69">+CN16/CI16-1</f>
        <v>4.4984681769484336E-2</v>
      </c>
      <c r="CO17" s="194">
        <f t="shared" ref="CO17" si="70">+CO16/CJ16-1</f>
        <v>4.498481671697685E-2</v>
      </c>
      <c r="CP17" s="194">
        <f t="shared" ref="CP17" si="71">+CP16/CK16-1</f>
        <v>4.4984660825187817E-2</v>
      </c>
      <c r="CQ17" s="193">
        <f t="shared" ref="CQ17" si="72">+CQ16/CL16-1</f>
        <v>4.498589764419747E-2</v>
      </c>
      <c r="CR17" s="195">
        <f t="shared" ref="CR17" si="73">+CR16/CM16-1</f>
        <v>4.4982959440127646E-2</v>
      </c>
      <c r="CS17" s="195">
        <f t="shared" ref="CS17" si="74">+CS16/CN16-1</f>
        <v>4.4978788977386719E-2</v>
      </c>
      <c r="CT17" s="195">
        <f t="shared" ref="CT17" si="75">+CT16/CO16-1</f>
        <v>4.4979820802076853E-2</v>
      </c>
      <c r="CU17" s="195">
        <f t="shared" ref="CU17" si="76">+CU16/CP16-1</f>
        <v>4.4981835945760995E-2</v>
      </c>
      <c r="CV17" s="193">
        <f t="shared" ref="CV17" si="77">+CV16/CQ16-1</f>
        <v>4.4980984476491015E-2</v>
      </c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</row>
    <row r="18" spans="1:115" s="14" customFormat="1">
      <c r="A18" s="2"/>
      <c r="C18" s="18"/>
      <c r="D18" s="18"/>
      <c r="E18" s="100"/>
      <c r="F18" s="83"/>
      <c r="G18" s="83"/>
      <c r="H18" s="83"/>
      <c r="I18" s="83"/>
      <c r="J18" s="100"/>
      <c r="K18" s="83"/>
      <c r="L18" s="83"/>
      <c r="M18" s="83"/>
      <c r="N18" s="83"/>
      <c r="O18" s="100"/>
      <c r="P18" s="83"/>
      <c r="Q18" s="83"/>
      <c r="R18" s="83"/>
      <c r="S18" s="83"/>
      <c r="T18" s="100"/>
      <c r="U18" s="83"/>
      <c r="V18" s="83"/>
      <c r="W18" s="83"/>
      <c r="X18" s="83"/>
      <c r="Y18" s="100"/>
      <c r="Z18" s="83"/>
      <c r="AA18" s="83"/>
      <c r="AB18" s="83"/>
      <c r="AC18" s="83"/>
      <c r="AD18" s="100"/>
      <c r="AE18" s="83"/>
      <c r="AF18" s="83"/>
      <c r="AG18" s="83"/>
      <c r="AH18" s="83"/>
      <c r="AI18" s="100"/>
      <c r="AJ18" s="83"/>
      <c r="AK18" s="83"/>
      <c r="AL18" s="83"/>
      <c r="AM18" s="83"/>
      <c r="AN18" s="100"/>
      <c r="AO18" s="83"/>
      <c r="AP18" s="83"/>
      <c r="AQ18" s="83"/>
      <c r="AR18" s="83"/>
      <c r="AS18" s="100"/>
      <c r="AT18" s="83"/>
      <c r="AU18" s="83"/>
      <c r="AV18" s="83"/>
      <c r="AW18" s="83"/>
      <c r="AX18" s="100"/>
      <c r="AY18" s="83"/>
      <c r="AZ18" s="83"/>
      <c r="BA18" s="83"/>
      <c r="BB18" s="83"/>
      <c r="BC18" s="100"/>
      <c r="BD18" s="83"/>
      <c r="BE18" s="83"/>
      <c r="BF18" s="83"/>
      <c r="BG18" s="83"/>
      <c r="BH18" s="100"/>
      <c r="BI18" s="83"/>
      <c r="BJ18" s="83"/>
      <c r="BK18" s="83"/>
      <c r="BL18" s="83"/>
      <c r="BM18" s="100"/>
      <c r="BN18" s="83"/>
      <c r="BO18" s="83"/>
      <c r="BP18" s="83"/>
      <c r="BQ18" s="83"/>
      <c r="BR18" s="100"/>
      <c r="BS18" s="83"/>
      <c r="BT18" s="83"/>
      <c r="BU18" s="83"/>
      <c r="BV18" s="83"/>
      <c r="BW18" s="100"/>
      <c r="BX18" s="83"/>
      <c r="BY18" s="83"/>
      <c r="BZ18" s="83"/>
      <c r="CA18" s="83"/>
      <c r="CB18" s="100"/>
      <c r="CC18" s="83"/>
      <c r="CD18" s="83"/>
      <c r="CE18" s="83"/>
      <c r="CF18" s="83"/>
      <c r="CG18" s="100"/>
      <c r="CH18" s="83"/>
      <c r="CI18" s="83"/>
      <c r="CJ18" s="83"/>
      <c r="CK18" s="83"/>
      <c r="CL18" s="100"/>
      <c r="CM18" s="83"/>
      <c r="CN18" s="83"/>
      <c r="CO18" s="83"/>
      <c r="CP18" s="83"/>
      <c r="CQ18" s="100"/>
      <c r="CR18" s="83"/>
      <c r="CS18" s="83"/>
      <c r="CT18" s="83"/>
      <c r="CU18" s="83"/>
      <c r="CV18" s="100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</row>
    <row r="19" spans="1:115" s="14" customFormat="1">
      <c r="A19" s="142" t="s">
        <v>71</v>
      </c>
      <c r="B19" s="1"/>
      <c r="C19" s="1"/>
      <c r="D19" s="1"/>
      <c r="E19" s="101"/>
      <c r="F19" s="102"/>
      <c r="G19" s="102"/>
      <c r="H19" s="102"/>
      <c r="I19" s="102"/>
      <c r="J19" s="101"/>
      <c r="K19" s="102"/>
      <c r="L19" s="102"/>
      <c r="M19" s="102"/>
      <c r="N19" s="102"/>
      <c r="O19" s="101"/>
      <c r="P19" s="102"/>
      <c r="Q19" s="102"/>
      <c r="R19" s="102"/>
      <c r="S19" s="102"/>
      <c r="T19" s="103">
        <f>+U19</f>
        <v>406.34</v>
      </c>
      <c r="U19" s="104">
        <f t="shared" ref="U19:AZ19" si="78">+U20+U21</f>
        <v>406.34</v>
      </c>
      <c r="V19" s="104">
        <f t="shared" si="78"/>
        <v>406.26499999999999</v>
      </c>
      <c r="W19" s="104">
        <f t="shared" si="78"/>
        <v>406.26499999999999</v>
      </c>
      <c r="X19" s="104">
        <f t="shared" si="78"/>
        <v>406.26499999999999</v>
      </c>
      <c r="Y19" s="103">
        <f t="shared" si="78"/>
        <v>406.26499999999999</v>
      </c>
      <c r="Z19" s="104">
        <f t="shared" si="78"/>
        <v>406.26499999999999</v>
      </c>
      <c r="AA19" s="104">
        <f t="shared" si="78"/>
        <v>406.26499999999999</v>
      </c>
      <c r="AB19" s="104">
        <f t="shared" si="78"/>
        <v>406.26499999999999</v>
      </c>
      <c r="AC19" s="104">
        <f t="shared" si="78"/>
        <v>406.26499999999999</v>
      </c>
      <c r="AD19" s="103">
        <f>+AD20+AD21</f>
        <v>406.26499999999999</v>
      </c>
      <c r="AE19" s="104">
        <f>+AE20+AE21</f>
        <v>406.26499999999999</v>
      </c>
      <c r="AF19" s="104">
        <f>+AF20+AF21</f>
        <v>406.26499999999993</v>
      </c>
      <c r="AG19" s="104">
        <f>+AG20+AG21</f>
        <v>406.26499999999993</v>
      </c>
      <c r="AH19" s="104">
        <f t="shared" si="78"/>
        <v>406.26499999999993</v>
      </c>
      <c r="AI19" s="103">
        <f>+AI20+AI21</f>
        <v>406.26499999999993</v>
      </c>
      <c r="AJ19" s="104">
        <f>+AJ20+AJ21</f>
        <v>406.27499999999998</v>
      </c>
      <c r="AK19" s="104">
        <f>+AK20+AK21</f>
        <v>415.14499999999992</v>
      </c>
      <c r="AL19" s="104">
        <f>+AL20+AL21</f>
        <v>415.14499999999992</v>
      </c>
      <c r="AM19" s="104">
        <f>+AM20+AM21</f>
        <v>415.14499999999992</v>
      </c>
      <c r="AN19" s="103">
        <f t="shared" si="78"/>
        <v>415.14499999999992</v>
      </c>
      <c r="AO19" s="104">
        <f t="shared" si="78"/>
        <v>415.14499999999992</v>
      </c>
      <c r="AP19" s="104">
        <f t="shared" si="78"/>
        <v>415.14499999999998</v>
      </c>
      <c r="AQ19" s="104">
        <f t="shared" si="78"/>
        <v>415.14499999999998</v>
      </c>
      <c r="AR19" s="104">
        <f t="shared" si="78"/>
        <v>415.14499999999998</v>
      </c>
      <c r="AS19" s="103">
        <f t="shared" si="78"/>
        <v>415.14499999999998</v>
      </c>
      <c r="AT19" s="104">
        <f t="shared" si="78"/>
        <v>415.14499999999998</v>
      </c>
      <c r="AU19" s="104">
        <f t="shared" si="78"/>
        <v>415.14499999999998</v>
      </c>
      <c r="AV19" s="104">
        <f t="shared" si="78"/>
        <v>415.14499999999998</v>
      </c>
      <c r="AW19" s="104">
        <f t="shared" si="78"/>
        <v>415.14499999999998</v>
      </c>
      <c r="AX19" s="103">
        <f t="shared" si="78"/>
        <v>415.14499999999998</v>
      </c>
      <c r="AY19" s="104">
        <f t="shared" si="78"/>
        <v>415.14499999999998</v>
      </c>
      <c r="AZ19" s="104">
        <f t="shared" si="78"/>
        <v>415.14499999999998</v>
      </c>
      <c r="BA19" s="104">
        <f t="shared" ref="BA19:CF19" si="79">+BA20+BA21</f>
        <v>415.14499999999998</v>
      </c>
      <c r="BB19" s="104">
        <f t="shared" si="79"/>
        <v>415.14499999999998</v>
      </c>
      <c r="BC19" s="103">
        <f t="shared" si="79"/>
        <v>415.14499999999998</v>
      </c>
      <c r="BD19" s="104">
        <f t="shared" si="79"/>
        <v>415.14499999999998</v>
      </c>
      <c r="BE19" s="104">
        <f t="shared" si="79"/>
        <v>415.14499999999998</v>
      </c>
      <c r="BF19" s="104">
        <f t="shared" si="79"/>
        <v>415.14499999999998</v>
      </c>
      <c r="BG19" s="104">
        <f t="shared" si="79"/>
        <v>415.14499999999998</v>
      </c>
      <c r="BH19" s="103">
        <f t="shared" si="79"/>
        <v>415.14499999999998</v>
      </c>
      <c r="BI19" s="104">
        <f t="shared" si="79"/>
        <v>415.14499999999998</v>
      </c>
      <c r="BJ19" s="104">
        <f t="shared" si="79"/>
        <v>415.14499999999998</v>
      </c>
      <c r="BK19" s="104">
        <f t="shared" si="79"/>
        <v>415.14499999999998</v>
      </c>
      <c r="BL19" s="104">
        <f t="shared" si="79"/>
        <v>415.14499999999998</v>
      </c>
      <c r="BM19" s="103">
        <f t="shared" si="79"/>
        <v>415.14499999999998</v>
      </c>
      <c r="BN19" s="104">
        <f t="shared" si="79"/>
        <v>415.14499999999998</v>
      </c>
      <c r="BO19" s="104">
        <f t="shared" si="79"/>
        <v>415.14499999999998</v>
      </c>
      <c r="BP19" s="104">
        <f t="shared" si="79"/>
        <v>415.14499999999998</v>
      </c>
      <c r="BQ19" s="104">
        <f t="shared" si="79"/>
        <v>415.14499999999998</v>
      </c>
      <c r="BR19" s="103">
        <f t="shared" si="79"/>
        <v>415.14499999999998</v>
      </c>
      <c r="BS19" s="104">
        <f t="shared" si="79"/>
        <v>415.14499999999998</v>
      </c>
      <c r="BT19" s="104">
        <f t="shared" si="79"/>
        <v>415.14499999999998</v>
      </c>
      <c r="BU19" s="104">
        <f t="shared" si="79"/>
        <v>415.14499999999998</v>
      </c>
      <c r="BV19" s="104">
        <f t="shared" si="79"/>
        <v>415.14499999999998</v>
      </c>
      <c r="BW19" s="103">
        <f t="shared" si="79"/>
        <v>415.14499999999998</v>
      </c>
      <c r="BX19" s="104">
        <f t="shared" si="79"/>
        <v>415.14499999999998</v>
      </c>
      <c r="BY19" s="104">
        <f t="shared" si="79"/>
        <v>415.14499999999998</v>
      </c>
      <c r="BZ19" s="104">
        <f t="shared" si="79"/>
        <v>415.14499999999998</v>
      </c>
      <c r="CA19" s="104">
        <f t="shared" si="79"/>
        <v>415.14499999999998</v>
      </c>
      <c r="CB19" s="103">
        <f t="shared" si="79"/>
        <v>415.14499999999998</v>
      </c>
      <c r="CC19" s="104">
        <f t="shared" si="79"/>
        <v>415.14499999999998</v>
      </c>
      <c r="CD19" s="104">
        <f t="shared" si="79"/>
        <v>415.14499999999998</v>
      </c>
      <c r="CE19" s="104">
        <f t="shared" si="79"/>
        <v>415.14499999999998</v>
      </c>
      <c r="CF19" s="104">
        <f t="shared" si="79"/>
        <v>415.14499999999998</v>
      </c>
      <c r="CG19" s="103">
        <f t="shared" ref="CG19:CV19" si="80">+CG20+CG21</f>
        <v>415.14499999999998</v>
      </c>
      <c r="CH19" s="104">
        <f t="shared" si="80"/>
        <v>415.14499999999998</v>
      </c>
      <c r="CI19" s="104">
        <f t="shared" si="80"/>
        <v>415.14499999999998</v>
      </c>
      <c r="CJ19" s="104">
        <f t="shared" si="80"/>
        <v>415.14499999999998</v>
      </c>
      <c r="CK19" s="104">
        <f t="shared" si="80"/>
        <v>415.14499999999998</v>
      </c>
      <c r="CL19" s="103">
        <f t="shared" si="80"/>
        <v>415.14499999999998</v>
      </c>
      <c r="CM19" s="104">
        <f t="shared" si="80"/>
        <v>415.14499999999998</v>
      </c>
      <c r="CN19" s="104">
        <f t="shared" si="80"/>
        <v>415.14499999999998</v>
      </c>
      <c r="CO19" s="104">
        <f t="shared" si="80"/>
        <v>415.14499999999998</v>
      </c>
      <c r="CP19" s="104">
        <f t="shared" si="80"/>
        <v>415.14499999999998</v>
      </c>
      <c r="CQ19" s="103">
        <f t="shared" si="80"/>
        <v>415.14499999999998</v>
      </c>
      <c r="CR19" s="104">
        <f t="shared" si="80"/>
        <v>415.14499999999998</v>
      </c>
      <c r="CS19" s="104">
        <f t="shared" si="80"/>
        <v>415.14499999999998</v>
      </c>
      <c r="CT19" s="104">
        <f t="shared" si="80"/>
        <v>415.14499999999998</v>
      </c>
      <c r="CU19" s="104">
        <f t="shared" si="80"/>
        <v>415.14499999999998</v>
      </c>
      <c r="CV19" s="103">
        <f t="shared" si="80"/>
        <v>415.14499999999998</v>
      </c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</row>
    <row r="20" spans="1:115" s="14" customFormat="1">
      <c r="A20" s="2" t="s">
        <v>310</v>
      </c>
      <c r="C20" s="18"/>
      <c r="D20" s="18"/>
      <c r="E20" s="100"/>
      <c r="F20" s="83"/>
      <c r="G20" s="83"/>
      <c r="H20" s="83"/>
      <c r="I20" s="83"/>
      <c r="J20" s="100"/>
      <c r="K20" s="83"/>
      <c r="L20" s="83"/>
      <c r="M20" s="83"/>
      <c r="N20" s="83"/>
      <c r="O20" s="100"/>
      <c r="P20" s="83"/>
      <c r="Q20" s="83"/>
      <c r="R20" s="83"/>
      <c r="S20" s="83"/>
      <c r="T20" s="105">
        <f>+U20</f>
        <v>276.58999999999997</v>
      </c>
      <c r="U20" s="106">
        <f t="shared" ref="U20:AZ20" si="81">+U50+U66+U82+U98+U114+U130+U146+U162+U178</f>
        <v>276.58999999999997</v>
      </c>
      <c r="V20" s="106">
        <f t="shared" si="81"/>
        <v>276.61499999999995</v>
      </c>
      <c r="W20" s="106">
        <f t="shared" si="81"/>
        <v>276.61499999999995</v>
      </c>
      <c r="X20" s="106">
        <f t="shared" si="81"/>
        <v>276.61499999999995</v>
      </c>
      <c r="Y20" s="107">
        <f t="shared" si="81"/>
        <v>276.61499999999995</v>
      </c>
      <c r="Z20" s="108">
        <f t="shared" si="81"/>
        <v>276.61499999999995</v>
      </c>
      <c r="AA20" s="108">
        <f t="shared" si="81"/>
        <v>276.61499999999995</v>
      </c>
      <c r="AB20" s="108">
        <f t="shared" si="81"/>
        <v>276.61499999999995</v>
      </c>
      <c r="AC20" s="108">
        <f t="shared" si="81"/>
        <v>276.61499999999995</v>
      </c>
      <c r="AD20" s="107">
        <f t="shared" si="81"/>
        <v>276.61499999999995</v>
      </c>
      <c r="AE20" s="108">
        <f t="shared" si="81"/>
        <v>276.61499999999995</v>
      </c>
      <c r="AF20" s="108">
        <f t="shared" si="81"/>
        <v>271.87499999999994</v>
      </c>
      <c r="AG20" s="108">
        <f t="shared" si="81"/>
        <v>271.87499999999994</v>
      </c>
      <c r="AH20" s="108">
        <f t="shared" si="81"/>
        <v>271.87499999999994</v>
      </c>
      <c r="AI20" s="107">
        <f>+AI50+AI66+AI82+AI98+AI114+AI130+AI146+AI162+AI178</f>
        <v>271.87499999999994</v>
      </c>
      <c r="AJ20" s="108">
        <f>+AJ50+AJ66+AJ82+AJ98+AJ114+AJ130+AJ146+AJ162+AJ178</f>
        <v>235.61499999999995</v>
      </c>
      <c r="AK20" s="108">
        <f t="shared" si="81"/>
        <v>235.61499999999995</v>
      </c>
      <c r="AL20" s="108">
        <f t="shared" si="81"/>
        <v>235.61499999999995</v>
      </c>
      <c r="AM20" s="108">
        <f t="shared" si="81"/>
        <v>235.61499999999995</v>
      </c>
      <c r="AN20" s="105">
        <f t="shared" si="81"/>
        <v>235.61499999999995</v>
      </c>
      <c r="AO20" s="108">
        <f t="shared" si="81"/>
        <v>235.61499999999995</v>
      </c>
      <c r="AP20" s="108">
        <f t="shared" si="81"/>
        <v>218.56499999999997</v>
      </c>
      <c r="AQ20" s="108">
        <f t="shared" si="81"/>
        <v>218.56499999999997</v>
      </c>
      <c r="AR20" s="108">
        <f t="shared" si="81"/>
        <v>218.56499999999997</v>
      </c>
      <c r="AS20" s="107">
        <f t="shared" si="81"/>
        <v>218.56499999999997</v>
      </c>
      <c r="AT20" s="108">
        <f t="shared" si="81"/>
        <v>218.56499999999997</v>
      </c>
      <c r="AU20" s="108">
        <f t="shared" si="81"/>
        <v>192.46499999999997</v>
      </c>
      <c r="AV20" s="108">
        <f t="shared" si="81"/>
        <v>192.46499999999997</v>
      </c>
      <c r="AW20" s="108">
        <f t="shared" si="81"/>
        <v>192.46499999999997</v>
      </c>
      <c r="AX20" s="105">
        <f t="shared" si="81"/>
        <v>192.46499999999997</v>
      </c>
      <c r="AY20" s="108">
        <f t="shared" si="81"/>
        <v>192.46499999999997</v>
      </c>
      <c r="AZ20" s="108">
        <f t="shared" si="81"/>
        <v>192.46499999999997</v>
      </c>
      <c r="BA20" s="108">
        <f t="shared" ref="BA20:CF20" si="82">+BA50+BA66+BA82+BA98+BA114+BA130+BA146+BA162+BA178</f>
        <v>192.46499999999997</v>
      </c>
      <c r="BB20" s="108">
        <f t="shared" si="82"/>
        <v>192.46499999999997</v>
      </c>
      <c r="BC20" s="107">
        <f t="shared" si="82"/>
        <v>192.46499999999997</v>
      </c>
      <c r="BD20" s="108">
        <f t="shared" si="82"/>
        <v>192.46499999999997</v>
      </c>
      <c r="BE20" s="108">
        <f t="shared" si="82"/>
        <v>192.46499999999997</v>
      </c>
      <c r="BF20" s="108">
        <f t="shared" si="82"/>
        <v>192.46499999999997</v>
      </c>
      <c r="BG20" s="108">
        <f t="shared" si="82"/>
        <v>192.46499999999997</v>
      </c>
      <c r="BH20" s="105">
        <f t="shared" si="82"/>
        <v>192.46499999999997</v>
      </c>
      <c r="BI20" s="108">
        <f t="shared" si="82"/>
        <v>192.46499999999997</v>
      </c>
      <c r="BJ20" s="108">
        <f t="shared" si="82"/>
        <v>192.46499999999997</v>
      </c>
      <c r="BK20" s="108">
        <f t="shared" si="82"/>
        <v>192.46499999999997</v>
      </c>
      <c r="BL20" s="108">
        <f t="shared" si="82"/>
        <v>192.46499999999997</v>
      </c>
      <c r="BM20" s="107">
        <f t="shared" si="82"/>
        <v>192.46499999999997</v>
      </c>
      <c r="BN20" s="108">
        <f t="shared" si="82"/>
        <v>192.46499999999997</v>
      </c>
      <c r="BO20" s="108">
        <f t="shared" si="82"/>
        <v>192.46499999999997</v>
      </c>
      <c r="BP20" s="108">
        <f t="shared" si="82"/>
        <v>192.46499999999997</v>
      </c>
      <c r="BQ20" s="108">
        <f t="shared" si="82"/>
        <v>192.46499999999997</v>
      </c>
      <c r="BR20" s="105">
        <f t="shared" si="82"/>
        <v>192.46499999999997</v>
      </c>
      <c r="BS20" s="108">
        <f t="shared" si="82"/>
        <v>192.46499999999997</v>
      </c>
      <c r="BT20" s="108">
        <f t="shared" si="82"/>
        <v>189.46499999999997</v>
      </c>
      <c r="BU20" s="108">
        <f t="shared" si="82"/>
        <v>189.46499999999997</v>
      </c>
      <c r="BV20" s="108">
        <f t="shared" si="82"/>
        <v>189.46499999999997</v>
      </c>
      <c r="BW20" s="107">
        <f t="shared" si="82"/>
        <v>189.46499999999997</v>
      </c>
      <c r="BX20" s="108">
        <f t="shared" si="82"/>
        <v>189.46499999999997</v>
      </c>
      <c r="BY20" s="108">
        <f t="shared" si="82"/>
        <v>189.46499999999997</v>
      </c>
      <c r="BZ20" s="108">
        <f t="shared" si="82"/>
        <v>189.46499999999997</v>
      </c>
      <c r="CA20" s="108">
        <f t="shared" si="82"/>
        <v>189.46499999999997</v>
      </c>
      <c r="CB20" s="105">
        <f t="shared" si="82"/>
        <v>189.46499999999997</v>
      </c>
      <c r="CC20" s="108">
        <f t="shared" si="82"/>
        <v>189.46499999999997</v>
      </c>
      <c r="CD20" s="108">
        <f t="shared" si="82"/>
        <v>189.46499999999997</v>
      </c>
      <c r="CE20" s="108">
        <f t="shared" si="82"/>
        <v>189.46499999999997</v>
      </c>
      <c r="CF20" s="108">
        <f t="shared" si="82"/>
        <v>189.46499999999997</v>
      </c>
      <c r="CG20" s="107">
        <f t="shared" ref="CG20:CV20" si="83">+CG50+CG66+CG82+CG98+CG114+CG130+CG146+CG162+CG178</f>
        <v>189.46499999999997</v>
      </c>
      <c r="CH20" s="108">
        <f t="shared" si="83"/>
        <v>189.46499999999997</v>
      </c>
      <c r="CI20" s="108">
        <f t="shared" si="83"/>
        <v>189.46499999999997</v>
      </c>
      <c r="CJ20" s="108">
        <f t="shared" si="83"/>
        <v>189.46499999999997</v>
      </c>
      <c r="CK20" s="108">
        <f t="shared" si="83"/>
        <v>189.46499999999997</v>
      </c>
      <c r="CL20" s="105">
        <f t="shared" si="83"/>
        <v>189.46499999999997</v>
      </c>
      <c r="CM20" s="108">
        <f t="shared" si="83"/>
        <v>189.46499999999997</v>
      </c>
      <c r="CN20" s="108">
        <f t="shared" si="83"/>
        <v>189.46499999999997</v>
      </c>
      <c r="CO20" s="108">
        <f t="shared" si="83"/>
        <v>189.46499999999997</v>
      </c>
      <c r="CP20" s="108">
        <f t="shared" si="83"/>
        <v>189.46499999999997</v>
      </c>
      <c r="CQ20" s="107">
        <f t="shared" si="83"/>
        <v>189.46499999999997</v>
      </c>
      <c r="CR20" s="108">
        <f t="shared" si="83"/>
        <v>189.46499999999997</v>
      </c>
      <c r="CS20" s="108">
        <f t="shared" si="83"/>
        <v>189.46499999999997</v>
      </c>
      <c r="CT20" s="108">
        <f t="shared" si="83"/>
        <v>189.46499999999997</v>
      </c>
      <c r="CU20" s="108">
        <f t="shared" si="83"/>
        <v>189.46499999999997</v>
      </c>
      <c r="CV20" s="105">
        <f t="shared" si="83"/>
        <v>189.46499999999997</v>
      </c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</row>
    <row r="21" spans="1:115" s="14" customFormat="1">
      <c r="A21" s="2" t="s">
        <v>311</v>
      </c>
      <c r="C21" s="18"/>
      <c r="D21" s="18"/>
      <c r="E21" s="100"/>
      <c r="F21" s="83"/>
      <c r="G21" s="83"/>
      <c r="H21" s="83"/>
      <c r="I21" s="83"/>
      <c r="J21" s="100"/>
      <c r="K21" s="83"/>
      <c r="L21" s="83"/>
      <c r="M21" s="83"/>
      <c r="N21" s="83"/>
      <c r="O21" s="100"/>
      <c r="P21" s="83"/>
      <c r="Q21" s="83"/>
      <c r="R21" s="83"/>
      <c r="S21" s="83"/>
      <c r="T21" s="105">
        <f>+U21</f>
        <v>129.75</v>
      </c>
      <c r="U21" s="106">
        <f t="shared" ref="U21:AZ21" si="84">+U51+U67+U83+U99+U115+U131+U147+U163+U179</f>
        <v>129.75</v>
      </c>
      <c r="V21" s="106">
        <f t="shared" si="84"/>
        <v>129.65</v>
      </c>
      <c r="W21" s="106">
        <f t="shared" si="84"/>
        <v>129.65</v>
      </c>
      <c r="X21" s="106">
        <f t="shared" si="84"/>
        <v>129.65</v>
      </c>
      <c r="Y21" s="107">
        <f t="shared" si="84"/>
        <v>129.65</v>
      </c>
      <c r="Z21" s="108">
        <f t="shared" si="84"/>
        <v>129.65</v>
      </c>
      <c r="AA21" s="108">
        <f t="shared" si="84"/>
        <v>129.65</v>
      </c>
      <c r="AB21" s="108">
        <f t="shared" si="84"/>
        <v>129.65</v>
      </c>
      <c r="AC21" s="108">
        <f t="shared" si="84"/>
        <v>129.65</v>
      </c>
      <c r="AD21" s="107">
        <f t="shared" si="84"/>
        <v>129.65</v>
      </c>
      <c r="AE21" s="108">
        <f t="shared" si="84"/>
        <v>129.65</v>
      </c>
      <c r="AF21" s="108">
        <f t="shared" si="84"/>
        <v>134.38999999999999</v>
      </c>
      <c r="AG21" s="108">
        <f t="shared" si="84"/>
        <v>134.38999999999999</v>
      </c>
      <c r="AH21" s="108">
        <f t="shared" si="84"/>
        <v>134.38999999999999</v>
      </c>
      <c r="AI21" s="107">
        <f>+AI51+AI67+AI83+AI99+AI115+AI131+AI147+AI163+AI179</f>
        <v>134.38999999999999</v>
      </c>
      <c r="AJ21" s="108">
        <f t="shared" si="84"/>
        <v>170.66</v>
      </c>
      <c r="AK21" s="108">
        <f t="shared" si="84"/>
        <v>179.52999999999997</v>
      </c>
      <c r="AL21" s="108">
        <f t="shared" si="84"/>
        <v>179.52999999999997</v>
      </c>
      <c r="AM21" s="108">
        <f>+AM51+AM67+AM83+AM99+AM115+AM131+AM147+AM163+AM179</f>
        <v>179.52999999999997</v>
      </c>
      <c r="AN21" s="105">
        <f>+AN51+AN67+AN83+AN99+AN115+AN131+AN147+AN163+AN179</f>
        <v>179.52999999999997</v>
      </c>
      <c r="AO21" s="108">
        <f t="shared" si="84"/>
        <v>179.52999999999997</v>
      </c>
      <c r="AP21" s="108">
        <f t="shared" si="84"/>
        <v>196.57999999999998</v>
      </c>
      <c r="AQ21" s="108">
        <f t="shared" si="84"/>
        <v>196.57999999999998</v>
      </c>
      <c r="AR21" s="108">
        <f t="shared" si="84"/>
        <v>196.57999999999998</v>
      </c>
      <c r="AS21" s="107">
        <f t="shared" si="84"/>
        <v>196.57999999999998</v>
      </c>
      <c r="AT21" s="108">
        <f t="shared" si="84"/>
        <v>196.57999999999998</v>
      </c>
      <c r="AU21" s="108">
        <f t="shared" si="84"/>
        <v>222.68</v>
      </c>
      <c r="AV21" s="108">
        <f t="shared" si="84"/>
        <v>222.68</v>
      </c>
      <c r="AW21" s="108">
        <f t="shared" si="84"/>
        <v>222.68</v>
      </c>
      <c r="AX21" s="105">
        <f t="shared" si="84"/>
        <v>222.68</v>
      </c>
      <c r="AY21" s="108">
        <f t="shared" si="84"/>
        <v>222.68</v>
      </c>
      <c r="AZ21" s="108">
        <f t="shared" si="84"/>
        <v>222.68</v>
      </c>
      <c r="BA21" s="108">
        <f t="shared" ref="BA21:CF21" si="85">+BA51+BA67+BA83+BA99+BA115+BA131+BA147+BA163+BA179</f>
        <v>222.68</v>
      </c>
      <c r="BB21" s="108">
        <f t="shared" si="85"/>
        <v>222.68</v>
      </c>
      <c r="BC21" s="107">
        <f t="shared" si="85"/>
        <v>222.68</v>
      </c>
      <c r="BD21" s="108">
        <f t="shared" si="85"/>
        <v>222.68</v>
      </c>
      <c r="BE21" s="108">
        <f t="shared" si="85"/>
        <v>222.68</v>
      </c>
      <c r="BF21" s="108">
        <f t="shared" si="85"/>
        <v>222.68</v>
      </c>
      <c r="BG21" s="108">
        <f t="shared" si="85"/>
        <v>222.68</v>
      </c>
      <c r="BH21" s="105">
        <f t="shared" si="85"/>
        <v>222.68</v>
      </c>
      <c r="BI21" s="108">
        <f t="shared" si="85"/>
        <v>222.68</v>
      </c>
      <c r="BJ21" s="108">
        <f t="shared" si="85"/>
        <v>222.68</v>
      </c>
      <c r="BK21" s="108">
        <f t="shared" si="85"/>
        <v>222.68</v>
      </c>
      <c r="BL21" s="108">
        <f t="shared" si="85"/>
        <v>222.68</v>
      </c>
      <c r="BM21" s="107">
        <f t="shared" si="85"/>
        <v>222.68</v>
      </c>
      <c r="BN21" s="108">
        <f t="shared" si="85"/>
        <v>222.68</v>
      </c>
      <c r="BO21" s="108">
        <f t="shared" si="85"/>
        <v>222.68</v>
      </c>
      <c r="BP21" s="108">
        <f t="shared" si="85"/>
        <v>222.68</v>
      </c>
      <c r="BQ21" s="108">
        <f t="shared" si="85"/>
        <v>222.68</v>
      </c>
      <c r="BR21" s="105">
        <f t="shared" si="85"/>
        <v>222.68</v>
      </c>
      <c r="BS21" s="108">
        <f t="shared" si="85"/>
        <v>222.68</v>
      </c>
      <c r="BT21" s="108">
        <f t="shared" si="85"/>
        <v>225.68</v>
      </c>
      <c r="BU21" s="108">
        <f t="shared" si="85"/>
        <v>225.68</v>
      </c>
      <c r="BV21" s="108">
        <f t="shared" si="85"/>
        <v>225.68</v>
      </c>
      <c r="BW21" s="107">
        <f t="shared" si="85"/>
        <v>225.68</v>
      </c>
      <c r="BX21" s="108">
        <f t="shared" si="85"/>
        <v>225.68</v>
      </c>
      <c r="BY21" s="108">
        <f t="shared" si="85"/>
        <v>225.68</v>
      </c>
      <c r="BZ21" s="108">
        <f t="shared" si="85"/>
        <v>225.68</v>
      </c>
      <c r="CA21" s="108">
        <f t="shared" si="85"/>
        <v>225.68</v>
      </c>
      <c r="CB21" s="105">
        <f t="shared" si="85"/>
        <v>225.68</v>
      </c>
      <c r="CC21" s="108">
        <f t="shared" si="85"/>
        <v>225.68</v>
      </c>
      <c r="CD21" s="108">
        <f t="shared" si="85"/>
        <v>225.68</v>
      </c>
      <c r="CE21" s="108">
        <f t="shared" si="85"/>
        <v>225.68</v>
      </c>
      <c r="CF21" s="108">
        <f t="shared" si="85"/>
        <v>225.68</v>
      </c>
      <c r="CG21" s="107">
        <f t="shared" ref="CG21:CV21" si="86">+CG51+CG67+CG83+CG99+CG115+CG131+CG147+CG163+CG179</f>
        <v>225.68</v>
      </c>
      <c r="CH21" s="108">
        <f t="shared" si="86"/>
        <v>225.68</v>
      </c>
      <c r="CI21" s="108">
        <f t="shared" si="86"/>
        <v>225.68</v>
      </c>
      <c r="CJ21" s="108">
        <f t="shared" si="86"/>
        <v>225.68</v>
      </c>
      <c r="CK21" s="108">
        <f t="shared" si="86"/>
        <v>225.68</v>
      </c>
      <c r="CL21" s="105">
        <f t="shared" si="86"/>
        <v>225.68</v>
      </c>
      <c r="CM21" s="108">
        <f t="shared" si="86"/>
        <v>225.68</v>
      </c>
      <c r="CN21" s="108">
        <f t="shared" si="86"/>
        <v>225.68</v>
      </c>
      <c r="CO21" s="108">
        <f t="shared" si="86"/>
        <v>225.68</v>
      </c>
      <c r="CP21" s="108">
        <f t="shared" si="86"/>
        <v>225.68</v>
      </c>
      <c r="CQ21" s="107">
        <f t="shared" si="86"/>
        <v>225.68</v>
      </c>
      <c r="CR21" s="108">
        <f t="shared" si="86"/>
        <v>225.68</v>
      </c>
      <c r="CS21" s="108">
        <f t="shared" si="86"/>
        <v>225.68</v>
      </c>
      <c r="CT21" s="108">
        <f t="shared" si="86"/>
        <v>225.68</v>
      </c>
      <c r="CU21" s="108">
        <f t="shared" si="86"/>
        <v>225.68</v>
      </c>
      <c r="CV21" s="105">
        <f t="shared" si="86"/>
        <v>225.68</v>
      </c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</row>
    <row r="22" spans="1:115" s="14" customFormat="1">
      <c r="A22" s="2" t="s">
        <v>74</v>
      </c>
      <c r="C22" s="18"/>
      <c r="D22" s="18"/>
      <c r="E22" s="100"/>
      <c r="F22" s="83"/>
      <c r="G22" s="83"/>
      <c r="H22" s="83"/>
      <c r="I22" s="83"/>
      <c r="J22" s="100"/>
      <c r="K22" s="83"/>
      <c r="L22" s="83"/>
      <c r="M22" s="83"/>
      <c r="N22" s="83"/>
      <c r="O22" s="100"/>
      <c r="P22" s="83"/>
      <c r="Q22" s="83"/>
      <c r="R22" s="83"/>
      <c r="S22" s="83"/>
      <c r="T22" s="109">
        <f>+U22</f>
        <v>0.31931387507998232</v>
      </c>
      <c r="U22" s="110">
        <f t="shared" ref="U22:AZ22" si="87">+U21/U19</f>
        <v>0.31931387507998232</v>
      </c>
      <c r="V22" s="110">
        <f t="shared" si="87"/>
        <v>0.31912667839956682</v>
      </c>
      <c r="W22" s="110">
        <f t="shared" si="87"/>
        <v>0.31912667839956682</v>
      </c>
      <c r="X22" s="110">
        <f t="shared" si="87"/>
        <v>0.31912667839956682</v>
      </c>
      <c r="Y22" s="111">
        <f t="shared" si="87"/>
        <v>0.31912667839956682</v>
      </c>
      <c r="Z22" s="110">
        <f t="shared" si="87"/>
        <v>0.31912667839956682</v>
      </c>
      <c r="AA22" s="110">
        <f t="shared" si="87"/>
        <v>0.31912667839956682</v>
      </c>
      <c r="AB22" s="110">
        <f t="shared" si="87"/>
        <v>0.31912667839956682</v>
      </c>
      <c r="AC22" s="110">
        <f t="shared" si="87"/>
        <v>0.31912667839956682</v>
      </c>
      <c r="AD22" s="111">
        <f t="shared" si="87"/>
        <v>0.31912667839956682</v>
      </c>
      <c r="AE22" s="110">
        <f t="shared" si="87"/>
        <v>0.31912667839956682</v>
      </c>
      <c r="AF22" s="110">
        <f t="shared" si="87"/>
        <v>0.33079393991606465</v>
      </c>
      <c r="AG22" s="110">
        <f t="shared" si="87"/>
        <v>0.33079393991606465</v>
      </c>
      <c r="AH22" s="110">
        <f t="shared" si="87"/>
        <v>0.33079393991606465</v>
      </c>
      <c r="AI22" s="111">
        <f t="shared" si="87"/>
        <v>0.33079393991606465</v>
      </c>
      <c r="AJ22" s="110">
        <f t="shared" si="87"/>
        <v>0.42006030398129346</v>
      </c>
      <c r="AK22" s="110">
        <f t="shared" si="87"/>
        <v>0.43245131219212568</v>
      </c>
      <c r="AL22" s="110">
        <f t="shared" si="87"/>
        <v>0.43245131219212568</v>
      </c>
      <c r="AM22" s="110">
        <f t="shared" si="87"/>
        <v>0.43245131219212568</v>
      </c>
      <c r="AN22" s="109">
        <f t="shared" si="87"/>
        <v>0.43245131219212568</v>
      </c>
      <c r="AO22" s="110">
        <f t="shared" si="87"/>
        <v>0.43245131219212568</v>
      </c>
      <c r="AP22" s="110">
        <f t="shared" si="87"/>
        <v>0.47352129978682145</v>
      </c>
      <c r="AQ22" s="110">
        <f t="shared" si="87"/>
        <v>0.47352129978682145</v>
      </c>
      <c r="AR22" s="110">
        <f t="shared" si="87"/>
        <v>0.47352129978682145</v>
      </c>
      <c r="AS22" s="111">
        <f t="shared" si="87"/>
        <v>0.47352129978682145</v>
      </c>
      <c r="AT22" s="110">
        <f t="shared" si="87"/>
        <v>0.47352129978682145</v>
      </c>
      <c r="AU22" s="110">
        <f t="shared" si="87"/>
        <v>0.53639089956521224</v>
      </c>
      <c r="AV22" s="110">
        <f t="shared" si="87"/>
        <v>0.53639089956521224</v>
      </c>
      <c r="AW22" s="110">
        <f t="shared" si="87"/>
        <v>0.53639089956521224</v>
      </c>
      <c r="AX22" s="109">
        <f t="shared" si="87"/>
        <v>0.53639089956521224</v>
      </c>
      <c r="AY22" s="110">
        <f t="shared" si="87"/>
        <v>0.53639089956521224</v>
      </c>
      <c r="AZ22" s="110">
        <f t="shared" si="87"/>
        <v>0.53639089956521224</v>
      </c>
      <c r="BA22" s="110">
        <f t="shared" ref="BA22:CF22" si="88">+BA21/BA19</f>
        <v>0.53639089956521224</v>
      </c>
      <c r="BB22" s="110">
        <f t="shared" si="88"/>
        <v>0.53639089956521224</v>
      </c>
      <c r="BC22" s="111">
        <f t="shared" si="88"/>
        <v>0.53639089956521224</v>
      </c>
      <c r="BD22" s="110">
        <f t="shared" si="88"/>
        <v>0.53639089956521224</v>
      </c>
      <c r="BE22" s="110">
        <f t="shared" si="88"/>
        <v>0.53639089956521224</v>
      </c>
      <c r="BF22" s="110">
        <f t="shared" si="88"/>
        <v>0.53639089956521224</v>
      </c>
      <c r="BG22" s="110">
        <f t="shared" si="88"/>
        <v>0.53639089956521224</v>
      </c>
      <c r="BH22" s="109">
        <f t="shared" si="88"/>
        <v>0.53639089956521224</v>
      </c>
      <c r="BI22" s="110">
        <f t="shared" si="88"/>
        <v>0.53639089956521224</v>
      </c>
      <c r="BJ22" s="110">
        <f t="shared" si="88"/>
        <v>0.53639089956521224</v>
      </c>
      <c r="BK22" s="110">
        <f t="shared" si="88"/>
        <v>0.53639089956521224</v>
      </c>
      <c r="BL22" s="110">
        <f t="shared" si="88"/>
        <v>0.53639089956521224</v>
      </c>
      <c r="BM22" s="111">
        <f t="shared" si="88"/>
        <v>0.53639089956521224</v>
      </c>
      <c r="BN22" s="110">
        <f t="shared" si="88"/>
        <v>0.53639089956521224</v>
      </c>
      <c r="BO22" s="110">
        <f t="shared" si="88"/>
        <v>0.53639089956521224</v>
      </c>
      <c r="BP22" s="110">
        <f t="shared" si="88"/>
        <v>0.53639089956521224</v>
      </c>
      <c r="BQ22" s="110">
        <f t="shared" si="88"/>
        <v>0.53639089956521224</v>
      </c>
      <c r="BR22" s="109">
        <f t="shared" si="88"/>
        <v>0.53639089956521224</v>
      </c>
      <c r="BS22" s="110">
        <f t="shared" si="88"/>
        <v>0.53639089956521224</v>
      </c>
      <c r="BT22" s="110">
        <f t="shared" si="88"/>
        <v>0.54361729034433759</v>
      </c>
      <c r="BU22" s="110">
        <f t="shared" si="88"/>
        <v>0.54361729034433759</v>
      </c>
      <c r="BV22" s="110">
        <f t="shared" si="88"/>
        <v>0.54361729034433759</v>
      </c>
      <c r="BW22" s="111">
        <f t="shared" si="88"/>
        <v>0.54361729034433759</v>
      </c>
      <c r="BX22" s="110">
        <f t="shared" si="88"/>
        <v>0.54361729034433759</v>
      </c>
      <c r="BY22" s="110">
        <f t="shared" si="88"/>
        <v>0.54361729034433759</v>
      </c>
      <c r="BZ22" s="110">
        <f t="shared" si="88"/>
        <v>0.54361729034433759</v>
      </c>
      <c r="CA22" s="110">
        <f t="shared" si="88"/>
        <v>0.54361729034433759</v>
      </c>
      <c r="CB22" s="109">
        <f t="shared" si="88"/>
        <v>0.54361729034433759</v>
      </c>
      <c r="CC22" s="110">
        <f t="shared" si="88"/>
        <v>0.54361729034433759</v>
      </c>
      <c r="CD22" s="110">
        <f t="shared" si="88"/>
        <v>0.54361729034433759</v>
      </c>
      <c r="CE22" s="110">
        <f t="shared" si="88"/>
        <v>0.54361729034433759</v>
      </c>
      <c r="CF22" s="110">
        <f t="shared" si="88"/>
        <v>0.54361729034433759</v>
      </c>
      <c r="CG22" s="111">
        <f t="shared" ref="CG22:CV22" si="89">+CG21/CG19</f>
        <v>0.54361729034433759</v>
      </c>
      <c r="CH22" s="110">
        <f t="shared" si="89"/>
        <v>0.54361729034433759</v>
      </c>
      <c r="CI22" s="110">
        <f t="shared" si="89"/>
        <v>0.54361729034433759</v>
      </c>
      <c r="CJ22" s="110">
        <f t="shared" si="89"/>
        <v>0.54361729034433759</v>
      </c>
      <c r="CK22" s="110">
        <f t="shared" si="89"/>
        <v>0.54361729034433759</v>
      </c>
      <c r="CL22" s="109">
        <f t="shared" si="89"/>
        <v>0.54361729034433759</v>
      </c>
      <c r="CM22" s="110">
        <f t="shared" si="89"/>
        <v>0.54361729034433759</v>
      </c>
      <c r="CN22" s="110">
        <f t="shared" si="89"/>
        <v>0.54361729034433759</v>
      </c>
      <c r="CO22" s="110">
        <f t="shared" si="89"/>
        <v>0.54361729034433759</v>
      </c>
      <c r="CP22" s="110">
        <f t="shared" si="89"/>
        <v>0.54361729034433759</v>
      </c>
      <c r="CQ22" s="111">
        <f t="shared" si="89"/>
        <v>0.54361729034433759</v>
      </c>
      <c r="CR22" s="110">
        <f t="shared" si="89"/>
        <v>0.54361729034433759</v>
      </c>
      <c r="CS22" s="110">
        <f t="shared" si="89"/>
        <v>0.54361729034433759</v>
      </c>
      <c r="CT22" s="110">
        <f t="shared" si="89"/>
        <v>0.54361729034433759</v>
      </c>
      <c r="CU22" s="110">
        <f t="shared" si="89"/>
        <v>0.54361729034433759</v>
      </c>
      <c r="CV22" s="109">
        <f t="shared" si="89"/>
        <v>0.54361729034433759</v>
      </c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</row>
    <row r="23" spans="1:115" s="34" customFormat="1">
      <c r="A23" s="2"/>
      <c r="E23" s="100"/>
      <c r="F23" s="83"/>
      <c r="G23" s="83"/>
      <c r="H23" s="83"/>
      <c r="I23" s="83"/>
      <c r="J23" s="100"/>
      <c r="K23" s="83"/>
      <c r="L23" s="83"/>
      <c r="M23" s="83"/>
      <c r="N23" s="83"/>
      <c r="O23" s="100"/>
      <c r="P23" s="83"/>
      <c r="Q23" s="83"/>
      <c r="R23" s="83"/>
      <c r="S23" s="83"/>
      <c r="T23" s="112"/>
      <c r="U23" s="110"/>
      <c r="V23" s="110"/>
      <c r="W23" s="110"/>
      <c r="X23" s="110"/>
      <c r="Y23" s="100"/>
      <c r="Z23" s="83"/>
      <c r="AA23" s="83"/>
      <c r="AB23" s="83"/>
      <c r="AC23" s="83"/>
      <c r="AD23" s="100"/>
      <c r="AE23" s="83"/>
      <c r="AF23" s="83"/>
      <c r="AG23" s="83"/>
      <c r="AH23" s="83"/>
      <c r="AI23" s="100"/>
      <c r="AJ23" s="108"/>
      <c r="AK23" s="108"/>
      <c r="AL23" s="83"/>
      <c r="AM23" s="83"/>
      <c r="AN23" s="112"/>
      <c r="AO23" s="83"/>
      <c r="AP23" s="83"/>
      <c r="AQ23" s="83"/>
      <c r="AR23" s="83"/>
      <c r="AS23" s="100"/>
      <c r="AT23" s="83"/>
      <c r="AU23" s="83"/>
      <c r="AV23" s="83"/>
      <c r="AW23" s="83"/>
      <c r="AX23" s="112"/>
      <c r="AY23" s="83"/>
      <c r="AZ23" s="83"/>
      <c r="BA23" s="83"/>
      <c r="BB23" s="83"/>
      <c r="BC23" s="100"/>
      <c r="BD23" s="83"/>
      <c r="BE23" s="83"/>
      <c r="BF23" s="83"/>
      <c r="BG23" s="83"/>
      <c r="BH23" s="112"/>
      <c r="BI23" s="83"/>
      <c r="BJ23" s="83"/>
      <c r="BK23" s="83"/>
      <c r="BL23" s="83"/>
      <c r="BM23" s="100"/>
      <c r="BN23" s="83"/>
      <c r="BO23" s="83"/>
      <c r="BP23" s="83"/>
      <c r="BQ23" s="83"/>
      <c r="BR23" s="112"/>
      <c r="BS23" s="83"/>
      <c r="BT23" s="83"/>
      <c r="BU23" s="83"/>
      <c r="BV23" s="83"/>
      <c r="BW23" s="100"/>
      <c r="BX23" s="83"/>
      <c r="BY23" s="83"/>
      <c r="BZ23" s="83"/>
      <c r="CA23" s="83"/>
      <c r="CB23" s="112"/>
      <c r="CC23" s="83"/>
      <c r="CD23" s="83"/>
      <c r="CE23" s="83"/>
      <c r="CF23" s="83"/>
      <c r="CG23" s="100"/>
      <c r="CH23" s="83"/>
      <c r="CI23" s="83"/>
      <c r="CJ23" s="83"/>
      <c r="CK23" s="83"/>
      <c r="CL23" s="112"/>
      <c r="CM23" s="83"/>
      <c r="CN23" s="83"/>
      <c r="CO23" s="83"/>
      <c r="CP23" s="83"/>
      <c r="CQ23" s="100"/>
      <c r="CR23" s="83"/>
      <c r="CS23" s="83"/>
      <c r="CT23" s="83"/>
      <c r="CU23" s="83"/>
      <c r="CV23" s="112"/>
    </row>
    <row r="24" spans="1:115" s="34" customFormat="1" hidden="1">
      <c r="A24" s="142" t="s">
        <v>75</v>
      </c>
      <c r="B24" s="1"/>
      <c r="C24" s="1"/>
      <c r="D24" s="1"/>
      <c r="E24" s="103">
        <v>6823.6329999999998</v>
      </c>
      <c r="F24" s="104">
        <v>9669.69</v>
      </c>
      <c r="G24" s="104">
        <v>10433.289999999999</v>
      </c>
      <c r="H24" s="104">
        <v>10872.442000000001</v>
      </c>
      <c r="I24" s="104">
        <v>10688.047500000001</v>
      </c>
      <c r="J24" s="103">
        <v>41663.469499999999</v>
      </c>
      <c r="K24" s="104">
        <v>9795.4814999999999</v>
      </c>
      <c r="L24" s="104">
        <v>10473.902</v>
      </c>
      <c r="M24" s="104">
        <v>11104.9095</v>
      </c>
      <c r="N24" s="104">
        <v>10793.979499999999</v>
      </c>
      <c r="O24" s="103">
        <v>42168.272499999999</v>
      </c>
      <c r="P24" s="104">
        <v>10207.719499999999</v>
      </c>
      <c r="Q24" s="104">
        <v>10232.974</v>
      </c>
      <c r="R24" s="104">
        <v>11261.406499999999</v>
      </c>
      <c r="S24" s="104">
        <v>11309.433000000001</v>
      </c>
      <c r="T24" s="113">
        <v>43011.533000000003</v>
      </c>
      <c r="U24" s="114">
        <v>10556.414000000001</v>
      </c>
      <c r="V24" s="114">
        <v>11016.224</v>
      </c>
      <c r="W24" s="114">
        <v>12312.954</v>
      </c>
      <c r="X24" s="114">
        <v>12418.736999999999</v>
      </c>
      <c r="Y24" s="103">
        <v>46304.326999999997</v>
      </c>
      <c r="Z24" s="104">
        <v>11857.7</v>
      </c>
      <c r="AA24" s="104">
        <v>11828.567999999999</v>
      </c>
      <c r="AB24" s="104">
        <v>12301.004999999999</v>
      </c>
      <c r="AC24" s="104">
        <v>12541.165999999999</v>
      </c>
      <c r="AD24" s="103">
        <v>48528.438000000002</v>
      </c>
      <c r="AE24" s="104"/>
      <c r="AF24" s="104"/>
      <c r="AG24" s="104"/>
      <c r="AH24" s="104"/>
      <c r="AI24" s="103">
        <f>AD24*(1+AI28)</f>
        <v>48528.438000000002</v>
      </c>
      <c r="AJ24" s="104"/>
      <c r="AK24" s="104"/>
      <c r="AL24" s="104"/>
      <c r="AM24" s="104"/>
      <c r="AN24" s="103">
        <f>AI24*(1+AN28)</f>
        <v>46102.016100000001</v>
      </c>
      <c r="AO24" s="104"/>
      <c r="AP24" s="104"/>
      <c r="AQ24" s="104"/>
      <c r="AR24" s="104"/>
      <c r="AS24" s="103">
        <f>AN24*(1+AS28)</f>
        <v>47208.4644864</v>
      </c>
      <c r="AT24" s="104"/>
      <c r="AU24" s="104"/>
      <c r="AV24" s="104"/>
      <c r="AW24" s="104"/>
      <c r="AX24" s="103">
        <f>AS24*(1+AX28)</f>
        <v>49285.636923801605</v>
      </c>
      <c r="AY24" s="104"/>
      <c r="AZ24" s="104"/>
      <c r="BA24" s="104"/>
      <c r="BB24" s="104"/>
      <c r="BC24" s="103">
        <f>AX24*(1+BC28)</f>
        <v>51257.062400753668</v>
      </c>
      <c r="BD24" s="104"/>
      <c r="BE24" s="104"/>
      <c r="BF24" s="104"/>
      <c r="BG24" s="104"/>
      <c r="BH24" s="103">
        <f>BC24*(1+BH28)</f>
        <v>53102.3166471808</v>
      </c>
      <c r="BI24" s="104"/>
      <c r="BJ24" s="104"/>
      <c r="BK24" s="104"/>
      <c r="BL24" s="104"/>
      <c r="BM24" s="103">
        <f>BH24*(1+BM28)</f>
        <v>54801.59077989059</v>
      </c>
      <c r="BN24" s="104"/>
      <c r="BO24" s="104"/>
      <c r="BP24" s="104"/>
      <c r="BQ24" s="104"/>
      <c r="BR24" s="103">
        <f>BM24*(1+BR28)</f>
        <v>56336.035321727526</v>
      </c>
      <c r="BS24" s="104"/>
      <c r="BT24" s="104"/>
      <c r="BU24" s="104"/>
      <c r="BV24" s="104"/>
      <c r="BW24" s="103">
        <f>BR24*(1+BW28)</f>
        <v>57688.10016944899</v>
      </c>
      <c r="BX24" s="104"/>
      <c r="BY24" s="104"/>
      <c r="BZ24" s="104"/>
      <c r="CA24" s="104"/>
      <c r="CB24" s="103">
        <f>BW24*(1+CB28)</f>
        <v>58841.862172837973</v>
      </c>
      <c r="CC24" s="104"/>
      <c r="CD24" s="104"/>
      <c r="CE24" s="104"/>
      <c r="CF24" s="104"/>
      <c r="CG24" s="103">
        <f>CB24*(1+CG28)</f>
        <v>60018.69941629473</v>
      </c>
      <c r="CH24" s="104"/>
      <c r="CI24" s="104"/>
      <c r="CJ24" s="104"/>
      <c r="CK24" s="104"/>
      <c r="CL24" s="103">
        <f>CG24*(1+CL28)</f>
        <v>61219.073404620627</v>
      </c>
      <c r="CM24" s="104"/>
      <c r="CN24" s="104"/>
      <c r="CO24" s="104"/>
      <c r="CP24" s="104"/>
      <c r="CQ24" s="103">
        <f>CL24*(1+CQ28)</f>
        <v>62443.454872713039</v>
      </c>
      <c r="CR24" s="104"/>
      <c r="CS24" s="104"/>
      <c r="CT24" s="104"/>
      <c r="CU24" s="104"/>
      <c r="CV24" s="103">
        <f>CQ24*(1+CV28)</f>
        <v>63692.323970167301</v>
      </c>
    </row>
    <row r="25" spans="1:115" s="34" customFormat="1" ht="15" hidden="1" customHeight="1">
      <c r="A25" s="143" t="s">
        <v>307</v>
      </c>
      <c r="B25" s="5"/>
      <c r="C25" s="5"/>
      <c r="D25" s="5"/>
      <c r="E25" s="105"/>
      <c r="F25" s="115"/>
      <c r="G25" s="115"/>
      <c r="H25" s="115"/>
      <c r="I25" s="115"/>
      <c r="J25" s="105"/>
      <c r="K25" s="115"/>
      <c r="L25" s="115"/>
      <c r="M25" s="115"/>
      <c r="N25" s="115"/>
      <c r="O25" s="105"/>
      <c r="P25" s="115"/>
      <c r="Q25" s="115"/>
      <c r="R25" s="115"/>
      <c r="S25" s="115"/>
      <c r="T25" s="116">
        <v>18886.22</v>
      </c>
      <c r="U25" s="117">
        <v>4722.9769999999999</v>
      </c>
      <c r="V25" s="117">
        <v>4605.8869999999997</v>
      </c>
      <c r="W25" s="117">
        <v>4888.4250000000002</v>
      </c>
      <c r="X25" s="117">
        <v>5227.3540000000003</v>
      </c>
      <c r="Y25" s="105">
        <v>19444.642</v>
      </c>
      <c r="Z25" s="115">
        <v>4919.201</v>
      </c>
      <c r="AA25" s="115">
        <v>4970.6989999999996</v>
      </c>
      <c r="AB25" s="115">
        <v>4928.1030000000001</v>
      </c>
      <c r="AC25" s="115">
        <v>5322.0209999999997</v>
      </c>
      <c r="AD25" s="105">
        <v>20140.024000000001</v>
      </c>
      <c r="AE25" s="115"/>
      <c r="AF25" s="115"/>
      <c r="AG25" s="115"/>
      <c r="AH25" s="115"/>
      <c r="AI25" s="105">
        <v>20140.024000000001</v>
      </c>
      <c r="AJ25" s="115"/>
      <c r="AK25" s="115"/>
      <c r="AL25" s="115"/>
      <c r="AM25" s="115"/>
      <c r="AN25" s="105">
        <v>20140.024000000001</v>
      </c>
      <c r="AO25" s="115"/>
      <c r="AP25" s="115"/>
      <c r="AQ25" s="115"/>
      <c r="AR25" s="115"/>
      <c r="AS25" s="105">
        <v>20140.024000000001</v>
      </c>
      <c r="AT25" s="115"/>
      <c r="AU25" s="115"/>
      <c r="AV25" s="115"/>
      <c r="AW25" s="115"/>
      <c r="AX25" s="105">
        <v>20140.024000000001</v>
      </c>
      <c r="AY25" s="115"/>
      <c r="AZ25" s="115"/>
      <c r="BA25" s="115"/>
      <c r="BB25" s="115"/>
      <c r="BC25" s="105">
        <v>20140.024000000001</v>
      </c>
      <c r="BD25" s="115"/>
      <c r="BE25" s="115"/>
      <c r="BF25" s="115"/>
      <c r="BG25" s="115"/>
      <c r="BH25" s="105">
        <v>20140.024000000001</v>
      </c>
      <c r="BI25" s="115"/>
      <c r="BJ25" s="115"/>
      <c r="BK25" s="115"/>
      <c r="BL25" s="115"/>
      <c r="BM25" s="105">
        <v>20140.024000000001</v>
      </c>
      <c r="BN25" s="115"/>
      <c r="BO25" s="115"/>
      <c r="BP25" s="115"/>
      <c r="BQ25" s="115"/>
      <c r="BR25" s="105">
        <v>20140.024000000001</v>
      </c>
      <c r="BS25" s="115"/>
      <c r="BT25" s="115"/>
      <c r="BU25" s="115"/>
      <c r="BV25" s="115"/>
      <c r="BW25" s="105">
        <v>20140.024000000001</v>
      </c>
      <c r="BX25" s="115"/>
      <c r="BY25" s="115"/>
      <c r="BZ25" s="115"/>
      <c r="CA25" s="115"/>
      <c r="CB25" s="105">
        <v>20140.024000000001</v>
      </c>
      <c r="CC25" s="115"/>
      <c r="CD25" s="115"/>
      <c r="CE25" s="115"/>
      <c r="CF25" s="115"/>
      <c r="CG25" s="105">
        <v>20140.024000000001</v>
      </c>
      <c r="CH25" s="115"/>
      <c r="CI25" s="115"/>
      <c r="CJ25" s="115"/>
      <c r="CK25" s="115"/>
      <c r="CL25" s="105">
        <v>20140.024000000001</v>
      </c>
      <c r="CM25" s="115"/>
      <c r="CN25" s="115"/>
      <c r="CO25" s="115"/>
      <c r="CP25" s="115"/>
      <c r="CQ25" s="105">
        <v>20140.024000000001</v>
      </c>
      <c r="CR25" s="115"/>
      <c r="CS25" s="115"/>
      <c r="CT25" s="115"/>
      <c r="CU25" s="115"/>
      <c r="CV25" s="105">
        <v>20140.024000000001</v>
      </c>
    </row>
    <row r="26" spans="1:115" s="34" customFormat="1" ht="15" hidden="1" customHeight="1">
      <c r="A26" s="143" t="s">
        <v>308</v>
      </c>
      <c r="B26" s="5"/>
      <c r="C26" s="5"/>
      <c r="D26" s="5"/>
      <c r="E26" s="105"/>
      <c r="F26" s="115"/>
      <c r="G26" s="115"/>
      <c r="H26" s="115"/>
      <c r="I26" s="115"/>
      <c r="J26" s="105"/>
      <c r="K26" s="115"/>
      <c r="L26" s="115"/>
      <c r="M26" s="115"/>
      <c r="N26" s="115"/>
      <c r="O26" s="105"/>
      <c r="P26" s="115"/>
      <c r="Q26" s="115"/>
      <c r="R26" s="115"/>
      <c r="S26" s="115"/>
      <c r="T26" s="116">
        <v>11063.325000000001</v>
      </c>
      <c r="U26" s="117">
        <v>2605.7539999999999</v>
      </c>
      <c r="V26" s="117">
        <v>2747.915</v>
      </c>
      <c r="W26" s="117">
        <v>2706.9630000000002</v>
      </c>
      <c r="X26" s="117">
        <v>2638.4490000000001</v>
      </c>
      <c r="Y26" s="105">
        <v>10699.081</v>
      </c>
      <c r="Z26" s="115">
        <v>2450.924</v>
      </c>
      <c r="AA26" s="115">
        <v>2474.4319999999998</v>
      </c>
      <c r="AB26" s="115">
        <v>2553.5439999999999</v>
      </c>
      <c r="AC26" s="115">
        <v>2532.297</v>
      </c>
      <c r="AD26" s="105">
        <v>10011.197</v>
      </c>
      <c r="AE26" s="115"/>
      <c r="AF26" s="115"/>
      <c r="AG26" s="115"/>
      <c r="AH26" s="115"/>
      <c r="AI26" s="105">
        <v>10011.197</v>
      </c>
      <c r="AJ26" s="115"/>
      <c r="AK26" s="115"/>
      <c r="AL26" s="115"/>
      <c r="AM26" s="115"/>
      <c r="AN26" s="105">
        <v>10011.197</v>
      </c>
      <c r="AO26" s="115"/>
      <c r="AP26" s="115"/>
      <c r="AQ26" s="115"/>
      <c r="AR26" s="115"/>
      <c r="AS26" s="105">
        <v>10011.197</v>
      </c>
      <c r="AT26" s="115"/>
      <c r="AU26" s="115"/>
      <c r="AV26" s="115"/>
      <c r="AW26" s="115"/>
      <c r="AX26" s="105">
        <v>10011.197</v>
      </c>
      <c r="AY26" s="115"/>
      <c r="AZ26" s="115"/>
      <c r="BA26" s="115"/>
      <c r="BB26" s="115"/>
      <c r="BC26" s="105">
        <v>10011.197</v>
      </c>
      <c r="BD26" s="115"/>
      <c r="BE26" s="115"/>
      <c r="BF26" s="115"/>
      <c r="BG26" s="115"/>
      <c r="BH26" s="105">
        <v>10011.197</v>
      </c>
      <c r="BI26" s="115"/>
      <c r="BJ26" s="115"/>
      <c r="BK26" s="115"/>
      <c r="BL26" s="115"/>
      <c r="BM26" s="105">
        <v>10011.197</v>
      </c>
      <c r="BN26" s="115"/>
      <c r="BO26" s="115"/>
      <c r="BP26" s="115"/>
      <c r="BQ26" s="115"/>
      <c r="BR26" s="105">
        <v>10011.197</v>
      </c>
      <c r="BS26" s="115"/>
      <c r="BT26" s="115"/>
      <c r="BU26" s="115"/>
      <c r="BV26" s="115"/>
      <c r="BW26" s="105">
        <v>10011.197</v>
      </c>
      <c r="BX26" s="115"/>
      <c r="BY26" s="115"/>
      <c r="BZ26" s="115"/>
      <c r="CA26" s="115"/>
      <c r="CB26" s="105">
        <v>10011.197</v>
      </c>
      <c r="CC26" s="115"/>
      <c r="CD26" s="115"/>
      <c r="CE26" s="115"/>
      <c r="CF26" s="115"/>
      <c r="CG26" s="105">
        <v>10011.197</v>
      </c>
      <c r="CH26" s="115"/>
      <c r="CI26" s="115"/>
      <c r="CJ26" s="115"/>
      <c r="CK26" s="115"/>
      <c r="CL26" s="105">
        <v>10011.197</v>
      </c>
      <c r="CM26" s="115"/>
      <c r="CN26" s="115"/>
      <c r="CO26" s="115"/>
      <c r="CP26" s="115"/>
      <c r="CQ26" s="105">
        <v>10011.197</v>
      </c>
      <c r="CR26" s="115"/>
      <c r="CS26" s="115"/>
      <c r="CT26" s="115"/>
      <c r="CU26" s="115"/>
      <c r="CV26" s="105">
        <v>10011.197</v>
      </c>
    </row>
    <row r="27" spans="1:115" s="34" customFormat="1" ht="15" hidden="1" customHeight="1">
      <c r="A27" s="143" t="s">
        <v>309</v>
      </c>
      <c r="B27" s="5"/>
      <c r="C27" s="5"/>
      <c r="D27" s="5"/>
      <c r="E27" s="105"/>
      <c r="F27" s="115"/>
      <c r="G27" s="115"/>
      <c r="H27" s="115"/>
      <c r="I27" s="115"/>
      <c r="J27" s="105"/>
      <c r="K27" s="115"/>
      <c r="L27" s="115"/>
      <c r="M27" s="115"/>
      <c r="N27" s="115"/>
      <c r="O27" s="105"/>
      <c r="P27" s="115"/>
      <c r="Q27" s="115"/>
      <c r="R27" s="115"/>
      <c r="S27" s="115"/>
      <c r="T27" s="116">
        <v>13061.987999999999</v>
      </c>
      <c r="U27" s="117">
        <v>3227.683</v>
      </c>
      <c r="V27" s="117">
        <v>3662.422</v>
      </c>
      <c r="W27" s="117">
        <v>4717.5659999999998</v>
      </c>
      <c r="X27" s="117">
        <v>4552.9340000000002</v>
      </c>
      <c r="Y27" s="105">
        <v>16160.605</v>
      </c>
      <c r="Z27" s="115">
        <v>4487.5749999999998</v>
      </c>
      <c r="AA27" s="115">
        <v>4383.4369999999999</v>
      </c>
      <c r="AB27" s="115">
        <v>4819.3580000000002</v>
      </c>
      <c r="AC27" s="115">
        <v>4686.848</v>
      </c>
      <c r="AD27" s="105">
        <v>18377.218000000001</v>
      </c>
      <c r="AE27" s="115"/>
      <c r="AF27" s="115"/>
      <c r="AG27" s="115"/>
      <c r="AH27" s="115"/>
      <c r="AI27" s="105">
        <v>18377.218000000001</v>
      </c>
      <c r="AJ27" s="115"/>
      <c r="AK27" s="115"/>
      <c r="AL27" s="115"/>
      <c r="AM27" s="115"/>
      <c r="AN27" s="105">
        <v>18377.218000000001</v>
      </c>
      <c r="AO27" s="115"/>
      <c r="AP27" s="115"/>
      <c r="AQ27" s="115"/>
      <c r="AR27" s="115"/>
      <c r="AS27" s="105">
        <v>18377.218000000001</v>
      </c>
      <c r="AT27" s="115"/>
      <c r="AU27" s="115"/>
      <c r="AV27" s="115"/>
      <c r="AW27" s="115"/>
      <c r="AX27" s="105">
        <v>18377.218000000001</v>
      </c>
      <c r="AY27" s="115"/>
      <c r="AZ27" s="115"/>
      <c r="BA27" s="115"/>
      <c r="BB27" s="115"/>
      <c r="BC27" s="105">
        <v>18377.218000000001</v>
      </c>
      <c r="BD27" s="115"/>
      <c r="BE27" s="115"/>
      <c r="BF27" s="115"/>
      <c r="BG27" s="115"/>
      <c r="BH27" s="105">
        <v>18377.218000000001</v>
      </c>
      <c r="BI27" s="115"/>
      <c r="BJ27" s="115"/>
      <c r="BK27" s="115"/>
      <c r="BL27" s="115"/>
      <c r="BM27" s="105">
        <v>18377.218000000001</v>
      </c>
      <c r="BN27" s="115"/>
      <c r="BO27" s="115"/>
      <c r="BP27" s="115"/>
      <c r="BQ27" s="115"/>
      <c r="BR27" s="105">
        <v>18377.218000000001</v>
      </c>
      <c r="BS27" s="115"/>
      <c r="BT27" s="115"/>
      <c r="BU27" s="115"/>
      <c r="BV27" s="115"/>
      <c r="BW27" s="105">
        <v>18377.218000000001</v>
      </c>
      <c r="BX27" s="115"/>
      <c r="BY27" s="115"/>
      <c r="BZ27" s="115"/>
      <c r="CA27" s="115"/>
      <c r="CB27" s="105">
        <v>18377.218000000001</v>
      </c>
      <c r="CC27" s="115"/>
      <c r="CD27" s="115"/>
      <c r="CE27" s="115"/>
      <c r="CF27" s="115"/>
      <c r="CG27" s="105">
        <v>18377.218000000001</v>
      </c>
      <c r="CH27" s="115"/>
      <c r="CI27" s="115"/>
      <c r="CJ27" s="115"/>
      <c r="CK27" s="115"/>
      <c r="CL27" s="105">
        <v>18377.218000000001</v>
      </c>
      <c r="CM27" s="115"/>
      <c r="CN27" s="115"/>
      <c r="CO27" s="115"/>
      <c r="CP27" s="115"/>
      <c r="CQ27" s="105">
        <v>18377.218000000001</v>
      </c>
      <c r="CR27" s="115"/>
      <c r="CS27" s="115"/>
      <c r="CT27" s="115"/>
      <c r="CU27" s="115"/>
      <c r="CV27" s="105">
        <v>18377.218000000001</v>
      </c>
    </row>
    <row r="28" spans="1:115" s="34" customFormat="1" hidden="1">
      <c r="A28" s="2" t="s">
        <v>312</v>
      </c>
      <c r="E28" s="111"/>
      <c r="F28" s="83"/>
      <c r="G28" s="83"/>
      <c r="H28" s="83"/>
      <c r="I28" s="83"/>
      <c r="J28" s="111">
        <f t="shared" ref="J28:AD28" si="90">J24/E24-1</f>
        <v>5.1057605970309368</v>
      </c>
      <c r="K28" s="110">
        <f t="shared" si="90"/>
        <v>1.3008845164632854E-2</v>
      </c>
      <c r="L28" s="110">
        <f t="shared" si="90"/>
        <v>3.8925401287610573E-3</v>
      </c>
      <c r="M28" s="110">
        <f t="shared" si="90"/>
        <v>2.1381351126085413E-2</v>
      </c>
      <c r="N28" s="110">
        <f t="shared" si="90"/>
        <v>9.911258347233165E-3</v>
      </c>
      <c r="O28" s="111">
        <f t="shared" si="90"/>
        <v>1.2116201700388851E-2</v>
      </c>
      <c r="P28" s="110">
        <f t="shared" si="90"/>
        <v>4.2084506004120392E-2</v>
      </c>
      <c r="Q28" s="110">
        <f t="shared" si="90"/>
        <v>-2.3002697561997465E-2</v>
      </c>
      <c r="R28" s="110">
        <f t="shared" si="90"/>
        <v>1.4092595711833633E-2</v>
      </c>
      <c r="S28" s="110">
        <f t="shared" si="90"/>
        <v>4.7753796456626807E-2</v>
      </c>
      <c r="T28" s="111">
        <f t="shared" si="90"/>
        <v>1.9997511161976123E-2</v>
      </c>
      <c r="U28" s="110">
        <f t="shared" si="90"/>
        <v>3.4159882626085158E-2</v>
      </c>
      <c r="V28" s="110">
        <f t="shared" si="90"/>
        <v>7.6541775636291165E-2</v>
      </c>
      <c r="W28" s="110">
        <f t="shared" si="90"/>
        <v>9.3376213708296518E-2</v>
      </c>
      <c r="X28" s="110">
        <f t="shared" si="90"/>
        <v>9.8086614952314521E-2</v>
      </c>
      <c r="Y28" s="111">
        <f t="shared" si="90"/>
        <v>7.6556071600609954E-2</v>
      </c>
      <c r="Z28" s="110">
        <f t="shared" si="90"/>
        <v>0.1232697012451387</v>
      </c>
      <c r="AA28" s="110">
        <f t="shared" si="90"/>
        <v>7.3740693725908191E-2</v>
      </c>
      <c r="AB28" s="151">
        <f t="shared" si="90"/>
        <v>-9.7044137418200727E-4</v>
      </c>
      <c r="AC28" s="110">
        <f t="shared" si="90"/>
        <v>9.8584099172080997E-3</v>
      </c>
      <c r="AD28" s="111">
        <f t="shared" si="90"/>
        <v>4.803246573478992E-2</v>
      </c>
      <c r="AE28" s="110"/>
      <c r="AF28" s="110"/>
      <c r="AG28" s="110"/>
      <c r="AH28" s="110"/>
      <c r="AI28" s="111">
        <f>+AI29*(AI4/100)</f>
        <v>0</v>
      </c>
      <c r="AJ28" s="110"/>
      <c r="AK28" s="110"/>
      <c r="AL28" s="110"/>
      <c r="AM28" s="110"/>
      <c r="AN28" s="111">
        <f>+AN29*(AN4/100)</f>
        <v>-0.05</v>
      </c>
      <c r="AO28" s="110"/>
      <c r="AP28" s="110"/>
      <c r="AQ28" s="110"/>
      <c r="AR28" s="110"/>
      <c r="AS28" s="111">
        <f>+AS29*(AS4/100)</f>
        <v>2.4E-2</v>
      </c>
      <c r="AT28" s="110"/>
      <c r="AU28" s="110"/>
      <c r="AV28" s="110"/>
      <c r="AW28" s="110"/>
      <c r="AX28" s="111">
        <f>+AX29*(AX4/100)</f>
        <v>4.4000000000000004E-2</v>
      </c>
      <c r="AY28" s="110"/>
      <c r="AZ28" s="110"/>
      <c r="BA28" s="110"/>
      <c r="BB28" s="110"/>
      <c r="BC28" s="111">
        <f>+BC29*(BC4/100)</f>
        <v>0.04</v>
      </c>
      <c r="BD28" s="110"/>
      <c r="BE28" s="110"/>
      <c r="BF28" s="110"/>
      <c r="BG28" s="110"/>
      <c r="BH28" s="111">
        <f>+BH29*(BH4/100)</f>
        <v>3.6000000000000004E-2</v>
      </c>
      <c r="BI28" s="110"/>
      <c r="BJ28" s="110"/>
      <c r="BK28" s="110"/>
      <c r="BL28" s="110"/>
      <c r="BM28" s="111">
        <f>+BM29*(BM4/100)</f>
        <v>3.2000000000000001E-2</v>
      </c>
      <c r="BN28" s="110"/>
      <c r="BO28" s="110"/>
      <c r="BP28" s="110"/>
      <c r="BQ28" s="110"/>
      <c r="BR28" s="111">
        <f>+BR29*(BR4/100)</f>
        <v>2.7999999999999997E-2</v>
      </c>
      <c r="BS28" s="110"/>
      <c r="BT28" s="110"/>
      <c r="BU28" s="110"/>
      <c r="BV28" s="110"/>
      <c r="BW28" s="111">
        <f>+BW29*(BW4/100)</f>
        <v>2.4E-2</v>
      </c>
      <c r="BX28" s="110"/>
      <c r="BY28" s="110"/>
      <c r="BZ28" s="110"/>
      <c r="CA28" s="110"/>
      <c r="CB28" s="111">
        <f>+CB29*(CB4/100)</f>
        <v>0.02</v>
      </c>
      <c r="CC28" s="110"/>
      <c r="CD28" s="110"/>
      <c r="CE28" s="110"/>
      <c r="CF28" s="110"/>
      <c r="CG28" s="111">
        <f>+CG29*(CG4/100)</f>
        <v>0.02</v>
      </c>
      <c r="CH28" s="110"/>
      <c r="CI28" s="110"/>
      <c r="CJ28" s="110"/>
      <c r="CK28" s="110"/>
      <c r="CL28" s="111">
        <f>+CL29*(CL4/100)</f>
        <v>0.02</v>
      </c>
      <c r="CM28" s="110"/>
      <c r="CN28" s="110"/>
      <c r="CO28" s="110"/>
      <c r="CP28" s="110"/>
      <c r="CQ28" s="111">
        <f>+CQ29*(CQ4/100)</f>
        <v>0.02</v>
      </c>
      <c r="CR28" s="110"/>
      <c r="CS28" s="110"/>
      <c r="CT28" s="110"/>
      <c r="CU28" s="110"/>
      <c r="CV28" s="111">
        <f>+CV29*(CV4/100)</f>
        <v>0.02</v>
      </c>
    </row>
    <row r="29" spans="1:115" s="14" customFormat="1" hidden="1">
      <c r="A29" s="2" t="s">
        <v>76</v>
      </c>
      <c r="C29" s="18"/>
      <c r="D29" s="18"/>
      <c r="E29" s="118"/>
      <c r="F29" s="119"/>
      <c r="G29" s="119"/>
      <c r="H29" s="119"/>
      <c r="I29" s="119"/>
      <c r="J29" s="118">
        <f t="shared" ref="J29:AD29" si="91">J28/(J4/100)</f>
        <v>67.773045080045421</v>
      </c>
      <c r="K29" s="119">
        <f t="shared" si="91"/>
        <v>0.30712719376909486</v>
      </c>
      <c r="L29" s="119">
        <f t="shared" si="91"/>
        <v>0.11744476991548132</v>
      </c>
      <c r="M29" s="119">
        <f t="shared" si="91"/>
        <v>1.0076196850328192</v>
      </c>
      <c r="N29" s="119">
        <f t="shared" si="91"/>
        <v>0.72532390632025445</v>
      </c>
      <c r="O29" s="118">
        <f t="shared" si="91"/>
        <v>0.44340935827921202</v>
      </c>
      <c r="P29" s="119">
        <f t="shared" si="91"/>
        <v>5.5908196281405562</v>
      </c>
      <c r="Q29" s="119">
        <f t="shared" si="91"/>
        <v>-4.6965757747208725</v>
      </c>
      <c r="R29" s="119">
        <f t="shared" si="91"/>
        <v>2.3487659519722723</v>
      </c>
      <c r="S29" s="119">
        <f t="shared" si="91"/>
        <v>1.6187727612415868</v>
      </c>
      <c r="T29" s="118">
        <f t="shared" si="91"/>
        <v>1.9997511161976123</v>
      </c>
      <c r="U29" s="119">
        <f t="shared" si="91"/>
        <v>1.2620649531732775</v>
      </c>
      <c r="V29" s="119">
        <f t="shared" si="91"/>
        <v>2.3194477465542778</v>
      </c>
      <c r="W29" s="119">
        <f t="shared" si="91"/>
        <v>2.4325199446761188</v>
      </c>
      <c r="X29" s="119">
        <f t="shared" si="91"/>
        <v>2.8253187907347739</v>
      </c>
      <c r="Y29" s="118">
        <f t="shared" si="91"/>
        <v>2.3198809575942407</v>
      </c>
      <c r="Z29" s="119">
        <f t="shared" si="91"/>
        <v>6.1634850622569344</v>
      </c>
      <c r="AA29" s="119">
        <f t="shared" si="91"/>
        <v>3.6870346862954095</v>
      </c>
      <c r="AB29" s="119">
        <f t="shared" si="91"/>
        <v>-4.8522068709100363E-2</v>
      </c>
      <c r="AC29" s="119">
        <f t="shared" si="91"/>
        <v>0.49292049586040498</v>
      </c>
      <c r="AD29" s="118">
        <f t="shared" si="91"/>
        <v>33.221174600804822</v>
      </c>
      <c r="AE29" s="119"/>
      <c r="AF29" s="119"/>
      <c r="AG29" s="119"/>
      <c r="AH29" s="119"/>
      <c r="AI29" s="188">
        <v>0</v>
      </c>
      <c r="AJ29" s="119">
        <v>2.4791459655801948</v>
      </c>
      <c r="AK29" s="119">
        <v>2.4826540520750915</v>
      </c>
      <c r="AL29" s="119">
        <v>2.4819547640331603</v>
      </c>
      <c r="AM29" s="119">
        <v>2.4835088649809509</v>
      </c>
      <c r="AN29" s="188">
        <v>2.5</v>
      </c>
      <c r="AO29" s="119">
        <v>2.3975312957875623</v>
      </c>
      <c r="AP29" s="119">
        <v>2.402364920321391</v>
      </c>
      <c r="AQ29" s="119">
        <v>2.401401480349767</v>
      </c>
      <c r="AR29" s="119">
        <v>2.4035425826549384</v>
      </c>
      <c r="AS29" s="188">
        <v>2.4</v>
      </c>
      <c r="AT29" s="119">
        <v>1.8219226354614075</v>
      </c>
      <c r="AU29" s="119">
        <v>1.8192892352286643</v>
      </c>
      <c r="AV29" s="119">
        <v>1.8202779101089621</v>
      </c>
      <c r="AW29" s="119">
        <v>1.8218359323845856</v>
      </c>
      <c r="AX29" s="188">
        <v>2.2000000000000002</v>
      </c>
      <c r="AY29" s="119">
        <v>1.4240488342651534</v>
      </c>
      <c r="AZ29" s="119">
        <v>1.4251451075797839</v>
      </c>
      <c r="BA29" s="119">
        <v>1.4251458460712889</v>
      </c>
      <c r="BB29" s="119">
        <v>1.4259412002527747</v>
      </c>
      <c r="BC29" s="188">
        <v>2</v>
      </c>
      <c r="BD29" s="119">
        <v>1.2666038815619451</v>
      </c>
      <c r="BE29" s="119">
        <v>1.2670194944193711</v>
      </c>
      <c r="BF29" s="119">
        <v>1.2671311756103181</v>
      </c>
      <c r="BG29" s="119">
        <v>1.2675859229881608</v>
      </c>
      <c r="BH29" s="188">
        <v>1.8</v>
      </c>
      <c r="BI29" s="119">
        <v>1.1840087502832017</v>
      </c>
      <c r="BJ29" s="119">
        <v>1.1840424940507375</v>
      </c>
      <c r="BK29" s="119">
        <v>1.1838025688518587</v>
      </c>
      <c r="BL29" s="119">
        <v>1.1841302035340506</v>
      </c>
      <c r="BM29" s="188">
        <v>1.6</v>
      </c>
      <c r="BN29" s="119">
        <v>0.98999999999999466</v>
      </c>
      <c r="BO29" s="119">
        <v>0.99000000000000199</v>
      </c>
      <c r="BP29" s="119">
        <v>0.99000000000000943</v>
      </c>
      <c r="BQ29" s="119">
        <v>0.99000000000000943</v>
      </c>
      <c r="BR29" s="188">
        <v>1.4</v>
      </c>
      <c r="BS29" s="119">
        <v>0.90000000000000457</v>
      </c>
      <c r="BT29" s="119">
        <v>0.89999999999999714</v>
      </c>
      <c r="BU29" s="119">
        <v>0.8999999999999897</v>
      </c>
      <c r="BV29" s="119">
        <v>0.89999999999999714</v>
      </c>
      <c r="BW29" s="188">
        <v>1.2</v>
      </c>
      <c r="BX29" s="119">
        <v>0.80000000000000071</v>
      </c>
      <c r="BY29" s="119">
        <v>0.80000000000000071</v>
      </c>
      <c r="BZ29" s="119">
        <v>0.80000000000000071</v>
      </c>
      <c r="CA29" s="119">
        <v>0.79999999999999338</v>
      </c>
      <c r="CB29" s="188">
        <v>1</v>
      </c>
      <c r="CC29" s="119">
        <v>0.70000000000001172</v>
      </c>
      <c r="CD29" s="119">
        <v>0.69999999999998952</v>
      </c>
      <c r="CE29" s="119">
        <v>0.69999999999999696</v>
      </c>
      <c r="CF29" s="119">
        <v>0.69999999999999696</v>
      </c>
      <c r="CG29" s="188">
        <v>1</v>
      </c>
      <c r="CH29" s="119">
        <v>0.6299999999999899</v>
      </c>
      <c r="CI29" s="119">
        <v>0.62737312277973967</v>
      </c>
      <c r="CJ29" s="119">
        <v>0.6248063684793248</v>
      </c>
      <c r="CK29" s="119">
        <v>0.62496944188229864</v>
      </c>
      <c r="CL29" s="188">
        <v>1</v>
      </c>
      <c r="CM29" s="119">
        <v>0.5914729821916358</v>
      </c>
      <c r="CN29" s="119">
        <v>0.59133166674925075</v>
      </c>
      <c r="CO29" s="119">
        <v>0.61297111644316915</v>
      </c>
      <c r="CP29" s="119">
        <v>0.60882592573648553</v>
      </c>
      <c r="CQ29" s="188">
        <v>1</v>
      </c>
      <c r="CR29" s="119">
        <v>0.58239528196043133</v>
      </c>
      <c r="CS29" s="119">
        <v>0.58237340990525688</v>
      </c>
      <c r="CT29" s="119">
        <v>0.57981333156729153</v>
      </c>
      <c r="CU29" s="119">
        <v>0.53505775466290062</v>
      </c>
      <c r="CV29" s="188">
        <v>1</v>
      </c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</row>
    <row r="30" spans="1:115" s="34" customFormat="1">
      <c r="A30" s="2"/>
      <c r="E30" s="100"/>
      <c r="F30" s="83"/>
      <c r="G30" s="83"/>
      <c r="H30" s="83"/>
      <c r="I30" s="83"/>
      <c r="J30" s="100"/>
      <c r="K30" s="83"/>
      <c r="L30" s="83"/>
      <c r="M30" s="83"/>
      <c r="N30" s="83"/>
      <c r="O30" s="100"/>
      <c r="P30" s="83"/>
      <c r="Q30" s="83"/>
      <c r="R30" s="83"/>
      <c r="S30" s="83"/>
      <c r="T30" s="100"/>
      <c r="U30" s="83"/>
      <c r="V30" s="83"/>
      <c r="W30" s="83"/>
      <c r="X30" s="83"/>
      <c r="Y30" s="100"/>
      <c r="Z30" s="83"/>
      <c r="AA30" s="83"/>
      <c r="AB30" s="83"/>
      <c r="AC30" s="83"/>
      <c r="AD30" s="95"/>
      <c r="AE30" s="83"/>
      <c r="AF30" s="83"/>
      <c r="AG30" s="83"/>
      <c r="AH30" s="83"/>
      <c r="AI30" s="100"/>
      <c r="AJ30" s="83"/>
      <c r="AK30" s="83"/>
      <c r="AL30" s="83"/>
      <c r="AM30" s="83"/>
      <c r="AN30" s="100"/>
      <c r="AO30" s="83"/>
      <c r="AP30" s="83"/>
      <c r="AQ30" s="83"/>
      <c r="AR30" s="83"/>
      <c r="AS30" s="100"/>
      <c r="AT30" s="83"/>
      <c r="AU30" s="83"/>
      <c r="AV30" s="83"/>
      <c r="AW30" s="83"/>
      <c r="AX30" s="100"/>
      <c r="AY30" s="83"/>
      <c r="AZ30" s="83"/>
      <c r="BA30" s="83"/>
      <c r="BB30" s="83"/>
      <c r="BC30" s="100"/>
      <c r="BD30" s="83"/>
      <c r="BE30" s="83"/>
      <c r="BF30" s="83"/>
      <c r="BG30" s="83"/>
      <c r="BH30" s="100"/>
      <c r="BI30" s="83"/>
      <c r="BJ30" s="83"/>
      <c r="BK30" s="83"/>
      <c r="BL30" s="83"/>
      <c r="BM30" s="100"/>
      <c r="BN30" s="83"/>
      <c r="BO30" s="83"/>
      <c r="BP30" s="83"/>
      <c r="BQ30" s="83"/>
      <c r="BR30" s="100"/>
      <c r="BS30" s="83"/>
      <c r="BT30" s="83"/>
      <c r="BU30" s="83"/>
      <c r="BV30" s="83"/>
      <c r="BW30" s="100"/>
      <c r="BX30" s="83"/>
      <c r="BY30" s="83"/>
      <c r="BZ30" s="83"/>
      <c r="CA30" s="83"/>
      <c r="CB30" s="100"/>
      <c r="CC30" s="83"/>
      <c r="CD30" s="83"/>
      <c r="CE30" s="83"/>
      <c r="CF30" s="83"/>
      <c r="CG30" s="100"/>
      <c r="CH30" s="83"/>
      <c r="CI30" s="83"/>
      <c r="CJ30" s="83"/>
      <c r="CK30" s="83"/>
      <c r="CL30" s="100"/>
      <c r="CM30" s="83"/>
      <c r="CN30" s="83"/>
      <c r="CO30" s="83"/>
      <c r="CP30" s="83"/>
      <c r="CQ30" s="100"/>
      <c r="CR30" s="83"/>
      <c r="CS30" s="83"/>
      <c r="CT30" s="83"/>
      <c r="CU30" s="83"/>
      <c r="CV30" s="100"/>
    </row>
    <row r="31" spans="1:115" s="14" customFormat="1">
      <c r="A31" s="138" t="s">
        <v>75</v>
      </c>
      <c r="B31" s="67"/>
      <c r="C31" s="67"/>
      <c r="D31" s="67">
        <f t="shared" ref="D31:AI31" si="92">+D54+D70+D86+D102+D118+D134+D150+D166+D182</f>
        <v>5225.6625000000004</v>
      </c>
      <c r="E31" s="120">
        <f t="shared" si="92"/>
        <v>6823.6330000000007</v>
      </c>
      <c r="F31" s="121">
        <f t="shared" si="92"/>
        <v>9669.69</v>
      </c>
      <c r="G31" s="121">
        <f t="shared" si="92"/>
        <v>10433.289999999999</v>
      </c>
      <c r="H31" s="121">
        <f t="shared" si="92"/>
        <v>10872.442000000001</v>
      </c>
      <c r="I31" s="121">
        <f t="shared" si="92"/>
        <v>10688.047500000001</v>
      </c>
      <c r="J31" s="120">
        <f t="shared" si="92"/>
        <v>41663.469499999999</v>
      </c>
      <c r="K31" s="121">
        <f t="shared" si="92"/>
        <v>9795.4814999999981</v>
      </c>
      <c r="L31" s="121">
        <f t="shared" si="92"/>
        <v>10473.901999999998</v>
      </c>
      <c r="M31" s="121">
        <f t="shared" si="92"/>
        <v>11104.909499999998</v>
      </c>
      <c r="N31" s="121">
        <f t="shared" si="92"/>
        <v>10793.979500000003</v>
      </c>
      <c r="O31" s="120">
        <f t="shared" si="92"/>
        <v>42168.272499999999</v>
      </c>
      <c r="P31" s="121">
        <f t="shared" si="92"/>
        <v>10207.719499999999</v>
      </c>
      <c r="Q31" s="121">
        <f t="shared" si="92"/>
        <v>10232.974</v>
      </c>
      <c r="R31" s="121">
        <f t="shared" si="92"/>
        <v>11261.406500000001</v>
      </c>
      <c r="S31" s="121">
        <f t="shared" si="92"/>
        <v>11309.432999999999</v>
      </c>
      <c r="T31" s="120">
        <f>+T54+T70+T86+T102+T118+T134+T150+T166+T182</f>
        <v>43011.532999999996</v>
      </c>
      <c r="U31" s="121">
        <f t="shared" si="92"/>
        <v>10555.759999999998</v>
      </c>
      <c r="V31" s="121">
        <f t="shared" si="92"/>
        <v>11015.94</v>
      </c>
      <c r="W31" s="121">
        <f t="shared" si="92"/>
        <v>12312.9</v>
      </c>
      <c r="X31" s="121">
        <f t="shared" si="92"/>
        <v>12418.2</v>
      </c>
      <c r="Y31" s="120">
        <f t="shared" si="92"/>
        <v>46302.8</v>
      </c>
      <c r="Z31" s="121">
        <f t="shared" ref="Z31:AG31" si="93">+Z54+Z70+Z86+Z102+Z118+Z134+Z150+Z166+Z182</f>
        <v>11857.700999999999</v>
      </c>
      <c r="AA31" s="121">
        <f t="shared" si="93"/>
        <v>11828.569</v>
      </c>
      <c r="AB31" s="121">
        <f t="shared" si="93"/>
        <v>12301.007999999998</v>
      </c>
      <c r="AC31" s="121">
        <f t="shared" si="93"/>
        <v>12541.169</v>
      </c>
      <c r="AD31" s="120">
        <f t="shared" si="93"/>
        <v>48528.447000000007</v>
      </c>
      <c r="AE31" s="121">
        <f t="shared" si="93"/>
        <v>11275.858</v>
      </c>
      <c r="AF31" s="121">
        <f t="shared" si="93"/>
        <v>11474.06</v>
      </c>
      <c r="AG31" s="121">
        <f t="shared" si="93"/>
        <v>11630.297499999999</v>
      </c>
      <c r="AH31" s="121">
        <f t="shared" si="92"/>
        <v>12356.225539999998</v>
      </c>
      <c r="AI31" s="120">
        <f t="shared" si="92"/>
        <v>46736.441040000005</v>
      </c>
      <c r="AJ31" s="121">
        <f t="shared" ref="AJ31:BO31" si="94">+AJ54+AJ70+AJ86+AJ102+AJ118+AJ134+AJ150+AJ166+AJ182</f>
        <v>11813.337</v>
      </c>
      <c r="AK31" s="121">
        <f t="shared" si="94"/>
        <v>12018.937</v>
      </c>
      <c r="AL31" s="121">
        <f t="shared" si="94"/>
        <v>12181.250000000002</v>
      </c>
      <c r="AM31" s="121">
        <f t="shared" si="94"/>
        <v>12365.843863163938</v>
      </c>
      <c r="AN31" s="120">
        <f t="shared" si="94"/>
        <v>48379.367863163941</v>
      </c>
      <c r="AO31" s="121">
        <f t="shared" si="94"/>
        <v>12082.52</v>
      </c>
      <c r="AP31" s="121">
        <f t="shared" si="94"/>
        <v>12351.512999999999</v>
      </c>
      <c r="AQ31" s="121">
        <f t="shared" si="94"/>
        <v>13241.177</v>
      </c>
      <c r="AR31" s="121">
        <f t="shared" si="94"/>
        <v>13654.604705150023</v>
      </c>
      <c r="AS31" s="120">
        <f t="shared" si="94"/>
        <v>51329.814705150027</v>
      </c>
      <c r="AT31" s="121">
        <f t="shared" si="94"/>
        <v>13045.217000000001</v>
      </c>
      <c r="AU31" s="121">
        <f t="shared" si="94"/>
        <v>13330.009</v>
      </c>
      <c r="AV31" s="121">
        <f t="shared" si="94"/>
        <v>14282.164000000001</v>
      </c>
      <c r="AW31" s="121">
        <f t="shared" si="94"/>
        <v>14725.094469774489</v>
      </c>
      <c r="AX31" s="120">
        <f t="shared" si="94"/>
        <v>55382.484469774485</v>
      </c>
      <c r="AY31" s="121">
        <f t="shared" si="94"/>
        <v>13806.200999999999</v>
      </c>
      <c r="AZ31" s="121">
        <f t="shared" si="94"/>
        <v>14129.019000000002</v>
      </c>
      <c r="BA31" s="121">
        <f t="shared" si="94"/>
        <v>15130.544</v>
      </c>
      <c r="BB31" s="121">
        <f t="shared" si="94"/>
        <v>15595.750557716106</v>
      </c>
      <c r="BC31" s="120">
        <f t="shared" si="94"/>
        <v>58661.514557716109</v>
      </c>
      <c r="BD31" s="121">
        <f t="shared" si="94"/>
        <v>14670.984999999999</v>
      </c>
      <c r="BE31" s="121">
        <f t="shared" si="94"/>
        <v>14977.944000000001</v>
      </c>
      <c r="BF31" s="121">
        <f t="shared" si="94"/>
        <v>16032.720000000001</v>
      </c>
      <c r="BG31" s="121">
        <f t="shared" si="94"/>
        <v>16520.187427221292</v>
      </c>
      <c r="BH31" s="120">
        <f t="shared" si="94"/>
        <v>62201.8364272213</v>
      </c>
      <c r="BI31" s="121">
        <f t="shared" si="94"/>
        <v>15288.597</v>
      </c>
      <c r="BJ31" s="121">
        <f t="shared" si="94"/>
        <v>15608.556999999999</v>
      </c>
      <c r="BK31" s="121">
        <f t="shared" si="94"/>
        <v>16705.639000000003</v>
      </c>
      <c r="BL31" s="121">
        <f t="shared" si="94"/>
        <v>17208.967676912333</v>
      </c>
      <c r="BM31" s="120">
        <f t="shared" si="94"/>
        <v>64811.76067691233</v>
      </c>
      <c r="BN31" s="121">
        <f t="shared" si="94"/>
        <v>15918.648999999999</v>
      </c>
      <c r="BO31" s="121">
        <f t="shared" si="94"/>
        <v>16251.854999999998</v>
      </c>
      <c r="BP31" s="121">
        <f t="shared" ref="BP31:CV31" si="95">+BP54+BP70+BP86+BP102+BP118+BP134+BP150+BP166+BP182</f>
        <v>17392.601000000002</v>
      </c>
      <c r="BQ31" s="121">
        <f t="shared" si="95"/>
        <v>17923.906300848401</v>
      </c>
      <c r="BR31" s="120">
        <f t="shared" si="95"/>
        <v>67487.011300848404</v>
      </c>
      <c r="BS31" s="121">
        <f t="shared" si="95"/>
        <v>16560.555</v>
      </c>
      <c r="BT31" s="121">
        <f t="shared" si="95"/>
        <v>16907.238000000001</v>
      </c>
      <c r="BU31" s="121">
        <f t="shared" si="95"/>
        <v>18093.028000000002</v>
      </c>
      <c r="BV31" s="121">
        <f t="shared" si="95"/>
        <v>18646.366238280916</v>
      </c>
      <c r="BW31" s="120">
        <f t="shared" si="95"/>
        <v>70207.187238280923</v>
      </c>
      <c r="BX31" s="121">
        <f t="shared" si="95"/>
        <v>17213.649999999998</v>
      </c>
      <c r="BY31" s="121">
        <f t="shared" si="95"/>
        <v>17574.016</v>
      </c>
      <c r="BZ31" s="121">
        <f t="shared" si="95"/>
        <v>18806.269</v>
      </c>
      <c r="CA31" s="121">
        <f t="shared" si="95"/>
        <v>19381.590419272448</v>
      </c>
      <c r="CB31" s="120">
        <f t="shared" si="95"/>
        <v>72975.525419272453</v>
      </c>
      <c r="CC31" s="121">
        <f t="shared" si="95"/>
        <v>17877.231</v>
      </c>
      <c r="CD31" s="121">
        <f t="shared" si="95"/>
        <v>18251.473000000002</v>
      </c>
      <c r="CE31" s="121">
        <f t="shared" si="95"/>
        <v>19531.628000000004</v>
      </c>
      <c r="CF31" s="121">
        <f t="shared" si="95"/>
        <v>20128.906770312129</v>
      </c>
      <c r="CG31" s="120">
        <f t="shared" si="95"/>
        <v>75789.238770312135</v>
      </c>
      <c r="CH31" s="121">
        <f t="shared" si="95"/>
        <v>18550.551000000003</v>
      </c>
      <c r="CI31" s="121">
        <f t="shared" si="95"/>
        <v>18938.844000000001</v>
      </c>
      <c r="CJ31" s="121">
        <f t="shared" si="95"/>
        <v>20268.367000000002</v>
      </c>
      <c r="CK31" s="121">
        <f t="shared" si="95"/>
        <v>20887.403212784146</v>
      </c>
      <c r="CL31" s="120">
        <f t="shared" si="95"/>
        <v>78645.165212784152</v>
      </c>
      <c r="CM31" s="121">
        <f t="shared" si="95"/>
        <v>19232.831000000006</v>
      </c>
      <c r="CN31" s="121">
        <f t="shared" si="95"/>
        <v>19635.327000000001</v>
      </c>
      <c r="CO31" s="121">
        <f t="shared" si="95"/>
        <v>21015.713</v>
      </c>
      <c r="CP31" s="121">
        <f t="shared" si="95"/>
        <v>21656.266665520241</v>
      </c>
      <c r="CQ31" s="120">
        <f t="shared" si="95"/>
        <v>81540.137665520248</v>
      </c>
      <c r="CR31" s="121">
        <f t="shared" si="95"/>
        <v>19621.204391500003</v>
      </c>
      <c r="CS31" s="121">
        <f t="shared" si="95"/>
        <v>20031.987353699998</v>
      </c>
      <c r="CT31" s="121">
        <f t="shared" si="95"/>
        <v>21440.305821999998</v>
      </c>
      <c r="CU31" s="121">
        <f t="shared" si="95"/>
        <v>22094.072712996167</v>
      </c>
      <c r="CV31" s="120">
        <f t="shared" si="95"/>
        <v>83187.57028019616</v>
      </c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</row>
    <row r="32" spans="1:115" s="14" customFormat="1">
      <c r="A32" s="2" t="s">
        <v>70</v>
      </c>
      <c r="C32" s="18"/>
      <c r="D32" s="18"/>
      <c r="E32" s="97"/>
      <c r="F32" s="83"/>
      <c r="G32" s="83"/>
      <c r="H32" s="110"/>
      <c r="I32" s="99">
        <f t="shared" ref="I32:AM32" si="96">+I31/D31-1</f>
        <v>1.0452999978471631</v>
      </c>
      <c r="J32" s="111">
        <f t="shared" si="96"/>
        <v>5.1057605970309359</v>
      </c>
      <c r="K32" s="110">
        <f t="shared" si="96"/>
        <v>1.3008845164632632E-2</v>
      </c>
      <c r="L32" s="110">
        <f t="shared" si="96"/>
        <v>3.8925401287608352E-3</v>
      </c>
      <c r="M32" s="110">
        <f t="shared" si="96"/>
        <v>2.1381351126085191E-2</v>
      </c>
      <c r="N32" s="110">
        <f t="shared" si="96"/>
        <v>9.9112583472333871E-3</v>
      </c>
      <c r="O32" s="111">
        <f t="shared" si="96"/>
        <v>1.2116201700388851E-2</v>
      </c>
      <c r="P32" s="110">
        <f t="shared" si="96"/>
        <v>4.2084506004120392E-2</v>
      </c>
      <c r="Q32" s="110">
        <f t="shared" si="96"/>
        <v>-2.3002697561997243E-2</v>
      </c>
      <c r="R32" s="110">
        <f t="shared" si="96"/>
        <v>1.4092595711833855E-2</v>
      </c>
      <c r="S32" s="110">
        <f t="shared" si="96"/>
        <v>4.7753796456626141E-2</v>
      </c>
      <c r="T32" s="111">
        <f t="shared" si="96"/>
        <v>1.9997511161976123E-2</v>
      </c>
      <c r="U32" s="110">
        <f t="shared" si="96"/>
        <v>3.4095813467444724E-2</v>
      </c>
      <c r="V32" s="110">
        <f t="shared" si="96"/>
        <v>7.651402221876058E-2</v>
      </c>
      <c r="W32" s="110">
        <f t="shared" si="96"/>
        <v>9.3371418570140197E-2</v>
      </c>
      <c r="X32" s="110">
        <f t="shared" si="96"/>
        <v>9.80391324657921E-2</v>
      </c>
      <c r="Y32" s="111">
        <f t="shared" si="96"/>
        <v>7.652056949469821E-2</v>
      </c>
      <c r="Z32" s="110">
        <f t="shared" si="96"/>
        <v>0.12333939005812944</v>
      </c>
      <c r="AA32" s="110">
        <f t="shared" si="96"/>
        <v>7.376846642229351E-2</v>
      </c>
      <c r="AB32" s="110">
        <f t="shared" si="96"/>
        <v>-9.6581633896175578E-4</v>
      </c>
      <c r="AC32" s="110">
        <f t="shared" si="96"/>
        <v>9.9023207872315222E-3</v>
      </c>
      <c r="AD32" s="111">
        <f t="shared" si="96"/>
        <v>4.8067222716552838E-2</v>
      </c>
      <c r="AE32" s="110">
        <f t="shared" si="96"/>
        <v>-4.9068786605430459E-2</v>
      </c>
      <c r="AF32" s="110">
        <f t="shared" si="96"/>
        <v>-2.9970573786228916E-2</v>
      </c>
      <c r="AG32" s="110">
        <f t="shared" si="96"/>
        <v>-5.4524840565911337E-2</v>
      </c>
      <c r="AH32" s="110">
        <f t="shared" si="96"/>
        <v>-1.4746907564996747E-2</v>
      </c>
      <c r="AI32" s="196">
        <f>+AI31/AD31-1</f>
        <v>-3.6926917525302305E-2</v>
      </c>
      <c r="AJ32" s="110">
        <f t="shared" si="96"/>
        <v>4.7666350534034674E-2</v>
      </c>
      <c r="AK32" s="110">
        <f t="shared" si="96"/>
        <v>4.7487724484620131E-2</v>
      </c>
      <c r="AL32" s="110">
        <f t="shared" si="96"/>
        <v>4.7372175991199139E-2</v>
      </c>
      <c r="AM32" s="110">
        <f t="shared" si="96"/>
        <v>7.7841919709253915E-4</v>
      </c>
      <c r="AN32" s="111">
        <f>+AN31/AI31-1</f>
        <v>3.5153015219062445E-2</v>
      </c>
      <c r="AO32" s="110">
        <f t="shared" ref="AO32:BT32" si="97">+AO31/AJ31-1</f>
        <v>2.2786364259311354E-2</v>
      </c>
      <c r="AP32" s="110">
        <f t="shared" si="97"/>
        <v>2.7670999523501827E-2</v>
      </c>
      <c r="AQ32" s="110">
        <f t="shared" si="97"/>
        <v>8.7012991277578111E-2</v>
      </c>
      <c r="AR32" s="110">
        <f t="shared" si="97"/>
        <v>0.10421940113809103</v>
      </c>
      <c r="AS32" s="111">
        <f>+AS31/AN31-1</f>
        <v>6.0985642688245134E-2</v>
      </c>
      <c r="AT32" s="110">
        <f t="shared" si="97"/>
        <v>7.9676838937572603E-2</v>
      </c>
      <c r="AU32" s="110">
        <f t="shared" si="97"/>
        <v>7.9220740001650025E-2</v>
      </c>
      <c r="AV32" s="110">
        <f t="shared" si="97"/>
        <v>7.8617406896682951E-2</v>
      </c>
      <c r="AW32" s="110">
        <f t="shared" si="97"/>
        <v>7.8397711815173743E-2</v>
      </c>
      <c r="AX32" s="326">
        <f>+AX31/AS31-1</f>
        <v>7.8953524143889897E-2</v>
      </c>
      <c r="AY32" s="110">
        <f t="shared" si="97"/>
        <v>5.8334330505962262E-2</v>
      </c>
      <c r="AZ32" s="110">
        <f t="shared" si="97"/>
        <v>5.9940694713709552E-2</v>
      </c>
      <c r="BA32" s="110">
        <f t="shared" si="97"/>
        <v>5.940136242659011E-2</v>
      </c>
      <c r="BB32" s="110">
        <f t="shared" si="97"/>
        <v>5.912736856994516E-2</v>
      </c>
      <c r="BC32" s="111">
        <f>+BC31/AX31-1</f>
        <v>5.9206987901223362E-2</v>
      </c>
      <c r="BD32" s="110">
        <f t="shared" si="97"/>
        <v>6.2637361284251902E-2</v>
      </c>
      <c r="BE32" s="110">
        <f t="shared" si="97"/>
        <v>6.0083789256706321E-2</v>
      </c>
      <c r="BF32" s="110">
        <f t="shared" si="97"/>
        <v>5.9626144307832085E-2</v>
      </c>
      <c r="BG32" s="110">
        <f t="shared" si="97"/>
        <v>5.9274920183165714E-2</v>
      </c>
      <c r="BH32" s="111">
        <f>+BH31/BC31-1</f>
        <v>6.0351695591185806E-2</v>
      </c>
      <c r="BI32" s="110">
        <f t="shared" si="97"/>
        <v>4.209751424324959E-2</v>
      </c>
      <c r="BJ32" s="110">
        <f t="shared" si="97"/>
        <v>4.2102774586418423E-2</v>
      </c>
      <c r="BK32" s="110">
        <f t="shared" si="97"/>
        <v>4.1971605566616388E-2</v>
      </c>
      <c r="BL32" s="110">
        <f t="shared" si="97"/>
        <v>4.1693246685331031E-2</v>
      </c>
      <c r="BM32" s="111">
        <f t="shared" si="97"/>
        <v>4.1958958120870804E-2</v>
      </c>
      <c r="BN32" s="110">
        <f t="shared" si="97"/>
        <v>4.1210583286353852E-2</v>
      </c>
      <c r="BO32" s="110">
        <f t="shared" si="97"/>
        <v>4.121444410268027E-2</v>
      </c>
      <c r="BP32" s="110">
        <f t="shared" si="97"/>
        <v>4.1121563802497985E-2</v>
      </c>
      <c r="BQ32" s="110">
        <f t="shared" si="97"/>
        <v>4.154453871717334E-2</v>
      </c>
      <c r="BR32" s="111">
        <f t="shared" si="97"/>
        <v>4.1277240364943069E-2</v>
      </c>
      <c r="BS32" s="110">
        <f t="shared" si="97"/>
        <v>4.0324150623586297E-2</v>
      </c>
      <c r="BT32" s="110">
        <f t="shared" si="97"/>
        <v>4.0326658095337642E-2</v>
      </c>
      <c r="BU32" s="110">
        <f t="shared" ref="BU32:CV32" si="98">+BU31/BP31-1</f>
        <v>4.0271549953914354E-2</v>
      </c>
      <c r="BV32" s="110">
        <f t="shared" si="98"/>
        <v>4.0307058366976456E-2</v>
      </c>
      <c r="BW32" s="111">
        <f t="shared" si="98"/>
        <v>4.0306658792553796E-2</v>
      </c>
      <c r="BX32" s="110">
        <f t="shared" si="98"/>
        <v>3.943678216098423E-2</v>
      </c>
      <c r="BY32" s="110">
        <f t="shared" si="98"/>
        <v>3.943742910580661E-2</v>
      </c>
      <c r="BZ32" s="110">
        <f t="shared" si="98"/>
        <v>3.9420764727717161E-2</v>
      </c>
      <c r="CA32" s="110">
        <f t="shared" si="98"/>
        <v>3.9429890606895723E-2</v>
      </c>
      <c r="CB32" s="111">
        <f t="shared" si="98"/>
        <v>3.9430979788378062E-2</v>
      </c>
      <c r="CC32" s="110">
        <f t="shared" si="98"/>
        <v>3.8549697478454714E-2</v>
      </c>
      <c r="CD32" s="110">
        <f t="shared" si="98"/>
        <v>3.8548787027393283E-2</v>
      </c>
      <c r="CE32" s="110">
        <f t="shared" si="98"/>
        <v>3.8570064056831388E-2</v>
      </c>
      <c r="CF32" s="110">
        <f t="shared" si="98"/>
        <v>3.8558050958324541E-2</v>
      </c>
      <c r="CG32" s="111">
        <f t="shared" si="98"/>
        <v>3.8556945426207134E-2</v>
      </c>
      <c r="CH32" s="110">
        <f t="shared" si="98"/>
        <v>3.7663550915687294E-2</v>
      </c>
      <c r="CI32" s="110">
        <f t="shared" si="98"/>
        <v>3.7661124666485746E-2</v>
      </c>
      <c r="CJ32" s="110">
        <f t="shared" si="98"/>
        <v>3.7720306776270585E-2</v>
      </c>
      <c r="CK32" s="110">
        <f t="shared" si="98"/>
        <v>3.7681949205046417E-2</v>
      </c>
      <c r="CL32" s="111">
        <f t="shared" si="98"/>
        <v>3.7682479581662376E-2</v>
      </c>
      <c r="CM32" s="110">
        <f t="shared" si="98"/>
        <v>3.6779500511871621E-2</v>
      </c>
      <c r="CN32" s="110">
        <f t="shared" si="98"/>
        <v>3.6775370239070515E-2</v>
      </c>
      <c r="CO32" s="110">
        <f t="shared" si="98"/>
        <v>3.6872531467384562E-2</v>
      </c>
      <c r="CP32" s="110">
        <f t="shared" si="98"/>
        <v>3.6809910973783166E-2</v>
      </c>
      <c r="CQ32" s="111">
        <f t="shared" si="98"/>
        <v>3.6810558473663324E-2</v>
      </c>
      <c r="CR32" s="110">
        <f t="shared" si="98"/>
        <v>2.0193251399130752E-2</v>
      </c>
      <c r="CS32" s="110">
        <f t="shared" si="98"/>
        <v>2.0201362253859934E-2</v>
      </c>
      <c r="CT32" s="110">
        <f t="shared" si="98"/>
        <v>2.0203588714786891E-2</v>
      </c>
      <c r="CU32" s="110">
        <f t="shared" si="98"/>
        <v>2.0216136707116528E-2</v>
      </c>
      <c r="CV32" s="111">
        <f t="shared" si="98"/>
        <v>2.0203946937564998E-2</v>
      </c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</row>
    <row r="33" spans="1:115" s="14" customFormat="1">
      <c r="A33" s="2" t="s">
        <v>76</v>
      </c>
      <c r="C33" s="18"/>
      <c r="D33" s="18"/>
      <c r="E33" s="118"/>
      <c r="F33" s="119"/>
      <c r="G33" s="119"/>
      <c r="H33" s="119"/>
      <c r="I33" s="119"/>
      <c r="J33" s="118">
        <f t="shared" ref="J33:AO33" si="99">+J32/(J$4/100)</f>
        <v>67.773045080045407</v>
      </c>
      <c r="K33" s="119">
        <f t="shared" si="99"/>
        <v>0.30712719376908965</v>
      </c>
      <c r="L33" s="119">
        <f t="shared" si="99"/>
        <v>0.11744476991547463</v>
      </c>
      <c r="M33" s="119">
        <f t="shared" si="99"/>
        <v>1.0076196850328087</v>
      </c>
      <c r="N33" s="119">
        <f t="shared" si="99"/>
        <v>0.72532390632027077</v>
      </c>
      <c r="O33" s="118">
        <f t="shared" si="99"/>
        <v>0.44340935827921202</v>
      </c>
      <c r="P33" s="119">
        <f t="shared" si="99"/>
        <v>5.5908196281405562</v>
      </c>
      <c r="Q33" s="119">
        <f t="shared" si="99"/>
        <v>-4.6965757747208272</v>
      </c>
      <c r="R33" s="119">
        <f t="shared" si="99"/>
        <v>2.3487659519723092</v>
      </c>
      <c r="S33" s="119">
        <f t="shared" si="99"/>
        <v>1.6187727612415641</v>
      </c>
      <c r="T33" s="118">
        <f t="shared" si="99"/>
        <v>1.9997511161976123</v>
      </c>
      <c r="U33" s="119">
        <f t="shared" si="99"/>
        <v>1.2596978654234605</v>
      </c>
      <c r="V33" s="119">
        <f t="shared" si="99"/>
        <v>2.3186067339018357</v>
      </c>
      <c r="W33" s="119">
        <f t="shared" si="99"/>
        <v>2.4323950277541373</v>
      </c>
      <c r="X33" s="119">
        <f t="shared" si="99"/>
        <v>2.8239510897343081</v>
      </c>
      <c r="Y33" s="118">
        <f t="shared" si="99"/>
        <v>2.3188051362029758</v>
      </c>
      <c r="Z33" s="119">
        <f t="shared" si="99"/>
        <v>6.1669695029064719</v>
      </c>
      <c r="AA33" s="119">
        <f t="shared" si="99"/>
        <v>3.6884233211146755</v>
      </c>
      <c r="AB33" s="119">
        <f t="shared" si="99"/>
        <v>-4.8290816948087789E-2</v>
      </c>
      <c r="AC33" s="119">
        <f t="shared" si="99"/>
        <v>0.49511603936157611</v>
      </c>
      <c r="AD33" s="118">
        <f t="shared" si="99"/>
        <v>33.245213919671322</v>
      </c>
      <c r="AE33" s="119">
        <f t="shared" si="99"/>
        <v>1.5828640840461439</v>
      </c>
      <c r="AF33" s="119">
        <f t="shared" si="99"/>
        <v>0.96679270278157792</v>
      </c>
      <c r="AG33" s="119">
        <f t="shared" si="99"/>
        <v>1.7588658247068174</v>
      </c>
      <c r="AH33" s="119">
        <f t="shared" si="99"/>
        <v>0.47570669564505635</v>
      </c>
      <c r="AI33" s="118">
        <f t="shared" si="99"/>
        <v>1.1911908879129776</v>
      </c>
      <c r="AJ33" s="119">
        <f t="shared" si="99"/>
        <v>-2.3833175267017337</v>
      </c>
      <c r="AK33" s="119">
        <f t="shared" si="99"/>
        <v>-2.3743862242310065</v>
      </c>
      <c r="AL33" s="119">
        <f t="shared" si="99"/>
        <v>-2.368608799559957</v>
      </c>
      <c r="AM33" s="119">
        <f t="shared" si="99"/>
        <v>-3.8920959854626958E-2</v>
      </c>
      <c r="AN33" s="118">
        <f t="shared" si="99"/>
        <v>-1.7576507609531222</v>
      </c>
      <c r="AO33" s="119">
        <f t="shared" si="99"/>
        <v>2.2786364259311354</v>
      </c>
      <c r="AP33" s="119">
        <f t="shared" ref="AP33:BU33" si="100">+AP32/(AP$4/100)</f>
        <v>2.7670999523501827</v>
      </c>
      <c r="AQ33" s="119">
        <f t="shared" si="100"/>
        <v>8.7012991277578102</v>
      </c>
      <c r="AR33" s="119">
        <f t="shared" si="100"/>
        <v>10.421940113809102</v>
      </c>
      <c r="AS33" s="118">
        <f t="shared" si="100"/>
        <v>6.0985642688245134</v>
      </c>
      <c r="AT33" s="119">
        <f t="shared" si="100"/>
        <v>3.9838419468786301</v>
      </c>
      <c r="AU33" s="119">
        <f t="shared" si="100"/>
        <v>3.9610370000825013</v>
      </c>
      <c r="AV33" s="119">
        <f t="shared" si="100"/>
        <v>3.9308703448341475</v>
      </c>
      <c r="AW33" s="119">
        <f t="shared" si="100"/>
        <v>3.9198855907586871</v>
      </c>
      <c r="AX33" s="118">
        <f t="shared" si="100"/>
        <v>3.9476762071944949</v>
      </c>
      <c r="AY33" s="119">
        <f t="shared" si="100"/>
        <v>2.9167165252981131</v>
      </c>
      <c r="AZ33" s="119">
        <f t="shared" si="100"/>
        <v>2.9970347356854776</v>
      </c>
      <c r="BA33" s="119">
        <f t="shared" si="100"/>
        <v>2.9700681213295055</v>
      </c>
      <c r="BB33" s="119">
        <f t="shared" si="100"/>
        <v>2.956368428497258</v>
      </c>
      <c r="BC33" s="118">
        <f t="shared" si="100"/>
        <v>2.9603493950611681</v>
      </c>
      <c r="BD33" s="119">
        <f t="shared" si="100"/>
        <v>3.1318680642125951</v>
      </c>
      <c r="BE33" s="119">
        <f t="shared" si="100"/>
        <v>3.0041894628353161</v>
      </c>
      <c r="BF33" s="119">
        <f t="shared" si="100"/>
        <v>2.9813072153916043</v>
      </c>
      <c r="BG33" s="119">
        <f t="shared" si="100"/>
        <v>2.9637460091582857</v>
      </c>
      <c r="BH33" s="118">
        <f t="shared" si="100"/>
        <v>3.0175847795592903</v>
      </c>
      <c r="BI33" s="119">
        <f t="shared" si="100"/>
        <v>2.1048757121624795</v>
      </c>
      <c r="BJ33" s="119">
        <f t="shared" si="100"/>
        <v>2.1051387293209212</v>
      </c>
      <c r="BK33" s="119">
        <f t="shared" si="100"/>
        <v>2.0985802783308194</v>
      </c>
      <c r="BL33" s="119">
        <f t="shared" si="100"/>
        <v>2.0846623342665516</v>
      </c>
      <c r="BM33" s="118">
        <f t="shared" si="100"/>
        <v>2.0979479060435402</v>
      </c>
      <c r="BN33" s="119">
        <f t="shared" si="100"/>
        <v>2.0605291643176926</v>
      </c>
      <c r="BO33" s="119">
        <f t="shared" si="100"/>
        <v>2.0607222051340135</v>
      </c>
      <c r="BP33" s="119">
        <f t="shared" si="100"/>
        <v>2.0560781901248992</v>
      </c>
      <c r="BQ33" s="119">
        <f t="shared" si="100"/>
        <v>2.077226935858667</v>
      </c>
      <c r="BR33" s="118">
        <f t="shared" si="100"/>
        <v>2.0638620182471534</v>
      </c>
      <c r="BS33" s="119">
        <f t="shared" si="100"/>
        <v>2.0162075311793148</v>
      </c>
      <c r="BT33" s="119">
        <f t="shared" si="100"/>
        <v>2.0163329047668821</v>
      </c>
      <c r="BU33" s="119">
        <f t="shared" si="100"/>
        <v>2.0135774976957177</v>
      </c>
      <c r="BV33" s="119">
        <f t="shared" ref="BV33:CV33" si="101">+BV32/(BV$4/100)</f>
        <v>2.0153529183488228</v>
      </c>
      <c r="BW33" s="118">
        <f t="shared" si="101"/>
        <v>2.0153329396276898</v>
      </c>
      <c r="BX33" s="119">
        <f t="shared" si="101"/>
        <v>1.9718391080492115</v>
      </c>
      <c r="BY33" s="119">
        <f t="shared" si="101"/>
        <v>1.9718714552903305</v>
      </c>
      <c r="BZ33" s="119">
        <f t="shared" si="101"/>
        <v>1.9710382363858581</v>
      </c>
      <c r="CA33" s="119">
        <f t="shared" si="101"/>
        <v>1.9714945303447862</v>
      </c>
      <c r="CB33" s="118">
        <f t="shared" si="101"/>
        <v>1.9715489894189031</v>
      </c>
      <c r="CC33" s="119">
        <f t="shared" si="101"/>
        <v>1.9274848739227357</v>
      </c>
      <c r="CD33" s="119">
        <f t="shared" si="101"/>
        <v>1.9274393513696642</v>
      </c>
      <c r="CE33" s="119">
        <f t="shared" si="101"/>
        <v>1.9285032028415694</v>
      </c>
      <c r="CF33" s="119">
        <f t="shared" si="101"/>
        <v>1.9279025479162271</v>
      </c>
      <c r="CG33" s="118">
        <f t="shared" si="101"/>
        <v>1.9278472713103567</v>
      </c>
      <c r="CH33" s="119">
        <f t="shared" si="101"/>
        <v>1.8831775457843647</v>
      </c>
      <c r="CI33" s="119">
        <f t="shared" si="101"/>
        <v>1.8830562333242873</v>
      </c>
      <c r="CJ33" s="119">
        <f t="shared" si="101"/>
        <v>1.8860153388135292</v>
      </c>
      <c r="CK33" s="119">
        <f t="shared" si="101"/>
        <v>1.8840974602523208</v>
      </c>
      <c r="CL33" s="118">
        <f t="shared" si="101"/>
        <v>1.8841239790831188</v>
      </c>
      <c r="CM33" s="119">
        <f t="shared" si="101"/>
        <v>1.8389750255935811</v>
      </c>
      <c r="CN33" s="119">
        <f t="shared" si="101"/>
        <v>1.8387685119535258</v>
      </c>
      <c r="CO33" s="119">
        <f t="shared" si="101"/>
        <v>1.8436265733692281</v>
      </c>
      <c r="CP33" s="119">
        <f t="shared" si="101"/>
        <v>1.8404955486891583</v>
      </c>
      <c r="CQ33" s="118">
        <f t="shared" si="101"/>
        <v>1.8405279236831662</v>
      </c>
      <c r="CR33" s="119">
        <f t="shared" si="101"/>
        <v>1.0096625699565376</v>
      </c>
      <c r="CS33" s="119">
        <f t="shared" si="101"/>
        <v>1.0100681126929967</v>
      </c>
      <c r="CT33" s="119">
        <f t="shared" si="101"/>
        <v>1.0101794357393445</v>
      </c>
      <c r="CU33" s="119">
        <f t="shared" si="101"/>
        <v>1.0108068353558264</v>
      </c>
      <c r="CV33" s="118">
        <f t="shared" si="101"/>
        <v>1.0101973468782499</v>
      </c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</row>
    <row r="34" spans="1:115" s="15" customFormat="1">
      <c r="A34" s="2"/>
      <c r="C34" s="18"/>
      <c r="D34" s="18"/>
      <c r="E34" s="100"/>
      <c r="F34" s="83"/>
      <c r="G34" s="83"/>
      <c r="H34" s="83"/>
      <c r="I34" s="83"/>
      <c r="J34" s="100"/>
      <c r="K34" s="83"/>
      <c r="L34" s="83"/>
      <c r="M34" s="83"/>
      <c r="N34" s="83"/>
      <c r="O34" s="100"/>
      <c r="P34" s="83"/>
      <c r="Q34" s="83"/>
      <c r="R34" s="83"/>
      <c r="S34" s="83"/>
      <c r="T34" s="100"/>
      <c r="U34" s="122"/>
      <c r="V34" s="330"/>
      <c r="W34" s="330"/>
      <c r="X34" s="123"/>
      <c r="Y34" s="100"/>
      <c r="Z34" s="83"/>
      <c r="AA34" s="83"/>
      <c r="AB34" s="83"/>
      <c r="AC34" s="83"/>
      <c r="AD34" s="100"/>
      <c r="AE34" s="83"/>
      <c r="AF34" s="83"/>
      <c r="AG34" s="83"/>
      <c r="AH34" s="83"/>
      <c r="AI34" s="100"/>
      <c r="AJ34" s="83"/>
      <c r="AK34" s="83"/>
      <c r="AL34" s="83"/>
      <c r="AM34" s="83"/>
      <c r="AN34" s="100"/>
      <c r="AO34" s="83"/>
      <c r="AP34" s="83"/>
      <c r="AQ34" s="83"/>
      <c r="AR34" s="83"/>
      <c r="AS34" s="100"/>
      <c r="AT34" s="83"/>
      <c r="AU34" s="83"/>
      <c r="AV34" s="83"/>
      <c r="AW34" s="83"/>
      <c r="AX34" s="100"/>
      <c r="AY34" s="83"/>
      <c r="AZ34" s="83"/>
      <c r="BA34" s="83"/>
      <c r="BB34" s="83"/>
      <c r="BC34" s="100"/>
      <c r="BD34" s="83"/>
      <c r="BE34" s="83"/>
      <c r="BF34" s="83"/>
      <c r="BG34" s="83"/>
      <c r="BH34" s="100"/>
      <c r="BI34" s="83"/>
      <c r="BJ34" s="83"/>
      <c r="BK34" s="83"/>
      <c r="BL34" s="83"/>
      <c r="BM34" s="100"/>
      <c r="BN34" s="83"/>
      <c r="BO34" s="83"/>
      <c r="BP34" s="83"/>
      <c r="BQ34" s="83"/>
      <c r="BR34" s="100"/>
      <c r="BS34" s="83"/>
      <c r="BT34" s="83"/>
      <c r="BU34" s="83"/>
      <c r="BV34" s="83"/>
      <c r="BW34" s="100"/>
      <c r="BX34" s="83"/>
      <c r="BY34" s="83"/>
      <c r="BZ34" s="83"/>
      <c r="CA34" s="83"/>
      <c r="CB34" s="100"/>
      <c r="CC34" s="83"/>
      <c r="CD34" s="83"/>
      <c r="CE34" s="83"/>
      <c r="CF34" s="83"/>
      <c r="CG34" s="100"/>
      <c r="CH34" s="83"/>
      <c r="CI34" s="83"/>
      <c r="CJ34" s="83"/>
      <c r="CK34" s="83"/>
      <c r="CL34" s="100"/>
      <c r="CM34" s="83"/>
      <c r="CN34" s="83"/>
      <c r="CO34" s="83"/>
      <c r="CP34" s="83"/>
      <c r="CQ34" s="100"/>
      <c r="CR34" s="83"/>
      <c r="CS34" s="83"/>
      <c r="CT34" s="83"/>
      <c r="CU34" s="83"/>
      <c r="CV34" s="100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</row>
    <row r="35" spans="1:115" s="10" customFormat="1">
      <c r="A35" s="144" t="s">
        <v>88</v>
      </c>
      <c r="B35" s="82"/>
      <c r="C35" s="82"/>
      <c r="D35" s="82"/>
      <c r="E35" s="124"/>
      <c r="F35" s="125"/>
      <c r="G35" s="125"/>
      <c r="H35" s="125"/>
      <c r="I35" s="125"/>
      <c r="J35" s="124">
        <f>+'Dados Financeiros'!B40</f>
        <v>147.1</v>
      </c>
      <c r="K35" s="125">
        <f>+'Dados Financeiros'!C40</f>
        <v>35.299999999999997</v>
      </c>
      <c r="L35" s="125">
        <f>+'Dados Financeiros'!D40</f>
        <v>37.700000000000003</v>
      </c>
      <c r="M35" s="125">
        <f>+'Dados Financeiros'!E40</f>
        <v>43.36</v>
      </c>
      <c r="N35" s="125">
        <f>+'Dados Financeiros'!F40</f>
        <v>42.320000000000007</v>
      </c>
      <c r="O35" s="124">
        <f>+'Dados Financeiros'!G40</f>
        <v>158.68</v>
      </c>
      <c r="P35" s="125">
        <f>+'Dados Financeiros'!H40</f>
        <v>40</v>
      </c>
      <c r="Q35" s="125">
        <f>+'Dados Financeiros'!I40</f>
        <v>39.799999999999997</v>
      </c>
      <c r="R35" s="125">
        <f>+'Dados Financeiros'!J40</f>
        <v>46.2</v>
      </c>
      <c r="S35" s="125">
        <f>+'Dados Financeiros'!K40</f>
        <v>46.400000000000006</v>
      </c>
      <c r="T35" s="124">
        <f>+'Dados Financeiros'!L40</f>
        <v>172.4</v>
      </c>
      <c r="U35" s="125">
        <f>+'Dados Financeiros'!M40</f>
        <v>43.39</v>
      </c>
      <c r="V35" s="125">
        <f>+'Dados Financeiros'!N40</f>
        <v>44.1</v>
      </c>
      <c r="W35" s="125">
        <f>+'Dados Financeiros'!O40</f>
        <v>51.470000000000013</v>
      </c>
      <c r="X35" s="125">
        <f>+'Dados Financeiros'!P40</f>
        <v>47.14</v>
      </c>
      <c r="Y35" s="124">
        <f>+'Dados Financeiros'!Q40</f>
        <v>186.10000000000002</v>
      </c>
      <c r="Z35" s="125">
        <f>+'Dados Financeiros'!R40</f>
        <v>48.4</v>
      </c>
      <c r="AA35" s="125">
        <f>+'Dados Financeiros'!S40</f>
        <v>48.838000000000001</v>
      </c>
      <c r="AB35" s="125">
        <f>+'Dados Financeiros'!T40</f>
        <v>52.820999999999998</v>
      </c>
      <c r="AC35" s="125">
        <f>+'Dados Financeiros'!U40</f>
        <v>53.393000000000001</v>
      </c>
      <c r="AD35" s="124">
        <f>+'Dados Financeiros'!V40</f>
        <v>203.452</v>
      </c>
      <c r="AE35" s="125">
        <f>+'Dados Financeiros'!W40</f>
        <v>48.390999999999998</v>
      </c>
      <c r="AF35" s="125">
        <f>+'Dados Financeiros'!X40</f>
        <v>49.24</v>
      </c>
      <c r="AG35" s="125">
        <f>+'Dados Financeiros'!Y40</f>
        <v>54.327999999999996</v>
      </c>
      <c r="AH35" s="296">
        <f>+AH58+AH74+AH90+AH106+AH122+AH138+AH154+AH170+AH186</f>
        <v>59.378381271575677</v>
      </c>
      <c r="AI35" s="297">
        <f>SUM(AE35:AH35)</f>
        <v>211.33738127157568</v>
      </c>
      <c r="AJ35" s="296">
        <f>+AJ58+AJ74+AJ90+AJ106+AJ122+AJ138+AJ154+AJ170+AJ186</f>
        <v>57.934413325693129</v>
      </c>
      <c r="AK35" s="296">
        <f>+AK58+AK74+AK90+AK106+AK122+AK138+AK154+AK170+AK186</f>
        <v>59.932717862872437</v>
      </c>
      <c r="AL35" s="296">
        <f>+AL58+AL74+AL90+AL106+AL122+AL138+AL154+AL170+AL186</f>
        <v>64.665051816206869</v>
      </c>
      <c r="AM35" s="296">
        <f>+AM58+AM74+AM90+AM106+AM122+AM138+AM154+AM170+AM186</f>
        <v>65.658186157871938</v>
      </c>
      <c r="AN35" s="297">
        <f>+AN58+AN74+AN90+AN106+AN122+AN138+AN154+AN170+AN186</f>
        <v>248.1903691626444</v>
      </c>
      <c r="AO35" s="296">
        <f t="shared" ref="AO35:BJ35" si="102">+AO58+AO74+AO90+AO106+AO122+AO138+AO154+AO170+AO186</f>
        <v>64.074812259282254</v>
      </c>
      <c r="AP35" s="296">
        <f t="shared" si="102"/>
        <v>65.962554125829158</v>
      </c>
      <c r="AQ35" s="296">
        <f t="shared" si="102"/>
        <v>74.268978576206464</v>
      </c>
      <c r="AR35" s="296">
        <f t="shared" si="102"/>
        <v>76.612637720842898</v>
      </c>
      <c r="AS35" s="297">
        <f t="shared" si="102"/>
        <v>280.91898268216079</v>
      </c>
      <c r="AT35" s="296">
        <f t="shared" si="102"/>
        <v>73.103184588317745</v>
      </c>
      <c r="AU35" s="296">
        <f t="shared" si="102"/>
        <v>76.695968764939096</v>
      </c>
      <c r="AV35" s="296">
        <f t="shared" si="102"/>
        <v>86.301941307469335</v>
      </c>
      <c r="AW35" s="296">
        <f t="shared" si="102"/>
        <v>88.925364829549721</v>
      </c>
      <c r="AX35" s="297">
        <f t="shared" si="102"/>
        <v>325.0264594902759</v>
      </c>
      <c r="AY35" s="296">
        <f t="shared" si="102"/>
        <v>83.473365382615754</v>
      </c>
      <c r="AZ35" s="296">
        <f t="shared" si="102"/>
        <v>85.322716809567595</v>
      </c>
      <c r="BA35" s="296">
        <f t="shared" si="102"/>
        <v>95.501922920574444</v>
      </c>
      <c r="BB35" s="296">
        <f t="shared" si="102"/>
        <v>98.386582499562152</v>
      </c>
      <c r="BC35" s="297">
        <f t="shared" si="102"/>
        <v>362.68458761232</v>
      </c>
      <c r="BD35" s="296">
        <f t="shared" si="102"/>
        <v>92.707956470589409</v>
      </c>
      <c r="BE35" s="296">
        <f t="shared" si="102"/>
        <v>94.478106420684838</v>
      </c>
      <c r="BF35" s="296">
        <f t="shared" si="102"/>
        <v>105.70223272153669</v>
      </c>
      <c r="BG35" s="296">
        <f t="shared" si="102"/>
        <v>108.8668866565157</v>
      </c>
      <c r="BH35" s="297">
        <f t="shared" si="102"/>
        <v>401.75518226932667</v>
      </c>
      <c r="BI35" s="296">
        <f t="shared" si="102"/>
        <v>100.9599254203147</v>
      </c>
      <c r="BJ35" s="296">
        <f t="shared" si="102"/>
        <v>102.88845959531798</v>
      </c>
      <c r="BK35" s="296">
        <f t="shared" ref="BK35:CP35" si="103">+BK58+BK74+BK90+BK106+BK122+BK138+BK154+BK170+BK186</f>
        <v>115.09721975844818</v>
      </c>
      <c r="BL35" s="296">
        <f t="shared" si="103"/>
        <v>118.52082706129154</v>
      </c>
      <c r="BM35" s="297">
        <f t="shared" si="103"/>
        <v>437.46643183537242</v>
      </c>
      <c r="BN35" s="296">
        <f t="shared" si="103"/>
        <v>109.85228812834346</v>
      </c>
      <c r="BO35" s="296">
        <f t="shared" si="103"/>
        <v>111.95133229309388</v>
      </c>
      <c r="BP35" s="296">
        <f t="shared" si="103"/>
        <v>125.22429567766163</v>
      </c>
      <c r="BQ35" s="296">
        <f t="shared" si="103"/>
        <v>128.99139716543544</v>
      </c>
      <c r="BR35" s="297">
        <f t="shared" si="103"/>
        <v>476.01931326453445</v>
      </c>
      <c r="BS35" s="296">
        <f t="shared" si="103"/>
        <v>119.42552486377249</v>
      </c>
      <c r="BT35" s="296">
        <f t="shared" si="103"/>
        <v>121.85826032344862</v>
      </c>
      <c r="BU35" s="296">
        <f t="shared" si="103"/>
        <v>136.29408255134732</v>
      </c>
      <c r="BV35" s="296">
        <f t="shared" si="103"/>
        <v>140.39320793938836</v>
      </c>
      <c r="BW35" s="297">
        <f t="shared" si="103"/>
        <v>517.97107567795683</v>
      </c>
      <c r="BX35" s="296">
        <f t="shared" si="103"/>
        <v>129.87616483948773</v>
      </c>
      <c r="BY35" s="296">
        <f t="shared" si="103"/>
        <v>132.36425414026198</v>
      </c>
      <c r="BZ35" s="296">
        <f t="shared" si="103"/>
        <v>148.04228180031527</v>
      </c>
      <c r="CA35" s="296">
        <f t="shared" si="103"/>
        <v>152.49604451594939</v>
      </c>
      <c r="CB35" s="297">
        <f t="shared" si="103"/>
        <v>562.77874529601434</v>
      </c>
      <c r="CC35" s="296">
        <f t="shared" si="103"/>
        <v>140.95219204390673</v>
      </c>
      <c r="CD35" s="296">
        <f t="shared" si="103"/>
        <v>143.65227816725087</v>
      </c>
      <c r="CE35" s="296">
        <f t="shared" si="103"/>
        <v>160.67062365690381</v>
      </c>
      <c r="CF35" s="296">
        <f t="shared" si="103"/>
        <v>165.50242458536906</v>
      </c>
      <c r="CG35" s="297">
        <f t="shared" si="103"/>
        <v>610.7775184534305</v>
      </c>
      <c r="CH35" s="296">
        <f>+CH58+CH74+CH90+CH106+CH122+CH138+CH154+CH170+CH186</f>
        <v>152.84152444991952</v>
      </c>
      <c r="CI35" s="296">
        <f>+CI58+CI74+CI90+CI106+CI122+CI138+CI154+CI170+CI186</f>
        <v>155.76879879601415</v>
      </c>
      <c r="CJ35" s="296">
        <f>+CJ58+CJ74+CJ90+CJ106+CJ122+CJ138+CJ154+CJ170+CJ186</f>
        <v>174.23253319910535</v>
      </c>
      <c r="CK35" s="296">
        <f>+CK58+CK74+CK90+CK106+CK122+CK138+CK154+CK170+CK186</f>
        <v>179.46551857227647</v>
      </c>
      <c r="CL35" s="297">
        <f t="shared" si="103"/>
        <v>662.30837501731548</v>
      </c>
      <c r="CM35" s="296">
        <f t="shared" si="103"/>
        <v>165.59170589582686</v>
      </c>
      <c r="CN35" s="296">
        <f t="shared" si="103"/>
        <v>168.76215662322227</v>
      </c>
      <c r="CO35" s="296">
        <f t="shared" si="103"/>
        <v>188.78374654616309</v>
      </c>
      <c r="CP35" s="296">
        <f t="shared" si="103"/>
        <v>194.44199742357154</v>
      </c>
      <c r="CQ35" s="297">
        <f t="shared" ref="CQ35:CV35" si="104">+CQ58+CQ74+CQ90+CQ106+CQ122+CQ138+CQ154+CQ170+CQ186</f>
        <v>717.57960648878384</v>
      </c>
      <c r="CR35" s="296">
        <f t="shared" si="104"/>
        <v>176.5347614243106</v>
      </c>
      <c r="CS35" s="296">
        <f t="shared" si="104"/>
        <v>179.91544234660785</v>
      </c>
      <c r="CT35" s="296">
        <f t="shared" si="104"/>
        <v>201.26087275445207</v>
      </c>
      <c r="CU35" s="296">
        <f t="shared" si="104"/>
        <v>207.29603902376959</v>
      </c>
      <c r="CV35" s="297">
        <f t="shared" si="104"/>
        <v>765.00711554914005</v>
      </c>
    </row>
    <row r="36" spans="1:115" s="8" customFormat="1">
      <c r="A36" s="145" t="s">
        <v>89</v>
      </c>
      <c r="B36" s="69"/>
      <c r="C36" s="69"/>
      <c r="D36" s="69"/>
      <c r="E36" s="126"/>
      <c r="F36" s="127"/>
      <c r="G36" s="127"/>
      <c r="H36" s="127"/>
      <c r="I36" s="127"/>
      <c r="J36" s="126"/>
      <c r="K36" s="127"/>
      <c r="L36" s="127"/>
      <c r="M36" s="127"/>
      <c r="N36" s="127"/>
      <c r="O36" s="126">
        <f t="shared" ref="O36:AC36" si="105">+O35/J35-1</f>
        <v>7.8721957851801694E-2</v>
      </c>
      <c r="P36" s="127">
        <f t="shared" si="105"/>
        <v>0.13314447592067991</v>
      </c>
      <c r="Q36" s="127">
        <f t="shared" si="105"/>
        <v>5.5702917771883076E-2</v>
      </c>
      <c r="R36" s="127">
        <f t="shared" si="105"/>
        <v>6.5498154981549872E-2</v>
      </c>
      <c r="S36" s="127">
        <f t="shared" si="105"/>
        <v>9.6408317580340297E-2</v>
      </c>
      <c r="T36" s="126">
        <f t="shared" si="105"/>
        <v>8.6463322409881416E-2</v>
      </c>
      <c r="U36" s="127">
        <f t="shared" si="105"/>
        <v>8.4750000000000103E-2</v>
      </c>
      <c r="V36" s="127">
        <f t="shared" si="105"/>
        <v>0.1080402010050252</v>
      </c>
      <c r="W36" s="127">
        <f t="shared" si="105"/>
        <v>0.11406926406926421</v>
      </c>
      <c r="X36" s="127">
        <f t="shared" si="105"/>
        <v>1.5948275862068817E-2</v>
      </c>
      <c r="Y36" s="126">
        <f t="shared" si="105"/>
        <v>7.9466357308584756E-2</v>
      </c>
      <c r="Z36" s="127">
        <f t="shared" si="105"/>
        <v>0.11546439271721587</v>
      </c>
      <c r="AA36" s="127">
        <f t="shared" si="105"/>
        <v>0.10743764172335601</v>
      </c>
      <c r="AB36" s="127">
        <f t="shared" si="105"/>
        <v>2.6248299980570877E-2</v>
      </c>
      <c r="AC36" s="127">
        <f t="shared" si="105"/>
        <v>0.13264743317776828</v>
      </c>
      <c r="AD36" s="126">
        <f>+AD35/Y35-1</f>
        <v>9.32401934443845E-2</v>
      </c>
      <c r="AE36" s="127">
        <f>+AE35/Z35-1</f>
        <v>-1.8595041322311268E-4</v>
      </c>
      <c r="AF36" s="127">
        <f>+AF35/AA35-1</f>
        <v>8.2312953028380598E-3</v>
      </c>
      <c r="AG36" s="127">
        <f>+AG35/AB35-1</f>
        <v>2.8530319380549285E-2</v>
      </c>
      <c r="AH36" s="127">
        <f t="shared" ref="AH36" si="106">+AH35/AC35-1</f>
        <v>0.1121004864228583</v>
      </c>
      <c r="AI36" s="189">
        <f>+AI35/AD35-1</f>
        <v>3.8757944240290998E-2</v>
      </c>
      <c r="AJ36" s="127">
        <f t="shared" ref="AJ36" si="107">+AJ35/AE35-1</f>
        <v>0.19721463341722911</v>
      </c>
      <c r="AK36" s="127">
        <f t="shared" ref="AK36" si="108">+AK35/AF35-1</f>
        <v>0.21715511500553286</v>
      </c>
      <c r="AL36" s="127">
        <f t="shared" ref="AL36" si="109">+AL35/AG35-1</f>
        <v>0.19027116433895741</v>
      </c>
      <c r="AM36" s="127">
        <f t="shared" ref="AM36" si="110">+AM35/AH35-1</f>
        <v>0.1057591121855388</v>
      </c>
      <c r="AN36" s="126">
        <f>+AN35/AI35-1</f>
        <v>0.1743798833378718</v>
      </c>
      <c r="AO36" s="127">
        <f t="shared" ref="AO36" si="111">+AO35/AJ35-1</f>
        <v>0.1059887997668898</v>
      </c>
      <c r="AP36" s="127">
        <f t="shared" ref="AP36" si="112">+AP35/AK35-1</f>
        <v>0.1006100920828108</v>
      </c>
      <c r="AQ36" s="127">
        <f t="shared" ref="AQ36" si="113">+AQ35/AL35-1</f>
        <v>0.14851804011997372</v>
      </c>
      <c r="AR36" s="127">
        <f t="shared" ref="AR36" si="114">+AR35/AM35-1</f>
        <v>0.16684060593193228</v>
      </c>
      <c r="AS36" s="126">
        <f>+AS35/AN35-1</f>
        <v>0.13186899084737913</v>
      </c>
      <c r="AT36" s="127">
        <f t="shared" ref="AT36" si="115">+AT35/AO35-1</f>
        <v>0.14090360955724202</v>
      </c>
      <c r="AU36" s="127">
        <f t="shared" ref="AU36" si="116">+AU35/AP35-1</f>
        <v>0.16271981552798942</v>
      </c>
      <c r="AV36" s="127">
        <f t="shared" ref="AV36" si="117">+AV35/AQ35-1</f>
        <v>0.16201869154449189</v>
      </c>
      <c r="AW36" s="127">
        <f t="shared" ref="AW36" si="118">+AW35/AR35-1</f>
        <v>0.16071404764278308</v>
      </c>
      <c r="AX36" s="126">
        <f>+AX35/AS35-1</f>
        <v>0.15701137882169913</v>
      </c>
      <c r="AY36" s="127">
        <f t="shared" ref="AY36" si="119">+AY35/AT35-1</f>
        <v>0.1418567583983914</v>
      </c>
      <c r="AZ36" s="127">
        <f t="shared" ref="AZ36" si="120">+AZ35/AU35-1</f>
        <v>0.11247981065430057</v>
      </c>
      <c r="BA36" s="127">
        <f t="shared" ref="BA36" si="121">+BA35/AV35-1</f>
        <v>0.10660225568192239</v>
      </c>
      <c r="BB36" s="127">
        <f t="shared" ref="BB36" si="122">+BB35/AW35-1</f>
        <v>0.10639503912238646</v>
      </c>
      <c r="BC36" s="126">
        <f>+BC35/AX35-1</f>
        <v>0.11586173070679107</v>
      </c>
      <c r="BD36" s="127">
        <f t="shared" ref="BD36" si="123">+BD35/AY35-1</f>
        <v>0.11062919346362987</v>
      </c>
      <c r="BE36" s="127">
        <f t="shared" ref="BE36" si="124">+BE35/AZ35-1</f>
        <v>0.10730307183667431</v>
      </c>
      <c r="BF36" s="127">
        <f t="shared" ref="BF36" si="125">+BF35/BA35-1</f>
        <v>0.10680737611373003</v>
      </c>
      <c r="BG36" s="127">
        <f t="shared" ref="BG36" si="126">+BG35/BB35-1</f>
        <v>0.10652168101275583</v>
      </c>
      <c r="BH36" s="126">
        <f>+BH35/BC35-1</f>
        <v>0.10772609587361326</v>
      </c>
      <c r="BI36" s="127">
        <f t="shared" ref="BI36" si="127">+BI35/BD35-1</f>
        <v>8.901036398470441E-2</v>
      </c>
      <c r="BJ36" s="127">
        <f t="shared" ref="BJ36" si="128">+BJ35/BE35-1</f>
        <v>8.9019070060360583E-2</v>
      </c>
      <c r="BK36" s="127">
        <f t="shared" ref="BK36" si="129">+BK35/BF35-1</f>
        <v>8.88816328190698E-2</v>
      </c>
      <c r="BL36" s="127">
        <f t="shared" ref="BL36" si="130">+BL35/BG35-1</f>
        <v>8.8676554471837088E-2</v>
      </c>
      <c r="BM36" s="126">
        <f>+BM35/BH35-1</f>
        <v>8.8888086929780563E-2</v>
      </c>
      <c r="BN36" s="127">
        <f t="shared" ref="BN36" si="131">+BN35/BI35-1</f>
        <v>8.8078142599731679E-2</v>
      </c>
      <c r="BO36" s="127">
        <f t="shared" ref="BO36" si="132">+BO35/BJ35-1</f>
        <v>8.8084443419816916E-2</v>
      </c>
      <c r="BP36" s="127">
        <f t="shared" ref="BP36" si="133">+BP35/BK35-1</f>
        <v>8.7987146348686096E-2</v>
      </c>
      <c r="BQ36" s="127">
        <f t="shared" ref="BQ36" si="134">+BQ35/BL35-1</f>
        <v>8.8343714465721535E-2</v>
      </c>
      <c r="BR36" s="126">
        <f>+BR35/BM35-1</f>
        <v>8.8127633627602009E-2</v>
      </c>
      <c r="BS36" s="127">
        <f t="shared" ref="BS36" si="135">+BS35/BN35-1</f>
        <v>8.7146448185442926E-2</v>
      </c>
      <c r="BT36" s="127">
        <f t="shared" ref="BT36" si="136">+BT35/BO35-1</f>
        <v>8.8493167767025094E-2</v>
      </c>
      <c r="BU36" s="127">
        <f t="shared" ref="BU36" si="137">+BU35/BP35-1</f>
        <v>8.8399673671795131E-2</v>
      </c>
      <c r="BV36" s="127">
        <f t="shared" ref="BV36" si="138">+BV35/BQ35-1</f>
        <v>8.839202477456487E-2</v>
      </c>
      <c r="BW36" s="126">
        <f>+BW35/BR35-1</f>
        <v>8.8130378840551193E-2</v>
      </c>
      <c r="BX36" s="127">
        <f t="shared" ref="BX36" si="139">+BX35/BS35-1</f>
        <v>8.7507590924437384E-2</v>
      </c>
      <c r="BY36" s="127">
        <f t="shared" ref="BY36" si="140">+BY35/BT35-1</f>
        <v>8.6214867904131243E-2</v>
      </c>
      <c r="BZ36" s="127">
        <f t="shared" ref="BZ36" si="141">+BZ35/BU35-1</f>
        <v>8.6197427129985238E-2</v>
      </c>
      <c r="CA36" s="127">
        <f t="shared" ref="CA36" si="142">+CA35/BV35-1</f>
        <v>8.620671009801395E-2</v>
      </c>
      <c r="CB36" s="126">
        <f>+CB35/BW35-1</f>
        <v>8.6506123067605856E-2</v>
      </c>
      <c r="CC36" s="127">
        <f t="shared" ref="CC36" si="143">+CC35/BX35-1</f>
        <v>8.5281446507969427E-2</v>
      </c>
      <c r="CD36" s="127">
        <f t="shared" ref="CD36" si="144">+CD35/BY35-1</f>
        <v>8.52800032781309E-2</v>
      </c>
      <c r="CE36" s="127">
        <f t="shared" ref="CE36" si="145">+CE35/BZ35-1</f>
        <v>8.5302264346493351E-2</v>
      </c>
      <c r="CF36" s="127">
        <f t="shared" ref="CF36" si="146">+CF35/CA35-1</f>
        <v>8.5289950376774115E-2</v>
      </c>
      <c r="CG36" s="126">
        <f>+CG35/CB35-1</f>
        <v>8.5288887611008501E-2</v>
      </c>
      <c r="CH36" s="127">
        <f t="shared" ref="CH36" si="147">+CH35/CC35-1</f>
        <v>8.435010646949892E-2</v>
      </c>
      <c r="CI36" s="127">
        <f t="shared" ref="CI36" si="148">+CI35/CD35-1</f>
        <v>8.43461780303707E-2</v>
      </c>
      <c r="CJ36" s="127">
        <f t="shared" ref="CJ36" si="149">+CJ35/CE35-1</f>
        <v>8.4408146514459492E-2</v>
      </c>
      <c r="CK36" s="127">
        <f t="shared" ref="CK36" si="150">+CK35/CF35-1</f>
        <v>8.4367911961948261E-2</v>
      </c>
      <c r="CL36" s="126">
        <f>+CL35/CG35-1</f>
        <v>8.4369275238499242E-2</v>
      </c>
      <c r="CM36" s="127">
        <f t="shared" ref="CM36" si="151">+CM35/CH35-1</f>
        <v>8.3420925640434129E-2</v>
      </c>
      <c r="CN36" s="127">
        <f t="shared" ref="CN36" si="152">+CN35/CI35-1</f>
        <v>8.3414380335714577E-2</v>
      </c>
      <c r="CO36" s="127">
        <f t="shared" ref="CO36" si="153">+CO35/CJ35-1</f>
        <v>8.3516052254312578E-2</v>
      </c>
      <c r="CP36" s="127">
        <f t="shared" ref="CP36" si="154">+CP35/CK35-1</f>
        <v>8.3450453159131799E-2</v>
      </c>
      <c r="CQ36" s="126">
        <f>+CQ35/CL35-1</f>
        <v>8.3452412133582454E-2</v>
      </c>
      <c r="CR36" s="127">
        <f t="shared" ref="CR36" si="155">+CR35/CM35-1</f>
        <v>6.6084563047910105E-2</v>
      </c>
      <c r="CS36" s="127">
        <f t="shared" ref="CS36" si="156">+CS35/CN35-1</f>
        <v>6.608878404111862E-2</v>
      </c>
      <c r="CT36" s="127">
        <f t="shared" ref="CT36" si="157">+CT35/CO35-1</f>
        <v>6.6092163316813668E-2</v>
      </c>
      <c r="CU36" s="127">
        <f t="shared" ref="CU36" si="158">+CU35/CP35-1</f>
        <v>6.610733159769433E-2</v>
      </c>
      <c r="CV36" s="126">
        <f>+CV35/CQ35-1</f>
        <v>6.609372483761855E-2</v>
      </c>
    </row>
    <row r="37" spans="1:115" s="27" customFormat="1" ht="5.0999999999999996" customHeight="1">
      <c r="A37" s="146"/>
      <c r="E37" s="100"/>
      <c r="F37" s="83"/>
      <c r="G37" s="83"/>
      <c r="H37" s="83"/>
      <c r="I37" s="83"/>
      <c r="J37" s="100"/>
      <c r="K37" s="83"/>
      <c r="L37" s="83"/>
      <c r="M37" s="83"/>
      <c r="N37" s="83"/>
      <c r="O37" s="100"/>
      <c r="P37" s="83"/>
      <c r="Q37" s="83"/>
      <c r="R37" s="83"/>
      <c r="S37" s="83"/>
      <c r="T37" s="100"/>
      <c r="U37" s="83"/>
      <c r="V37" s="83"/>
      <c r="W37" s="83"/>
      <c r="X37" s="83"/>
      <c r="Y37" s="100"/>
      <c r="Z37" s="83"/>
      <c r="AA37" s="83"/>
      <c r="AB37" s="83"/>
      <c r="AC37" s="83"/>
      <c r="AD37" s="100"/>
      <c r="AE37" s="83"/>
      <c r="AF37" s="83"/>
      <c r="AG37" s="83"/>
      <c r="AH37" s="83"/>
      <c r="AI37" s="100"/>
      <c r="AJ37" s="83"/>
      <c r="AK37" s="83"/>
      <c r="AL37" s="83"/>
      <c r="AM37" s="83"/>
      <c r="AN37" s="100"/>
      <c r="AO37" s="83"/>
      <c r="AP37" s="83"/>
      <c r="AQ37" s="83"/>
      <c r="AR37" s="83"/>
      <c r="AS37" s="100"/>
      <c r="AT37" s="83"/>
      <c r="AU37" s="83"/>
      <c r="AV37" s="83"/>
      <c r="AW37" s="83"/>
      <c r="AX37" s="100"/>
      <c r="AY37" s="83"/>
      <c r="AZ37" s="83"/>
      <c r="BA37" s="83"/>
      <c r="BB37" s="83"/>
      <c r="BC37" s="100"/>
      <c r="BD37" s="83"/>
      <c r="BE37" s="83"/>
      <c r="BF37" s="83"/>
      <c r="BG37" s="83"/>
      <c r="BH37" s="100"/>
      <c r="BI37" s="83"/>
      <c r="BJ37" s="83"/>
      <c r="BK37" s="83"/>
      <c r="BL37" s="83"/>
      <c r="BM37" s="100"/>
      <c r="BN37" s="83"/>
      <c r="BO37" s="83"/>
      <c r="BP37" s="83"/>
      <c r="BQ37" s="83"/>
      <c r="BR37" s="100"/>
      <c r="BS37" s="83"/>
      <c r="BT37" s="83"/>
      <c r="BU37" s="83"/>
      <c r="BV37" s="83"/>
      <c r="BW37" s="100"/>
      <c r="BX37" s="83"/>
      <c r="BY37" s="83"/>
      <c r="BZ37" s="83"/>
      <c r="CA37" s="83"/>
      <c r="CB37" s="100"/>
      <c r="CC37" s="83"/>
      <c r="CD37" s="83"/>
      <c r="CE37" s="83"/>
      <c r="CF37" s="83"/>
      <c r="CG37" s="100"/>
      <c r="CH37" s="83"/>
      <c r="CI37" s="83"/>
      <c r="CJ37" s="83"/>
      <c r="CK37" s="83"/>
      <c r="CL37" s="100"/>
      <c r="CM37" s="83"/>
      <c r="CN37" s="83"/>
      <c r="CO37" s="83"/>
      <c r="CP37" s="83"/>
      <c r="CQ37" s="100"/>
      <c r="CR37" s="83"/>
      <c r="CS37" s="83"/>
      <c r="CT37" s="83"/>
      <c r="CU37" s="83"/>
      <c r="CV37" s="100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</row>
    <row r="38" spans="1:115" s="10" customFormat="1">
      <c r="A38" s="144" t="s">
        <v>175</v>
      </c>
      <c r="B38" s="82"/>
      <c r="C38" s="82"/>
      <c r="D38" s="82"/>
      <c r="E38" s="124"/>
      <c r="F38" s="125"/>
      <c r="G38" s="125"/>
      <c r="H38" s="125"/>
      <c r="I38" s="125"/>
      <c r="J38" s="124">
        <f>+'Dados Financeiros'!B41</f>
        <v>0.52</v>
      </c>
      <c r="K38" s="125">
        <f>+'Dados Financeiros'!C41</f>
        <v>0.1</v>
      </c>
      <c r="L38" s="125">
        <f>+'Dados Financeiros'!D41</f>
        <v>0.1</v>
      </c>
      <c r="M38" s="125">
        <f>+'Dados Financeiros'!E41</f>
        <v>0.126</v>
      </c>
      <c r="N38" s="125">
        <f>+'Dados Financeiros'!F41</f>
        <v>0.25399999999999995</v>
      </c>
      <c r="O38" s="124">
        <f>+'Dados Financeiros'!G41</f>
        <v>0.57999999999999996</v>
      </c>
      <c r="P38" s="125">
        <f>+'Dados Financeiros'!H41</f>
        <v>7.6999999999999999E-2</v>
      </c>
      <c r="Q38" s="125">
        <f>+'Dados Financeiros'!I41</f>
        <v>0.22299999999999998</v>
      </c>
      <c r="R38" s="125">
        <f>+'Dados Financeiros'!J41</f>
        <v>0.3</v>
      </c>
      <c r="S38" s="125">
        <f>+'Dados Financeiros'!K41</f>
        <v>4.2</v>
      </c>
      <c r="T38" s="124">
        <f>+'Dados Financeiros'!L41</f>
        <v>4.8</v>
      </c>
      <c r="U38" s="125">
        <f>+'Dados Financeiros'!M41</f>
        <v>0.68</v>
      </c>
      <c r="V38" s="125">
        <f>+'Dados Financeiros'!N41</f>
        <v>1.1000000000000001</v>
      </c>
      <c r="W38" s="125">
        <f>+'Dados Financeiros'!O41</f>
        <v>-0.18000000000000005</v>
      </c>
      <c r="X38" s="125">
        <f>+'Dados Financeiros'!P41</f>
        <v>3.8000000000000003</v>
      </c>
      <c r="Y38" s="124">
        <f>+'Dados Financeiros'!Q41</f>
        <v>5.4</v>
      </c>
      <c r="Z38" s="125">
        <f>+'Dados Financeiros'!R41</f>
        <v>0.4</v>
      </c>
      <c r="AA38" s="125">
        <f>+'Dados Financeiros'!S41</f>
        <v>2.722</v>
      </c>
      <c r="AB38" s="125">
        <f>+'Dados Financeiros'!T41</f>
        <v>1.56</v>
      </c>
      <c r="AC38" s="125">
        <f>+'Dados Financeiros'!U41</f>
        <v>1.5579999999999998</v>
      </c>
      <c r="AD38" s="124">
        <f>+'Dados Financeiros'!V41</f>
        <v>6.24</v>
      </c>
      <c r="AE38" s="125">
        <f>+'Dados Financeiros'!W41</f>
        <v>0.39200000000000002</v>
      </c>
      <c r="AF38" s="125">
        <f>+'Dados Financeiros'!X41</f>
        <v>2.8919999999999999</v>
      </c>
      <c r="AG38" s="125">
        <f>+'Dados Financeiros'!Y41</f>
        <v>1.7330000000000005</v>
      </c>
      <c r="AH38" s="296">
        <f>AC38*(1+AH5/100)</f>
        <v>1.5969499999999996</v>
      </c>
      <c r="AI38" s="297">
        <f>SUM(AE38:AH38)</f>
        <v>6.61395</v>
      </c>
      <c r="AJ38" s="296">
        <f>AE38*(1+AJ5/100)</f>
        <v>0.39827200000000001</v>
      </c>
      <c r="AK38" s="296">
        <f>AF38*(1+AK5/100)</f>
        <v>2.938272</v>
      </c>
      <c r="AL38" s="296">
        <f>AG38*(1+AL5/100)</f>
        <v>1.7607280000000005</v>
      </c>
      <c r="AM38" s="296">
        <f>AH38*(1+AM5/100)</f>
        <v>1.6225011999999996</v>
      </c>
      <c r="AN38" s="297">
        <f>+SUM(AJ38:AM38)</f>
        <v>6.7197731999999997</v>
      </c>
      <c r="AO38" s="296">
        <f>AJ38*(1+AO5/100)+3</f>
        <v>3.4032504000000001</v>
      </c>
      <c r="AP38" s="296">
        <f>AK38*(1+AP5/100)+1</f>
        <v>3.9750003999999999</v>
      </c>
      <c r="AQ38" s="296">
        <f>AL38*(1+AQ5/100)+1</f>
        <v>2.7827371000000003</v>
      </c>
      <c r="AR38" s="296">
        <f>AM38*(1+AR5/100)+1</f>
        <v>2.6427824649999998</v>
      </c>
      <c r="AS38" s="297">
        <f>+SUM(AO38:AR38)</f>
        <v>12.803770365</v>
      </c>
      <c r="AT38" s="296">
        <v>3</v>
      </c>
      <c r="AU38" s="296">
        <v>3</v>
      </c>
      <c r="AV38" s="296">
        <v>3</v>
      </c>
      <c r="AW38" s="296">
        <v>3</v>
      </c>
      <c r="AX38" s="297">
        <f>+SUM(AT38:AW38)</f>
        <v>12</v>
      </c>
      <c r="AY38" s="296">
        <f>AT38*(1+AY5/100)</f>
        <v>3.0337499999999999</v>
      </c>
      <c r="AZ38" s="296">
        <f>AU38*(1+AZ5/100)</f>
        <v>3.0337499999999999</v>
      </c>
      <c r="BA38" s="296">
        <f>AV38*(1+BA5/100)</f>
        <v>3.0337499999999999</v>
      </c>
      <c r="BB38" s="296">
        <f>AW38*(1+BB5/100)</f>
        <v>3.0337499999999999</v>
      </c>
      <c r="BC38" s="297">
        <f>+SUM(AY38:BB38)</f>
        <v>12.135</v>
      </c>
      <c r="BD38" s="296">
        <f>AY38*(1+BD5/100)</f>
        <v>3.0678796875000001</v>
      </c>
      <c r="BE38" s="296">
        <f>AZ38*(1+BE5/100)</f>
        <v>3.0678796875000001</v>
      </c>
      <c r="BF38" s="296">
        <f>BA38*(1+BF5/100)</f>
        <v>3.0678796875000001</v>
      </c>
      <c r="BG38" s="296">
        <f>BB38*(1+BG5/100)</f>
        <v>3.0678796875000001</v>
      </c>
      <c r="BH38" s="297">
        <f>+SUM(BD38:BG38)</f>
        <v>12.27151875</v>
      </c>
      <c r="BI38" s="296">
        <f>BD38*(1+BI5/100)</f>
        <v>3.102393333984375</v>
      </c>
      <c r="BJ38" s="296">
        <f>BE38*(1+BJ5/100)</f>
        <v>3.102393333984375</v>
      </c>
      <c r="BK38" s="296">
        <f>BF38*(1+BK5/100)</f>
        <v>3.102393333984375</v>
      </c>
      <c r="BL38" s="296">
        <f>BG38*(1+BL5/100)</f>
        <v>3.102393333984375</v>
      </c>
      <c r="BM38" s="297">
        <f>+SUM(BI38:BL38)</f>
        <v>12.4095733359375</v>
      </c>
      <c r="BN38" s="296">
        <f>BI38*(1+BN5/100)</f>
        <v>3.1372952589916991</v>
      </c>
      <c r="BO38" s="296">
        <f>BJ38*(1+BO5/100)</f>
        <v>3.1372952589916991</v>
      </c>
      <c r="BP38" s="296">
        <f>BK38*(1+BP5/100)</f>
        <v>3.1372952589916991</v>
      </c>
      <c r="BQ38" s="296">
        <f>BL38*(1+BQ5/100)</f>
        <v>3.1372952589916991</v>
      </c>
      <c r="BR38" s="297">
        <f>+SUM(BN38:BQ38)</f>
        <v>12.549181035966797</v>
      </c>
      <c r="BS38" s="296">
        <f>BN38*(1+BS5/100)</f>
        <v>3.1725898306553555</v>
      </c>
      <c r="BT38" s="296">
        <f>BO38*(1+BT5/100)</f>
        <v>3.1725898306553555</v>
      </c>
      <c r="BU38" s="296">
        <f>BP38*(1+BU5/100)</f>
        <v>3.1725898306553555</v>
      </c>
      <c r="BV38" s="296">
        <f>BQ38*(1+BV5/100)</f>
        <v>3.1725898306553555</v>
      </c>
      <c r="BW38" s="297">
        <f>+SUM(BS38:BV38)</f>
        <v>12.690359322621422</v>
      </c>
      <c r="BX38" s="296">
        <f>BS38*(1+BX5/100)</f>
        <v>3.2082814662502281</v>
      </c>
      <c r="BY38" s="296">
        <f>BT38*(1+BY5/100)</f>
        <v>3.2082814662502281</v>
      </c>
      <c r="BZ38" s="296">
        <f>BU38*(1+BZ5/100)</f>
        <v>3.2082814662502281</v>
      </c>
      <c r="CA38" s="296">
        <f>BV38*(1+CA5/100)</f>
        <v>3.2082814662502281</v>
      </c>
      <c r="CB38" s="297">
        <f>+SUM(BX38:CA38)</f>
        <v>12.833125865000913</v>
      </c>
      <c r="CC38" s="296">
        <f>BX38*(1+CC5/100)</f>
        <v>3.2443746327455432</v>
      </c>
      <c r="CD38" s="296">
        <f>BY38*(1+CD5/100)</f>
        <v>3.2443746327455432</v>
      </c>
      <c r="CE38" s="296">
        <f>BZ38*(1+CE5/100)</f>
        <v>3.2443746327455432</v>
      </c>
      <c r="CF38" s="296">
        <f>CA38*(1+CF5/100)</f>
        <v>3.2443746327455432</v>
      </c>
      <c r="CG38" s="297">
        <f>+SUM(CC38:CF38)</f>
        <v>12.977498530982173</v>
      </c>
      <c r="CH38" s="296">
        <f>CC38*(1+CH5/100)</f>
        <v>3.2808738473639303</v>
      </c>
      <c r="CI38" s="296">
        <f>CD38*(1+CI5/100)</f>
        <v>3.2808738473639303</v>
      </c>
      <c r="CJ38" s="296">
        <f>CE38*(1+CJ5/100)</f>
        <v>3.2808738473639303</v>
      </c>
      <c r="CK38" s="296">
        <f>CF38*(1+CK5/100)</f>
        <v>3.2808738473639303</v>
      </c>
      <c r="CL38" s="297">
        <f>+SUM(CH38:CK38)</f>
        <v>13.123495389455721</v>
      </c>
      <c r="CM38" s="296">
        <f>CH38*(1+CM5/100)</f>
        <v>3.3177836781467747</v>
      </c>
      <c r="CN38" s="296">
        <f>CI38*(1+CN5/100)</f>
        <v>3.3177836781467747</v>
      </c>
      <c r="CO38" s="296">
        <f>CJ38*(1+CO5/100)</f>
        <v>3.3177836781467747</v>
      </c>
      <c r="CP38" s="296">
        <f>CK38*(1+CP5/100)</f>
        <v>3.3177836781467747</v>
      </c>
      <c r="CQ38" s="297">
        <f>+SUM(CM38:CP38)</f>
        <v>13.271134712587099</v>
      </c>
      <c r="CR38" s="296">
        <f>CM38*(1+CR5/100)</f>
        <v>3.3551087445259258</v>
      </c>
      <c r="CS38" s="296">
        <f>CN38*(1+CS5/100)</f>
        <v>3.3551087445259258</v>
      </c>
      <c r="CT38" s="296">
        <f>CO38*(1+CT5/100)</f>
        <v>3.3551087445259258</v>
      </c>
      <c r="CU38" s="296">
        <f>CP38*(1+CU5/100)</f>
        <v>3.3551087445259258</v>
      </c>
      <c r="CV38" s="297">
        <f>+SUM(CR38:CU38)</f>
        <v>13.420434978103703</v>
      </c>
    </row>
    <row r="39" spans="1:115" s="8" customFormat="1">
      <c r="A39" s="145" t="s">
        <v>176</v>
      </c>
      <c r="B39" s="69"/>
      <c r="C39" s="69"/>
      <c r="D39" s="69"/>
      <c r="E39" s="126"/>
      <c r="F39" s="127"/>
      <c r="G39" s="127"/>
      <c r="H39" s="127"/>
      <c r="I39" s="127"/>
      <c r="J39" s="126">
        <f t="shared" ref="J39:AH39" si="159">+J38/J35</f>
        <v>3.5350101971447995E-3</v>
      </c>
      <c r="K39" s="127">
        <f t="shared" si="159"/>
        <v>2.8328611898017003E-3</v>
      </c>
      <c r="L39" s="127">
        <f t="shared" si="159"/>
        <v>2.6525198938992041E-3</v>
      </c>
      <c r="M39" s="127">
        <f t="shared" si="159"/>
        <v>2.9059040590405905E-3</v>
      </c>
      <c r="N39" s="127">
        <f t="shared" si="159"/>
        <v>6.0018903591682396E-3</v>
      </c>
      <c r="O39" s="126">
        <f t="shared" si="159"/>
        <v>3.6551550289891602E-3</v>
      </c>
      <c r="P39" s="127">
        <f t="shared" si="159"/>
        <v>1.9250000000000001E-3</v>
      </c>
      <c r="Q39" s="127">
        <f t="shared" si="159"/>
        <v>5.6030150753768838E-3</v>
      </c>
      <c r="R39" s="127">
        <f t="shared" si="159"/>
        <v>6.4935064935064931E-3</v>
      </c>
      <c r="S39" s="127">
        <f t="shared" si="159"/>
        <v>9.0517241379310331E-2</v>
      </c>
      <c r="T39" s="126">
        <f t="shared" si="159"/>
        <v>2.7842227378190254E-2</v>
      </c>
      <c r="U39" s="127">
        <f t="shared" si="159"/>
        <v>1.5671813781977417E-2</v>
      </c>
      <c r="V39" s="127">
        <f t="shared" si="159"/>
        <v>2.4943310657596373E-2</v>
      </c>
      <c r="W39" s="127">
        <f t="shared" si="159"/>
        <v>-3.4971828249465708E-3</v>
      </c>
      <c r="X39" s="127">
        <f t="shared" si="159"/>
        <v>8.0610946117946544E-2</v>
      </c>
      <c r="Y39" s="126">
        <f t="shared" si="159"/>
        <v>2.9016657710908111E-2</v>
      </c>
      <c r="Z39" s="127">
        <f t="shared" si="159"/>
        <v>8.2644628099173556E-3</v>
      </c>
      <c r="AA39" s="127">
        <f t="shared" si="159"/>
        <v>5.5735288095335594E-2</v>
      </c>
      <c r="AB39" s="127">
        <f t="shared" si="159"/>
        <v>2.9533708184244906E-2</v>
      </c>
      <c r="AC39" s="127">
        <f t="shared" si="159"/>
        <v>2.9179855037177155E-2</v>
      </c>
      <c r="AD39" s="126">
        <f>+AD38/AD35</f>
        <v>3.0670625012287914E-2</v>
      </c>
      <c r="AE39" s="127">
        <f>+AE38/AE35</f>
        <v>8.100679878489803E-3</v>
      </c>
      <c r="AF39" s="127">
        <f>+AF38/AF35</f>
        <v>5.8732737611697804E-2</v>
      </c>
      <c r="AG39" s="127">
        <f>+AG38/AG35</f>
        <v>3.1898836695626577E-2</v>
      </c>
      <c r="AH39" s="127">
        <f t="shared" si="159"/>
        <v>2.6894468421025428E-2</v>
      </c>
      <c r="AI39" s="126">
        <f t="shared" ref="AI39:AO39" si="160">+AI38/AI35</f>
        <v>3.1295693928850433E-2</v>
      </c>
      <c r="AJ39" s="127">
        <f t="shared" si="160"/>
        <v>6.8745323744112512E-3</v>
      </c>
      <c r="AK39" s="127">
        <f t="shared" si="160"/>
        <v>4.9026176432092401E-2</v>
      </c>
      <c r="AL39" s="127">
        <f t="shared" si="160"/>
        <v>2.7228432523403821E-2</v>
      </c>
      <c r="AM39" s="127">
        <f t="shared" si="160"/>
        <v>2.4711331441577961E-2</v>
      </c>
      <c r="AN39" s="126">
        <f t="shared" si="160"/>
        <v>2.7075076372509804E-2</v>
      </c>
      <c r="AO39" s="127">
        <f t="shared" si="160"/>
        <v>5.3113700688322892E-2</v>
      </c>
      <c r="AP39" s="127">
        <f t="shared" ref="AP39:AR39" si="161">+AP38/AP35</f>
        <v>6.0261468839083308E-2</v>
      </c>
      <c r="AQ39" s="127">
        <f t="shared" si="161"/>
        <v>3.7468363687601668E-2</v>
      </c>
      <c r="AR39" s="127">
        <f t="shared" si="161"/>
        <v>3.4495385404032575E-2</v>
      </c>
      <c r="AS39" s="126">
        <f>+AS38/AS35</f>
        <v>4.5578160089973438E-2</v>
      </c>
      <c r="AT39" s="127">
        <f t="shared" ref="AT39:AW39" si="162">+AT38/AT35</f>
        <v>4.1037883874615974E-2</v>
      </c>
      <c r="AU39" s="127">
        <f t="shared" si="162"/>
        <v>3.9115484794181574E-2</v>
      </c>
      <c r="AV39" s="127">
        <f t="shared" si="162"/>
        <v>3.4761674587502629E-2</v>
      </c>
      <c r="AW39" s="127">
        <f t="shared" si="162"/>
        <v>3.3736156222134564E-2</v>
      </c>
      <c r="AX39" s="126">
        <f>+AX38/AX35</f>
        <v>3.6920071119191496E-2</v>
      </c>
      <c r="AY39" s="127">
        <f t="shared" ref="AY39:BB39" si="163">+AY38/AY35</f>
        <v>3.6343928223023479E-2</v>
      </c>
      <c r="AZ39" s="127">
        <f t="shared" si="163"/>
        <v>3.5556181441937076E-2</v>
      </c>
      <c r="BA39" s="127">
        <f t="shared" si="163"/>
        <v>3.1766376081485415E-2</v>
      </c>
      <c r="BB39" s="127">
        <f t="shared" si="163"/>
        <v>3.083499724175805E-2</v>
      </c>
      <c r="BC39" s="126">
        <f>+BC38/BC35</f>
        <v>3.3458824594364389E-2</v>
      </c>
      <c r="BD39" s="127">
        <f t="shared" ref="BD39:BG39" si="164">+BD38/BD35</f>
        <v>3.3091870474712182E-2</v>
      </c>
      <c r="BE39" s="127">
        <f t="shared" si="164"/>
        <v>3.2471858335513006E-2</v>
      </c>
      <c r="BF39" s="127">
        <f t="shared" si="164"/>
        <v>2.9023792672214044E-2</v>
      </c>
      <c r="BG39" s="127">
        <f t="shared" si="164"/>
        <v>2.8180099401385671E-2</v>
      </c>
      <c r="BH39" s="126">
        <f>+BH38/BH35</f>
        <v>3.0544767787894965E-2</v>
      </c>
      <c r="BI39" s="127">
        <f t="shared" ref="BI39:BL39" si="165">+BI38/BI35</f>
        <v>3.0728958258126104E-2</v>
      </c>
      <c r="BJ39" s="127">
        <f t="shared" si="165"/>
        <v>3.015297678852169E-2</v>
      </c>
      <c r="BK39" s="127">
        <f t="shared" si="165"/>
        <v>2.6954546256593295E-2</v>
      </c>
      <c r="BL39" s="127">
        <f t="shared" si="165"/>
        <v>2.6175933892023988E-2</v>
      </c>
      <c r="BM39" s="126">
        <f>+BM38/BM35</f>
        <v>2.8366915568524071E-2</v>
      </c>
      <c r="BN39" s="127">
        <f t="shared" ref="BN39:BQ39" si="166">+BN38/BN35</f>
        <v>2.8559216311692212E-2</v>
      </c>
      <c r="BO39" s="127">
        <f t="shared" si="166"/>
        <v>2.8023742055861486E-2</v>
      </c>
      <c r="BP39" s="127">
        <f t="shared" si="166"/>
        <v>2.505340710453963E-2</v>
      </c>
      <c r="BQ39" s="127">
        <f t="shared" si="166"/>
        <v>2.4321740270539294E-2</v>
      </c>
      <c r="BR39" s="126">
        <f>+BR38/BR35</f>
        <v>2.6362756061103217E-2</v>
      </c>
      <c r="BS39" s="127">
        <f t="shared" ref="BS39:BV39" si="167">+BS38/BS35</f>
        <v>2.6565425056949067E-2</v>
      </c>
      <c r="BT39" s="127">
        <f t="shared" si="167"/>
        <v>2.6035082252399994E-2</v>
      </c>
      <c r="BU39" s="127">
        <f t="shared" si="167"/>
        <v>2.3277531726002242E-2</v>
      </c>
      <c r="BV39" s="127">
        <f t="shared" si="167"/>
        <v>2.2597886872312588E-2</v>
      </c>
      <c r="BW39" s="126">
        <f>+BW38/BW35</f>
        <v>2.4500131220669786E-2</v>
      </c>
      <c r="BX39" s="127">
        <f t="shared" ref="BX39:CA39" si="168">+BX38/BX35</f>
        <v>2.4702619377584036E-2</v>
      </c>
      <c r="BY39" s="127">
        <f t="shared" si="168"/>
        <v>2.4238277071772864E-2</v>
      </c>
      <c r="BZ39" s="127">
        <f t="shared" si="168"/>
        <v>2.16713862231445E-2</v>
      </c>
      <c r="CA39" s="127">
        <f t="shared" si="168"/>
        <v>2.1038456941187597E-2</v>
      </c>
      <c r="CB39" s="126">
        <f>+CB38/CB35</f>
        <v>2.2803145947260062E-2</v>
      </c>
      <c r="CC39" s="127">
        <f t="shared" ref="CC39:CF39" si="169">+CC38/CC35</f>
        <v>2.3017553581110094E-2</v>
      </c>
      <c r="CD39" s="127">
        <f t="shared" si="169"/>
        <v>2.2584915980018057E-2</v>
      </c>
      <c r="CE39" s="127">
        <f t="shared" si="169"/>
        <v>2.0192705790907886E-2</v>
      </c>
      <c r="CF39" s="127">
        <f t="shared" si="169"/>
        <v>1.9603184913294353E-2</v>
      </c>
      <c r="CG39" s="126">
        <f>+CG38/CG35</f>
        <v>2.1247505251737027E-2</v>
      </c>
      <c r="CH39" s="127">
        <f t="shared" ref="CH39:CK39" si="170">+CH38/CH35</f>
        <v>2.1465853989430409E-2</v>
      </c>
      <c r="CI39" s="127">
        <f t="shared" si="170"/>
        <v>2.1062458417364916E-2</v>
      </c>
      <c r="CJ39" s="127">
        <f t="shared" si="170"/>
        <v>1.8830431878153839E-2</v>
      </c>
      <c r="CK39" s="127">
        <f t="shared" si="170"/>
        <v>1.8281360527998131E-2</v>
      </c>
      <c r="CL39" s="126">
        <f>+CL38/CL35</f>
        <v>1.9814780975874899E-2</v>
      </c>
      <c r="CM39" s="127">
        <f t="shared" ref="CM39:CP39" si="171">+CM38/CM35</f>
        <v>2.0035929095591178E-2</v>
      </c>
      <c r="CN39" s="127">
        <f t="shared" si="171"/>
        <v>1.9659524057600457E-2</v>
      </c>
      <c r="CO39" s="127">
        <f t="shared" si="171"/>
        <v>1.7574519728770614E-2</v>
      </c>
      <c r="CP39" s="127">
        <f t="shared" si="171"/>
        <v>1.7063102221272344E-2</v>
      </c>
      <c r="CQ39" s="126">
        <f>+CQ38/CQ35</f>
        <v>1.8494303060707918E-2</v>
      </c>
      <c r="CR39" s="127">
        <f t="shared" ref="CR39:CU39" si="172">+CR38/CR35</f>
        <v>1.9005371618917279E-2</v>
      </c>
      <c r="CS39" s="127">
        <f t="shared" si="172"/>
        <v>1.8648253317034871E-2</v>
      </c>
      <c r="CT39" s="127">
        <f t="shared" si="172"/>
        <v>1.6670447159489961E-2</v>
      </c>
      <c r="CU39" s="127">
        <f t="shared" si="172"/>
        <v>1.6185107830937438E-2</v>
      </c>
      <c r="CV39" s="126">
        <f>+CV38/CV35</f>
        <v>1.7542889086031833E-2</v>
      </c>
    </row>
    <row r="40" spans="1:115" s="14" customFormat="1" ht="5.0999999999999996" customHeight="1">
      <c r="A40" s="146"/>
      <c r="C40" s="18"/>
      <c r="D40" s="18"/>
      <c r="E40" s="100"/>
      <c r="F40" s="83"/>
      <c r="G40" s="83"/>
      <c r="H40" s="83"/>
      <c r="I40" s="83"/>
      <c r="J40" s="100"/>
      <c r="K40" s="83"/>
      <c r="L40" s="83"/>
      <c r="M40" s="83"/>
      <c r="N40" s="83"/>
      <c r="O40" s="100"/>
      <c r="P40" s="83"/>
      <c r="Q40" s="83"/>
      <c r="R40" s="83"/>
      <c r="S40" s="83"/>
      <c r="T40" s="100"/>
      <c r="U40" s="83"/>
      <c r="V40" s="83"/>
      <c r="W40" s="83"/>
      <c r="X40" s="83"/>
      <c r="Y40" s="100"/>
      <c r="Z40" s="83"/>
      <c r="AA40" s="83"/>
      <c r="AB40" s="83"/>
      <c r="AC40" s="83"/>
      <c r="AD40" s="100"/>
      <c r="AE40" s="83"/>
      <c r="AF40" s="83"/>
      <c r="AG40" s="83"/>
      <c r="AH40" s="83"/>
      <c r="AI40" s="100"/>
      <c r="AJ40" s="83"/>
      <c r="AK40" s="83"/>
      <c r="AL40" s="83"/>
      <c r="AM40" s="83"/>
      <c r="AN40" s="100"/>
      <c r="AO40" s="83"/>
      <c r="AP40" s="83"/>
      <c r="AQ40" s="83"/>
      <c r="AR40" s="83"/>
      <c r="AS40" s="100"/>
      <c r="AT40" s="83"/>
      <c r="AU40" s="83"/>
      <c r="AV40" s="83"/>
      <c r="AW40" s="83"/>
      <c r="AX40" s="100"/>
      <c r="AY40" s="83"/>
      <c r="AZ40" s="83"/>
      <c r="BA40" s="83"/>
      <c r="BB40" s="83"/>
      <c r="BC40" s="100"/>
      <c r="BD40" s="83"/>
      <c r="BE40" s="83"/>
      <c r="BF40" s="83"/>
      <c r="BG40" s="83"/>
      <c r="BH40" s="100"/>
      <c r="BI40" s="83"/>
      <c r="BJ40" s="83"/>
      <c r="BK40" s="83"/>
      <c r="BL40" s="83"/>
      <c r="BM40" s="100"/>
      <c r="BN40" s="83"/>
      <c r="BO40" s="83"/>
      <c r="BP40" s="83"/>
      <c r="BQ40" s="83"/>
      <c r="BR40" s="100"/>
      <c r="BS40" s="83"/>
      <c r="BT40" s="83"/>
      <c r="BU40" s="83"/>
      <c r="BV40" s="83"/>
      <c r="BW40" s="100"/>
      <c r="BX40" s="83"/>
      <c r="BY40" s="83"/>
      <c r="BZ40" s="83"/>
      <c r="CA40" s="83"/>
      <c r="CB40" s="100"/>
      <c r="CC40" s="83"/>
      <c r="CD40" s="83"/>
      <c r="CE40" s="83"/>
      <c r="CF40" s="83"/>
      <c r="CG40" s="100"/>
      <c r="CH40" s="83"/>
      <c r="CI40" s="83"/>
      <c r="CJ40" s="83"/>
      <c r="CK40" s="83"/>
      <c r="CL40" s="100"/>
      <c r="CM40" s="83"/>
      <c r="CN40" s="83"/>
      <c r="CO40" s="83"/>
      <c r="CP40" s="83"/>
      <c r="CQ40" s="100"/>
      <c r="CR40" s="83"/>
      <c r="CS40" s="83"/>
      <c r="CT40" s="83"/>
      <c r="CU40" s="83"/>
      <c r="CV40" s="100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</row>
    <row r="41" spans="1:115" s="28" customFormat="1">
      <c r="A41" s="147" t="s">
        <v>44</v>
      </c>
      <c r="B41" s="17"/>
      <c r="C41" s="17"/>
      <c r="D41" s="17"/>
      <c r="E41" s="128"/>
      <c r="F41" s="129"/>
      <c r="G41" s="129"/>
      <c r="H41" s="129"/>
      <c r="I41" s="129"/>
      <c r="J41" s="128">
        <f>+'Dados Financeiros'!B44</f>
        <v>-12.7</v>
      </c>
      <c r="K41" s="129">
        <f>+'Dados Financeiros'!C44</f>
        <v>-3</v>
      </c>
      <c r="L41" s="129">
        <f>+'Dados Financeiros'!D44</f>
        <v>-3.3</v>
      </c>
      <c r="M41" s="129">
        <f>+'Dados Financeiros'!E44</f>
        <v>-3.7</v>
      </c>
      <c r="N41" s="129">
        <f>+'Dados Financeiros'!F44</f>
        <v>-4.1999999999999993</v>
      </c>
      <c r="O41" s="128">
        <f>+'Dados Financeiros'!G44</f>
        <v>-14.2</v>
      </c>
      <c r="P41" s="129">
        <f>+'Dados Financeiros'!H44</f>
        <v>-3.44</v>
      </c>
      <c r="Q41" s="129">
        <f>+'Dados Financeiros'!I44</f>
        <v>-3.4600000000000004</v>
      </c>
      <c r="R41" s="129">
        <f>+'Dados Financeiros'!J44</f>
        <v>-3.9899999999999998</v>
      </c>
      <c r="S41" s="129">
        <f>+'Dados Financeiros'!K44</f>
        <v>-4.58</v>
      </c>
      <c r="T41" s="128">
        <f>+'Dados Financeiros'!L44</f>
        <v>-15.47</v>
      </c>
      <c r="U41" s="129">
        <f>+'Dados Financeiros'!M44</f>
        <v>-3.8</v>
      </c>
      <c r="V41" s="129">
        <f>+'Dados Financeiros'!N44</f>
        <v>-3.9</v>
      </c>
      <c r="W41" s="129">
        <f>+'Dados Financeiros'!O44</f>
        <v>-4.3999999999999995</v>
      </c>
      <c r="X41" s="129">
        <f>+'Dados Financeiros'!P44</f>
        <v>-4.5000000000000027</v>
      </c>
      <c r="Y41" s="128">
        <f>+'Dados Financeiros'!Q44</f>
        <v>-16.600000000000001</v>
      </c>
      <c r="Z41" s="129">
        <f>+'Dados Financeiros'!R44</f>
        <v>-4.8</v>
      </c>
      <c r="AA41" s="129">
        <f>+'Dados Financeiros'!S44</f>
        <v>-4.5419999999999998</v>
      </c>
      <c r="AB41" s="129">
        <f>+'Dados Financeiros'!T44</f>
        <v>-4.7119999999999997</v>
      </c>
      <c r="AC41" s="129">
        <f>+'Dados Financeiros'!U44</f>
        <v>-4.8950000000000031</v>
      </c>
      <c r="AD41" s="128">
        <f>+'Dados Financeiros'!V44</f>
        <v>-18.949000000000002</v>
      </c>
      <c r="AE41" s="129">
        <f>+'Dados Financeiros'!W44</f>
        <v>-4.2270000000000003</v>
      </c>
      <c r="AF41" s="129">
        <f>+'Dados Financeiros'!X44</f>
        <v>-4.5129999999999999</v>
      </c>
      <c r="AG41" s="129">
        <f>+'Dados Financeiros'!Y44</f>
        <v>-5.302999999999999</v>
      </c>
      <c r="AH41" s="298">
        <f t="shared" ref="AH41" si="173">-AH42*(AH38+AH35)</f>
        <v>-5.767863251336327</v>
      </c>
      <c r="AI41" s="299">
        <f>SUM(AE41:AH41)</f>
        <v>-19.810863251336325</v>
      </c>
      <c r="AJ41" s="298">
        <f>-AJ42*(AJ38+AJ35)</f>
        <v>-5.3021968038845886</v>
      </c>
      <c r="AK41" s="298">
        <f>-AK42*(AK38+AK35)</f>
        <v>-5.7147096802888626</v>
      </c>
      <c r="AL41" s="298">
        <f>-AL42*(AL38+AL35)</f>
        <v>-6.0378251998953125</v>
      </c>
      <c r="AM41" s="298">
        <f>-AM42*(AM38+AM35)</f>
        <v>-6.1155327151541181</v>
      </c>
      <c r="AN41" s="299">
        <f>-AN42*(AN38+AN35)</f>
        <v>-23.170264399222884</v>
      </c>
      <c r="AO41" s="298">
        <f t="shared" ref="AO41" si="174">-AO42*(AO38+AO35)</f>
        <v>-6.1334733034616926</v>
      </c>
      <c r="AP41" s="298">
        <f t="shared" ref="AP41" si="175">-AP42*(AP38+AP35)</f>
        <v>-6.3570308139924343</v>
      </c>
      <c r="AQ41" s="298">
        <f t="shared" ref="AQ41" si="176">-AQ42*(AQ38+AQ35)</f>
        <v>-7.003678269072581</v>
      </c>
      <c r="AR41" s="298">
        <f t="shared" ref="AR41" si="177">-AR42*(AR38+AR35)</f>
        <v>-7.203985780075401</v>
      </c>
      <c r="AS41" s="299">
        <f>-AS42*(AS38+AS35)</f>
        <v>-26.698168166602109</v>
      </c>
      <c r="AT41" s="298">
        <f t="shared" ref="AT41" si="178">-AT42*(AT38+AT35)</f>
        <v>-6.9174607655493281</v>
      </c>
      <c r="AU41" s="298">
        <f t="shared" ref="AU41" si="179">-AU42*(AU38+AU35)</f>
        <v>-7.2440298009360511</v>
      </c>
      <c r="AV41" s="298">
        <f t="shared" ref="AV41" si="180">-AV42*(AV38+AV35)</f>
        <v>-8.1171724760731614</v>
      </c>
      <c r="AW41" s="298">
        <f t="shared" ref="AW41" si="181">-AW42*(AW38+AW35)</f>
        <v>-8.3556306875603585</v>
      </c>
      <c r="AX41" s="299">
        <f>-AX42*(AX38+AX35)</f>
        <v>-30.634293730118898</v>
      </c>
      <c r="AY41" s="298">
        <f t="shared" ref="AY41" si="182">-AY42*(AY38+AY35)</f>
        <v>-7.8631345039922591</v>
      </c>
      <c r="AZ41" s="298">
        <f t="shared" ref="AZ41" si="183">-AZ42*(AZ38+AZ35)</f>
        <v>-8.0312328037789911</v>
      </c>
      <c r="BA41" s="298">
        <f t="shared" ref="BA41" si="184">-BA42*(BA38+BA35)</f>
        <v>-8.9564800096382164</v>
      </c>
      <c r="BB41" s="298">
        <f t="shared" ref="BB41" si="185">-BB42*(BB38+BB35)</f>
        <v>-9.2186834846643677</v>
      </c>
      <c r="BC41" s="299">
        <f>-BC42*(BC38+BC35)</f>
        <v>-34.069530802073842</v>
      </c>
      <c r="BD41" s="298">
        <f t="shared" ref="BD41" si="186">-BD42*(BD38+BD35)</f>
        <v>-8.7056224058850411</v>
      </c>
      <c r="BE41" s="298">
        <f t="shared" ref="BE41" si="187">-BE42*(BE38+BE35)</f>
        <v>-8.8665216231144335</v>
      </c>
      <c r="BF41" s="298">
        <f t="shared" ref="BF41" si="188">-BF42*(BF38+BF35)</f>
        <v>-9.8867476981955473</v>
      </c>
      <c r="BG41" s="298">
        <f t="shared" ref="BG41" si="189">-BG42*(BG38+BG35)</f>
        <v>-10.174401487589259</v>
      </c>
      <c r="BH41" s="299">
        <f>-BH42*(BH38+BH35)</f>
        <v>-37.633293214784281</v>
      </c>
      <c r="BI41" s="298">
        <f t="shared" ref="BI41" si="190">-BI42*(BI38+BI35)</f>
        <v>-9.4588289708109325</v>
      </c>
      <c r="BJ41" s="298">
        <f t="shared" ref="BJ41" si="191">-BJ42*(BJ38+BJ35)</f>
        <v>-9.6341246507850666</v>
      </c>
      <c r="BK41" s="298">
        <f t="shared" ref="BK41" si="192">-BK42*(BK38+BK35)</f>
        <v>-10.743849820386167</v>
      </c>
      <c r="BL41" s="298">
        <f t="shared" ref="BL41" si="193">-BL42*(BL38+BL35)</f>
        <v>-11.055041386444527</v>
      </c>
      <c r="BM41" s="299">
        <f>-BM42*(BM38+BM35)</f>
        <v>-40.891844828426699</v>
      </c>
      <c r="BN41" s="298">
        <f t="shared" ref="BN41" si="194">-BN42*(BN38+BN35)</f>
        <v>-10.270279939344814</v>
      </c>
      <c r="BO41" s="298">
        <f t="shared" ref="BO41" si="195">-BO42*(BO38+BO35)</f>
        <v>-10.461074263305932</v>
      </c>
      <c r="BP41" s="298">
        <f t="shared" ref="BP41" si="196">-BP42*(BP38+BP35)</f>
        <v>-11.667531048945023</v>
      </c>
      <c r="BQ41" s="298">
        <f t="shared" ref="BQ41" si="197">-BQ42*(BQ38+BQ35)</f>
        <v>-12.009944797889741</v>
      </c>
      <c r="BR41" s="299">
        <f>-BR42*(BR38+BR35)</f>
        <v>-44.408830049485516</v>
      </c>
      <c r="BS41" s="298">
        <f t="shared" ref="BS41" si="198">-BS42*(BS38+BS35)</f>
        <v>-11.143655195464767</v>
      </c>
      <c r="BT41" s="298">
        <f t="shared" ref="BT41" si="199">-BT42*(BT38+BT35)</f>
        <v>-11.364780660664463</v>
      </c>
      <c r="BU41" s="298">
        <f t="shared" ref="BU41" si="200">-BU42*(BU38+BU35)</f>
        <v>-12.676936445210478</v>
      </c>
      <c r="BV41" s="298">
        <f t="shared" ref="BV41" si="201">-BV42*(BV38+BV35)</f>
        <v>-13.049529776202226</v>
      </c>
      <c r="BW41" s="299">
        <f>-BW42*(BW38+BW35)</f>
        <v>-48.234902077541939</v>
      </c>
      <c r="BX41" s="298">
        <f t="shared" ref="BX41" si="202">-BX42*(BX38+BX35)</f>
        <v>-12.096818823086632</v>
      </c>
      <c r="BY41" s="298">
        <f t="shared" ref="BY41" si="203">-BY42*(BY38+BY35)</f>
        <v>-12.32297572062507</v>
      </c>
      <c r="BZ41" s="298">
        <f t="shared" ref="BZ41" si="204">-BZ42*(BZ38+BZ35)</f>
        <v>-13.74804277670545</v>
      </c>
      <c r="CA41" s="298">
        <f t="shared" ref="CA41" si="205">-CA42*(CA38+CA35)</f>
        <v>-14.152871155585075</v>
      </c>
      <c r="CB41" s="299">
        <f>-CB42*(CB38+CB35)</f>
        <v>-52.320708476002224</v>
      </c>
      <c r="CC41" s="298">
        <f t="shared" ref="CC41" si="206">-CC42*(CC38+CC35)</f>
        <v>-13.106864028207534</v>
      </c>
      <c r="CD41" s="298">
        <f t="shared" ref="CD41" si="207">-CD42*(CD38+CD35)</f>
        <v>-13.352290549093288</v>
      </c>
      <c r="CE41" s="298">
        <f t="shared" ref="CE41" si="208">-CE42*(CE38+CE35)</f>
        <v>-14.899186882749593</v>
      </c>
      <c r="CF41" s="298">
        <f t="shared" ref="CF41" si="209">-CF42*(CF38+CF35)</f>
        <v>-15.338377351984356</v>
      </c>
      <c r="CG41" s="299">
        <f>-CG42*(CG38+CG35)</f>
        <v>-56.696718812034774</v>
      </c>
      <c r="CH41" s="298">
        <f t="shared" ref="CH41" si="210">-CH42*(CH38+CH35)</f>
        <v>-14.19087217817564</v>
      </c>
      <c r="CI41" s="298">
        <f t="shared" ref="CI41" si="211">-CI42*(CI38+CI35)</f>
        <v>-14.456949157064866</v>
      </c>
      <c r="CJ41" s="298">
        <f t="shared" ref="CJ41" si="212">-CJ42*(CJ38+CJ35)</f>
        <v>-16.135225289789446</v>
      </c>
      <c r="CK41" s="298">
        <f t="shared" ref="CK41" si="213">-CK42*(CK38+CK35)</f>
        <v>-16.610881744922356</v>
      </c>
      <c r="CL41" s="299">
        <f>-CL42*(CL38+CL35)</f>
        <v>-61.393928369952306</v>
      </c>
      <c r="CM41" s="298">
        <f t="shared" ref="CM41" si="214">-CM42*(CM38+CM35)</f>
        <v>-15.353165223998859</v>
      </c>
      <c r="CN41" s="298">
        <f t="shared" ref="CN41" si="215">-CN42*(CN38+CN35)</f>
        <v>-15.641345917546756</v>
      </c>
      <c r="CO41" s="298">
        <f t="shared" ref="CO41" si="216">-CO42*(CO38+CO35)</f>
        <v>-17.461224592862024</v>
      </c>
      <c r="CP41" s="298">
        <f t="shared" ref="CP41" si="217">-CP42*(CP38+CP35)</f>
        <v>-17.975535901355101</v>
      </c>
      <c r="CQ41" s="299">
        <f>-CQ42*(CQ38+CQ35)</f>
        <v>-66.431271635762755</v>
      </c>
      <c r="CR41" s="298">
        <f t="shared" ref="CR41" si="218">-CR42*(CR38+CR35)</f>
        <v>-16.351235835191428</v>
      </c>
      <c r="CS41" s="298">
        <f t="shared" ref="CS41" si="219">-CS42*(CS38+CS35)</f>
        <v>-16.658525573030101</v>
      </c>
      <c r="CT41" s="298">
        <f t="shared" ref="CT41" si="220">-CT42*(CT38+CT35)</f>
        <v>-18.59873580429409</v>
      </c>
      <c r="CU41" s="298">
        <f t="shared" ref="CU41" si="221">-CU42*(CU38+CU35)</f>
        <v>-19.147307143422772</v>
      </c>
      <c r="CV41" s="299">
        <f>-CV42*(CV38+CV35)</f>
        <v>-70.75580435593838</v>
      </c>
    </row>
    <row r="42" spans="1:115" s="8" customFormat="1">
      <c r="A42" s="145" t="s">
        <v>177</v>
      </c>
      <c r="B42" s="69"/>
      <c r="C42" s="69"/>
      <c r="D42" s="69"/>
      <c r="E42" s="126"/>
      <c r="F42" s="127"/>
      <c r="G42" s="127"/>
      <c r="H42" s="127"/>
      <c r="I42" s="127"/>
      <c r="J42" s="126">
        <f t="shared" ref="J42:AG42" si="222">-J41/(J38+J35)</f>
        <v>8.6031703021270819E-2</v>
      </c>
      <c r="K42" s="127">
        <f t="shared" si="222"/>
        <v>8.4745762711864417E-2</v>
      </c>
      <c r="L42" s="127">
        <f t="shared" si="222"/>
        <v>8.7301587301587283E-2</v>
      </c>
      <c r="M42" s="127">
        <f t="shared" si="222"/>
        <v>8.5084854895828552E-2</v>
      </c>
      <c r="N42" s="127">
        <f t="shared" si="222"/>
        <v>9.8651759289707305E-2</v>
      </c>
      <c r="O42" s="126">
        <f t="shared" si="222"/>
        <v>8.9162375988948869E-2</v>
      </c>
      <c r="P42" s="127">
        <f t="shared" si="222"/>
        <v>8.5834768071462439E-2</v>
      </c>
      <c r="Q42" s="127">
        <f t="shared" si="222"/>
        <v>8.6450291082627514E-2</v>
      </c>
      <c r="R42" s="127">
        <f t="shared" si="222"/>
        <v>8.580645161290322E-2</v>
      </c>
      <c r="S42" s="127">
        <f t="shared" si="222"/>
        <v>9.0513833992094853E-2</v>
      </c>
      <c r="T42" s="126">
        <f t="shared" si="222"/>
        <v>8.7302483069977427E-2</v>
      </c>
      <c r="U42" s="127">
        <f t="shared" si="222"/>
        <v>8.6226457907873838E-2</v>
      </c>
      <c r="V42" s="127">
        <f t="shared" si="222"/>
        <v>8.628318584070796E-2</v>
      </c>
      <c r="W42" s="127">
        <f t="shared" si="222"/>
        <v>8.578670306102551E-2</v>
      </c>
      <c r="X42" s="127">
        <f t="shared" si="222"/>
        <v>8.8339222614841048E-2</v>
      </c>
      <c r="Y42" s="190">
        <f t="shared" si="222"/>
        <v>8.6684073107049606E-2</v>
      </c>
      <c r="Z42" s="127">
        <f t="shared" si="222"/>
        <v>9.8360655737704916E-2</v>
      </c>
      <c r="AA42" s="127">
        <f t="shared" si="222"/>
        <v>8.8091543832428232E-2</v>
      </c>
      <c r="AB42" s="127">
        <f t="shared" si="222"/>
        <v>8.6647910115665389E-2</v>
      </c>
      <c r="AC42" s="127">
        <f>-AC41/(AC38+AC35)</f>
        <v>8.9079361613073518E-2</v>
      </c>
      <c r="AD42" s="190">
        <f>-AD41/(AD38+AD35)</f>
        <v>9.0365869942582458E-2</v>
      </c>
      <c r="AE42" s="127">
        <f>-AE41/(AE38+AE35)</f>
        <v>8.6649037574564908E-2</v>
      </c>
      <c r="AF42" s="127">
        <f>-AF41/(AF38+AF35)</f>
        <v>8.6568710197191728E-2</v>
      </c>
      <c r="AG42" s="127">
        <f t="shared" si="222"/>
        <v>9.4593389343750556E-2</v>
      </c>
      <c r="AH42" s="191">
        <f>+AG42</f>
        <v>9.4593389343750556E-2</v>
      </c>
      <c r="AI42" s="190">
        <f>-AI41/(AI38+AI35)</f>
        <v>9.0895812086833436E-2</v>
      </c>
      <c r="AJ42" s="191">
        <f>+AI42</f>
        <v>9.0895812086833436E-2</v>
      </c>
      <c r="AK42" s="191">
        <f>+AJ42</f>
        <v>9.0895812086833436E-2</v>
      </c>
      <c r="AL42" s="191">
        <f>+AK42</f>
        <v>9.0895812086833436E-2</v>
      </c>
      <c r="AM42" s="191">
        <f>+AL42</f>
        <v>9.0895812086833436E-2</v>
      </c>
      <c r="AN42" s="152">
        <f>AI42</f>
        <v>9.0895812086833436E-2</v>
      </c>
      <c r="AO42" s="191">
        <f>+AN42</f>
        <v>9.0895812086833436E-2</v>
      </c>
      <c r="AP42" s="191">
        <f>+AO42</f>
        <v>9.0895812086833436E-2</v>
      </c>
      <c r="AQ42" s="191">
        <f>+AP42</f>
        <v>9.0895812086833436E-2</v>
      </c>
      <c r="AR42" s="191">
        <f>+AQ42</f>
        <v>9.0895812086833436E-2</v>
      </c>
      <c r="AS42" s="152">
        <f>AN42</f>
        <v>9.0895812086833436E-2</v>
      </c>
      <c r="AT42" s="191">
        <f>+AS42</f>
        <v>9.0895812086833436E-2</v>
      </c>
      <c r="AU42" s="191">
        <f>+AT42</f>
        <v>9.0895812086833436E-2</v>
      </c>
      <c r="AV42" s="191">
        <f>+AU42</f>
        <v>9.0895812086833436E-2</v>
      </c>
      <c r="AW42" s="191">
        <f>+AV42</f>
        <v>9.0895812086833436E-2</v>
      </c>
      <c r="AX42" s="152">
        <f>AS42</f>
        <v>9.0895812086833436E-2</v>
      </c>
      <c r="AY42" s="191">
        <f>+AX42</f>
        <v>9.0895812086833436E-2</v>
      </c>
      <c r="AZ42" s="191">
        <f>+AY42</f>
        <v>9.0895812086833436E-2</v>
      </c>
      <c r="BA42" s="191">
        <f>+AZ42</f>
        <v>9.0895812086833436E-2</v>
      </c>
      <c r="BB42" s="191">
        <f>+BA42</f>
        <v>9.0895812086833436E-2</v>
      </c>
      <c r="BC42" s="152">
        <f>AX42</f>
        <v>9.0895812086833436E-2</v>
      </c>
      <c r="BD42" s="191">
        <f>+BC42</f>
        <v>9.0895812086833436E-2</v>
      </c>
      <c r="BE42" s="191">
        <f>+BD42</f>
        <v>9.0895812086833436E-2</v>
      </c>
      <c r="BF42" s="191">
        <f>+BE42</f>
        <v>9.0895812086833436E-2</v>
      </c>
      <c r="BG42" s="191">
        <f>+BF42</f>
        <v>9.0895812086833436E-2</v>
      </c>
      <c r="BH42" s="152">
        <f>BC42</f>
        <v>9.0895812086833436E-2</v>
      </c>
      <c r="BI42" s="191">
        <f>+BH42</f>
        <v>9.0895812086833436E-2</v>
      </c>
      <c r="BJ42" s="191">
        <f>+BI42</f>
        <v>9.0895812086833436E-2</v>
      </c>
      <c r="BK42" s="191">
        <f>+BJ42</f>
        <v>9.0895812086833436E-2</v>
      </c>
      <c r="BL42" s="191">
        <f>+BK42</f>
        <v>9.0895812086833436E-2</v>
      </c>
      <c r="BM42" s="152">
        <f>BH42</f>
        <v>9.0895812086833436E-2</v>
      </c>
      <c r="BN42" s="191">
        <f>+BM42</f>
        <v>9.0895812086833436E-2</v>
      </c>
      <c r="BO42" s="191">
        <f>+BN42</f>
        <v>9.0895812086833436E-2</v>
      </c>
      <c r="BP42" s="191">
        <f>+BO42</f>
        <v>9.0895812086833436E-2</v>
      </c>
      <c r="BQ42" s="191">
        <f>+BP42</f>
        <v>9.0895812086833436E-2</v>
      </c>
      <c r="BR42" s="152">
        <f>BM42</f>
        <v>9.0895812086833436E-2</v>
      </c>
      <c r="BS42" s="191">
        <f>+BR42</f>
        <v>9.0895812086833436E-2</v>
      </c>
      <c r="BT42" s="191">
        <f>+BS42</f>
        <v>9.0895812086833436E-2</v>
      </c>
      <c r="BU42" s="191">
        <f>+BT42</f>
        <v>9.0895812086833436E-2</v>
      </c>
      <c r="BV42" s="191">
        <f>+BU42</f>
        <v>9.0895812086833436E-2</v>
      </c>
      <c r="BW42" s="152">
        <f>BR42</f>
        <v>9.0895812086833436E-2</v>
      </c>
      <c r="BX42" s="191">
        <f>+BW42</f>
        <v>9.0895812086833436E-2</v>
      </c>
      <c r="BY42" s="191">
        <f>+BX42</f>
        <v>9.0895812086833436E-2</v>
      </c>
      <c r="BZ42" s="191">
        <f>+BY42</f>
        <v>9.0895812086833436E-2</v>
      </c>
      <c r="CA42" s="191">
        <f>+BZ42</f>
        <v>9.0895812086833436E-2</v>
      </c>
      <c r="CB42" s="152">
        <f>BW42</f>
        <v>9.0895812086833436E-2</v>
      </c>
      <c r="CC42" s="191">
        <f>+CB42</f>
        <v>9.0895812086833436E-2</v>
      </c>
      <c r="CD42" s="191">
        <f>+CC42</f>
        <v>9.0895812086833436E-2</v>
      </c>
      <c r="CE42" s="191">
        <f>+CD42</f>
        <v>9.0895812086833436E-2</v>
      </c>
      <c r="CF42" s="191">
        <f>+CE42</f>
        <v>9.0895812086833436E-2</v>
      </c>
      <c r="CG42" s="152">
        <f>CB42</f>
        <v>9.0895812086833436E-2</v>
      </c>
      <c r="CH42" s="191">
        <f>+CG42</f>
        <v>9.0895812086833436E-2</v>
      </c>
      <c r="CI42" s="191">
        <f>+CH42</f>
        <v>9.0895812086833436E-2</v>
      </c>
      <c r="CJ42" s="191">
        <f>+CI42</f>
        <v>9.0895812086833436E-2</v>
      </c>
      <c r="CK42" s="191">
        <f>+CJ42</f>
        <v>9.0895812086833436E-2</v>
      </c>
      <c r="CL42" s="152">
        <f>CG42</f>
        <v>9.0895812086833436E-2</v>
      </c>
      <c r="CM42" s="191">
        <f>+CL42</f>
        <v>9.0895812086833436E-2</v>
      </c>
      <c r="CN42" s="191">
        <f>+CM42</f>
        <v>9.0895812086833436E-2</v>
      </c>
      <c r="CO42" s="191">
        <f>+CN42</f>
        <v>9.0895812086833436E-2</v>
      </c>
      <c r="CP42" s="191">
        <f>+CO42</f>
        <v>9.0895812086833436E-2</v>
      </c>
      <c r="CQ42" s="152">
        <f>CL42</f>
        <v>9.0895812086833436E-2</v>
      </c>
      <c r="CR42" s="191">
        <f>+CQ42</f>
        <v>9.0895812086833436E-2</v>
      </c>
      <c r="CS42" s="191">
        <f>+CR42</f>
        <v>9.0895812086833436E-2</v>
      </c>
      <c r="CT42" s="191">
        <f>+CS42</f>
        <v>9.0895812086833436E-2</v>
      </c>
      <c r="CU42" s="191">
        <f>+CT42</f>
        <v>9.0895812086833436E-2</v>
      </c>
      <c r="CV42" s="152">
        <f>CQ42</f>
        <v>9.0895812086833436E-2</v>
      </c>
    </row>
    <row r="43" spans="1:115" s="30" customFormat="1">
      <c r="A43" s="2"/>
      <c r="E43" s="100"/>
      <c r="F43" s="83"/>
      <c r="G43" s="83"/>
      <c r="H43" s="83"/>
      <c r="I43" s="83"/>
      <c r="J43" s="100"/>
      <c r="K43" s="83"/>
      <c r="L43" s="83"/>
      <c r="M43" s="83"/>
      <c r="N43" s="83"/>
      <c r="O43" s="100"/>
      <c r="P43" s="83"/>
      <c r="Q43" s="83"/>
      <c r="R43" s="83"/>
      <c r="S43" s="83"/>
      <c r="T43" s="100"/>
      <c r="U43" s="83"/>
      <c r="V43" s="83"/>
      <c r="W43" s="83"/>
      <c r="X43" s="83"/>
      <c r="Y43" s="100"/>
      <c r="Z43" s="83"/>
      <c r="AA43" s="83"/>
      <c r="AB43" s="83"/>
      <c r="AC43" s="83"/>
      <c r="AD43" s="100"/>
      <c r="AE43" s="83"/>
      <c r="AF43" s="83"/>
      <c r="AG43" s="83"/>
      <c r="AH43" s="83"/>
      <c r="AI43" s="100"/>
      <c r="AJ43" s="83"/>
      <c r="AK43" s="83"/>
      <c r="AL43" s="83"/>
      <c r="AM43" s="83"/>
      <c r="AN43" s="100"/>
      <c r="AO43" s="83"/>
      <c r="AP43" s="83"/>
      <c r="AQ43" s="83"/>
      <c r="AR43" s="83"/>
      <c r="AS43" s="100"/>
      <c r="AT43" s="83"/>
      <c r="AU43" s="83"/>
      <c r="AV43" s="83"/>
      <c r="AW43" s="83"/>
      <c r="AX43" s="100"/>
      <c r="AY43" s="83"/>
      <c r="AZ43" s="83"/>
      <c r="BA43" s="83"/>
      <c r="BB43" s="83"/>
      <c r="BC43" s="100"/>
      <c r="BD43" s="83"/>
      <c r="BE43" s="83"/>
      <c r="BF43" s="83"/>
      <c r="BG43" s="83"/>
      <c r="BH43" s="100"/>
      <c r="BI43" s="83"/>
      <c r="BJ43" s="83"/>
      <c r="BK43" s="83"/>
      <c r="BL43" s="83"/>
      <c r="BM43" s="100"/>
      <c r="BN43" s="83"/>
      <c r="BO43" s="83"/>
      <c r="BP43" s="83"/>
      <c r="BQ43" s="83"/>
      <c r="BR43" s="100"/>
      <c r="BS43" s="83"/>
      <c r="BT43" s="83"/>
      <c r="BU43" s="83"/>
      <c r="BV43" s="83"/>
      <c r="BW43" s="100"/>
      <c r="BX43" s="83"/>
      <c r="BY43" s="83"/>
      <c r="BZ43" s="83"/>
      <c r="CA43" s="83"/>
      <c r="CB43" s="100"/>
      <c r="CC43" s="83"/>
      <c r="CD43" s="83"/>
      <c r="CE43" s="83"/>
      <c r="CF43" s="83"/>
      <c r="CG43" s="100"/>
      <c r="CH43" s="83"/>
      <c r="CI43" s="83"/>
      <c r="CJ43" s="83"/>
      <c r="CK43" s="83"/>
      <c r="CL43" s="100"/>
      <c r="CM43" s="83"/>
      <c r="CN43" s="83"/>
      <c r="CO43" s="83"/>
      <c r="CP43" s="83"/>
      <c r="CQ43" s="100"/>
      <c r="CR43" s="83"/>
      <c r="CS43" s="83"/>
      <c r="CT43" s="83"/>
      <c r="CU43" s="83"/>
      <c r="CV43" s="100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</row>
    <row r="44" spans="1:115" s="30" customFormat="1">
      <c r="A44" s="2"/>
      <c r="E44" s="95"/>
      <c r="F44" s="83"/>
      <c r="G44" s="83"/>
      <c r="H44" s="83"/>
      <c r="I44" s="83"/>
      <c r="J44" s="95"/>
      <c r="K44" s="83"/>
      <c r="L44" s="83"/>
      <c r="M44" s="83"/>
      <c r="N44" s="83"/>
      <c r="O44" s="95"/>
      <c r="P44" s="130"/>
      <c r="Q44" s="83"/>
      <c r="R44" s="83"/>
      <c r="S44" s="83"/>
      <c r="T44" s="95"/>
      <c r="U44" s="130"/>
      <c r="V44" s="83"/>
      <c r="W44" s="83"/>
      <c r="X44" s="83"/>
      <c r="Y44" s="95"/>
      <c r="Z44" s="83"/>
      <c r="AA44" s="83"/>
      <c r="AB44" s="83"/>
      <c r="AC44" s="83"/>
      <c r="AD44" s="95"/>
      <c r="AE44" s="83"/>
      <c r="AF44" s="83"/>
      <c r="AG44" s="83"/>
      <c r="AH44" s="83"/>
      <c r="AI44" s="95"/>
      <c r="AJ44" s="130"/>
      <c r="AK44" s="83"/>
      <c r="AL44" s="83"/>
      <c r="AM44" s="83"/>
      <c r="AN44" s="95"/>
      <c r="AO44" s="83"/>
      <c r="AP44" s="83"/>
      <c r="AQ44" s="83"/>
      <c r="AR44" s="83"/>
      <c r="AS44" s="95"/>
      <c r="AT44" s="83"/>
      <c r="AU44" s="83"/>
      <c r="AV44" s="83"/>
      <c r="AW44" s="83"/>
      <c r="AX44" s="95"/>
      <c r="AY44" s="83"/>
      <c r="AZ44" s="83"/>
      <c r="BA44" s="83"/>
      <c r="BB44" s="83"/>
      <c r="BC44" s="95"/>
      <c r="BD44" s="130"/>
      <c r="BE44" s="83"/>
      <c r="BF44" s="83"/>
      <c r="BG44" s="83"/>
      <c r="BH44" s="95"/>
      <c r="BI44" s="130"/>
      <c r="BJ44" s="83"/>
      <c r="BK44" s="83"/>
      <c r="BL44" s="83"/>
      <c r="BM44" s="95"/>
      <c r="BN44" s="83"/>
      <c r="BO44" s="83"/>
      <c r="BP44" s="83"/>
      <c r="BQ44" s="83"/>
      <c r="BR44" s="95"/>
      <c r="BS44" s="83"/>
      <c r="BT44" s="83"/>
      <c r="BU44" s="83"/>
      <c r="BV44" s="83"/>
      <c r="BW44" s="95"/>
      <c r="BX44" s="130"/>
      <c r="BY44" s="83"/>
      <c r="BZ44" s="83"/>
      <c r="CA44" s="83"/>
      <c r="CB44" s="95"/>
      <c r="CC44" s="83"/>
      <c r="CD44" s="83"/>
      <c r="CE44" s="83"/>
      <c r="CF44" s="83"/>
      <c r="CG44" s="95"/>
      <c r="CH44" s="83"/>
      <c r="CI44" s="83"/>
      <c r="CJ44" s="83"/>
      <c r="CK44" s="83"/>
      <c r="CL44" s="95"/>
      <c r="CM44" s="130"/>
      <c r="CN44" s="83"/>
      <c r="CO44" s="83"/>
      <c r="CP44" s="83"/>
      <c r="CQ44" s="95"/>
      <c r="CR44" s="130"/>
      <c r="CS44" s="83"/>
      <c r="CT44" s="83"/>
      <c r="CU44" s="83"/>
      <c r="CV44" s="95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</row>
    <row r="45" spans="1:115">
      <c r="A45" s="141" t="s">
        <v>284</v>
      </c>
      <c r="B45" s="9"/>
      <c r="C45" s="9"/>
      <c r="D45" s="9"/>
      <c r="E45" s="93"/>
      <c r="F45" s="94"/>
      <c r="G45" s="94"/>
      <c r="H45" s="94"/>
      <c r="I45" s="94"/>
      <c r="J45" s="93"/>
      <c r="K45" s="94"/>
      <c r="L45" s="94"/>
      <c r="M45" s="94"/>
      <c r="N45" s="94"/>
      <c r="O45" s="93"/>
      <c r="P45" s="94"/>
      <c r="Q45" s="94"/>
      <c r="R45" s="94"/>
      <c r="S45" s="94"/>
      <c r="T45" s="93"/>
      <c r="U45" s="131">
        <f>+U58/U$35</f>
        <v>7.3765844664669289E-2</v>
      </c>
      <c r="V45" s="94"/>
      <c r="W45" s="94"/>
      <c r="X45" s="94"/>
      <c r="Y45" s="131">
        <f>+Y58/Y$35</f>
        <v>7.479339235292852E-2</v>
      </c>
      <c r="Z45" s="94"/>
      <c r="AA45" s="94"/>
      <c r="AB45" s="94"/>
      <c r="AC45" s="94"/>
      <c r="AD45" s="131">
        <f>+AD58/AD$35</f>
        <v>7.2204545463776595E-2</v>
      </c>
      <c r="AE45" s="94"/>
      <c r="AF45" s="94"/>
      <c r="AG45" s="94"/>
      <c r="AH45" s="94"/>
      <c r="AI45" s="131">
        <f>+AI58/AI$35</f>
        <v>7.3649784616719893E-2</v>
      </c>
      <c r="AJ45" s="94"/>
      <c r="AK45" s="94"/>
      <c r="AL45" s="94"/>
      <c r="AM45" s="94"/>
      <c r="AN45" s="131">
        <f>+AN58/AN$35</f>
        <v>7.6818186647708245E-2</v>
      </c>
      <c r="AO45" s="94"/>
      <c r="AP45" s="94"/>
      <c r="AQ45" s="94"/>
      <c r="AR45" s="94"/>
      <c r="AS45" s="131">
        <f>+AS58/AS$35</f>
        <v>8.0844917307342543E-2</v>
      </c>
      <c r="AT45" s="94"/>
      <c r="AU45" s="94"/>
      <c r="AV45" s="94"/>
      <c r="AW45" s="94"/>
      <c r="AX45" s="131">
        <f>+AX58/AX$35</f>
        <v>7.9721302809056913E-2</v>
      </c>
      <c r="AY45" s="94"/>
      <c r="AZ45" s="94"/>
      <c r="BA45" s="94"/>
      <c r="BB45" s="94"/>
      <c r="BC45" s="131">
        <f>+BC58/BC$35</f>
        <v>7.7305125258972707E-2</v>
      </c>
      <c r="BD45" s="94"/>
      <c r="BE45" s="94"/>
      <c r="BF45" s="94"/>
      <c r="BG45" s="94"/>
      <c r="BH45" s="131">
        <f>+BH58/BH$35</f>
        <v>7.6407218972178143E-2</v>
      </c>
      <c r="BI45" s="94"/>
      <c r="BJ45" s="94"/>
      <c r="BK45" s="94"/>
      <c r="BL45" s="94"/>
      <c r="BM45" s="131">
        <f>+BM58/BM$35</f>
        <v>7.6432812116505017E-2</v>
      </c>
      <c r="BN45" s="94"/>
      <c r="BO45" s="94"/>
      <c r="BP45" s="94"/>
      <c r="BQ45" s="94"/>
      <c r="BR45" s="131">
        <f>+BR58/BR$35</f>
        <v>7.6441400051562455E-2</v>
      </c>
      <c r="BS45" s="94"/>
      <c r="BT45" s="94"/>
      <c r="BU45" s="94"/>
      <c r="BV45" s="94"/>
      <c r="BW45" s="131">
        <f>+BW58/BW$35</f>
        <v>7.637939503480598E-2</v>
      </c>
      <c r="BX45" s="94"/>
      <c r="BY45" s="94"/>
      <c r="BZ45" s="94"/>
      <c r="CA45" s="94"/>
      <c r="CB45" s="131">
        <f>+CB58/CB$35</f>
        <v>7.6361044767152469E-2</v>
      </c>
      <c r="CC45" s="94"/>
      <c r="CD45" s="94"/>
      <c r="CE45" s="94"/>
      <c r="CF45" s="94"/>
      <c r="CG45" s="131">
        <f>+CG58/CG$35</f>
        <v>7.6357748577826873E-2</v>
      </c>
      <c r="CH45" s="94"/>
      <c r="CI45" s="94"/>
      <c r="CJ45" s="94"/>
      <c r="CK45" s="94"/>
      <c r="CL45" s="131">
        <f>+CL58/CL$35</f>
        <v>7.6348702098467697E-2</v>
      </c>
      <c r="CM45" s="94"/>
      <c r="CN45" s="94"/>
      <c r="CO45" s="94"/>
      <c r="CP45" s="94"/>
      <c r="CQ45" s="131">
        <f>+CQ58/CQ$35</f>
        <v>7.6333811417467243E-2</v>
      </c>
      <c r="CR45" s="94"/>
      <c r="CS45" s="94"/>
      <c r="CT45" s="94"/>
      <c r="CU45" s="94"/>
      <c r="CV45" s="131">
        <f>+CV58/CV$35</f>
        <v>7.6304975752185936E-2</v>
      </c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</row>
    <row r="46" spans="1:115">
      <c r="A46" s="2" t="s">
        <v>69</v>
      </c>
      <c r="B46" s="7"/>
      <c r="C46" s="7"/>
      <c r="D46" s="7"/>
      <c r="E46" s="92"/>
      <c r="F46" s="84"/>
      <c r="G46" s="84"/>
      <c r="H46" s="84"/>
      <c r="I46" s="84"/>
      <c r="J46" s="92"/>
      <c r="K46" s="84"/>
      <c r="L46" s="84"/>
      <c r="M46" s="84"/>
      <c r="N46" s="84"/>
      <c r="O46" s="92"/>
      <c r="P46" s="84"/>
      <c r="Q46" s="84"/>
      <c r="R46" s="132">
        <v>4.7</v>
      </c>
      <c r="S46" s="132">
        <v>4.7</v>
      </c>
      <c r="T46" s="133">
        <v>4.7</v>
      </c>
      <c r="U46" s="132">
        <v>4.7</v>
      </c>
      <c r="V46" s="132">
        <f>+V50*V$11+V51*V$12</f>
        <v>4.7150933999999998</v>
      </c>
      <c r="W46" s="132">
        <f>+W50*W$11+W51*W$12</f>
        <v>4.7150933999999998</v>
      </c>
      <c r="X46" s="132">
        <f>+X50*X$11+X51*X$12</f>
        <v>4.7150933999999998</v>
      </c>
      <c r="Y46" s="133">
        <f>+Y58*1000/Y54</f>
        <v>4.7116140805903459</v>
      </c>
      <c r="Z46" s="132">
        <f>+Z50*Z$11+Z51*Z$12</f>
        <v>4.7150933999999998</v>
      </c>
      <c r="AA46" s="132">
        <f>+AA50*AA$11+AA51*AA$12</f>
        <v>4.7150933999999998</v>
      </c>
      <c r="AB46" s="132">
        <f>+AB50*AB$11+AB51*AB$12</f>
        <v>5.01733088694</v>
      </c>
      <c r="AC46" s="132">
        <f>+AC50*AC$11+AC51*AC$12</f>
        <v>5.01733088694</v>
      </c>
      <c r="AD46" s="133">
        <f>+AD58*1000/AD54</f>
        <v>4.8723983395206512</v>
      </c>
      <c r="AE46" s="132">
        <f>+AE50*AE$11+AE51*AE$12</f>
        <v>5.01733088694</v>
      </c>
      <c r="AF46" s="132">
        <f>+AF50*AF$11+AF51*AF$12</f>
        <v>5.1316974605879997</v>
      </c>
      <c r="AG46" s="132">
        <f>+AG50*AG$11+AG51*AG$12</f>
        <v>5.6448672066468006</v>
      </c>
      <c r="AH46" s="132">
        <f>+AH50*AH$11+AH51*AH$12</f>
        <v>5.6448672066468006</v>
      </c>
      <c r="AI46" s="133">
        <f>+AI58*1000/AI54</f>
        <v>5.3600112028925073</v>
      </c>
      <c r="AJ46" s="132">
        <f>+AJ50*AJ$11+AJ51*AJ$12</f>
        <v>6.0743066310300007</v>
      </c>
      <c r="AK46" s="132">
        <f>+AK50*AK$11+AK51*AK$12</f>
        <v>6.0743066310300007</v>
      </c>
      <c r="AL46" s="132">
        <f>+AL50*AL$11+AL51*AL$12</f>
        <v>6.4630622554159203</v>
      </c>
      <c r="AM46" s="132">
        <f>+AM50*AM$11+AM51*AM$12</f>
        <v>6.4630622554159203</v>
      </c>
      <c r="AN46" s="133">
        <f>+AN58*1000/AN54</f>
        <v>6.2671537704098794</v>
      </c>
      <c r="AO46" s="132">
        <f t="shared" ref="AO46:CR46" si="223">+AO50*AO$11+AO51*AO$12</f>
        <v>6.4630622554159203</v>
      </c>
      <c r="AP46" s="132">
        <f t="shared" si="223"/>
        <v>7.167451630245985</v>
      </c>
      <c r="AQ46" s="132">
        <f t="shared" si="223"/>
        <v>7.5258242117582848</v>
      </c>
      <c r="AR46" s="132">
        <f t="shared" si="223"/>
        <v>7.5258242117582848</v>
      </c>
      <c r="AS46" s="133">
        <f>+AS58*1000/AS54</f>
        <v>7.1826115760537181</v>
      </c>
      <c r="AT46" s="132">
        <f t="shared" si="223"/>
        <v>7.5258242117582848</v>
      </c>
      <c r="AU46" s="132">
        <f t="shared" si="223"/>
        <v>7.5258242117582848</v>
      </c>
      <c r="AV46" s="132">
        <f t="shared" si="223"/>
        <v>7.9021154223461991</v>
      </c>
      <c r="AW46" s="132">
        <f t="shared" si="223"/>
        <v>7.9021154223461991</v>
      </c>
      <c r="AX46" s="133">
        <f>+AX58*1000/AX54</f>
        <v>7.7221791642181632</v>
      </c>
      <c r="AY46" s="132">
        <f t="shared" si="223"/>
        <v>7.9021154223461991</v>
      </c>
      <c r="AZ46" s="132">
        <f t="shared" si="223"/>
        <v>7.9021154223461991</v>
      </c>
      <c r="BA46" s="132">
        <f t="shared" si="223"/>
        <v>8.2577106163517779</v>
      </c>
      <c r="BB46" s="132">
        <f t="shared" si="223"/>
        <v>8.2577106163517779</v>
      </c>
      <c r="BC46" s="133">
        <f>+BC58*1000/BC54</f>
        <v>8.0890832961739019</v>
      </c>
      <c r="BD46" s="132">
        <f t="shared" si="223"/>
        <v>8.2577106163517779</v>
      </c>
      <c r="BE46" s="132">
        <f t="shared" si="223"/>
        <v>8.2577106163517779</v>
      </c>
      <c r="BF46" s="132">
        <f t="shared" si="223"/>
        <v>8.6293075940876065</v>
      </c>
      <c r="BG46" s="132">
        <f t="shared" si="223"/>
        <v>8.6293075940876065</v>
      </c>
      <c r="BH46" s="133">
        <f>+BH58*1000/BH54</f>
        <v>8.4515531826404562</v>
      </c>
      <c r="BI46" s="132">
        <f t="shared" si="223"/>
        <v>8.6293075940876065</v>
      </c>
      <c r="BJ46" s="132">
        <f t="shared" si="223"/>
        <v>8.6293075940876065</v>
      </c>
      <c r="BK46" s="132">
        <f t="shared" si="223"/>
        <v>9.0176264358215494</v>
      </c>
      <c r="BL46" s="132">
        <f t="shared" si="223"/>
        <v>9.0176264358215494</v>
      </c>
      <c r="BM46" s="133">
        <f>+BM58*1000/BM54</f>
        <v>8.8318632640700319</v>
      </c>
      <c r="BN46" s="132">
        <f t="shared" si="223"/>
        <v>9.0176264358215494</v>
      </c>
      <c r="BO46" s="132">
        <f t="shared" si="223"/>
        <v>9.0176264358215494</v>
      </c>
      <c r="BP46" s="132">
        <f t="shared" si="223"/>
        <v>9.4234196254335174</v>
      </c>
      <c r="BQ46" s="132">
        <f t="shared" si="223"/>
        <v>9.4234196254335174</v>
      </c>
      <c r="BR46" s="133">
        <f>+BR58*1000/BR54</f>
        <v>9.2292898523124993</v>
      </c>
      <c r="BS46" s="132">
        <f t="shared" si="223"/>
        <v>9.4234196254335174</v>
      </c>
      <c r="BT46" s="132">
        <f t="shared" si="223"/>
        <v>9.4234196254335174</v>
      </c>
      <c r="BU46" s="132">
        <f t="shared" si="223"/>
        <v>9.8474735085780267</v>
      </c>
      <c r="BV46" s="132">
        <f t="shared" si="223"/>
        <v>9.8474735085780267</v>
      </c>
      <c r="BW46" s="133">
        <f>+BW58*1000/BW54</f>
        <v>9.6446033866786589</v>
      </c>
      <c r="BX46" s="132">
        <f t="shared" si="223"/>
        <v>9.8474735085780267</v>
      </c>
      <c r="BY46" s="132">
        <f t="shared" si="223"/>
        <v>9.8474735085780267</v>
      </c>
      <c r="BZ46" s="132">
        <f t="shared" si="223"/>
        <v>10.290609816464036</v>
      </c>
      <c r="CA46" s="132">
        <f t="shared" si="223"/>
        <v>10.290609816464036</v>
      </c>
      <c r="CB46" s="133">
        <f>+CB58*1000/CB54</f>
        <v>10.078609130133769</v>
      </c>
      <c r="CC46" s="132">
        <f t="shared" si="223"/>
        <v>10.290609816464036</v>
      </c>
      <c r="CD46" s="132">
        <f t="shared" si="223"/>
        <v>10.290609816464036</v>
      </c>
      <c r="CE46" s="132">
        <f t="shared" si="223"/>
        <v>10.753687258204918</v>
      </c>
      <c r="CF46" s="132">
        <f t="shared" si="223"/>
        <v>10.753687258204918</v>
      </c>
      <c r="CG46" s="133">
        <f>+CG58*1000/CG54</f>
        <v>10.532148463761819</v>
      </c>
      <c r="CH46" s="132">
        <f t="shared" si="223"/>
        <v>10.753687258204918</v>
      </c>
      <c r="CI46" s="132">
        <f t="shared" si="223"/>
        <v>10.753687258204918</v>
      </c>
      <c r="CJ46" s="132">
        <f t="shared" si="223"/>
        <v>11.237603184824138</v>
      </c>
      <c r="CK46" s="132">
        <f t="shared" si="223"/>
        <v>11.237603184824138</v>
      </c>
      <c r="CL46" s="133">
        <f>+CL58*1000/CL54</f>
        <v>11.006100654257326</v>
      </c>
      <c r="CM46" s="132">
        <f t="shared" si="223"/>
        <v>11.237603184824138</v>
      </c>
      <c r="CN46" s="132">
        <f t="shared" si="223"/>
        <v>11.237603184824138</v>
      </c>
      <c r="CO46" s="132">
        <f t="shared" si="223"/>
        <v>11.743295328141222</v>
      </c>
      <c r="CP46" s="132">
        <f t="shared" si="223"/>
        <v>11.743295328141222</v>
      </c>
      <c r="CQ46" s="133">
        <f>+CQ58*1000/CQ54</f>
        <v>11.501384741135036</v>
      </c>
      <c r="CR46" s="132">
        <f t="shared" si="223"/>
        <v>11.743295328141222</v>
      </c>
      <c r="CS46" s="132">
        <f t="shared" ref="CS46:CU46" si="224">+CS50*CS$11+CS51*CS$12</f>
        <v>11.743295328141222</v>
      </c>
      <c r="CT46" s="132">
        <f t="shared" si="224"/>
        <v>12.271743617907578</v>
      </c>
      <c r="CU46" s="132">
        <f t="shared" si="224"/>
        <v>12.271743617907578</v>
      </c>
      <c r="CV46" s="133">
        <f>+CV58*1000/CV54</f>
        <v>12.018947054486109</v>
      </c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</row>
    <row r="47" spans="1:115">
      <c r="A47" s="2" t="s">
        <v>70</v>
      </c>
      <c r="E47" s="100"/>
      <c r="J47" s="100"/>
      <c r="O47" s="100"/>
      <c r="T47" s="100"/>
      <c r="Y47" s="100"/>
      <c r="AD47" s="100"/>
      <c r="AI47" s="100"/>
      <c r="AN47" s="100"/>
      <c r="AS47" s="100"/>
      <c r="AX47" s="100"/>
      <c r="BC47" s="100"/>
      <c r="BH47" s="100"/>
      <c r="BM47" s="100"/>
      <c r="BR47" s="100"/>
      <c r="BW47" s="100"/>
      <c r="CB47" s="100"/>
      <c r="CG47" s="100"/>
      <c r="CL47" s="100"/>
      <c r="CQ47" s="100"/>
      <c r="CV47" s="100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</row>
    <row r="48" spans="1:115">
      <c r="E48" s="100"/>
      <c r="J48" s="100"/>
      <c r="O48" s="100"/>
      <c r="R48" s="83">
        <v>0.9</v>
      </c>
      <c r="T48" s="100"/>
      <c r="Y48" s="100"/>
      <c r="AD48" s="100"/>
      <c r="AI48" s="100"/>
      <c r="AN48" s="100"/>
      <c r="AS48" s="100"/>
      <c r="AX48" s="100"/>
      <c r="BC48" s="100"/>
      <c r="BH48" s="100"/>
      <c r="BM48" s="100"/>
      <c r="BR48" s="100"/>
      <c r="BW48" s="100"/>
      <c r="CB48" s="100"/>
      <c r="CG48" s="100"/>
      <c r="CL48" s="100"/>
      <c r="CQ48" s="100"/>
      <c r="CV48" s="100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</row>
    <row r="49" spans="1:115" s="70" customFormat="1">
      <c r="A49" s="148" t="s">
        <v>71</v>
      </c>
      <c r="E49" s="134"/>
      <c r="F49" s="135"/>
      <c r="G49" s="135"/>
      <c r="H49" s="135"/>
      <c r="I49" s="135"/>
      <c r="J49" s="134"/>
      <c r="K49" s="135"/>
      <c r="L49" s="135"/>
      <c r="M49" s="135"/>
      <c r="N49" s="135"/>
      <c r="O49" s="134"/>
      <c r="P49" s="135"/>
      <c r="Q49" s="135"/>
      <c r="R49" s="135"/>
      <c r="S49" s="135"/>
      <c r="T49" s="134"/>
      <c r="U49" s="135">
        <f>+U50+U51</f>
        <v>52.29</v>
      </c>
      <c r="V49" s="135">
        <f t="shared" ref="V49:CG49" si="225">+V50+V51</f>
        <v>52.29</v>
      </c>
      <c r="W49" s="135">
        <f t="shared" si="225"/>
        <v>52.29</v>
      </c>
      <c r="X49" s="135">
        <f t="shared" si="225"/>
        <v>52.29</v>
      </c>
      <c r="Y49" s="134">
        <f t="shared" ref="Y49:AD49" si="226">+Y50+Y51</f>
        <v>52.29</v>
      </c>
      <c r="Z49" s="135">
        <f t="shared" si="226"/>
        <v>52.29</v>
      </c>
      <c r="AA49" s="135">
        <f t="shared" si="226"/>
        <v>52.29</v>
      </c>
      <c r="AB49" s="135">
        <f t="shared" si="226"/>
        <v>52.29</v>
      </c>
      <c r="AC49" s="135">
        <f t="shared" si="226"/>
        <v>52.29</v>
      </c>
      <c r="AD49" s="134">
        <f t="shared" si="226"/>
        <v>52.29</v>
      </c>
      <c r="AE49" s="135">
        <f t="shared" ref="AE49:AH49" si="227">+AE50+AE51</f>
        <v>52.29</v>
      </c>
      <c r="AF49" s="135">
        <f t="shared" si="227"/>
        <v>52.29</v>
      </c>
      <c r="AG49" s="135">
        <f t="shared" si="227"/>
        <v>52.29</v>
      </c>
      <c r="AH49" s="135">
        <f t="shared" si="227"/>
        <v>52.29</v>
      </c>
      <c r="AI49" s="134">
        <f>+AI50+AI51</f>
        <v>52.29</v>
      </c>
      <c r="AJ49" s="135">
        <f t="shared" si="225"/>
        <v>52.29</v>
      </c>
      <c r="AK49" s="135">
        <f t="shared" si="225"/>
        <v>52.29</v>
      </c>
      <c r="AL49" s="135">
        <f t="shared" si="225"/>
        <v>52.29</v>
      </c>
      <c r="AM49" s="135">
        <f t="shared" si="225"/>
        <v>52.29</v>
      </c>
      <c r="AN49" s="134">
        <f t="shared" si="225"/>
        <v>52.29</v>
      </c>
      <c r="AO49" s="135">
        <f t="shared" si="225"/>
        <v>52.29</v>
      </c>
      <c r="AP49" s="135">
        <f t="shared" si="225"/>
        <v>52.29</v>
      </c>
      <c r="AQ49" s="135">
        <f t="shared" si="225"/>
        <v>52.29</v>
      </c>
      <c r="AR49" s="135">
        <f t="shared" si="225"/>
        <v>52.29</v>
      </c>
      <c r="AS49" s="134">
        <f t="shared" si="225"/>
        <v>52.29</v>
      </c>
      <c r="AT49" s="135">
        <f t="shared" si="225"/>
        <v>52.29</v>
      </c>
      <c r="AU49" s="135">
        <f t="shared" si="225"/>
        <v>52.29</v>
      </c>
      <c r="AV49" s="135">
        <f t="shared" si="225"/>
        <v>52.29</v>
      </c>
      <c r="AW49" s="135">
        <f t="shared" si="225"/>
        <v>52.29</v>
      </c>
      <c r="AX49" s="134">
        <f t="shared" si="225"/>
        <v>52.29</v>
      </c>
      <c r="AY49" s="135">
        <f t="shared" si="225"/>
        <v>52.29</v>
      </c>
      <c r="AZ49" s="135">
        <f t="shared" si="225"/>
        <v>52.29</v>
      </c>
      <c r="BA49" s="135">
        <f t="shared" si="225"/>
        <v>52.29</v>
      </c>
      <c r="BB49" s="135">
        <f t="shared" si="225"/>
        <v>52.29</v>
      </c>
      <c r="BC49" s="134">
        <f t="shared" si="225"/>
        <v>52.29</v>
      </c>
      <c r="BD49" s="135">
        <f t="shared" si="225"/>
        <v>52.29</v>
      </c>
      <c r="BE49" s="135">
        <f t="shared" si="225"/>
        <v>52.29</v>
      </c>
      <c r="BF49" s="135">
        <f t="shared" si="225"/>
        <v>52.29</v>
      </c>
      <c r="BG49" s="135">
        <f t="shared" si="225"/>
        <v>52.29</v>
      </c>
      <c r="BH49" s="134">
        <f t="shared" si="225"/>
        <v>52.29</v>
      </c>
      <c r="BI49" s="135">
        <f t="shared" si="225"/>
        <v>52.29</v>
      </c>
      <c r="BJ49" s="135">
        <f t="shared" si="225"/>
        <v>52.29</v>
      </c>
      <c r="BK49" s="135">
        <f t="shared" si="225"/>
        <v>52.29</v>
      </c>
      <c r="BL49" s="135">
        <f t="shared" si="225"/>
        <v>52.29</v>
      </c>
      <c r="BM49" s="134">
        <f t="shared" si="225"/>
        <v>52.29</v>
      </c>
      <c r="BN49" s="135">
        <f t="shared" si="225"/>
        <v>52.29</v>
      </c>
      <c r="BO49" s="135">
        <f t="shared" si="225"/>
        <v>52.29</v>
      </c>
      <c r="BP49" s="135">
        <f t="shared" si="225"/>
        <v>52.29</v>
      </c>
      <c r="BQ49" s="135">
        <f t="shared" si="225"/>
        <v>52.29</v>
      </c>
      <c r="BR49" s="134">
        <f t="shared" si="225"/>
        <v>52.29</v>
      </c>
      <c r="BS49" s="135">
        <f t="shared" si="225"/>
        <v>52.29</v>
      </c>
      <c r="BT49" s="135">
        <f t="shared" si="225"/>
        <v>52.29</v>
      </c>
      <c r="BU49" s="135">
        <f t="shared" si="225"/>
        <v>52.29</v>
      </c>
      <c r="BV49" s="135">
        <f t="shared" si="225"/>
        <v>52.29</v>
      </c>
      <c r="BW49" s="134">
        <f t="shared" si="225"/>
        <v>52.29</v>
      </c>
      <c r="BX49" s="135">
        <f t="shared" si="225"/>
        <v>52.29</v>
      </c>
      <c r="BY49" s="135">
        <f t="shared" si="225"/>
        <v>52.29</v>
      </c>
      <c r="BZ49" s="135">
        <f t="shared" si="225"/>
        <v>52.29</v>
      </c>
      <c r="CA49" s="135">
        <f t="shared" si="225"/>
        <v>52.29</v>
      </c>
      <c r="CB49" s="134">
        <f t="shared" si="225"/>
        <v>52.29</v>
      </c>
      <c r="CC49" s="135">
        <f t="shared" si="225"/>
        <v>52.29</v>
      </c>
      <c r="CD49" s="135">
        <f t="shared" si="225"/>
        <v>52.29</v>
      </c>
      <c r="CE49" s="135">
        <f t="shared" si="225"/>
        <v>52.29</v>
      </c>
      <c r="CF49" s="135">
        <f t="shared" si="225"/>
        <v>52.29</v>
      </c>
      <c r="CG49" s="134">
        <f t="shared" si="225"/>
        <v>52.29</v>
      </c>
      <c r="CH49" s="135">
        <f t="shared" ref="CH49:CV49" si="228">+CH50+CH51</f>
        <v>52.29</v>
      </c>
      <c r="CI49" s="135">
        <f t="shared" si="228"/>
        <v>52.29</v>
      </c>
      <c r="CJ49" s="135">
        <f t="shared" si="228"/>
        <v>52.29</v>
      </c>
      <c r="CK49" s="135">
        <f t="shared" si="228"/>
        <v>52.29</v>
      </c>
      <c r="CL49" s="134">
        <f t="shared" si="228"/>
        <v>52.29</v>
      </c>
      <c r="CM49" s="135">
        <f t="shared" si="228"/>
        <v>52.29</v>
      </c>
      <c r="CN49" s="135">
        <f t="shared" si="228"/>
        <v>52.29</v>
      </c>
      <c r="CO49" s="135">
        <f t="shared" si="228"/>
        <v>52.29</v>
      </c>
      <c r="CP49" s="135">
        <f t="shared" si="228"/>
        <v>52.29</v>
      </c>
      <c r="CQ49" s="134">
        <f t="shared" si="228"/>
        <v>52.29</v>
      </c>
      <c r="CR49" s="135">
        <f t="shared" si="228"/>
        <v>52.29</v>
      </c>
      <c r="CS49" s="135">
        <f t="shared" si="228"/>
        <v>52.29</v>
      </c>
      <c r="CT49" s="135">
        <f t="shared" si="228"/>
        <v>52.29</v>
      </c>
      <c r="CU49" s="135">
        <f t="shared" si="228"/>
        <v>52.29</v>
      </c>
      <c r="CV49" s="134">
        <f t="shared" si="228"/>
        <v>52.29</v>
      </c>
    </row>
    <row r="50" spans="1:115" s="70" customFormat="1">
      <c r="A50" s="148" t="s">
        <v>72</v>
      </c>
      <c r="E50" s="134"/>
      <c r="F50" s="135"/>
      <c r="G50" s="135"/>
      <c r="H50" s="135"/>
      <c r="I50" s="135"/>
      <c r="J50" s="134"/>
      <c r="K50" s="135"/>
      <c r="L50" s="135"/>
      <c r="M50" s="135"/>
      <c r="N50" s="135"/>
      <c r="O50" s="134"/>
      <c r="P50" s="135"/>
      <c r="Q50" s="135"/>
      <c r="R50" s="135"/>
      <c r="S50" s="135"/>
      <c r="T50" s="134"/>
      <c r="U50" s="136">
        <v>40.89</v>
      </c>
      <c r="V50" s="136">
        <v>40.89</v>
      </c>
      <c r="W50" s="136">
        <v>40.89</v>
      </c>
      <c r="X50" s="136">
        <v>40.89</v>
      </c>
      <c r="Y50" s="134">
        <v>40.89</v>
      </c>
      <c r="Z50" s="135">
        <v>40.89</v>
      </c>
      <c r="AA50" s="135">
        <v>40.89</v>
      </c>
      <c r="AB50" s="135">
        <v>40.89</v>
      </c>
      <c r="AC50" s="135">
        <v>40.89</v>
      </c>
      <c r="AD50" s="134">
        <v>40.89</v>
      </c>
      <c r="AE50" s="135">
        <v>40.89</v>
      </c>
      <c r="AF50" s="135">
        <v>37.65</v>
      </c>
      <c r="AG50" s="135">
        <v>37.65</v>
      </c>
      <c r="AH50" s="135">
        <v>37.65</v>
      </c>
      <c r="AI50" s="134">
        <v>37.65</v>
      </c>
      <c r="AJ50" s="135">
        <v>26.59</v>
      </c>
      <c r="AK50" s="135">
        <v>26.59</v>
      </c>
      <c r="AL50" s="135">
        <v>26.59</v>
      </c>
      <c r="AM50" s="135">
        <v>26.59</v>
      </c>
      <c r="AN50" s="134">
        <v>26.59</v>
      </c>
      <c r="AO50" s="136">
        <v>26.59</v>
      </c>
      <c r="AP50" s="136">
        <v>9.5399999999999991</v>
      </c>
      <c r="AQ50" s="136">
        <v>9.5399999999999991</v>
      </c>
      <c r="AR50" s="136">
        <v>9.5399999999999991</v>
      </c>
      <c r="AS50" s="134">
        <v>9.5399999999999991</v>
      </c>
      <c r="AT50" s="135">
        <v>9.5399999999999991</v>
      </c>
      <c r="AU50" s="135">
        <v>9.5399999999999991</v>
      </c>
      <c r="AV50" s="135">
        <v>9.5399999999999991</v>
      </c>
      <c r="AW50" s="135">
        <v>9.5399999999999991</v>
      </c>
      <c r="AX50" s="134">
        <v>9.5399999999999991</v>
      </c>
      <c r="AY50" s="135">
        <v>9.5399999999999991</v>
      </c>
      <c r="AZ50" s="135">
        <v>9.5399999999999991</v>
      </c>
      <c r="BA50" s="135">
        <v>9.5399999999999991</v>
      </c>
      <c r="BB50" s="135">
        <v>9.5399999999999991</v>
      </c>
      <c r="BC50" s="134">
        <v>9.5399999999999991</v>
      </c>
      <c r="BD50" s="135">
        <v>9.5399999999999991</v>
      </c>
      <c r="BE50" s="135">
        <v>9.5399999999999991</v>
      </c>
      <c r="BF50" s="135">
        <v>9.5399999999999991</v>
      </c>
      <c r="BG50" s="135">
        <v>9.5399999999999991</v>
      </c>
      <c r="BH50" s="134">
        <v>9.5399999999999991</v>
      </c>
      <c r="BI50" s="136">
        <v>9.5399999999999991</v>
      </c>
      <c r="BJ50" s="136">
        <v>9.5399999999999991</v>
      </c>
      <c r="BK50" s="136">
        <v>9.5399999999999991</v>
      </c>
      <c r="BL50" s="136">
        <v>9.5399999999999991</v>
      </c>
      <c r="BM50" s="134">
        <v>9.5399999999999991</v>
      </c>
      <c r="BN50" s="135">
        <v>9.5399999999999991</v>
      </c>
      <c r="BO50" s="135">
        <v>9.5399999999999991</v>
      </c>
      <c r="BP50" s="135">
        <v>9.5399999999999991</v>
      </c>
      <c r="BQ50" s="135">
        <v>9.5399999999999991</v>
      </c>
      <c r="BR50" s="134">
        <v>9.5399999999999991</v>
      </c>
      <c r="BS50" s="135">
        <v>9.5399999999999991</v>
      </c>
      <c r="BT50" s="135">
        <v>9.5399999999999991</v>
      </c>
      <c r="BU50" s="135">
        <v>9.5399999999999991</v>
      </c>
      <c r="BV50" s="135">
        <v>9.5399999999999991</v>
      </c>
      <c r="BW50" s="134">
        <v>9.5399999999999991</v>
      </c>
      <c r="BX50" s="135">
        <v>9.5399999999999991</v>
      </c>
      <c r="BY50" s="135">
        <v>9.5399999999999991</v>
      </c>
      <c r="BZ50" s="135">
        <v>9.5399999999999991</v>
      </c>
      <c r="CA50" s="135">
        <v>9.5399999999999991</v>
      </c>
      <c r="CB50" s="134">
        <v>9.5399999999999991</v>
      </c>
      <c r="CC50" s="136">
        <v>9.5399999999999991</v>
      </c>
      <c r="CD50" s="136">
        <v>9.5399999999999991</v>
      </c>
      <c r="CE50" s="136">
        <v>9.5399999999999991</v>
      </c>
      <c r="CF50" s="136">
        <v>9.5399999999999991</v>
      </c>
      <c r="CG50" s="134">
        <v>9.5399999999999991</v>
      </c>
      <c r="CH50" s="135">
        <v>9.5399999999999991</v>
      </c>
      <c r="CI50" s="135">
        <v>9.5399999999999991</v>
      </c>
      <c r="CJ50" s="135">
        <v>9.5399999999999991</v>
      </c>
      <c r="CK50" s="135">
        <v>9.5399999999999991</v>
      </c>
      <c r="CL50" s="134">
        <v>9.5399999999999991</v>
      </c>
      <c r="CM50" s="135">
        <v>9.5399999999999991</v>
      </c>
      <c r="CN50" s="135">
        <v>9.5399999999999991</v>
      </c>
      <c r="CO50" s="135">
        <v>9.5399999999999991</v>
      </c>
      <c r="CP50" s="135">
        <v>9.5399999999999991</v>
      </c>
      <c r="CQ50" s="134">
        <v>9.5399999999999991</v>
      </c>
      <c r="CR50" s="136">
        <v>9.5399999999999991</v>
      </c>
      <c r="CS50" s="136">
        <v>9.5399999999999991</v>
      </c>
      <c r="CT50" s="136">
        <v>9.5399999999999991</v>
      </c>
      <c r="CU50" s="136">
        <v>9.5399999999999991</v>
      </c>
      <c r="CV50" s="134">
        <v>9.5399999999999991</v>
      </c>
    </row>
    <row r="51" spans="1:115" s="70" customFormat="1">
      <c r="A51" s="148" t="s">
        <v>73</v>
      </c>
      <c r="E51" s="134"/>
      <c r="F51" s="135"/>
      <c r="G51" s="135"/>
      <c r="H51" s="135"/>
      <c r="I51" s="135"/>
      <c r="J51" s="134"/>
      <c r="K51" s="135"/>
      <c r="L51" s="135"/>
      <c r="M51" s="135"/>
      <c r="N51" s="135"/>
      <c r="O51" s="134"/>
      <c r="P51" s="135"/>
      <c r="Q51" s="135"/>
      <c r="R51" s="135"/>
      <c r="S51" s="135"/>
      <c r="T51" s="134"/>
      <c r="U51" s="136">
        <v>11.4</v>
      </c>
      <c r="V51" s="136">
        <v>11.4</v>
      </c>
      <c r="W51" s="136">
        <v>11.4</v>
      </c>
      <c r="X51" s="136">
        <v>11.4</v>
      </c>
      <c r="Y51" s="134">
        <v>11.4</v>
      </c>
      <c r="Z51" s="135">
        <v>11.4</v>
      </c>
      <c r="AA51" s="135">
        <v>11.4</v>
      </c>
      <c r="AB51" s="135">
        <v>11.4</v>
      </c>
      <c r="AC51" s="135">
        <v>11.4</v>
      </c>
      <c r="AD51" s="134">
        <v>11.4</v>
      </c>
      <c r="AE51" s="135">
        <v>11.4</v>
      </c>
      <c r="AF51" s="135">
        <v>14.64</v>
      </c>
      <c r="AG51" s="135">
        <v>14.64</v>
      </c>
      <c r="AH51" s="135">
        <v>14.64</v>
      </c>
      <c r="AI51" s="134">
        <v>14.64</v>
      </c>
      <c r="AJ51" s="135">
        <v>25.7</v>
      </c>
      <c r="AK51" s="135">
        <v>25.7</v>
      </c>
      <c r="AL51" s="135">
        <v>25.7</v>
      </c>
      <c r="AM51" s="135">
        <v>25.7</v>
      </c>
      <c r="AN51" s="134">
        <v>25.7</v>
      </c>
      <c r="AO51" s="136">
        <v>25.7</v>
      </c>
      <c r="AP51" s="136">
        <v>42.75</v>
      </c>
      <c r="AQ51" s="136">
        <v>42.75</v>
      </c>
      <c r="AR51" s="136">
        <v>42.75</v>
      </c>
      <c r="AS51" s="134">
        <v>42.75</v>
      </c>
      <c r="AT51" s="135">
        <v>42.75</v>
      </c>
      <c r="AU51" s="135">
        <v>42.75</v>
      </c>
      <c r="AV51" s="135">
        <v>42.75</v>
      </c>
      <c r="AW51" s="135">
        <v>42.75</v>
      </c>
      <c r="AX51" s="134">
        <v>42.75</v>
      </c>
      <c r="AY51" s="135">
        <v>42.75</v>
      </c>
      <c r="AZ51" s="135">
        <v>42.75</v>
      </c>
      <c r="BA51" s="135">
        <v>42.75</v>
      </c>
      <c r="BB51" s="135">
        <v>42.75</v>
      </c>
      <c r="BC51" s="134">
        <v>42.75</v>
      </c>
      <c r="BD51" s="135">
        <v>42.75</v>
      </c>
      <c r="BE51" s="135">
        <v>42.75</v>
      </c>
      <c r="BF51" s="135">
        <v>42.75</v>
      </c>
      <c r="BG51" s="135">
        <v>42.75</v>
      </c>
      <c r="BH51" s="134">
        <v>42.75</v>
      </c>
      <c r="BI51" s="136">
        <v>42.75</v>
      </c>
      <c r="BJ51" s="136">
        <v>42.75</v>
      </c>
      <c r="BK51" s="136">
        <v>42.75</v>
      </c>
      <c r="BL51" s="136">
        <v>42.75</v>
      </c>
      <c r="BM51" s="134">
        <v>42.75</v>
      </c>
      <c r="BN51" s="135">
        <v>42.75</v>
      </c>
      <c r="BO51" s="135">
        <v>42.75</v>
      </c>
      <c r="BP51" s="135">
        <v>42.75</v>
      </c>
      <c r="BQ51" s="135">
        <v>42.75</v>
      </c>
      <c r="BR51" s="134">
        <v>42.75</v>
      </c>
      <c r="BS51" s="135">
        <v>42.75</v>
      </c>
      <c r="BT51" s="135">
        <v>42.75</v>
      </c>
      <c r="BU51" s="135">
        <v>42.75</v>
      </c>
      <c r="BV51" s="135">
        <v>42.75</v>
      </c>
      <c r="BW51" s="134">
        <v>42.75</v>
      </c>
      <c r="BX51" s="135">
        <v>42.75</v>
      </c>
      <c r="BY51" s="135">
        <v>42.75</v>
      </c>
      <c r="BZ51" s="135">
        <v>42.75</v>
      </c>
      <c r="CA51" s="135">
        <v>42.75</v>
      </c>
      <c r="CB51" s="134">
        <v>42.75</v>
      </c>
      <c r="CC51" s="136">
        <v>42.75</v>
      </c>
      <c r="CD51" s="136">
        <v>42.75</v>
      </c>
      <c r="CE51" s="136">
        <v>42.75</v>
      </c>
      <c r="CF51" s="136">
        <v>42.75</v>
      </c>
      <c r="CG51" s="134">
        <v>42.75</v>
      </c>
      <c r="CH51" s="135">
        <v>42.75</v>
      </c>
      <c r="CI51" s="135">
        <v>42.75</v>
      </c>
      <c r="CJ51" s="135">
        <v>42.75</v>
      </c>
      <c r="CK51" s="135">
        <v>42.75</v>
      </c>
      <c r="CL51" s="134">
        <v>42.75</v>
      </c>
      <c r="CM51" s="135">
        <v>42.75</v>
      </c>
      <c r="CN51" s="135">
        <v>42.75</v>
      </c>
      <c r="CO51" s="135">
        <v>42.75</v>
      </c>
      <c r="CP51" s="135">
        <v>42.75</v>
      </c>
      <c r="CQ51" s="134">
        <v>42.75</v>
      </c>
      <c r="CR51" s="136">
        <v>42.75</v>
      </c>
      <c r="CS51" s="136">
        <v>42.75</v>
      </c>
      <c r="CT51" s="136">
        <v>42.75</v>
      </c>
      <c r="CU51" s="136">
        <v>42.75</v>
      </c>
      <c r="CV51" s="134">
        <v>42.75</v>
      </c>
    </row>
    <row r="52" spans="1:115" s="19" customFormat="1">
      <c r="A52" s="149" t="s">
        <v>74</v>
      </c>
      <c r="E52" s="112"/>
      <c r="F52" s="137"/>
      <c r="G52" s="137"/>
      <c r="H52" s="137"/>
      <c r="I52" s="137"/>
      <c r="J52" s="112"/>
      <c r="K52" s="137"/>
      <c r="L52" s="137"/>
      <c r="M52" s="137"/>
      <c r="N52" s="137"/>
      <c r="O52" s="112"/>
      <c r="P52" s="137"/>
      <c r="Q52" s="137"/>
      <c r="R52" s="137"/>
      <c r="S52" s="137"/>
      <c r="T52" s="112"/>
      <c r="U52" s="137">
        <f>+U51/U49</f>
        <v>0.21801491681009755</v>
      </c>
      <c r="V52" s="137">
        <f>+V51/V49</f>
        <v>0.21801491681009755</v>
      </c>
      <c r="W52" s="137">
        <f>+W51/W49</f>
        <v>0.21801491681009755</v>
      </c>
      <c r="X52" s="137">
        <f t="shared" ref="X52:CG52" si="229">+X51/X49</f>
        <v>0.21801491681009755</v>
      </c>
      <c r="Y52" s="112">
        <f t="shared" si="229"/>
        <v>0.21801491681009755</v>
      </c>
      <c r="Z52" s="137">
        <f t="shared" si="229"/>
        <v>0.21801491681009755</v>
      </c>
      <c r="AA52" s="137">
        <f t="shared" si="229"/>
        <v>0.21801491681009755</v>
      </c>
      <c r="AB52" s="137">
        <f t="shared" si="229"/>
        <v>0.21801491681009755</v>
      </c>
      <c r="AC52" s="137">
        <f t="shared" si="229"/>
        <v>0.21801491681009755</v>
      </c>
      <c r="AD52" s="112">
        <f t="shared" si="229"/>
        <v>0.21801491681009755</v>
      </c>
      <c r="AE52" s="137">
        <f>+AE51/AE49</f>
        <v>0.21801491681009755</v>
      </c>
      <c r="AF52" s="137">
        <f t="shared" si="229"/>
        <v>0.27997705106138843</v>
      </c>
      <c r="AG52" s="137">
        <f t="shared" si="229"/>
        <v>0.27997705106138843</v>
      </c>
      <c r="AH52" s="137">
        <f t="shared" si="229"/>
        <v>0.27997705106138843</v>
      </c>
      <c r="AI52" s="112">
        <f>+AI51/AI49</f>
        <v>0.27997705106138843</v>
      </c>
      <c r="AJ52" s="137">
        <f t="shared" si="229"/>
        <v>0.49148976859820231</v>
      </c>
      <c r="AK52" s="137">
        <f t="shared" si="229"/>
        <v>0.49148976859820231</v>
      </c>
      <c r="AL52" s="137">
        <f t="shared" si="229"/>
        <v>0.49148976859820231</v>
      </c>
      <c r="AM52" s="137">
        <f t="shared" si="229"/>
        <v>0.49148976859820231</v>
      </c>
      <c r="AN52" s="112">
        <f t="shared" si="229"/>
        <v>0.49148976859820231</v>
      </c>
      <c r="AO52" s="137">
        <f t="shared" si="229"/>
        <v>0.49148976859820231</v>
      </c>
      <c r="AP52" s="137">
        <f t="shared" si="229"/>
        <v>0.81755593803786575</v>
      </c>
      <c r="AQ52" s="137">
        <f t="shared" si="229"/>
        <v>0.81755593803786575</v>
      </c>
      <c r="AR52" s="137">
        <f t="shared" si="229"/>
        <v>0.81755593803786575</v>
      </c>
      <c r="AS52" s="112">
        <f t="shared" si="229"/>
        <v>0.81755593803786575</v>
      </c>
      <c r="AT52" s="137">
        <f t="shared" si="229"/>
        <v>0.81755593803786575</v>
      </c>
      <c r="AU52" s="137">
        <f t="shared" si="229"/>
        <v>0.81755593803786575</v>
      </c>
      <c r="AV52" s="137">
        <f t="shared" si="229"/>
        <v>0.81755593803786575</v>
      </c>
      <c r="AW52" s="137">
        <f t="shared" si="229"/>
        <v>0.81755593803786575</v>
      </c>
      <c r="AX52" s="112">
        <f t="shared" si="229"/>
        <v>0.81755593803786575</v>
      </c>
      <c r="AY52" s="137">
        <f t="shared" si="229"/>
        <v>0.81755593803786575</v>
      </c>
      <c r="AZ52" s="137">
        <f t="shared" si="229"/>
        <v>0.81755593803786575</v>
      </c>
      <c r="BA52" s="137">
        <f t="shared" si="229"/>
        <v>0.81755593803786575</v>
      </c>
      <c r="BB52" s="137">
        <f t="shared" si="229"/>
        <v>0.81755593803786575</v>
      </c>
      <c r="BC52" s="112">
        <f t="shared" si="229"/>
        <v>0.81755593803786575</v>
      </c>
      <c r="BD52" s="137">
        <f t="shared" si="229"/>
        <v>0.81755593803786575</v>
      </c>
      <c r="BE52" s="137">
        <f t="shared" si="229"/>
        <v>0.81755593803786575</v>
      </c>
      <c r="BF52" s="137">
        <f t="shared" si="229"/>
        <v>0.81755593803786575</v>
      </c>
      <c r="BG52" s="137">
        <f t="shared" si="229"/>
        <v>0.81755593803786575</v>
      </c>
      <c r="BH52" s="112">
        <f t="shared" si="229"/>
        <v>0.81755593803786575</v>
      </c>
      <c r="BI52" s="137">
        <f t="shared" si="229"/>
        <v>0.81755593803786575</v>
      </c>
      <c r="BJ52" s="137">
        <f t="shared" si="229"/>
        <v>0.81755593803786575</v>
      </c>
      <c r="BK52" s="137">
        <f t="shared" si="229"/>
        <v>0.81755593803786575</v>
      </c>
      <c r="BL52" s="137">
        <f t="shared" si="229"/>
        <v>0.81755593803786575</v>
      </c>
      <c r="BM52" s="112">
        <f t="shared" si="229"/>
        <v>0.81755593803786575</v>
      </c>
      <c r="BN52" s="137">
        <f t="shared" si="229"/>
        <v>0.81755593803786575</v>
      </c>
      <c r="BO52" s="137">
        <f t="shared" si="229"/>
        <v>0.81755593803786575</v>
      </c>
      <c r="BP52" s="137">
        <f t="shared" si="229"/>
        <v>0.81755593803786575</v>
      </c>
      <c r="BQ52" s="137">
        <f t="shared" si="229"/>
        <v>0.81755593803786575</v>
      </c>
      <c r="BR52" s="112">
        <f t="shared" si="229"/>
        <v>0.81755593803786575</v>
      </c>
      <c r="BS52" s="137">
        <f t="shared" si="229"/>
        <v>0.81755593803786575</v>
      </c>
      <c r="BT52" s="137">
        <f t="shared" si="229"/>
        <v>0.81755593803786575</v>
      </c>
      <c r="BU52" s="137">
        <f t="shared" si="229"/>
        <v>0.81755593803786575</v>
      </c>
      <c r="BV52" s="137">
        <f t="shared" si="229"/>
        <v>0.81755593803786575</v>
      </c>
      <c r="BW52" s="112">
        <f t="shared" si="229"/>
        <v>0.81755593803786575</v>
      </c>
      <c r="BX52" s="137">
        <f t="shared" si="229"/>
        <v>0.81755593803786575</v>
      </c>
      <c r="BY52" s="137">
        <f t="shared" si="229"/>
        <v>0.81755593803786575</v>
      </c>
      <c r="BZ52" s="137">
        <f t="shared" si="229"/>
        <v>0.81755593803786575</v>
      </c>
      <c r="CA52" s="137">
        <f t="shared" si="229"/>
        <v>0.81755593803786575</v>
      </c>
      <c r="CB52" s="112">
        <f t="shared" si="229"/>
        <v>0.81755593803786575</v>
      </c>
      <c r="CC52" s="137">
        <f t="shared" si="229"/>
        <v>0.81755593803786575</v>
      </c>
      <c r="CD52" s="137">
        <f t="shared" si="229"/>
        <v>0.81755593803786575</v>
      </c>
      <c r="CE52" s="137">
        <f t="shared" si="229"/>
        <v>0.81755593803786575</v>
      </c>
      <c r="CF52" s="137">
        <f t="shared" si="229"/>
        <v>0.81755593803786575</v>
      </c>
      <c r="CG52" s="112">
        <f t="shared" si="229"/>
        <v>0.81755593803786575</v>
      </c>
      <c r="CH52" s="137">
        <f t="shared" ref="CH52:CV52" si="230">+CH51/CH49</f>
        <v>0.81755593803786575</v>
      </c>
      <c r="CI52" s="137">
        <f t="shared" si="230"/>
        <v>0.81755593803786575</v>
      </c>
      <c r="CJ52" s="137">
        <f t="shared" si="230"/>
        <v>0.81755593803786575</v>
      </c>
      <c r="CK52" s="137">
        <f t="shared" si="230"/>
        <v>0.81755593803786575</v>
      </c>
      <c r="CL52" s="112">
        <f t="shared" si="230"/>
        <v>0.81755593803786575</v>
      </c>
      <c r="CM52" s="137">
        <f t="shared" si="230"/>
        <v>0.81755593803786575</v>
      </c>
      <c r="CN52" s="137">
        <f t="shared" si="230"/>
        <v>0.81755593803786575</v>
      </c>
      <c r="CO52" s="137">
        <f t="shared" si="230"/>
        <v>0.81755593803786575</v>
      </c>
      <c r="CP52" s="137">
        <f t="shared" si="230"/>
        <v>0.81755593803786575</v>
      </c>
      <c r="CQ52" s="112">
        <f t="shared" si="230"/>
        <v>0.81755593803786575</v>
      </c>
      <c r="CR52" s="137">
        <f t="shared" si="230"/>
        <v>0.81755593803786575</v>
      </c>
      <c r="CS52" s="137">
        <f t="shared" si="230"/>
        <v>0.81755593803786575</v>
      </c>
      <c r="CT52" s="137">
        <f t="shared" si="230"/>
        <v>0.81755593803786575</v>
      </c>
      <c r="CU52" s="137">
        <f t="shared" si="230"/>
        <v>0.81755593803786575</v>
      </c>
      <c r="CV52" s="112">
        <f t="shared" si="230"/>
        <v>0.81755593803786575</v>
      </c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</row>
    <row r="53" spans="1:115">
      <c r="A53" s="146"/>
      <c r="E53" s="100"/>
      <c r="J53" s="100"/>
      <c r="O53" s="100"/>
      <c r="T53" s="100"/>
      <c r="Y53" s="100"/>
      <c r="AD53" s="100"/>
      <c r="AI53" s="100"/>
      <c r="AN53" s="100"/>
      <c r="AS53" s="100"/>
      <c r="AX53" s="100"/>
      <c r="BC53" s="100"/>
      <c r="BH53" s="100"/>
      <c r="BM53" s="100"/>
      <c r="BR53" s="100"/>
      <c r="BW53" s="100"/>
      <c r="CB53" s="100"/>
      <c r="CG53" s="100"/>
      <c r="CL53" s="100"/>
      <c r="CQ53" s="100"/>
      <c r="CV53" s="100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</row>
    <row r="54" spans="1:115" s="70" customFormat="1">
      <c r="A54" s="148" t="s">
        <v>75</v>
      </c>
      <c r="B54" s="71"/>
      <c r="C54" s="71"/>
      <c r="D54" s="71">
        <v>326.31400000000002</v>
      </c>
      <c r="E54" s="134">
        <v>326.31400000000002</v>
      </c>
      <c r="F54" s="136">
        <v>666.42600000000004</v>
      </c>
      <c r="G54" s="136">
        <v>690.84199999999998</v>
      </c>
      <c r="H54" s="136">
        <v>722.3125</v>
      </c>
      <c r="I54" s="136">
        <v>703.88250000000005</v>
      </c>
      <c r="J54" s="134">
        <f>+SUM(F54:I54)</f>
        <v>2783.4630000000002</v>
      </c>
      <c r="K54" s="136">
        <v>672.13350000000003</v>
      </c>
      <c r="L54" s="136">
        <v>681.15650000000005</v>
      </c>
      <c r="M54" s="136">
        <v>732.39300000000003</v>
      </c>
      <c r="N54" s="136">
        <v>708.45950000000005</v>
      </c>
      <c r="O54" s="134">
        <f>+SUM(K54:N54)</f>
        <v>2794.1424999999999</v>
      </c>
      <c r="P54" s="136">
        <v>670.92650000000003</v>
      </c>
      <c r="Q54" s="136">
        <v>661.2355</v>
      </c>
      <c r="R54" s="136">
        <v>713.22050000000002</v>
      </c>
      <c r="S54" s="136">
        <v>702.572</v>
      </c>
      <c r="T54" s="134">
        <f>+SUM(P54:S54)</f>
        <v>2747.9545000000003</v>
      </c>
      <c r="U54" s="136">
        <v>681</v>
      </c>
      <c r="V54" s="136">
        <v>706.6</v>
      </c>
      <c r="W54" s="136">
        <v>790.2</v>
      </c>
      <c r="X54" s="136">
        <v>776.4</v>
      </c>
      <c r="Y54" s="134">
        <f>+SUM(U54:X54)</f>
        <v>2954.2000000000003</v>
      </c>
      <c r="Z54" s="136">
        <v>717.44100000000003</v>
      </c>
      <c r="AA54" s="136">
        <v>728.33600000000001</v>
      </c>
      <c r="AB54" s="136">
        <v>784.38199999999995</v>
      </c>
      <c r="AC54" s="136">
        <v>784.81600000000003</v>
      </c>
      <c r="AD54" s="134">
        <f>+SUM(Z54:AC54)</f>
        <v>3014.9750000000004</v>
      </c>
      <c r="AE54" s="302">
        <v>742.56349999999998</v>
      </c>
      <c r="AF54" s="302">
        <v>703.87750000000005</v>
      </c>
      <c r="AG54" s="302">
        <v>699.57399999999996</v>
      </c>
      <c r="AH54" s="300">
        <f>AC54*(1+AH55)</f>
        <v>757.88800000000003</v>
      </c>
      <c r="AI54" s="301">
        <f>+SUM(AE54:AH54)</f>
        <v>2903.9029999999998</v>
      </c>
      <c r="AJ54" s="300">
        <f>AE54*(1+AJ55)</f>
        <v>787.024</v>
      </c>
      <c r="AK54" s="300">
        <f>AF54*(1+AK55)</f>
        <v>746.02199999999993</v>
      </c>
      <c r="AL54" s="300">
        <f>AG54*(1+AL55)</f>
        <v>741.46100000000013</v>
      </c>
      <c r="AM54" s="300">
        <f>AH54*(1+AM55)</f>
        <v>767.62900000000013</v>
      </c>
      <c r="AN54" s="301">
        <f>+SUM(AJ54:AM54)</f>
        <v>3042.1360000000004</v>
      </c>
      <c r="AO54" s="300">
        <f>AJ54*(1+AO55)</f>
        <v>771.55600000000004</v>
      </c>
      <c r="AP54" s="300">
        <f>AK54*(1+AP55)</f>
        <v>740.10099999999989</v>
      </c>
      <c r="AQ54" s="300">
        <f>AL54*(1+AQ55)</f>
        <v>820.04700000000025</v>
      </c>
      <c r="AR54" s="300">
        <f>AM54*(1+AR55)</f>
        <v>830.22000000000025</v>
      </c>
      <c r="AS54" s="301">
        <f>+SUM(AO54:AR54)</f>
        <v>3161.9240000000004</v>
      </c>
      <c r="AT54" s="300">
        <f t="shared" ref="AT54" si="231">AO54*(1+AT55)</f>
        <v>818.89400000000001</v>
      </c>
      <c r="AU54" s="300">
        <f t="shared" ref="AU54" si="232">AP54*(1+AU55)</f>
        <v>785.63599999999985</v>
      </c>
      <c r="AV54" s="300">
        <f t="shared" ref="AV54" si="233">AQ54*(1+AV55)</f>
        <v>869.9050000000002</v>
      </c>
      <c r="AW54" s="300">
        <f t="shared" ref="AW54" si="234">AR54*(1+AW55)</f>
        <v>881.03400000000033</v>
      </c>
      <c r="AX54" s="301">
        <f>+SUM(AT54:AW54)</f>
        <v>3355.4690000000001</v>
      </c>
      <c r="AY54" s="300">
        <f t="shared" ref="AY54" si="235">AT54*(1+AY55)</f>
        <v>825.58</v>
      </c>
      <c r="AZ54" s="300">
        <f t="shared" ref="AZ54" si="236">AU54*(1+AZ55)</f>
        <v>818.07299999999987</v>
      </c>
      <c r="BA54" s="300">
        <f t="shared" ref="BA54" si="237">AV54*(1+BA55)</f>
        <v>905.26200000000028</v>
      </c>
      <c r="BB54" s="300">
        <f t="shared" ref="BB54" si="238">AW54*(1+BB55)</f>
        <v>917.1610000000004</v>
      </c>
      <c r="BC54" s="301">
        <f>+SUM(AY54:BB54)</f>
        <v>3466.0760000000005</v>
      </c>
      <c r="BD54" s="300">
        <f t="shared" ref="BD54" si="239">AY54*(1+BD55)</f>
        <v>886.60599999999999</v>
      </c>
      <c r="BE54" s="300">
        <f t="shared" ref="BE54" si="240">AZ54*(1+BE55)</f>
        <v>850.82499999999993</v>
      </c>
      <c r="BF54" s="300">
        <f t="shared" ref="BF54" si="241">BA54*(1+BF55)</f>
        <v>941.01800000000026</v>
      </c>
      <c r="BG54" s="300">
        <f t="shared" ref="BG54" si="242">BB54*(1+BG55)</f>
        <v>953.66400000000044</v>
      </c>
      <c r="BH54" s="301">
        <f>+SUM(BD54:BG54)</f>
        <v>3632.1130000000012</v>
      </c>
      <c r="BI54" s="300">
        <f t="shared" ref="BI54" si="243">BD54*(1+BI55)</f>
        <v>924.18299999999999</v>
      </c>
      <c r="BJ54" s="300">
        <f t="shared" ref="BJ54" si="244">BE54*(1+BJ55)</f>
        <v>886.92099999999982</v>
      </c>
      <c r="BK54" s="300">
        <f t="shared" ref="BK54" si="245">BF54*(1+BK55)</f>
        <v>980.77400000000011</v>
      </c>
      <c r="BL54" s="300">
        <f t="shared" ref="BL54" si="246">BG54*(1+BL55)</f>
        <v>994.04900000000032</v>
      </c>
      <c r="BM54" s="301">
        <f>+SUM(BI54:BL54)</f>
        <v>3785.9270000000001</v>
      </c>
      <c r="BN54" s="300">
        <f t="shared" ref="BN54" si="247">BI54*(1+BN55)</f>
        <v>962.45600000000013</v>
      </c>
      <c r="BO54" s="300">
        <f t="shared" ref="BO54" si="248">BJ54*(1+BO55)</f>
        <v>923.67699999999979</v>
      </c>
      <c r="BP54" s="300">
        <f t="shared" ref="BP54" si="249">BK54*(1+BP55)</f>
        <v>1021.2970000000001</v>
      </c>
      <c r="BQ54" s="300">
        <f t="shared" ref="BQ54" si="250">BL54*(1+BQ55)</f>
        <v>1035.1900000000005</v>
      </c>
      <c r="BR54" s="301">
        <f>+SUM(BN54:BQ54)</f>
        <v>3942.6200000000003</v>
      </c>
      <c r="BS54" s="300">
        <f t="shared" ref="BS54" si="251">BN54*(1+BS55)</f>
        <v>1001.3810000000001</v>
      </c>
      <c r="BT54" s="300">
        <f t="shared" ref="BT54" si="252">BO54*(1+BT55)</f>
        <v>961.04999999999973</v>
      </c>
      <c r="BU54" s="300">
        <f t="shared" ref="BU54" si="253">BP54*(1+BU55)</f>
        <v>1062.5440000000001</v>
      </c>
      <c r="BV54" s="300">
        <f t="shared" ref="BV54" si="254">BQ54*(1+BV55)</f>
        <v>1077.0410000000004</v>
      </c>
      <c r="BW54" s="301">
        <f>+SUM(BS54:BV54)</f>
        <v>4102.0160000000005</v>
      </c>
      <c r="BX54" s="300">
        <f t="shared" ref="BX54" si="255">BS54*(1+BX55)</f>
        <v>1040.9090000000001</v>
      </c>
      <c r="BY54" s="300">
        <f t="shared" ref="BY54" si="256">BT54*(1+BY55)</f>
        <v>998.99099999999964</v>
      </c>
      <c r="BZ54" s="300">
        <f t="shared" ref="BZ54" si="257">BU54*(1+BZ55)</f>
        <v>1104.4680000000001</v>
      </c>
      <c r="CA54" s="300">
        <f t="shared" ref="CA54" si="258">BV54*(1+CA55)</f>
        <v>1119.5510000000006</v>
      </c>
      <c r="CB54" s="301">
        <f>+SUM(BX54:CA54)</f>
        <v>4263.9189999999999</v>
      </c>
      <c r="CC54" s="300">
        <f t="shared" ref="CC54" si="259">BX54*(1+CC55)</f>
        <v>1080.9870000000001</v>
      </c>
      <c r="CD54" s="300">
        <f t="shared" ref="CD54" si="260">BY54*(1+CD55)</f>
        <v>1037.4489999999998</v>
      </c>
      <c r="CE54" s="300">
        <f t="shared" ref="CE54" si="261">BZ54*(1+CE55)</f>
        <v>1147.018</v>
      </c>
      <c r="CF54" s="300">
        <f t="shared" ref="CF54" si="262">CA54*(1+CF55)</f>
        <v>1162.6640000000007</v>
      </c>
      <c r="CG54" s="301">
        <f>+SUM(CC54:CF54)</f>
        <v>4428.1180000000004</v>
      </c>
      <c r="CH54" s="300">
        <f t="shared" ref="CH54" si="263">CC54*(1+CH55)</f>
        <v>1121.5619999999999</v>
      </c>
      <c r="CI54" s="300">
        <f t="shared" ref="CI54" si="264">CD54*(1+CI55)</f>
        <v>1076.3699999999997</v>
      </c>
      <c r="CJ54" s="300">
        <f t="shared" ref="CJ54" si="265">CE54*(1+CJ55)</f>
        <v>1190.1410000000001</v>
      </c>
      <c r="CK54" s="300">
        <f t="shared" ref="CK54" si="266">CF54*(1+CK55)</f>
        <v>1206.3230000000008</v>
      </c>
      <c r="CL54" s="301">
        <f>+SUM(CH54:CK54)</f>
        <v>4594.3960000000006</v>
      </c>
      <c r="CM54" s="300">
        <f t="shared" ref="CM54" si="267">CH54*(1+CM55)</f>
        <v>1162.575</v>
      </c>
      <c r="CN54" s="300">
        <f t="shared" ref="CN54" si="268">CI54*(1+CN55)</f>
        <v>1115.6969999999997</v>
      </c>
      <c r="CO54" s="300">
        <f t="shared" ref="CO54" si="269">CJ54*(1+CO55)</f>
        <v>1233.7809999999999</v>
      </c>
      <c r="CP54" s="300">
        <f t="shared" ref="CP54" si="270">CK54*(1+CP55)</f>
        <v>1250.468000000001</v>
      </c>
      <c r="CQ54" s="301">
        <f>+SUM(CM54:CP54)</f>
        <v>4762.5210000000006</v>
      </c>
      <c r="CR54" s="300">
        <f>+CM54*(1+CR55)</f>
        <v>1185.5939850000002</v>
      </c>
      <c r="CS54" s="300">
        <f>+CN54*(1+CS55)</f>
        <v>1137.7878005999996</v>
      </c>
      <c r="CT54" s="300">
        <f>+CO54*(1+CT55)</f>
        <v>1258.2098638</v>
      </c>
      <c r="CU54" s="300">
        <f>+CP54*(1+CU55)</f>
        <v>1275.2272664000011</v>
      </c>
      <c r="CV54" s="301">
        <f>+SUM(CR54:CU54)</f>
        <v>4856.8189158000005</v>
      </c>
    </row>
    <row r="55" spans="1:115">
      <c r="A55" s="146" t="s">
        <v>70</v>
      </c>
      <c r="E55" s="111"/>
      <c r="I55" s="110">
        <f>+I54/D54-1</f>
        <v>1.1570711032931471</v>
      </c>
      <c r="J55" s="111">
        <f t="shared" ref="J55:X55" si="271">+J54/E54-1</f>
        <v>7.5300140355608409</v>
      </c>
      <c r="K55" s="110">
        <f t="shared" si="271"/>
        <v>8.5643417273635336E-3</v>
      </c>
      <c r="L55" s="110">
        <f t="shared" si="271"/>
        <v>-1.4019848243158273E-2</v>
      </c>
      <c r="M55" s="110">
        <f t="shared" si="271"/>
        <v>1.3955870900752787E-2</v>
      </c>
      <c r="N55" s="110">
        <f t="shared" si="271"/>
        <v>6.5025057449219492E-3</v>
      </c>
      <c r="O55" s="111">
        <f t="shared" si="271"/>
        <v>3.8367673649692957E-3</v>
      </c>
      <c r="P55" s="110">
        <f t="shared" si="271"/>
        <v>-1.7957742025951351E-3</v>
      </c>
      <c r="Q55" s="110">
        <f t="shared" si="271"/>
        <v>-2.9245848788053919E-2</v>
      </c>
      <c r="R55" s="110">
        <f t="shared" si="271"/>
        <v>-2.6177885370286202E-2</v>
      </c>
      <c r="S55" s="110">
        <f t="shared" si="271"/>
        <v>-8.3102844975613266E-3</v>
      </c>
      <c r="T55" s="111">
        <f t="shared" si="271"/>
        <v>-1.6530295072638479E-2</v>
      </c>
      <c r="U55" s="110">
        <f t="shared" si="271"/>
        <v>1.501431229799377E-2</v>
      </c>
      <c r="V55" s="110">
        <f t="shared" si="271"/>
        <v>6.8605663186565247E-2</v>
      </c>
      <c r="W55" s="110">
        <f t="shared" si="271"/>
        <v>0.10793225937841111</v>
      </c>
      <c r="X55" s="110">
        <f t="shared" si="271"/>
        <v>0.10508246841604851</v>
      </c>
      <c r="Y55" s="111">
        <f t="shared" ref="Y55" si="272">+Y54/T54-1</f>
        <v>7.505419030773619E-2</v>
      </c>
      <c r="Z55" s="110">
        <f t="shared" ref="Z55" si="273">+Z54/U54-1</f>
        <v>5.351101321585916E-2</v>
      </c>
      <c r="AA55" s="110">
        <f t="shared" ref="AA55" si="274">+AA54/V54-1</f>
        <v>3.0761392584206071E-2</v>
      </c>
      <c r="AB55" s="110">
        <f t="shared" ref="AB55" si="275">+AB54/W54-1</f>
        <v>-7.362692989116848E-3</v>
      </c>
      <c r="AC55" s="110">
        <f t="shared" ref="AC55:AD55" si="276">+AC54/X54-1</f>
        <v>1.0839773312725454E-2</v>
      </c>
      <c r="AD55" s="111">
        <f t="shared" si="276"/>
        <v>2.0572405388937787E-2</v>
      </c>
      <c r="AE55" s="151">
        <f>+AE54/Z54-1</f>
        <v>3.5016816713848264E-2</v>
      </c>
      <c r="AF55" s="151">
        <f>+AF54/AA54-1</f>
        <v>-3.3581341578612034E-2</v>
      </c>
      <c r="AG55" s="151">
        <f>+AG54/AB54-1</f>
        <v>-0.10812078808539716</v>
      </c>
      <c r="AH55" s="151">
        <v>-3.4311227090171398E-2</v>
      </c>
      <c r="AI55" s="111">
        <f>+AI54/AD54-1</f>
        <v>-3.6840106468544742E-2</v>
      </c>
      <c r="AJ55" s="110">
        <v>5.9874340712949198E-2</v>
      </c>
      <c r="AK55" s="110">
        <v>5.9874765140240899E-2</v>
      </c>
      <c r="AL55" s="110">
        <v>5.9875009648729299E-2</v>
      </c>
      <c r="AM55" s="110">
        <v>1.28528225806452E-2</v>
      </c>
      <c r="AN55" s="111">
        <f>+AN54/AI54-1</f>
        <v>4.760248534472411E-2</v>
      </c>
      <c r="AO55" s="110">
        <v>-1.9653784382687167E-2</v>
      </c>
      <c r="AP55" s="110">
        <v>-7.9367632589923964E-3</v>
      </c>
      <c r="AQ55" s="110">
        <v>0.10598804252684912</v>
      </c>
      <c r="AR55" s="110">
        <v>8.1538086758056405E-2</v>
      </c>
      <c r="AS55" s="111">
        <f>+AS54/AN54-1</f>
        <v>3.9376280350385429E-2</v>
      </c>
      <c r="AT55" s="110">
        <v>6.1353939312246863E-2</v>
      </c>
      <c r="AU55" s="110">
        <v>6.1525386399964299E-2</v>
      </c>
      <c r="AV55" s="110">
        <v>6.0798954206283229E-2</v>
      </c>
      <c r="AW55" s="110">
        <v>6.12054636120547E-2</v>
      </c>
      <c r="AX55" s="111">
        <f>+AX54/AS54-1</f>
        <v>6.1211148655059278E-2</v>
      </c>
      <c r="AY55" s="110">
        <v>8.1646708853648775E-3</v>
      </c>
      <c r="AZ55" s="110">
        <v>4.1287568288622234E-2</v>
      </c>
      <c r="BA55" s="110">
        <v>4.0644668095941583E-2</v>
      </c>
      <c r="BB55" s="110">
        <v>4.1005227948070155E-2</v>
      </c>
      <c r="BC55" s="111">
        <f>+BC54/AX54-1</f>
        <v>3.2963201269330833E-2</v>
      </c>
      <c r="BD55" s="110">
        <v>7.3918941834831164E-2</v>
      </c>
      <c r="BE55" s="110">
        <v>4.0035546949966694E-2</v>
      </c>
      <c r="BF55" s="110">
        <v>3.9497957497387493E-2</v>
      </c>
      <c r="BG55" s="110">
        <v>3.9799991495495401E-2</v>
      </c>
      <c r="BH55" s="111">
        <f>+BH54/BC54-1</f>
        <v>4.790345047252309E-2</v>
      </c>
      <c r="BI55" s="110">
        <v>4.2382975075738294E-2</v>
      </c>
      <c r="BJ55" s="110">
        <v>4.2424705432962062E-2</v>
      </c>
      <c r="BK55" s="110">
        <v>4.2247863484013992E-2</v>
      </c>
      <c r="BL55" s="110">
        <v>4.2347199852358797E-2</v>
      </c>
      <c r="BM55" s="111">
        <f>+BM54/BH54-1</f>
        <v>4.2348352047416826E-2</v>
      </c>
      <c r="BN55" s="110">
        <v>4.1412793786512081E-2</v>
      </c>
      <c r="BO55" s="110">
        <v>4.1442247956695155E-2</v>
      </c>
      <c r="BP55" s="110">
        <v>4.1317367711623643E-2</v>
      </c>
      <c r="BQ55" s="110">
        <v>4.1387295797289836E-2</v>
      </c>
      <c r="BR55" s="111">
        <f>+BR54/BM54-1</f>
        <v>4.1388278220895414E-2</v>
      </c>
      <c r="BS55" s="110">
        <v>4.0443407283034194E-2</v>
      </c>
      <c r="BT55" s="110">
        <v>4.0461113571085949E-2</v>
      </c>
      <c r="BU55" s="110">
        <v>4.0386880603781261E-2</v>
      </c>
      <c r="BV55" s="110">
        <v>4.0428327166993405E-2</v>
      </c>
      <c r="BW55" s="111">
        <f>+BW54/BR54-1</f>
        <v>4.042895333559926E-2</v>
      </c>
      <c r="BX55" s="110">
        <v>3.9473487114295214E-2</v>
      </c>
      <c r="BY55" s="110">
        <v>3.9478695177149969E-2</v>
      </c>
      <c r="BZ55" s="110">
        <v>3.9456248400066229E-2</v>
      </c>
      <c r="CA55" s="110">
        <v>3.9469249545746266E-2</v>
      </c>
      <c r="CB55" s="111">
        <f>+CB54/BW54-1</f>
        <v>3.9469129325677699E-2</v>
      </c>
      <c r="CC55" s="110">
        <v>3.8502885458767233E-2</v>
      </c>
      <c r="CD55" s="110">
        <v>3.8496843314904883E-2</v>
      </c>
      <c r="CE55" s="110">
        <v>3.8525335274539385E-2</v>
      </c>
      <c r="CF55" s="110">
        <v>3.8509188058426957E-2</v>
      </c>
      <c r="CG55" s="111">
        <f>+CG54/CB54-1</f>
        <v>3.8508939780516505E-2</v>
      </c>
      <c r="CH55" s="110">
        <v>3.7535141495688595E-2</v>
      </c>
      <c r="CI55" s="110">
        <v>3.7516061030469672E-2</v>
      </c>
      <c r="CJ55" s="110">
        <v>3.7595748279451557E-2</v>
      </c>
      <c r="CK55" s="110">
        <v>3.7550831538604612E-2</v>
      </c>
      <c r="CL55" s="111">
        <f>+CL54/CG54-1</f>
        <v>3.7550489846928325E-2</v>
      </c>
      <c r="CM55" s="110">
        <v>3.6567751047200447E-2</v>
      </c>
      <c r="CN55" s="110">
        <v>3.6536692772931145E-2</v>
      </c>
      <c r="CO55" s="110">
        <v>3.6667924220743497E-2</v>
      </c>
      <c r="CP55" s="110">
        <v>3.6594676550144589E-2</v>
      </c>
      <c r="CQ55" s="111">
        <f>+CQ54/CL54-1</f>
        <v>3.659349346464702E-2</v>
      </c>
      <c r="CR55" s="110">
        <v>1.9800000000000002E-2</v>
      </c>
      <c r="CS55" s="110">
        <v>1.9800000000000002E-2</v>
      </c>
      <c r="CT55" s="110">
        <v>1.9800000000000002E-2</v>
      </c>
      <c r="CU55" s="110">
        <v>1.9800000000000002E-2</v>
      </c>
      <c r="CV55" s="111">
        <f t="shared" ref="CV55" si="277">+CV54/CQ54-1</f>
        <v>1.980000000000004E-2</v>
      </c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</row>
    <row r="56" spans="1:115">
      <c r="A56" s="146" t="s">
        <v>76</v>
      </c>
      <c r="E56" s="118"/>
      <c r="F56" s="119"/>
      <c r="G56" s="119"/>
      <c r="H56" s="119"/>
      <c r="I56" s="119"/>
      <c r="J56" s="118">
        <f>+J55/(J$4/100)</f>
        <v>99.952195365799952</v>
      </c>
      <c r="K56" s="119">
        <f t="shared" ref="K56" si="278">+K55/(K$4/100)</f>
        <v>0.20219644464335973</v>
      </c>
      <c r="L56" s="119">
        <f t="shared" ref="L56" si="279">+L55/(L$4/100)</f>
        <v>-0.42300343649681665</v>
      </c>
      <c r="M56" s="119">
        <f t="shared" ref="M56" si="280">+M55/(M$4/100)</f>
        <v>0.65768576356333286</v>
      </c>
      <c r="N56" s="119">
        <f t="shared" ref="N56" si="281">+N55/(N$4/100)</f>
        <v>0.47586519315111236</v>
      </c>
      <c r="O56" s="118">
        <f t="shared" ref="O56" si="282">+O55/(O$4/100)</f>
        <v>0.14041187141289166</v>
      </c>
      <c r="P56" s="119">
        <f t="shared" ref="P56" si="283">+P55/(P$4/100)</f>
        <v>-0.23856403728712797</v>
      </c>
      <c r="Q56" s="119">
        <f t="shared" ref="Q56" si="284">+Q55/(Q$4/100)</f>
        <v>-5.9712711763009594</v>
      </c>
      <c r="R56" s="119">
        <f t="shared" ref="R56" si="285">+R55/(R$4/100)</f>
        <v>-4.3629808950477003</v>
      </c>
      <c r="S56" s="119">
        <f t="shared" ref="S56" si="286">+S55/(S$4/100)</f>
        <v>-0.28170455923936699</v>
      </c>
      <c r="T56" s="118">
        <f t="shared" ref="T56:X56" si="287">+T55/(T$4/100)</f>
        <v>-1.6530295072638479</v>
      </c>
      <c r="U56" s="119">
        <f t="shared" si="287"/>
        <v>0.55471611406611254</v>
      </c>
      <c r="V56" s="119">
        <f t="shared" si="287"/>
        <v>2.078959490501977</v>
      </c>
      <c r="W56" s="119">
        <f t="shared" si="287"/>
        <v>2.8117157805533686</v>
      </c>
      <c r="X56" s="119">
        <f t="shared" si="287"/>
        <v>3.0268296315148717</v>
      </c>
      <c r="Y56" s="118">
        <f>(+Y55/(Y$4/100))</f>
        <v>2.2743694032647328</v>
      </c>
      <c r="Z56" s="119">
        <f t="shared" ref="Z56:AC56" si="288">+Z55/(Z$4/100)</f>
        <v>2.675550660792958</v>
      </c>
      <c r="AA56" s="119">
        <f t="shared" si="288"/>
        <v>1.5380696292103035</v>
      </c>
      <c r="AB56" s="119">
        <f t="shared" si="288"/>
        <v>-0.3681346494558424</v>
      </c>
      <c r="AC56" s="119">
        <f t="shared" si="288"/>
        <v>0.54198866563627268</v>
      </c>
      <c r="AD56" s="118">
        <f>(+AD55/(AD$4/100))</f>
        <v>14.228698463202671</v>
      </c>
      <c r="AE56" s="119">
        <f>+AE55/(AE$4/100)</f>
        <v>-1.1295747327047827</v>
      </c>
      <c r="AF56" s="119">
        <f>+AF55/(AF$4/100)</f>
        <v>1.0832690831810334</v>
      </c>
      <c r="AG56" s="119">
        <f>+AG55/(AG$4/100)</f>
        <v>3.4877673575934569</v>
      </c>
      <c r="AH56" s="119">
        <f>+AH55/(AH$4/100)</f>
        <v>1.1068137771023032</v>
      </c>
      <c r="AI56" s="118">
        <f>(+AI55/(AI$4/100))</f>
        <v>1.1883905312433787</v>
      </c>
      <c r="AJ56" s="119">
        <f>+AJ55/(AJ$4/100)</f>
        <v>-2.9937170356474598</v>
      </c>
      <c r="AK56" s="119">
        <f>+AK55/(AK$4/100)</f>
        <v>-2.993738257012045</v>
      </c>
      <c r="AL56" s="119">
        <f>+AL55/(AL$4/100)</f>
        <v>-2.9937504824364649</v>
      </c>
      <c r="AM56" s="119">
        <f>+AM55/(AM$4/100)</f>
        <v>-0.64264112903226001</v>
      </c>
      <c r="AN56" s="118">
        <f>(+AN55/(AN$4/100))</f>
        <v>-2.3801242672362055</v>
      </c>
      <c r="AO56" s="119">
        <f t="shared" ref="AO56:AR56" si="289">+AO55/(AO$4/100)</f>
        <v>-1.9653784382687167</v>
      </c>
      <c r="AP56" s="119">
        <f t="shared" si="289"/>
        <v>-0.79367632589923964</v>
      </c>
      <c r="AQ56" s="119">
        <f t="shared" si="289"/>
        <v>10.598804252684912</v>
      </c>
      <c r="AR56" s="119">
        <f t="shared" si="289"/>
        <v>8.1538086758056405</v>
      </c>
      <c r="AS56" s="118">
        <f>(+AS55/(AS$4/100))</f>
        <v>3.9376280350385429</v>
      </c>
      <c r="AT56" s="119">
        <f t="shared" ref="AT56" si="290">+AT55/(AT$4/100)</f>
        <v>3.0676969656123432</v>
      </c>
      <c r="AU56" s="119">
        <f t="shared" ref="AU56" si="291">+AU55/(AU$4/100)</f>
        <v>3.076269319998215</v>
      </c>
      <c r="AV56" s="119">
        <f t="shared" ref="AV56" si="292">+AV55/(AV$4/100)</f>
        <v>3.0399477103141614</v>
      </c>
      <c r="AW56" s="119">
        <f t="shared" ref="AW56" si="293">+AW55/(AW$4/100)</f>
        <v>3.060273180602735</v>
      </c>
      <c r="AX56" s="118">
        <f>(+AX55/(AX$4/100))</f>
        <v>3.0605574327529639</v>
      </c>
      <c r="AY56" s="119">
        <f t="shared" ref="AY56" si="294">+AY55/(AY$4/100)</f>
        <v>0.40823354426824388</v>
      </c>
      <c r="AZ56" s="119">
        <f t="shared" ref="AZ56" si="295">+AZ55/(AZ$4/100)</f>
        <v>2.0643784144311117</v>
      </c>
      <c r="BA56" s="119">
        <f t="shared" ref="BA56" si="296">+BA55/(BA$4/100)</f>
        <v>2.0322334047970791</v>
      </c>
      <c r="BB56" s="119">
        <f t="shared" ref="BB56" si="297">+BB55/(BB$4/100)</f>
        <v>2.0502613974035078</v>
      </c>
      <c r="BC56" s="118">
        <f>(+BC55/(BC$4/100))</f>
        <v>1.6481600634665416</v>
      </c>
      <c r="BD56" s="119">
        <f t="shared" ref="BD56" si="298">+BD55/(BD$4/100)</f>
        <v>3.6959470917415582</v>
      </c>
      <c r="BE56" s="119">
        <f t="shared" ref="BE56" si="299">+BE55/(BE$4/100)</f>
        <v>2.0017773474983347</v>
      </c>
      <c r="BF56" s="119">
        <f t="shared" ref="BF56" si="300">+BF55/(BF$4/100)</f>
        <v>1.9748978748693746</v>
      </c>
      <c r="BG56" s="119">
        <f t="shared" ref="BG56" si="301">+BG55/(BG$4/100)</f>
        <v>1.9899995747747701</v>
      </c>
      <c r="BH56" s="118">
        <f>(+BH55/(BH$4/100))</f>
        <v>2.3951725236261545</v>
      </c>
      <c r="BI56" s="119">
        <f t="shared" ref="BI56" si="302">+BI55/(BI$4/100)</f>
        <v>2.1191487537869147</v>
      </c>
      <c r="BJ56" s="119">
        <f t="shared" ref="BJ56" si="303">+BJ55/(BJ$4/100)</f>
        <v>2.1212352716481031</v>
      </c>
      <c r="BK56" s="119">
        <f t="shared" ref="BK56" si="304">+BK55/(BK$4/100)</f>
        <v>2.1123931742006996</v>
      </c>
      <c r="BL56" s="119">
        <f t="shared" ref="BL56" si="305">+BL55/(BL$4/100)</f>
        <v>2.1173599926179398</v>
      </c>
      <c r="BM56" s="118">
        <f>(+BM55/(BM$4/100))</f>
        <v>2.1174176023708413</v>
      </c>
      <c r="BN56" s="119">
        <f t="shared" ref="BN56" si="306">+BN55/(BN$4/100)</f>
        <v>2.070639689325604</v>
      </c>
      <c r="BO56" s="119">
        <f t="shared" ref="BO56" si="307">+BO55/(BO$4/100)</f>
        <v>2.0721123978347578</v>
      </c>
      <c r="BP56" s="119">
        <f t="shared" ref="BP56" si="308">+BP55/(BP$4/100)</f>
        <v>2.0658683855811821</v>
      </c>
      <c r="BQ56" s="119">
        <f t="shared" ref="BQ56" si="309">+BQ55/(BQ$4/100)</f>
        <v>2.0693647898644918</v>
      </c>
      <c r="BR56" s="118">
        <f>(+BR55/(BR$4/100))</f>
        <v>2.0694139110447707</v>
      </c>
      <c r="BS56" s="119">
        <f t="shared" ref="BS56" si="310">+BS55/(BS$4/100)</f>
        <v>2.0221703641517097</v>
      </c>
      <c r="BT56" s="119">
        <f t="shared" ref="BT56" si="311">+BT55/(BT$4/100)</f>
        <v>2.0230556785542975</v>
      </c>
      <c r="BU56" s="119">
        <f t="shared" ref="BU56" si="312">+BU55/(BU$4/100)</f>
        <v>2.0193440301890631</v>
      </c>
      <c r="BV56" s="119">
        <f t="shared" ref="BV56" si="313">+BV55/(BV$4/100)</f>
        <v>2.0214163583496703</v>
      </c>
      <c r="BW56" s="118">
        <f>(+BW55/(BW$4/100))</f>
        <v>2.021447666779963</v>
      </c>
      <c r="BX56" s="119">
        <f t="shared" ref="BX56" si="314">+BX55/(BX$4/100)</f>
        <v>1.9736743557147607</v>
      </c>
      <c r="BY56" s="119">
        <f t="shared" ref="BY56" si="315">+BY55/(BY$4/100)</f>
        <v>1.9739347588574985</v>
      </c>
      <c r="BZ56" s="119">
        <f t="shared" ref="BZ56" si="316">+BZ55/(BZ$4/100)</f>
        <v>1.9728124200033115</v>
      </c>
      <c r="CA56" s="119">
        <f t="shared" ref="CA56" si="317">+CA55/(CA$4/100)</f>
        <v>1.9734624772873133</v>
      </c>
      <c r="CB56" s="118">
        <f>(+CB55/(CB$4/100))</f>
        <v>1.9734564662838849</v>
      </c>
      <c r="CC56" s="119">
        <f t="shared" ref="CC56" si="318">+CC55/(CC$4/100)</f>
        <v>1.9251442729383617</v>
      </c>
      <c r="CD56" s="119">
        <f t="shared" ref="CD56" si="319">+CD55/(CD$4/100)</f>
        <v>1.9248421657452441</v>
      </c>
      <c r="CE56" s="119">
        <f t="shared" ref="CE56" si="320">+CE55/(CE$4/100)</f>
        <v>1.9262667637269693</v>
      </c>
      <c r="CF56" s="119">
        <f t="shared" ref="CF56" si="321">+CF55/(CF$4/100)</f>
        <v>1.9254594029213479</v>
      </c>
      <c r="CG56" s="118">
        <f>(+CG55/(CG$4/100))</f>
        <v>1.9254469890258252</v>
      </c>
      <c r="CH56" s="119">
        <f t="shared" ref="CH56" si="322">+CH55/(CH$4/100)</f>
        <v>1.8767570747844298</v>
      </c>
      <c r="CI56" s="119">
        <f t="shared" ref="CI56" si="323">+CI55/(CI$4/100)</f>
        <v>1.8758030515234836</v>
      </c>
      <c r="CJ56" s="119">
        <f t="shared" ref="CJ56" si="324">+CJ55/(CJ$4/100)</f>
        <v>1.8797874139725779</v>
      </c>
      <c r="CK56" s="119">
        <f t="shared" ref="CK56" si="325">+CK55/(CK$4/100)</f>
        <v>1.8775415769302306</v>
      </c>
      <c r="CL56" s="118">
        <f>(+CL55/(CL$4/100))</f>
        <v>1.8775244923464163</v>
      </c>
      <c r="CM56" s="119">
        <f>+CM55/(CM$4/100)</f>
        <v>1.8283875523600224</v>
      </c>
      <c r="CN56" s="119">
        <f>+CN55/(CN$4/100)</f>
        <v>1.8268346386465573</v>
      </c>
      <c r="CO56" s="119">
        <f>+CO55/(CO$4/100)</f>
        <v>1.8333962110371749</v>
      </c>
      <c r="CP56" s="119">
        <f t="shared" ref="CP56:CU56" si="326">+CP55/(CP$4/100)</f>
        <v>1.8297338275072295</v>
      </c>
      <c r="CQ56" s="118">
        <f>(+CQ55/(CQ$4/100))</f>
        <v>1.829674673232351</v>
      </c>
      <c r="CR56" s="119">
        <f>+CR55/(CR$4/100)</f>
        <v>0.9900000000000001</v>
      </c>
      <c r="CS56" s="119">
        <f>+CS55/(CS$4/100)</f>
        <v>0.9900000000000001</v>
      </c>
      <c r="CT56" s="119">
        <f t="shared" si="326"/>
        <v>0.9900000000000001</v>
      </c>
      <c r="CU56" s="119">
        <f t="shared" si="326"/>
        <v>0.9900000000000001</v>
      </c>
      <c r="CV56" s="118">
        <f>(+CV55/(CV$4/100))</f>
        <v>0.99000000000000199</v>
      </c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</row>
    <row r="57" spans="1:115" s="14" customFormat="1">
      <c r="A57" s="146"/>
      <c r="C57" s="18"/>
      <c r="D57" s="18"/>
      <c r="E57" s="100"/>
      <c r="F57" s="83"/>
      <c r="G57" s="83"/>
      <c r="H57" s="83"/>
      <c r="I57" s="83"/>
      <c r="J57" s="100"/>
      <c r="K57" s="83"/>
      <c r="L57" s="83"/>
      <c r="M57" s="83"/>
      <c r="N57" s="83"/>
      <c r="O57" s="100"/>
      <c r="P57" s="83"/>
      <c r="Q57" s="83"/>
      <c r="R57" s="83"/>
      <c r="S57" s="83"/>
      <c r="T57" s="100"/>
      <c r="U57" s="83"/>
      <c r="V57" s="83"/>
      <c r="W57" s="83"/>
      <c r="X57" s="83"/>
      <c r="Y57" s="100"/>
      <c r="Z57" s="83"/>
      <c r="AA57" s="83"/>
      <c r="AB57" s="83"/>
      <c r="AC57" s="83"/>
      <c r="AD57" s="100"/>
      <c r="AE57" s="83"/>
      <c r="AF57" s="83"/>
      <c r="AG57" s="83"/>
      <c r="AH57" s="83"/>
      <c r="AI57" s="100"/>
      <c r="AJ57" s="83"/>
      <c r="AK57" s="83"/>
      <c r="AL57" s="83"/>
      <c r="AM57" s="83"/>
      <c r="AN57" s="100"/>
      <c r="AO57" s="83"/>
      <c r="AP57" s="83"/>
      <c r="AQ57" s="83"/>
      <c r="AR57" s="83"/>
      <c r="AS57" s="100"/>
      <c r="AT57" s="83"/>
      <c r="AU57" s="83"/>
      <c r="AV57" s="83"/>
      <c r="AW57" s="83"/>
      <c r="AX57" s="100"/>
      <c r="AY57" s="83"/>
      <c r="AZ57" s="83"/>
      <c r="BA57" s="83"/>
      <c r="BB57" s="83"/>
      <c r="BC57" s="100"/>
      <c r="BD57" s="83"/>
      <c r="BE57" s="83"/>
      <c r="BF57" s="83"/>
      <c r="BG57" s="83"/>
      <c r="BH57" s="100"/>
      <c r="BI57" s="83"/>
      <c r="BJ57" s="83"/>
      <c r="BK57" s="83"/>
      <c r="BL57" s="83"/>
      <c r="BM57" s="100"/>
      <c r="BN57" s="83"/>
      <c r="BO57" s="83"/>
      <c r="BP57" s="83"/>
      <c r="BQ57" s="83"/>
      <c r="BR57" s="100"/>
      <c r="BS57" s="83"/>
      <c r="BT57" s="83"/>
      <c r="BU57" s="83"/>
      <c r="BV57" s="83"/>
      <c r="BW57" s="100"/>
      <c r="BX57" s="83"/>
      <c r="BY57" s="83"/>
      <c r="BZ57" s="83"/>
      <c r="CA57" s="83"/>
      <c r="CB57" s="100"/>
      <c r="CC57" s="83"/>
      <c r="CD57" s="83"/>
      <c r="CE57" s="83"/>
      <c r="CF57" s="83"/>
      <c r="CG57" s="100"/>
      <c r="CH57" s="83"/>
      <c r="CI57" s="83"/>
      <c r="CJ57" s="83"/>
      <c r="CK57" s="83"/>
      <c r="CL57" s="100"/>
      <c r="CM57" s="83"/>
      <c r="CN57" s="83"/>
      <c r="CO57" s="83"/>
      <c r="CP57" s="83"/>
      <c r="CQ57" s="100"/>
      <c r="CR57" s="83"/>
      <c r="CS57" s="83"/>
      <c r="CT57" s="83"/>
      <c r="CU57" s="83"/>
      <c r="CV57" s="100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</row>
    <row r="58" spans="1:115" s="28" customFormat="1">
      <c r="A58" s="150" t="s">
        <v>88</v>
      </c>
      <c r="E58" s="107"/>
      <c r="F58" s="108"/>
      <c r="G58" s="108"/>
      <c r="H58" s="108"/>
      <c r="I58" s="108"/>
      <c r="J58" s="107"/>
      <c r="K58" s="108"/>
      <c r="L58" s="108"/>
      <c r="M58" s="108"/>
      <c r="N58" s="108"/>
      <c r="O58" s="107"/>
      <c r="P58" s="108"/>
      <c r="Q58" s="108"/>
      <c r="R58" s="108">
        <f>+R54*R46/1000</f>
        <v>3.3521363500000003</v>
      </c>
      <c r="S58" s="108">
        <f>+S54*S46/1000</f>
        <v>3.3020884000000001</v>
      </c>
      <c r="T58" s="107">
        <f>+T54*T46/1000</f>
        <v>12.915386150000002</v>
      </c>
      <c r="U58" s="108">
        <f>+U54*U46/1000</f>
        <v>3.2007000000000003</v>
      </c>
      <c r="V58" s="108">
        <f t="shared" ref="V58:X58" si="327">+V54*V46/1000</f>
        <v>3.3316849964399999</v>
      </c>
      <c r="W58" s="108">
        <f t="shared" si="327"/>
        <v>3.7258668046799999</v>
      </c>
      <c r="X58" s="108">
        <f t="shared" si="327"/>
        <v>3.6607985157599998</v>
      </c>
      <c r="Y58" s="107">
        <f>+SUM(U58:X58)</f>
        <v>13.91905031688</v>
      </c>
      <c r="Z58" s="108">
        <f t="shared" ref="Z58:AC58" si="328">+Z54*Z46/1000</f>
        <v>3.3828013239893999</v>
      </c>
      <c r="AA58" s="108">
        <f t="shared" si="328"/>
        <v>3.4341722665823999</v>
      </c>
      <c r="AB58" s="108">
        <f t="shared" si="328"/>
        <v>3.935504035759771</v>
      </c>
      <c r="AC58" s="108">
        <f t="shared" si="328"/>
        <v>3.9376815573647033</v>
      </c>
      <c r="AD58" s="107">
        <f>+SUM(Z58:AC58)</f>
        <v>14.690159183696275</v>
      </c>
      <c r="AE58" s="108">
        <f>+AE54*AE46/1000</f>
        <v>3.7256867840642705</v>
      </c>
      <c r="AF58" s="108">
        <f>+AF54*AF46/1000</f>
        <v>3.6120863793150302</v>
      </c>
      <c r="AG58" s="108">
        <f>+AG54*AG46/1000</f>
        <v>3.9490023312227285</v>
      </c>
      <c r="AH58" s="108">
        <f>+AH54*AH46/1000</f>
        <v>4.2781771175111309</v>
      </c>
      <c r="AI58" s="107">
        <f>+SUM(AE58:AH58)</f>
        <v>15.56495261211316</v>
      </c>
      <c r="AJ58" s="108">
        <f>+AJ54*AJ46/1000</f>
        <v>4.7806251019797559</v>
      </c>
      <c r="AK58" s="108">
        <f>+AK54*AK46/1000</f>
        <v>4.5315663814942626</v>
      </c>
      <c r="AL58" s="108">
        <f>+AL54*AL46/1000</f>
        <v>4.7921086029629443</v>
      </c>
      <c r="AM58" s="108">
        <f>+AM54*AM46/1000</f>
        <v>4.9612340160626678</v>
      </c>
      <c r="AN58" s="107">
        <f>+SUM(AJ58:AM58)</f>
        <v>19.06553410249963</v>
      </c>
      <c r="AO58" s="108">
        <f t="shared" ref="AO58:AR58" si="329">+AO54*AO46/1000</f>
        <v>4.9866144615396859</v>
      </c>
      <c r="AP58" s="108">
        <f t="shared" si="329"/>
        <v>5.3046381189966834</v>
      </c>
      <c r="AQ58" s="108">
        <f t="shared" si="329"/>
        <v>6.1715295673797481</v>
      </c>
      <c r="AR58" s="108">
        <f t="shared" si="329"/>
        <v>6.2480897770859647</v>
      </c>
      <c r="AS58" s="107">
        <f>+SUM(AO58:AR58)</f>
        <v>22.710871925002081</v>
      </c>
      <c r="AT58" s="108">
        <f t="shared" ref="AT58:AW58" si="330">+AT54*AT46/1000</f>
        <v>6.1628522920635884</v>
      </c>
      <c r="AU58" s="108">
        <f t="shared" si="330"/>
        <v>5.9125584304289305</v>
      </c>
      <c r="AV58" s="108">
        <f t="shared" si="330"/>
        <v>6.8740897164760719</v>
      </c>
      <c r="AW58" s="108">
        <f t="shared" si="330"/>
        <v>6.9620323590113635</v>
      </c>
      <c r="AX58" s="107">
        <f>+SUM(AT58:AW58)</f>
        <v>25.911532797979955</v>
      </c>
      <c r="AY58" s="108">
        <f t="shared" ref="AY58:BB58" si="331">+AY54*AY46/1000</f>
        <v>6.5238284503805755</v>
      </c>
      <c r="AZ58" s="108">
        <f t="shared" si="331"/>
        <v>6.4645072699050212</v>
      </c>
      <c r="BA58" s="108">
        <f t="shared" si="331"/>
        <v>7.475391627979846</v>
      </c>
      <c r="BB58" s="108">
        <f t="shared" si="331"/>
        <v>7.573650126603817</v>
      </c>
      <c r="BC58" s="107">
        <f>+SUM(AY58:BB58)</f>
        <v>28.03737747486926</v>
      </c>
      <c r="BD58" s="108">
        <f t="shared" ref="BD58:BG58" si="332">+BD54*BD46/1000</f>
        <v>7.3213357787211848</v>
      </c>
      <c r="BE58" s="108">
        <f t="shared" si="332"/>
        <v>7.0258666351575014</v>
      </c>
      <c r="BF58" s="108">
        <f t="shared" si="332"/>
        <v>8.1203337735731331</v>
      </c>
      <c r="BG58" s="108">
        <f t="shared" si="332"/>
        <v>8.2294599974079663</v>
      </c>
      <c r="BH58" s="107">
        <f>+SUM(BD58:BG58)</f>
        <v>30.696996184859785</v>
      </c>
      <c r="BI58" s="108">
        <f t="shared" ref="BI58:BL58" si="333">+BI54*BI46/1000</f>
        <v>7.9750593802266669</v>
      </c>
      <c r="BJ58" s="108">
        <f t="shared" si="333"/>
        <v>7.6535141206557729</v>
      </c>
      <c r="BK58" s="108">
        <f t="shared" si="333"/>
        <v>8.8442535499664441</v>
      </c>
      <c r="BL58" s="108">
        <f t="shared" si="333"/>
        <v>8.9639625409019796</v>
      </c>
      <c r="BM58" s="107">
        <f>+SUM(BI58:BL58)</f>
        <v>33.436789591750866</v>
      </c>
      <c r="BN58" s="108">
        <f t="shared" ref="BN58:BQ58" si="334">+BN54*BN46/1000</f>
        <v>8.6790686689150665</v>
      </c>
      <c r="BO58" s="108">
        <f t="shared" si="334"/>
        <v>8.3293741333603393</v>
      </c>
      <c r="BP58" s="108">
        <f t="shared" si="334"/>
        <v>9.6241101931963762</v>
      </c>
      <c r="BQ58" s="108">
        <f t="shared" si="334"/>
        <v>9.7550297620525264</v>
      </c>
      <c r="BR58" s="107">
        <f>+SUM(BN58:BQ58)</f>
        <v>36.387582757524306</v>
      </c>
      <c r="BS58" s="108">
        <f t="shared" ref="BS58:BV58" si="335">+BS54*BS46/1000</f>
        <v>9.4364333679362424</v>
      </c>
      <c r="BT58" s="108">
        <f t="shared" si="335"/>
        <v>9.0563774310228808</v>
      </c>
      <c r="BU58" s="108">
        <f t="shared" si="335"/>
        <v>10.463373891698531</v>
      </c>
      <c r="BV58" s="108">
        <f t="shared" si="335"/>
        <v>10.606132715152391</v>
      </c>
      <c r="BW58" s="107">
        <f>+SUM(BS58:BV58)</f>
        <v>39.562317405810049</v>
      </c>
      <c r="BX58" s="108">
        <f t="shared" ref="BX58:CA58" si="336">+BX54*BX46/1000</f>
        <v>10.250323802340446</v>
      </c>
      <c r="BY58" s="108">
        <f t="shared" si="336"/>
        <v>9.8375374078078668</v>
      </c>
      <c r="BZ58" s="108">
        <f t="shared" si="336"/>
        <v>11.365649242770402</v>
      </c>
      <c r="CA58" s="108">
        <f t="shared" si="336"/>
        <v>11.520862510632135</v>
      </c>
      <c r="CB58" s="107">
        <f>+SUM(BX58:CA58)</f>
        <v>42.974372963550849</v>
      </c>
      <c r="CC58" s="108">
        <f t="shared" ref="CC58:CF58" si="337">+CC54*CC46/1000</f>
        <v>11.124015433670008</v>
      </c>
      <c r="CD58" s="108">
        <f t="shared" si="337"/>
        <v>10.675982863480796</v>
      </c>
      <c r="CE58" s="108">
        <f t="shared" si="337"/>
        <v>12.334672851531691</v>
      </c>
      <c r="CF58" s="108">
        <f t="shared" si="337"/>
        <v>12.502925042373571</v>
      </c>
      <c r="CG58" s="107">
        <f>+SUM(CC58:CF58)</f>
        <v>46.637596191056062</v>
      </c>
      <c r="CH58" s="108">
        <f t="shared" ref="CH58:CK58" si="338">+CH54*CH46/1000</f>
        <v>12.060926988686822</v>
      </c>
      <c r="CI58" s="108">
        <f t="shared" si="338"/>
        <v>11.574946354114024</v>
      </c>
      <c r="CJ58" s="108">
        <f t="shared" si="338"/>
        <v>13.374332291989786</v>
      </c>
      <c r="CK58" s="108">
        <f t="shared" si="338"/>
        <v>13.556179186726618</v>
      </c>
      <c r="CL58" s="107">
        <f>+SUM(CH58:CK58)</f>
        <v>50.566384821517246</v>
      </c>
      <c r="CM58" s="108">
        <f t="shared" ref="CM58:CP58" si="339">+CM54*CM46/1000</f>
        <v>13.064556522596922</v>
      </c>
      <c r="CN58" s="108">
        <f t="shared" si="339"/>
        <v>12.537760160498733</v>
      </c>
      <c r="CO58" s="108">
        <f t="shared" si="339"/>
        <v>14.488654653249405</v>
      </c>
      <c r="CP58" s="108">
        <f t="shared" si="339"/>
        <v>14.68461502239011</v>
      </c>
      <c r="CQ58" s="107">
        <f>+SUM(CM58:CP58)</f>
        <v>54.775586358735175</v>
      </c>
      <c r="CR58" s="108">
        <f t="shared" ref="CR58:CU58" si="340">+CR54*CR46/1000</f>
        <v>13.922780305122837</v>
      </c>
      <c r="CS58" s="108">
        <f t="shared" si="340"/>
        <v>13.361378163202053</v>
      </c>
      <c r="CT58" s="108">
        <f t="shared" si="340"/>
        <v>15.440428866076013</v>
      </c>
      <c r="CU58" s="108">
        <f t="shared" si="340"/>
        <v>15.649262067825941</v>
      </c>
      <c r="CV58" s="107">
        <f>+SUM(CR58:CU58)</f>
        <v>58.373849402226838</v>
      </c>
    </row>
    <row r="59" spans="1:115" s="14" customFormat="1">
      <c r="A59" s="146" t="s">
        <v>89</v>
      </c>
      <c r="C59" s="18"/>
      <c r="D59" s="18"/>
      <c r="E59" s="100"/>
      <c r="F59" s="83"/>
      <c r="G59" s="83"/>
      <c r="H59" s="83"/>
      <c r="I59" s="83"/>
      <c r="J59" s="100"/>
      <c r="K59" s="83"/>
      <c r="L59" s="83"/>
      <c r="M59" s="83"/>
      <c r="N59" s="83"/>
      <c r="O59" s="100"/>
      <c r="P59" s="83"/>
      <c r="Q59" s="83"/>
      <c r="R59" s="83"/>
      <c r="S59" s="83"/>
      <c r="T59" s="100"/>
      <c r="U59" s="83"/>
      <c r="V59" s="83"/>
      <c r="W59" s="83"/>
      <c r="X59" s="83"/>
      <c r="Y59" s="100"/>
      <c r="Z59" s="83"/>
      <c r="AA59" s="83"/>
      <c r="AB59" s="83"/>
      <c r="AC59" s="83"/>
      <c r="AD59" s="100"/>
      <c r="AE59" s="83"/>
      <c r="AF59" s="83"/>
      <c r="AG59" s="83"/>
      <c r="AH59" s="83"/>
      <c r="AI59" s="100"/>
      <c r="AJ59" s="83"/>
      <c r="AK59" s="83"/>
      <c r="AL59" s="83"/>
      <c r="AM59" s="83"/>
      <c r="AN59" s="100"/>
      <c r="AO59" s="83"/>
      <c r="AP59" s="83"/>
      <c r="AQ59" s="83"/>
      <c r="AR59" s="83"/>
      <c r="AS59" s="100"/>
      <c r="AT59" s="83"/>
      <c r="AU59" s="83"/>
      <c r="AV59" s="83"/>
      <c r="AW59" s="83"/>
      <c r="AX59" s="100"/>
      <c r="AY59" s="83"/>
      <c r="AZ59" s="83"/>
      <c r="BA59" s="83"/>
      <c r="BB59" s="83"/>
      <c r="BC59" s="100"/>
      <c r="BD59" s="83"/>
      <c r="BE59" s="83"/>
      <c r="BF59" s="83"/>
      <c r="BG59" s="83"/>
      <c r="BH59" s="100"/>
      <c r="BI59" s="83"/>
      <c r="BJ59" s="83"/>
      <c r="BK59" s="83"/>
      <c r="BL59" s="83"/>
      <c r="BM59" s="100"/>
      <c r="BN59" s="83"/>
      <c r="BO59" s="83"/>
      <c r="BP59" s="83"/>
      <c r="BQ59" s="83"/>
      <c r="BR59" s="100"/>
      <c r="BS59" s="83"/>
      <c r="BT59" s="83"/>
      <c r="BU59" s="83"/>
      <c r="BV59" s="83"/>
      <c r="BW59" s="100"/>
      <c r="BX59" s="83"/>
      <c r="BY59" s="83"/>
      <c r="BZ59" s="83"/>
      <c r="CA59" s="83"/>
      <c r="CB59" s="100"/>
      <c r="CC59" s="83"/>
      <c r="CD59" s="83"/>
      <c r="CE59" s="83"/>
      <c r="CF59" s="83"/>
      <c r="CG59" s="100"/>
      <c r="CH59" s="83"/>
      <c r="CI59" s="83"/>
      <c r="CJ59" s="83"/>
      <c r="CK59" s="83"/>
      <c r="CL59" s="100"/>
      <c r="CM59" s="83"/>
      <c r="CN59" s="83"/>
      <c r="CO59" s="83"/>
      <c r="CP59" s="83"/>
      <c r="CQ59" s="100"/>
      <c r="CR59" s="83"/>
      <c r="CS59" s="83"/>
      <c r="CT59" s="83"/>
      <c r="CU59" s="83"/>
      <c r="CV59" s="100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</row>
    <row r="60" spans="1:115">
      <c r="E60" s="100"/>
      <c r="J60" s="100"/>
      <c r="O60" s="100"/>
      <c r="T60" s="100"/>
      <c r="Y60" s="100"/>
      <c r="AD60" s="100"/>
      <c r="AI60" s="100"/>
      <c r="AN60" s="100"/>
      <c r="AS60" s="100"/>
      <c r="AX60" s="100"/>
      <c r="BC60" s="100"/>
      <c r="BH60" s="100"/>
      <c r="BM60" s="100"/>
      <c r="BR60" s="100"/>
      <c r="BW60" s="100"/>
      <c r="CB60" s="100"/>
      <c r="CG60" s="100"/>
      <c r="CL60" s="100"/>
      <c r="CQ60" s="100"/>
      <c r="CV60" s="100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</row>
    <row r="61" spans="1:115">
      <c r="A61" s="141" t="s">
        <v>77</v>
      </c>
      <c r="B61" s="9"/>
      <c r="C61" s="9"/>
      <c r="D61" s="9"/>
      <c r="E61" s="93"/>
      <c r="F61" s="94"/>
      <c r="G61" s="94"/>
      <c r="H61" s="94"/>
      <c r="I61" s="94"/>
      <c r="J61" s="93"/>
      <c r="K61" s="94"/>
      <c r="L61" s="94"/>
      <c r="M61" s="94"/>
      <c r="N61" s="94"/>
      <c r="O61" s="93"/>
      <c r="P61" s="94"/>
      <c r="Q61" s="94"/>
      <c r="R61" s="94"/>
      <c r="S61" s="94"/>
      <c r="T61" s="93"/>
      <c r="U61" s="131">
        <f>+U74/U$35</f>
        <v>4.1843512330029961E-2</v>
      </c>
      <c r="V61" s="94"/>
      <c r="W61" s="94"/>
      <c r="X61" s="94"/>
      <c r="Y61" s="131">
        <f>+Y74/Y$35</f>
        <v>4.4303043974744757E-2</v>
      </c>
      <c r="Z61" s="94"/>
      <c r="AA61" s="94"/>
      <c r="AB61" s="94"/>
      <c r="AC61" s="94"/>
      <c r="AD61" s="131">
        <f>+AD74/AD$35</f>
        <v>4.4820035902911205E-2</v>
      </c>
      <c r="AE61" s="94"/>
      <c r="AF61" s="94"/>
      <c r="AG61" s="94"/>
      <c r="AH61" s="94"/>
      <c r="AI61" s="131">
        <f>+AI74/AI$35</f>
        <v>4.2210471836676665E-2</v>
      </c>
      <c r="AJ61" s="94"/>
      <c r="AK61" s="94"/>
      <c r="AL61" s="94"/>
      <c r="AM61" s="94"/>
      <c r="AN61" s="131">
        <f>+AN74/AN$35</f>
        <v>4.0934797689810329E-2</v>
      </c>
      <c r="AO61" s="94"/>
      <c r="AP61" s="94"/>
      <c r="AQ61" s="94"/>
      <c r="AR61" s="94"/>
      <c r="AS61" s="131">
        <f>+AS74/AS$35</f>
        <v>4.2875119154618786E-2</v>
      </c>
      <c r="AT61" s="94"/>
      <c r="AU61" s="94"/>
      <c r="AV61" s="94"/>
      <c r="AW61" s="94"/>
      <c r="AX61" s="131">
        <f>+AX74/AX$35</f>
        <v>4.1186155135848057E-2</v>
      </c>
      <c r="AY61" s="94"/>
      <c r="AZ61" s="94"/>
      <c r="BA61" s="94"/>
      <c r="BB61" s="94"/>
      <c r="BC61" s="131">
        <f>+BC74/BC$35</f>
        <v>4.0150211781461956E-2</v>
      </c>
      <c r="BD61" s="94"/>
      <c r="BE61" s="94"/>
      <c r="BF61" s="94"/>
      <c r="BG61" s="94"/>
      <c r="BH61" s="131">
        <f>+BH74/BH$35</f>
        <v>3.9308358500097569E-2</v>
      </c>
      <c r="BI61" s="94"/>
      <c r="BJ61" s="94"/>
      <c r="BK61" s="94"/>
      <c r="BL61" s="94"/>
      <c r="BM61" s="131">
        <f>+BM74/BM$35</f>
        <v>3.9296577447350753E-2</v>
      </c>
      <c r="BN61" s="94"/>
      <c r="BO61" s="94"/>
      <c r="BP61" s="94"/>
      <c r="BQ61" s="94"/>
      <c r="BR61" s="131">
        <f>+BR74/BR$35</f>
        <v>3.9283319584905621E-2</v>
      </c>
      <c r="BS61" s="94"/>
      <c r="BT61" s="94"/>
      <c r="BU61" s="94"/>
      <c r="BV61" s="94"/>
      <c r="BW61" s="131">
        <f>+BW74/BW$35</f>
        <v>3.924101149321569E-2</v>
      </c>
      <c r="BX61" s="94"/>
      <c r="BY61" s="94"/>
      <c r="BZ61" s="94"/>
      <c r="CA61" s="94"/>
      <c r="CB61" s="131">
        <f>+CB74/CB$35</f>
        <v>3.9228381925512104E-2</v>
      </c>
      <c r="CC61" s="94"/>
      <c r="CD61" s="94"/>
      <c r="CE61" s="94"/>
      <c r="CF61" s="94"/>
      <c r="CG61" s="131">
        <f>+CG74/CG$35</f>
        <v>3.9230741632879769E-2</v>
      </c>
      <c r="CH61" s="94"/>
      <c r="CI61" s="94"/>
      <c r="CJ61" s="94"/>
      <c r="CK61" s="94"/>
      <c r="CL61" s="131">
        <f>+CL74/CL$35</f>
        <v>3.923736899875143E-2</v>
      </c>
      <c r="CM61" s="94"/>
      <c r="CN61" s="94"/>
      <c r="CO61" s="94"/>
      <c r="CP61" s="94"/>
      <c r="CQ61" s="131">
        <f>+CQ74/CQ$35</f>
        <v>3.9248257743742326E-2</v>
      </c>
      <c r="CR61" s="94"/>
      <c r="CS61" s="94"/>
      <c r="CT61" s="94"/>
      <c r="CU61" s="94"/>
      <c r="CV61" s="131">
        <f>+CV74/CV$35</f>
        <v>3.9048767301096993E-2</v>
      </c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</row>
    <row r="62" spans="1:115">
      <c r="A62" s="2" t="s">
        <v>69</v>
      </c>
      <c r="B62" s="7"/>
      <c r="C62" s="7"/>
      <c r="D62" s="7"/>
      <c r="E62" s="92"/>
      <c r="F62" s="84"/>
      <c r="G62" s="84"/>
      <c r="H62" s="84"/>
      <c r="I62" s="84"/>
      <c r="J62" s="92"/>
      <c r="K62" s="84"/>
      <c r="L62" s="84"/>
      <c r="M62" s="84"/>
      <c r="N62" s="84"/>
      <c r="O62" s="92"/>
      <c r="P62" s="84"/>
      <c r="Q62" s="84"/>
      <c r="R62" s="132">
        <v>3.7</v>
      </c>
      <c r="S62" s="132">
        <v>3.7</v>
      </c>
      <c r="T62" s="133">
        <v>3.7</v>
      </c>
      <c r="U62" s="132">
        <v>3.7</v>
      </c>
      <c r="V62" s="132">
        <f>+V66*V$11+V67*V$12</f>
        <v>3.6866829999999995</v>
      </c>
      <c r="W62" s="132">
        <f>+W66*W$11+W67*W$12</f>
        <v>3.6866829999999995</v>
      </c>
      <c r="X62" s="132">
        <f t="shared" ref="X62" si="341">+X66*X$11+X67*X$12</f>
        <v>3.6866829999999995</v>
      </c>
      <c r="Y62" s="92">
        <f>+Y74*1000/Y70</f>
        <v>3.6896073049762821</v>
      </c>
      <c r="Z62" s="84">
        <f t="shared" ref="Z62:AC62" si="342">+Z66*Z$11+Z67*Z$12</f>
        <v>3.6866829999999995</v>
      </c>
      <c r="AA62" s="84">
        <f t="shared" si="342"/>
        <v>3.6866829999999995</v>
      </c>
      <c r="AB62" s="132">
        <f t="shared" si="342"/>
        <v>3.9229993802999994</v>
      </c>
      <c r="AC62" s="84">
        <f t="shared" si="342"/>
        <v>3.9229993802999994</v>
      </c>
      <c r="AD62" s="92">
        <f>+AD74*1000/AD70</f>
        <v>3.8097522999659459</v>
      </c>
      <c r="AE62" s="84">
        <f t="shared" ref="AE62:AH62" si="343">+AE66*AE$11+AE67*AE$12</f>
        <v>3.9229993802999994</v>
      </c>
      <c r="AF62" s="84">
        <f t="shared" si="343"/>
        <v>3.9759468680999994</v>
      </c>
      <c r="AG62" s="84">
        <f t="shared" si="343"/>
        <v>4.3735415549100001</v>
      </c>
      <c r="AH62" s="84">
        <f t="shared" si="343"/>
        <v>4.3735415549100001</v>
      </c>
      <c r="AI62" s="92">
        <f>+AI74*1000/AI70</f>
        <v>4.1454291636164946</v>
      </c>
      <c r="AJ62" s="84">
        <f t="shared" ref="AJ62:AL62" si="344">+AJ66*AJ$11+AJ67*AJ$12</f>
        <v>4.3735415549100001</v>
      </c>
      <c r="AK62" s="84">
        <f t="shared" si="344"/>
        <v>4.3735415549100001</v>
      </c>
      <c r="AL62" s="132">
        <f t="shared" si="344"/>
        <v>4.6534482144242402</v>
      </c>
      <c r="AM62" s="132">
        <f>+AM66*AM$11+AM67*AM$12</f>
        <v>4.6534482144242402</v>
      </c>
      <c r="AN62" s="133">
        <f>+AN74*1000/AN70</f>
        <v>4.501766455202298</v>
      </c>
      <c r="AO62" s="132">
        <f t="shared" ref="AO62:AR62" si="345">+AO66*AO$11+AO67*AO$12</f>
        <v>4.6534482144242402</v>
      </c>
      <c r="AP62" s="132">
        <f t="shared" si="345"/>
        <v>4.6534482144242402</v>
      </c>
      <c r="AQ62" s="132">
        <f t="shared" si="345"/>
        <v>4.8861206251454528</v>
      </c>
      <c r="AR62" s="132">
        <f t="shared" si="345"/>
        <v>4.8861206251454528</v>
      </c>
      <c r="AS62" s="92">
        <f>+AS74*1000/AS70</f>
        <v>4.7735877048852746</v>
      </c>
      <c r="AT62" s="84">
        <f t="shared" ref="AT62:AW62" si="346">+AT66*AT$11+AT67*AT$12</f>
        <v>4.8861206251454528</v>
      </c>
      <c r="AU62" s="84">
        <f t="shared" si="346"/>
        <v>4.8861206251454528</v>
      </c>
      <c r="AV62" s="84">
        <f t="shared" si="346"/>
        <v>5.130426656402725</v>
      </c>
      <c r="AW62" s="84">
        <f t="shared" si="346"/>
        <v>5.130426656402725</v>
      </c>
      <c r="AX62" s="92">
        <f>+AX74*1000/AX70</f>
        <v>5.0122587058496002</v>
      </c>
      <c r="AY62" s="84">
        <f t="shared" ref="AY62:BB62" si="347">+AY66*AY$11+AY67*AY$12</f>
        <v>5.130426656402725</v>
      </c>
      <c r="AZ62" s="84">
        <f t="shared" si="347"/>
        <v>5.130426656402725</v>
      </c>
      <c r="BA62" s="84">
        <f t="shared" si="347"/>
        <v>5.3612958559408472</v>
      </c>
      <c r="BB62" s="84">
        <f t="shared" si="347"/>
        <v>5.3612958559408472</v>
      </c>
      <c r="BC62" s="92">
        <f>+BC74*1000/BC70</f>
        <v>5.2496199388320299</v>
      </c>
      <c r="BD62" s="84">
        <f t="shared" ref="BD62:BG62" si="348">+BD66*BD$11+BD67*BD$12</f>
        <v>5.3612958559408472</v>
      </c>
      <c r="BE62" s="84">
        <f t="shared" si="348"/>
        <v>5.3612958559408472</v>
      </c>
      <c r="BF62" s="132">
        <f t="shared" si="348"/>
        <v>5.6025541694581857</v>
      </c>
      <c r="BG62" s="132">
        <f t="shared" si="348"/>
        <v>5.6025541694581857</v>
      </c>
      <c r="BH62" s="133">
        <f>+BH74*1000/BH70</f>
        <v>5.4858465030609667</v>
      </c>
      <c r="BI62" s="132">
        <f t="shared" ref="BI62:BL62" si="349">+BI66*BI$11+BI67*BI$12</f>
        <v>5.6025541694581857</v>
      </c>
      <c r="BJ62" s="132">
        <f t="shared" si="349"/>
        <v>5.6025541694581857</v>
      </c>
      <c r="BK62" s="132">
        <f t="shared" si="349"/>
        <v>5.8546691070838044</v>
      </c>
      <c r="BL62" s="132">
        <f t="shared" si="349"/>
        <v>5.8546691070838044</v>
      </c>
      <c r="BM62" s="92">
        <f>+BM74*1000/BM70</f>
        <v>5.732707444790222</v>
      </c>
      <c r="BN62" s="84">
        <f t="shared" ref="BN62:BQ62" si="350">+BN66*BN$11+BN67*BN$12</f>
        <v>5.8546691070838044</v>
      </c>
      <c r="BO62" s="84">
        <f t="shared" si="350"/>
        <v>5.8546691070838044</v>
      </c>
      <c r="BP62" s="84">
        <f t="shared" si="350"/>
        <v>6.1181292169025747</v>
      </c>
      <c r="BQ62" s="84">
        <f t="shared" si="350"/>
        <v>6.1181292169025747</v>
      </c>
      <c r="BR62" s="92">
        <f>+BR74*1000/BR70</f>
        <v>5.9906776784907567</v>
      </c>
      <c r="BS62" s="84">
        <f t="shared" ref="BS62:BV62" si="351">+BS66*BS$11+BS67*BS$12</f>
        <v>6.1181292169025747</v>
      </c>
      <c r="BT62" s="84">
        <f t="shared" si="351"/>
        <v>6.1181292169025747</v>
      </c>
      <c r="BU62" s="84">
        <f t="shared" si="351"/>
        <v>6.3934450316631901</v>
      </c>
      <c r="BV62" s="84">
        <f t="shared" si="351"/>
        <v>6.3934450316631901</v>
      </c>
      <c r="BW62" s="92">
        <f>+BW74*1000/BW70</f>
        <v>6.2602571263055591</v>
      </c>
      <c r="BX62" s="84">
        <f t="shared" ref="BX62:CA62" si="352">+BX66*BX$11+BX67*BX$12</f>
        <v>6.3934450316631901</v>
      </c>
      <c r="BY62" s="84">
        <f t="shared" si="352"/>
        <v>6.3934450316631901</v>
      </c>
      <c r="BZ62" s="132">
        <f t="shared" si="352"/>
        <v>6.6811500580880328</v>
      </c>
      <c r="CA62" s="132">
        <f t="shared" si="352"/>
        <v>6.6811500580880328</v>
      </c>
      <c r="CB62" s="133">
        <f>+CB74*1000/CB70</f>
        <v>6.5419684311716857</v>
      </c>
      <c r="CC62" s="132">
        <f t="shared" ref="CC62:CF62" si="353">+CC66*CC$11+CC67*CC$12</f>
        <v>6.6811500580880328</v>
      </c>
      <c r="CD62" s="132">
        <f t="shared" si="353"/>
        <v>6.6811500580880328</v>
      </c>
      <c r="CE62" s="132">
        <f t="shared" si="353"/>
        <v>6.9818018107019943</v>
      </c>
      <c r="CF62" s="132">
        <f t="shared" si="353"/>
        <v>6.9818018107019943</v>
      </c>
      <c r="CG62" s="92">
        <f>+CG74*1000/CG70</f>
        <v>6.8363574227991375</v>
      </c>
      <c r="CH62" s="84">
        <f t="shared" ref="CH62:CK62" si="354">+CH66*CH$11+CH67*CH$12</f>
        <v>6.9818018107019943</v>
      </c>
      <c r="CI62" s="84">
        <f t="shared" si="354"/>
        <v>6.9818018107019943</v>
      </c>
      <c r="CJ62" s="84">
        <f t="shared" si="354"/>
        <v>7.2959828921835843</v>
      </c>
      <c r="CK62" s="84">
        <f t="shared" si="354"/>
        <v>7.2959828921835843</v>
      </c>
      <c r="CL62" s="92">
        <f>+CL74*1000/CL70</f>
        <v>7.1439947233608017</v>
      </c>
      <c r="CM62" s="84">
        <f t="shared" ref="CM62:CP62" si="355">+CM66*CM$11+CM67*CM$12</f>
        <v>7.2959828921835843</v>
      </c>
      <c r="CN62" s="84">
        <f t="shared" si="355"/>
        <v>7.2959828921835843</v>
      </c>
      <c r="CO62" s="132">
        <f t="shared" si="355"/>
        <v>7.6243021223318452</v>
      </c>
      <c r="CP62" s="132">
        <f t="shared" si="355"/>
        <v>7.6243021223318452</v>
      </c>
      <c r="CQ62" s="133">
        <f>+CQ74*1000/CQ70</f>
        <v>7.465476594267451</v>
      </c>
      <c r="CR62" s="132">
        <f t="shared" ref="CR62:CU62" si="356">+CR66*CR$11+CR67*CR$12</f>
        <v>7.6243021223318452</v>
      </c>
      <c r="CS62" s="132">
        <f t="shared" si="356"/>
        <v>7.6243021223318452</v>
      </c>
      <c r="CT62" s="132">
        <f t="shared" si="356"/>
        <v>7.9673957178367782</v>
      </c>
      <c r="CU62" s="132">
        <f t="shared" si="356"/>
        <v>7.9673957178367782</v>
      </c>
      <c r="CV62" s="92">
        <f>+CV74*1000/CV70</f>
        <v>7.801423041009488</v>
      </c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</row>
    <row r="63" spans="1:115">
      <c r="A63" s="2" t="s">
        <v>70</v>
      </c>
      <c r="B63" s="34"/>
      <c r="C63" s="34"/>
      <c r="D63" s="34"/>
      <c r="E63" s="100"/>
      <c r="J63" s="100"/>
      <c r="O63" s="100"/>
      <c r="T63" s="100"/>
      <c r="Y63" s="100"/>
      <c r="AD63" s="100"/>
      <c r="AI63" s="100"/>
      <c r="AN63" s="100"/>
      <c r="AS63" s="100"/>
      <c r="AX63" s="100"/>
      <c r="BC63" s="100"/>
      <c r="BH63" s="100"/>
      <c r="BM63" s="100"/>
      <c r="BR63" s="100"/>
      <c r="BW63" s="100"/>
      <c r="CB63" s="100"/>
      <c r="CG63" s="100"/>
      <c r="CL63" s="100"/>
      <c r="CQ63" s="100"/>
      <c r="CV63" s="100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</row>
    <row r="64" spans="1:115">
      <c r="B64" s="34"/>
      <c r="C64" s="34"/>
      <c r="D64" s="34"/>
      <c r="E64" s="100"/>
      <c r="J64" s="100"/>
      <c r="O64" s="100"/>
      <c r="T64" s="100"/>
      <c r="Y64" s="100"/>
      <c r="AD64" s="100"/>
      <c r="AI64" s="100"/>
      <c r="AN64" s="100"/>
      <c r="AS64" s="100"/>
      <c r="AX64" s="100"/>
      <c r="BC64" s="100"/>
      <c r="BH64" s="100"/>
      <c r="BM64" s="100"/>
      <c r="BR64" s="100"/>
      <c r="BW64" s="100"/>
      <c r="CB64" s="100"/>
      <c r="CG64" s="100"/>
      <c r="CL64" s="100"/>
      <c r="CQ64" s="100"/>
      <c r="CV64" s="100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</row>
    <row r="65" spans="1:115">
      <c r="A65" s="148" t="s">
        <v>71</v>
      </c>
      <c r="B65" s="70"/>
      <c r="C65" s="70"/>
      <c r="D65" s="70"/>
      <c r="E65" s="134"/>
      <c r="F65" s="135"/>
      <c r="G65" s="135"/>
      <c r="H65" s="135"/>
      <c r="I65" s="135"/>
      <c r="J65" s="134"/>
      <c r="K65" s="135"/>
      <c r="L65" s="135"/>
      <c r="M65" s="135"/>
      <c r="N65" s="135"/>
      <c r="O65" s="134"/>
      <c r="P65" s="135"/>
      <c r="Q65" s="135"/>
      <c r="R65" s="135"/>
      <c r="S65" s="135"/>
      <c r="T65" s="134"/>
      <c r="U65" s="135">
        <f>+U66+U67</f>
        <v>44.5</v>
      </c>
      <c r="V65" s="135">
        <f t="shared" ref="V65:W65" si="357">+V66+V67</f>
        <v>44.449999999999996</v>
      </c>
      <c r="W65" s="135">
        <f t="shared" si="357"/>
        <v>44.449999999999996</v>
      </c>
      <c r="X65" s="135">
        <f t="shared" ref="X65" si="358">+X66+X67</f>
        <v>44.449999999999996</v>
      </c>
      <c r="Y65" s="134">
        <f t="shared" ref="Y65" si="359">+Y66+Y67</f>
        <v>44.449999999999996</v>
      </c>
      <c r="Z65" s="135">
        <f t="shared" ref="Z65" si="360">+Z66+Z67</f>
        <v>44.449999999999996</v>
      </c>
      <c r="AA65" s="135">
        <f t="shared" ref="AA65" si="361">+AA66+AA67</f>
        <v>44.449999999999996</v>
      </c>
      <c r="AB65" s="135">
        <f t="shared" ref="AB65" si="362">+AB66+AB67</f>
        <v>44.449999999999996</v>
      </c>
      <c r="AC65" s="135">
        <f t="shared" ref="AC65" si="363">+AC66+AC67</f>
        <v>44.449999999999996</v>
      </c>
      <c r="AD65" s="134">
        <f t="shared" ref="AD65" si="364">+AD66+AD67</f>
        <v>44.449999999999996</v>
      </c>
      <c r="AE65" s="135">
        <f t="shared" ref="AE65" si="365">+AE66+AE67</f>
        <v>44.449999999999996</v>
      </c>
      <c r="AF65" s="135">
        <f t="shared" ref="AF65" si="366">+AF66+AF67</f>
        <v>44.449999999999996</v>
      </c>
      <c r="AG65" s="135">
        <f t="shared" ref="AG65" si="367">+AG66+AG67</f>
        <v>44.449999999999996</v>
      </c>
      <c r="AH65" s="135">
        <f t="shared" ref="AH65" si="368">+AH66+AH67</f>
        <v>44.449999999999996</v>
      </c>
      <c r="AI65" s="134">
        <f t="shared" ref="AI65" si="369">+AI66+AI67</f>
        <v>44.449999999999996</v>
      </c>
      <c r="AJ65" s="135">
        <f t="shared" ref="AJ65" si="370">+AJ66+AJ67</f>
        <v>44.449999999999996</v>
      </c>
      <c r="AK65" s="135">
        <f t="shared" ref="AK65" si="371">+AK66+AK67</f>
        <v>44.449999999999996</v>
      </c>
      <c r="AL65" s="135">
        <f t="shared" ref="AL65" si="372">+AL66+AL67</f>
        <v>44.449999999999996</v>
      </c>
      <c r="AM65" s="135">
        <f t="shared" ref="AM65" si="373">+AM66+AM67</f>
        <v>44.449999999999996</v>
      </c>
      <c r="AN65" s="134">
        <f t="shared" ref="AN65" si="374">+AN66+AN67</f>
        <v>44.449999999999996</v>
      </c>
      <c r="AO65" s="135">
        <f t="shared" ref="AO65" si="375">+AO66+AO67</f>
        <v>44.449999999999996</v>
      </c>
      <c r="AP65" s="135">
        <f t="shared" ref="AP65" si="376">+AP66+AP67</f>
        <v>44.449999999999996</v>
      </c>
      <c r="AQ65" s="135">
        <f t="shared" ref="AQ65" si="377">+AQ66+AQ67</f>
        <v>44.449999999999996</v>
      </c>
      <c r="AR65" s="135">
        <f t="shared" ref="AR65" si="378">+AR66+AR67</f>
        <v>44.449999999999996</v>
      </c>
      <c r="AS65" s="134">
        <f t="shared" ref="AS65" si="379">+AS66+AS67</f>
        <v>44.449999999999996</v>
      </c>
      <c r="AT65" s="135">
        <f t="shared" ref="AT65" si="380">+AT66+AT67</f>
        <v>44.449999999999996</v>
      </c>
      <c r="AU65" s="135">
        <f t="shared" ref="AU65" si="381">+AU66+AU67</f>
        <v>44.449999999999996</v>
      </c>
      <c r="AV65" s="135">
        <f t="shared" ref="AV65" si="382">+AV66+AV67</f>
        <v>44.449999999999996</v>
      </c>
      <c r="AW65" s="135">
        <f t="shared" ref="AW65" si="383">+AW66+AW67</f>
        <v>44.449999999999996</v>
      </c>
      <c r="AX65" s="134">
        <f t="shared" ref="AX65" si="384">+AX66+AX67</f>
        <v>44.449999999999996</v>
      </c>
      <c r="AY65" s="135">
        <f t="shared" ref="AY65" si="385">+AY66+AY67</f>
        <v>44.449999999999996</v>
      </c>
      <c r="AZ65" s="135">
        <f t="shared" ref="AZ65" si="386">+AZ66+AZ67</f>
        <v>44.449999999999996</v>
      </c>
      <c r="BA65" s="135">
        <f t="shared" ref="BA65" si="387">+BA66+BA67</f>
        <v>44.449999999999996</v>
      </c>
      <c r="BB65" s="135">
        <f t="shared" ref="BB65" si="388">+BB66+BB67</f>
        <v>44.449999999999996</v>
      </c>
      <c r="BC65" s="134">
        <f t="shared" ref="BC65" si="389">+BC66+BC67</f>
        <v>44.449999999999996</v>
      </c>
      <c r="BD65" s="135">
        <f t="shared" ref="BD65" si="390">+BD66+BD67</f>
        <v>44.449999999999996</v>
      </c>
      <c r="BE65" s="135">
        <f t="shared" ref="BE65" si="391">+BE66+BE67</f>
        <v>44.449999999999996</v>
      </c>
      <c r="BF65" s="135">
        <f t="shared" ref="BF65" si="392">+BF66+BF67</f>
        <v>44.449999999999996</v>
      </c>
      <c r="BG65" s="135">
        <f t="shared" ref="BG65" si="393">+BG66+BG67</f>
        <v>44.449999999999996</v>
      </c>
      <c r="BH65" s="134">
        <f t="shared" ref="BH65" si="394">+BH66+BH67</f>
        <v>44.449999999999996</v>
      </c>
      <c r="BI65" s="135">
        <f t="shared" ref="BI65" si="395">+BI66+BI67</f>
        <v>44.449999999999996</v>
      </c>
      <c r="BJ65" s="135">
        <f t="shared" ref="BJ65" si="396">+BJ66+BJ67</f>
        <v>44.449999999999996</v>
      </c>
      <c r="BK65" s="135">
        <f t="shared" ref="BK65" si="397">+BK66+BK67</f>
        <v>44.449999999999996</v>
      </c>
      <c r="BL65" s="135">
        <f t="shared" ref="BL65" si="398">+BL66+BL67</f>
        <v>44.449999999999996</v>
      </c>
      <c r="BM65" s="134">
        <f t="shared" ref="BM65" si="399">+BM66+BM67</f>
        <v>44.449999999999996</v>
      </c>
      <c r="BN65" s="135">
        <f t="shared" ref="BN65" si="400">+BN66+BN67</f>
        <v>44.449999999999996</v>
      </c>
      <c r="BO65" s="135">
        <f t="shared" ref="BO65" si="401">+BO66+BO67</f>
        <v>44.449999999999996</v>
      </c>
      <c r="BP65" s="135">
        <f t="shared" ref="BP65" si="402">+BP66+BP67</f>
        <v>44.449999999999996</v>
      </c>
      <c r="BQ65" s="135">
        <f t="shared" ref="BQ65" si="403">+BQ66+BQ67</f>
        <v>44.449999999999996</v>
      </c>
      <c r="BR65" s="134">
        <f t="shared" ref="BR65" si="404">+BR66+BR67</f>
        <v>44.449999999999996</v>
      </c>
      <c r="BS65" s="135">
        <f t="shared" ref="BS65" si="405">+BS66+BS67</f>
        <v>44.449999999999996</v>
      </c>
      <c r="BT65" s="135">
        <f t="shared" ref="BT65" si="406">+BT66+BT67</f>
        <v>44.449999999999996</v>
      </c>
      <c r="BU65" s="135">
        <f t="shared" ref="BU65" si="407">+BU66+BU67</f>
        <v>44.449999999999996</v>
      </c>
      <c r="BV65" s="135">
        <f t="shared" ref="BV65" si="408">+BV66+BV67</f>
        <v>44.449999999999996</v>
      </c>
      <c r="BW65" s="134">
        <f t="shared" ref="BW65" si="409">+BW66+BW67</f>
        <v>44.449999999999996</v>
      </c>
      <c r="BX65" s="135">
        <f t="shared" ref="BX65" si="410">+BX66+BX67</f>
        <v>44.449999999999996</v>
      </c>
      <c r="BY65" s="135">
        <f t="shared" ref="BY65" si="411">+BY66+BY67</f>
        <v>44.449999999999996</v>
      </c>
      <c r="BZ65" s="135">
        <f t="shared" ref="BZ65" si="412">+BZ66+BZ67</f>
        <v>44.449999999999996</v>
      </c>
      <c r="CA65" s="135">
        <f t="shared" ref="CA65" si="413">+CA66+CA67</f>
        <v>44.449999999999996</v>
      </c>
      <c r="CB65" s="134">
        <f t="shared" ref="CB65" si="414">+CB66+CB67</f>
        <v>44.449999999999996</v>
      </c>
      <c r="CC65" s="135">
        <f t="shared" ref="CC65" si="415">+CC66+CC67</f>
        <v>44.449999999999996</v>
      </c>
      <c r="CD65" s="135">
        <f t="shared" ref="CD65" si="416">+CD66+CD67</f>
        <v>44.449999999999996</v>
      </c>
      <c r="CE65" s="135">
        <f t="shared" ref="CE65" si="417">+CE66+CE67</f>
        <v>44.449999999999996</v>
      </c>
      <c r="CF65" s="135">
        <f t="shared" ref="CF65" si="418">+CF66+CF67</f>
        <v>44.449999999999996</v>
      </c>
      <c r="CG65" s="134">
        <f t="shared" ref="CG65" si="419">+CG66+CG67</f>
        <v>44.449999999999996</v>
      </c>
      <c r="CH65" s="135">
        <f t="shared" ref="CH65" si="420">+CH66+CH67</f>
        <v>44.449999999999996</v>
      </c>
      <c r="CI65" s="135">
        <f t="shared" ref="CI65" si="421">+CI66+CI67</f>
        <v>44.449999999999996</v>
      </c>
      <c r="CJ65" s="135">
        <f t="shared" ref="CJ65" si="422">+CJ66+CJ67</f>
        <v>44.449999999999996</v>
      </c>
      <c r="CK65" s="135">
        <f t="shared" ref="CK65" si="423">+CK66+CK67</f>
        <v>44.449999999999996</v>
      </c>
      <c r="CL65" s="134">
        <f t="shared" ref="CL65" si="424">+CL66+CL67</f>
        <v>44.449999999999996</v>
      </c>
      <c r="CM65" s="135">
        <f t="shared" ref="CM65" si="425">+CM66+CM67</f>
        <v>44.449999999999996</v>
      </c>
      <c r="CN65" s="135">
        <f t="shared" ref="CN65" si="426">+CN66+CN67</f>
        <v>44.449999999999996</v>
      </c>
      <c r="CO65" s="135">
        <f t="shared" ref="CO65" si="427">+CO66+CO67</f>
        <v>44.449999999999996</v>
      </c>
      <c r="CP65" s="135">
        <f t="shared" ref="CP65" si="428">+CP66+CP67</f>
        <v>44.449999999999996</v>
      </c>
      <c r="CQ65" s="134">
        <f t="shared" ref="CQ65" si="429">+CQ66+CQ67</f>
        <v>44.449999999999996</v>
      </c>
      <c r="CR65" s="135">
        <f t="shared" ref="CR65" si="430">+CR66+CR67</f>
        <v>44.449999999999996</v>
      </c>
      <c r="CS65" s="135">
        <f t="shared" ref="CS65" si="431">+CS66+CS67</f>
        <v>44.449999999999996</v>
      </c>
      <c r="CT65" s="135">
        <f t="shared" ref="CT65" si="432">+CT66+CT67</f>
        <v>44.449999999999996</v>
      </c>
      <c r="CU65" s="135">
        <f t="shared" ref="CU65" si="433">+CU66+CU67</f>
        <v>44.449999999999996</v>
      </c>
      <c r="CV65" s="134">
        <f t="shared" ref="CV65" si="434">+CV66+CV67</f>
        <v>44.449999999999996</v>
      </c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</row>
    <row r="66" spans="1:115" s="20" customFormat="1">
      <c r="A66" s="148" t="s">
        <v>72</v>
      </c>
      <c r="B66" s="70"/>
      <c r="C66" s="70"/>
      <c r="D66" s="70"/>
      <c r="E66" s="134"/>
      <c r="F66" s="135"/>
      <c r="G66" s="135"/>
      <c r="H66" s="135"/>
      <c r="I66" s="135"/>
      <c r="J66" s="134"/>
      <c r="K66" s="135"/>
      <c r="L66" s="135"/>
      <c r="M66" s="135"/>
      <c r="N66" s="135"/>
      <c r="O66" s="134"/>
      <c r="P66" s="135"/>
      <c r="Q66" s="135"/>
      <c r="R66" s="135"/>
      <c r="S66" s="135"/>
      <c r="T66" s="134"/>
      <c r="U66" s="136">
        <v>44.5</v>
      </c>
      <c r="V66" s="136">
        <v>44.449999999999996</v>
      </c>
      <c r="W66" s="136">
        <v>44.449999999999996</v>
      </c>
      <c r="X66" s="136">
        <v>44.449999999999996</v>
      </c>
      <c r="Y66" s="134">
        <v>44.449999999999996</v>
      </c>
      <c r="Z66" s="135">
        <v>44.449999999999996</v>
      </c>
      <c r="AA66" s="135">
        <v>44.449999999999996</v>
      </c>
      <c r="AB66" s="135">
        <v>44.449999999999996</v>
      </c>
      <c r="AC66" s="135">
        <v>44.449999999999996</v>
      </c>
      <c r="AD66" s="134">
        <v>44.449999999999996</v>
      </c>
      <c r="AE66" s="135">
        <v>44.449999999999996</v>
      </c>
      <c r="AF66" s="135">
        <v>42.949999999999996</v>
      </c>
      <c r="AG66" s="135">
        <v>42.949999999999996</v>
      </c>
      <c r="AH66" s="135">
        <v>42.949999999999996</v>
      </c>
      <c r="AI66" s="134">
        <v>42.949999999999996</v>
      </c>
      <c r="AJ66" s="135">
        <v>42.949999999999996</v>
      </c>
      <c r="AK66" s="135">
        <v>42.949999999999996</v>
      </c>
      <c r="AL66" s="135">
        <v>42.949999999999996</v>
      </c>
      <c r="AM66" s="135">
        <v>42.949999999999996</v>
      </c>
      <c r="AN66" s="134">
        <v>42.949999999999996</v>
      </c>
      <c r="AO66" s="136">
        <v>42.949999999999996</v>
      </c>
      <c r="AP66" s="136">
        <v>42.949999999999996</v>
      </c>
      <c r="AQ66" s="136">
        <v>42.949999999999996</v>
      </c>
      <c r="AR66" s="136">
        <v>42.949999999999996</v>
      </c>
      <c r="AS66" s="134">
        <v>42.949999999999996</v>
      </c>
      <c r="AT66" s="135">
        <v>42.949999999999996</v>
      </c>
      <c r="AU66" s="135">
        <v>42.949999999999996</v>
      </c>
      <c r="AV66" s="135">
        <v>42.949999999999996</v>
      </c>
      <c r="AW66" s="135">
        <v>42.949999999999996</v>
      </c>
      <c r="AX66" s="134">
        <v>42.949999999999996</v>
      </c>
      <c r="AY66" s="135">
        <v>42.949999999999996</v>
      </c>
      <c r="AZ66" s="135">
        <v>42.949999999999996</v>
      </c>
      <c r="BA66" s="135">
        <v>42.949999999999996</v>
      </c>
      <c r="BB66" s="135">
        <v>42.949999999999996</v>
      </c>
      <c r="BC66" s="134">
        <v>42.949999999999996</v>
      </c>
      <c r="BD66" s="135">
        <v>42.949999999999996</v>
      </c>
      <c r="BE66" s="135">
        <v>42.949999999999996</v>
      </c>
      <c r="BF66" s="135">
        <v>42.949999999999996</v>
      </c>
      <c r="BG66" s="135">
        <v>42.949999999999996</v>
      </c>
      <c r="BH66" s="134">
        <v>42.949999999999996</v>
      </c>
      <c r="BI66" s="136">
        <v>42.949999999999996</v>
      </c>
      <c r="BJ66" s="136">
        <v>42.949999999999996</v>
      </c>
      <c r="BK66" s="136">
        <v>42.949999999999996</v>
      </c>
      <c r="BL66" s="136">
        <v>42.949999999999996</v>
      </c>
      <c r="BM66" s="134">
        <v>42.949999999999996</v>
      </c>
      <c r="BN66" s="135">
        <v>42.949999999999996</v>
      </c>
      <c r="BO66" s="135">
        <v>42.949999999999996</v>
      </c>
      <c r="BP66" s="135">
        <v>42.949999999999996</v>
      </c>
      <c r="BQ66" s="135">
        <v>42.949999999999996</v>
      </c>
      <c r="BR66" s="134">
        <v>42.949999999999996</v>
      </c>
      <c r="BS66" s="135">
        <v>42.949999999999996</v>
      </c>
      <c r="BT66" s="135">
        <v>42.949999999999996</v>
      </c>
      <c r="BU66" s="135">
        <v>42.949999999999996</v>
      </c>
      <c r="BV66" s="135">
        <v>42.949999999999996</v>
      </c>
      <c r="BW66" s="134">
        <v>42.949999999999996</v>
      </c>
      <c r="BX66" s="135">
        <v>42.949999999999996</v>
      </c>
      <c r="BY66" s="135">
        <v>42.949999999999996</v>
      </c>
      <c r="BZ66" s="135">
        <v>42.949999999999996</v>
      </c>
      <c r="CA66" s="135">
        <v>42.949999999999996</v>
      </c>
      <c r="CB66" s="134">
        <v>42.949999999999996</v>
      </c>
      <c r="CC66" s="136">
        <v>42.949999999999996</v>
      </c>
      <c r="CD66" s="136">
        <v>42.949999999999996</v>
      </c>
      <c r="CE66" s="136">
        <v>42.949999999999996</v>
      </c>
      <c r="CF66" s="136">
        <v>42.949999999999996</v>
      </c>
      <c r="CG66" s="134">
        <v>42.949999999999996</v>
      </c>
      <c r="CH66" s="135">
        <v>42.949999999999996</v>
      </c>
      <c r="CI66" s="135">
        <v>42.949999999999996</v>
      </c>
      <c r="CJ66" s="135">
        <v>42.949999999999996</v>
      </c>
      <c r="CK66" s="135">
        <v>42.949999999999996</v>
      </c>
      <c r="CL66" s="134">
        <v>42.949999999999996</v>
      </c>
      <c r="CM66" s="135">
        <v>42.949999999999996</v>
      </c>
      <c r="CN66" s="135">
        <v>42.949999999999996</v>
      </c>
      <c r="CO66" s="135">
        <v>42.949999999999996</v>
      </c>
      <c r="CP66" s="135">
        <v>42.949999999999996</v>
      </c>
      <c r="CQ66" s="134">
        <v>42.949999999999996</v>
      </c>
      <c r="CR66" s="136">
        <v>42.949999999999996</v>
      </c>
      <c r="CS66" s="136">
        <v>42.949999999999996</v>
      </c>
      <c r="CT66" s="136">
        <v>42.949999999999996</v>
      </c>
      <c r="CU66" s="136">
        <v>42.949999999999996</v>
      </c>
      <c r="CV66" s="134">
        <v>42.949999999999996</v>
      </c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</row>
    <row r="67" spans="1:115" s="20" customFormat="1">
      <c r="A67" s="148" t="s">
        <v>73</v>
      </c>
      <c r="B67" s="70"/>
      <c r="C67" s="70"/>
      <c r="D67" s="70"/>
      <c r="E67" s="134"/>
      <c r="F67" s="135"/>
      <c r="G67" s="135"/>
      <c r="H67" s="135"/>
      <c r="I67" s="135"/>
      <c r="J67" s="134"/>
      <c r="K67" s="135"/>
      <c r="L67" s="135"/>
      <c r="M67" s="135"/>
      <c r="N67" s="135"/>
      <c r="O67" s="134"/>
      <c r="P67" s="135"/>
      <c r="Q67" s="135"/>
      <c r="R67" s="135"/>
      <c r="S67" s="135"/>
      <c r="T67" s="134"/>
      <c r="U67" s="136">
        <v>0</v>
      </c>
      <c r="V67" s="136">
        <v>0</v>
      </c>
      <c r="W67" s="136">
        <v>0</v>
      </c>
      <c r="X67" s="136">
        <v>0</v>
      </c>
      <c r="Y67" s="134">
        <v>0</v>
      </c>
      <c r="Z67" s="135">
        <v>0</v>
      </c>
      <c r="AA67" s="135">
        <v>0</v>
      </c>
      <c r="AB67" s="135">
        <v>0</v>
      </c>
      <c r="AC67" s="135">
        <v>0</v>
      </c>
      <c r="AD67" s="134">
        <v>0</v>
      </c>
      <c r="AE67" s="135">
        <v>0</v>
      </c>
      <c r="AF67" s="135">
        <v>1.5</v>
      </c>
      <c r="AG67" s="135">
        <v>1.5</v>
      </c>
      <c r="AH67" s="135">
        <v>1.5</v>
      </c>
      <c r="AI67" s="134">
        <v>1.5</v>
      </c>
      <c r="AJ67" s="135">
        <v>1.5</v>
      </c>
      <c r="AK67" s="135">
        <v>1.5</v>
      </c>
      <c r="AL67" s="135">
        <v>1.5</v>
      </c>
      <c r="AM67" s="135">
        <v>1.5</v>
      </c>
      <c r="AN67" s="134">
        <v>1.5</v>
      </c>
      <c r="AO67" s="136">
        <v>1.5</v>
      </c>
      <c r="AP67" s="136">
        <v>1.5</v>
      </c>
      <c r="AQ67" s="136">
        <v>1.5</v>
      </c>
      <c r="AR67" s="136">
        <v>1.5</v>
      </c>
      <c r="AS67" s="134">
        <v>1.5</v>
      </c>
      <c r="AT67" s="135">
        <v>1.5</v>
      </c>
      <c r="AU67" s="135">
        <v>1.5</v>
      </c>
      <c r="AV67" s="135">
        <v>1.5</v>
      </c>
      <c r="AW67" s="135">
        <v>1.5</v>
      </c>
      <c r="AX67" s="134">
        <v>1.5</v>
      </c>
      <c r="AY67" s="135">
        <v>1.5</v>
      </c>
      <c r="AZ67" s="135">
        <v>1.5</v>
      </c>
      <c r="BA67" s="135">
        <v>1.5</v>
      </c>
      <c r="BB67" s="135">
        <v>1.5</v>
      </c>
      <c r="BC67" s="134">
        <v>1.5</v>
      </c>
      <c r="BD67" s="135">
        <v>1.5</v>
      </c>
      <c r="BE67" s="135">
        <v>1.5</v>
      </c>
      <c r="BF67" s="135">
        <v>1.5</v>
      </c>
      <c r="BG67" s="135">
        <v>1.5</v>
      </c>
      <c r="BH67" s="134">
        <v>1.5</v>
      </c>
      <c r="BI67" s="136">
        <v>1.5</v>
      </c>
      <c r="BJ67" s="136">
        <v>1.5</v>
      </c>
      <c r="BK67" s="136">
        <v>1.5</v>
      </c>
      <c r="BL67" s="136">
        <v>1.5</v>
      </c>
      <c r="BM67" s="134">
        <v>1.5</v>
      </c>
      <c r="BN67" s="135">
        <v>1.5</v>
      </c>
      <c r="BO67" s="135">
        <v>1.5</v>
      </c>
      <c r="BP67" s="135">
        <v>1.5</v>
      </c>
      <c r="BQ67" s="135">
        <v>1.5</v>
      </c>
      <c r="BR67" s="134">
        <v>1.5</v>
      </c>
      <c r="BS67" s="135">
        <v>1.5</v>
      </c>
      <c r="BT67" s="135">
        <v>1.5</v>
      </c>
      <c r="BU67" s="135">
        <v>1.5</v>
      </c>
      <c r="BV67" s="135">
        <v>1.5</v>
      </c>
      <c r="BW67" s="134">
        <v>1.5</v>
      </c>
      <c r="BX67" s="135">
        <v>1.5</v>
      </c>
      <c r="BY67" s="135">
        <v>1.5</v>
      </c>
      <c r="BZ67" s="135">
        <v>1.5</v>
      </c>
      <c r="CA67" s="135">
        <v>1.5</v>
      </c>
      <c r="CB67" s="134">
        <v>1.5</v>
      </c>
      <c r="CC67" s="136">
        <v>1.5</v>
      </c>
      <c r="CD67" s="136">
        <v>1.5</v>
      </c>
      <c r="CE67" s="136">
        <v>1.5</v>
      </c>
      <c r="CF67" s="136">
        <v>1.5</v>
      </c>
      <c r="CG67" s="134">
        <v>1.5</v>
      </c>
      <c r="CH67" s="135">
        <v>1.5</v>
      </c>
      <c r="CI67" s="135">
        <v>1.5</v>
      </c>
      <c r="CJ67" s="135">
        <v>1.5</v>
      </c>
      <c r="CK67" s="135">
        <v>1.5</v>
      </c>
      <c r="CL67" s="134">
        <v>1.5</v>
      </c>
      <c r="CM67" s="135">
        <v>1.5</v>
      </c>
      <c r="CN67" s="135">
        <v>1.5</v>
      </c>
      <c r="CO67" s="135">
        <v>1.5</v>
      </c>
      <c r="CP67" s="135">
        <v>1.5</v>
      </c>
      <c r="CQ67" s="134">
        <v>1.5</v>
      </c>
      <c r="CR67" s="136">
        <v>1.5</v>
      </c>
      <c r="CS67" s="136">
        <v>1.5</v>
      </c>
      <c r="CT67" s="136">
        <v>1.5</v>
      </c>
      <c r="CU67" s="136">
        <v>1.5</v>
      </c>
      <c r="CV67" s="134">
        <v>1.5</v>
      </c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</row>
    <row r="68" spans="1:115">
      <c r="A68" s="149" t="s">
        <v>74</v>
      </c>
      <c r="B68" s="19"/>
      <c r="C68" s="19"/>
      <c r="D68" s="19"/>
      <c r="E68" s="112"/>
      <c r="F68" s="137"/>
      <c r="G68" s="137"/>
      <c r="H68" s="137"/>
      <c r="I68" s="137"/>
      <c r="J68" s="112"/>
      <c r="K68" s="137"/>
      <c r="L68" s="137"/>
      <c r="M68" s="137"/>
      <c r="N68" s="137"/>
      <c r="O68" s="112"/>
      <c r="P68" s="137"/>
      <c r="Q68" s="137"/>
      <c r="R68" s="137"/>
      <c r="S68" s="137"/>
      <c r="T68" s="112"/>
      <c r="U68" s="137">
        <f>+U67/U65</f>
        <v>0</v>
      </c>
      <c r="V68" s="137">
        <f t="shared" ref="V68:W68" si="435">+V67/V65</f>
        <v>0</v>
      </c>
      <c r="W68" s="137">
        <f t="shared" si="435"/>
        <v>0</v>
      </c>
      <c r="X68" s="137">
        <f t="shared" ref="X68" si="436">+X67/X65</f>
        <v>0</v>
      </c>
      <c r="Y68" s="112">
        <f t="shared" ref="Y68" si="437">+Y67/Y65</f>
        <v>0</v>
      </c>
      <c r="Z68" s="137">
        <f t="shared" ref="Z68" si="438">+Z67/Z65</f>
        <v>0</v>
      </c>
      <c r="AA68" s="137">
        <f t="shared" ref="AA68" si="439">+AA67/AA65</f>
        <v>0</v>
      </c>
      <c r="AB68" s="137">
        <f t="shared" ref="AB68" si="440">+AB67/AB65</f>
        <v>0</v>
      </c>
      <c r="AC68" s="137">
        <f t="shared" ref="AC68" si="441">+AC67/AC65</f>
        <v>0</v>
      </c>
      <c r="AD68" s="112">
        <f t="shared" ref="AD68" si="442">+AD67/AD65</f>
        <v>0</v>
      </c>
      <c r="AE68" s="137">
        <f t="shared" ref="AE68" si="443">+AE67/AE65</f>
        <v>0</v>
      </c>
      <c r="AF68" s="137">
        <f t="shared" ref="AF68" si="444">+AF67/AF65</f>
        <v>3.3745781777277842E-2</v>
      </c>
      <c r="AG68" s="137">
        <f t="shared" ref="AG68" si="445">+AG67/AG65</f>
        <v>3.3745781777277842E-2</v>
      </c>
      <c r="AH68" s="137">
        <f t="shared" ref="AH68" si="446">+AH67/AH65</f>
        <v>3.3745781777277842E-2</v>
      </c>
      <c r="AI68" s="112">
        <f t="shared" ref="AI68" si="447">+AI67/AI65</f>
        <v>3.3745781777277842E-2</v>
      </c>
      <c r="AJ68" s="137">
        <f t="shared" ref="AJ68" si="448">+AJ67/AJ65</f>
        <v>3.3745781777277842E-2</v>
      </c>
      <c r="AK68" s="137">
        <f t="shared" ref="AK68" si="449">+AK67/AK65</f>
        <v>3.3745781777277842E-2</v>
      </c>
      <c r="AL68" s="137">
        <f t="shared" ref="AL68" si="450">+AL67/AL65</f>
        <v>3.3745781777277842E-2</v>
      </c>
      <c r="AM68" s="137">
        <f t="shared" ref="AM68" si="451">+AM67/AM65</f>
        <v>3.3745781777277842E-2</v>
      </c>
      <c r="AN68" s="112">
        <f t="shared" ref="AN68" si="452">+AN67/AN65</f>
        <v>3.3745781777277842E-2</v>
      </c>
      <c r="AO68" s="137">
        <f t="shared" ref="AO68" si="453">+AO67/AO65</f>
        <v>3.3745781777277842E-2</v>
      </c>
      <c r="AP68" s="137">
        <f t="shared" ref="AP68" si="454">+AP67/AP65</f>
        <v>3.3745781777277842E-2</v>
      </c>
      <c r="AQ68" s="137">
        <f t="shared" ref="AQ68" si="455">+AQ67/AQ65</f>
        <v>3.3745781777277842E-2</v>
      </c>
      <c r="AR68" s="137">
        <f t="shared" ref="AR68" si="456">+AR67/AR65</f>
        <v>3.3745781777277842E-2</v>
      </c>
      <c r="AS68" s="112">
        <f t="shared" ref="AS68" si="457">+AS67/AS65</f>
        <v>3.3745781777277842E-2</v>
      </c>
      <c r="AT68" s="137">
        <f t="shared" ref="AT68" si="458">+AT67/AT65</f>
        <v>3.3745781777277842E-2</v>
      </c>
      <c r="AU68" s="137">
        <f t="shared" ref="AU68" si="459">+AU67/AU65</f>
        <v>3.3745781777277842E-2</v>
      </c>
      <c r="AV68" s="137">
        <f t="shared" ref="AV68" si="460">+AV67/AV65</f>
        <v>3.3745781777277842E-2</v>
      </c>
      <c r="AW68" s="137">
        <f t="shared" ref="AW68" si="461">+AW67/AW65</f>
        <v>3.3745781777277842E-2</v>
      </c>
      <c r="AX68" s="112">
        <f t="shared" ref="AX68" si="462">+AX67/AX65</f>
        <v>3.3745781777277842E-2</v>
      </c>
      <c r="AY68" s="137">
        <f t="shared" ref="AY68" si="463">+AY67/AY65</f>
        <v>3.3745781777277842E-2</v>
      </c>
      <c r="AZ68" s="137">
        <f t="shared" ref="AZ68" si="464">+AZ67/AZ65</f>
        <v>3.3745781777277842E-2</v>
      </c>
      <c r="BA68" s="137">
        <f t="shared" ref="BA68" si="465">+BA67/BA65</f>
        <v>3.3745781777277842E-2</v>
      </c>
      <c r="BB68" s="137">
        <f t="shared" ref="BB68" si="466">+BB67/BB65</f>
        <v>3.3745781777277842E-2</v>
      </c>
      <c r="BC68" s="112">
        <f t="shared" ref="BC68" si="467">+BC67/BC65</f>
        <v>3.3745781777277842E-2</v>
      </c>
      <c r="BD68" s="137">
        <f t="shared" ref="BD68" si="468">+BD67/BD65</f>
        <v>3.3745781777277842E-2</v>
      </c>
      <c r="BE68" s="137">
        <f t="shared" ref="BE68" si="469">+BE67/BE65</f>
        <v>3.3745781777277842E-2</v>
      </c>
      <c r="BF68" s="137">
        <f t="shared" ref="BF68" si="470">+BF67/BF65</f>
        <v>3.3745781777277842E-2</v>
      </c>
      <c r="BG68" s="137">
        <f t="shared" ref="BG68" si="471">+BG67/BG65</f>
        <v>3.3745781777277842E-2</v>
      </c>
      <c r="BH68" s="112">
        <f t="shared" ref="BH68" si="472">+BH67/BH65</f>
        <v>3.3745781777277842E-2</v>
      </c>
      <c r="BI68" s="137">
        <f t="shared" ref="BI68" si="473">+BI67/BI65</f>
        <v>3.3745781777277842E-2</v>
      </c>
      <c r="BJ68" s="137">
        <f t="shared" ref="BJ68" si="474">+BJ67/BJ65</f>
        <v>3.3745781777277842E-2</v>
      </c>
      <c r="BK68" s="137">
        <f t="shared" ref="BK68" si="475">+BK67/BK65</f>
        <v>3.3745781777277842E-2</v>
      </c>
      <c r="BL68" s="137">
        <f t="shared" ref="BL68" si="476">+BL67/BL65</f>
        <v>3.3745781777277842E-2</v>
      </c>
      <c r="BM68" s="112">
        <f t="shared" ref="BM68" si="477">+BM67/BM65</f>
        <v>3.3745781777277842E-2</v>
      </c>
      <c r="BN68" s="137">
        <f t="shared" ref="BN68" si="478">+BN67/BN65</f>
        <v>3.3745781777277842E-2</v>
      </c>
      <c r="BO68" s="137">
        <f t="shared" ref="BO68" si="479">+BO67/BO65</f>
        <v>3.3745781777277842E-2</v>
      </c>
      <c r="BP68" s="137">
        <f t="shared" ref="BP68" si="480">+BP67/BP65</f>
        <v>3.3745781777277842E-2</v>
      </c>
      <c r="BQ68" s="137">
        <f t="shared" ref="BQ68" si="481">+BQ67/BQ65</f>
        <v>3.3745781777277842E-2</v>
      </c>
      <c r="BR68" s="112">
        <f t="shared" ref="BR68" si="482">+BR67/BR65</f>
        <v>3.3745781777277842E-2</v>
      </c>
      <c r="BS68" s="137">
        <f t="shared" ref="BS68" si="483">+BS67/BS65</f>
        <v>3.3745781777277842E-2</v>
      </c>
      <c r="BT68" s="137">
        <f t="shared" ref="BT68" si="484">+BT67/BT65</f>
        <v>3.3745781777277842E-2</v>
      </c>
      <c r="BU68" s="137">
        <f t="shared" ref="BU68" si="485">+BU67/BU65</f>
        <v>3.3745781777277842E-2</v>
      </c>
      <c r="BV68" s="137">
        <f t="shared" ref="BV68" si="486">+BV67/BV65</f>
        <v>3.3745781777277842E-2</v>
      </c>
      <c r="BW68" s="112">
        <f t="shared" ref="BW68" si="487">+BW67/BW65</f>
        <v>3.3745781777277842E-2</v>
      </c>
      <c r="BX68" s="137">
        <f t="shared" ref="BX68" si="488">+BX67/BX65</f>
        <v>3.3745781777277842E-2</v>
      </c>
      <c r="BY68" s="137">
        <f t="shared" ref="BY68" si="489">+BY67/BY65</f>
        <v>3.3745781777277842E-2</v>
      </c>
      <c r="BZ68" s="137">
        <f t="shared" ref="BZ68" si="490">+BZ67/BZ65</f>
        <v>3.3745781777277842E-2</v>
      </c>
      <c r="CA68" s="137">
        <f t="shared" ref="CA68" si="491">+CA67/CA65</f>
        <v>3.3745781777277842E-2</v>
      </c>
      <c r="CB68" s="112">
        <f t="shared" ref="CB68" si="492">+CB67/CB65</f>
        <v>3.3745781777277842E-2</v>
      </c>
      <c r="CC68" s="137">
        <f t="shared" ref="CC68" si="493">+CC67/CC65</f>
        <v>3.3745781777277842E-2</v>
      </c>
      <c r="CD68" s="137">
        <f t="shared" ref="CD68" si="494">+CD67/CD65</f>
        <v>3.3745781777277842E-2</v>
      </c>
      <c r="CE68" s="137">
        <f t="shared" ref="CE68" si="495">+CE67/CE65</f>
        <v>3.3745781777277842E-2</v>
      </c>
      <c r="CF68" s="137">
        <f t="shared" ref="CF68" si="496">+CF67/CF65</f>
        <v>3.3745781777277842E-2</v>
      </c>
      <c r="CG68" s="112">
        <f t="shared" ref="CG68" si="497">+CG67/CG65</f>
        <v>3.3745781777277842E-2</v>
      </c>
      <c r="CH68" s="137">
        <f t="shared" ref="CH68" si="498">+CH67/CH65</f>
        <v>3.3745781777277842E-2</v>
      </c>
      <c r="CI68" s="137">
        <f t="shared" ref="CI68" si="499">+CI67/CI65</f>
        <v>3.3745781777277842E-2</v>
      </c>
      <c r="CJ68" s="137">
        <f t="shared" ref="CJ68" si="500">+CJ67/CJ65</f>
        <v>3.3745781777277842E-2</v>
      </c>
      <c r="CK68" s="137">
        <f t="shared" ref="CK68" si="501">+CK67/CK65</f>
        <v>3.3745781777277842E-2</v>
      </c>
      <c r="CL68" s="112">
        <f t="shared" ref="CL68" si="502">+CL67/CL65</f>
        <v>3.3745781777277842E-2</v>
      </c>
      <c r="CM68" s="137">
        <f t="shared" ref="CM68" si="503">+CM67/CM65</f>
        <v>3.3745781777277842E-2</v>
      </c>
      <c r="CN68" s="137">
        <f t="shared" ref="CN68" si="504">+CN67/CN65</f>
        <v>3.3745781777277842E-2</v>
      </c>
      <c r="CO68" s="137">
        <f t="shared" ref="CO68" si="505">+CO67/CO65</f>
        <v>3.3745781777277842E-2</v>
      </c>
      <c r="CP68" s="137">
        <f t="shared" ref="CP68" si="506">+CP67/CP65</f>
        <v>3.3745781777277842E-2</v>
      </c>
      <c r="CQ68" s="112">
        <f t="shared" ref="CQ68" si="507">+CQ67/CQ65</f>
        <v>3.3745781777277842E-2</v>
      </c>
      <c r="CR68" s="137">
        <f t="shared" ref="CR68" si="508">+CR67/CR65</f>
        <v>3.3745781777277842E-2</v>
      </c>
      <c r="CS68" s="137">
        <f t="shared" ref="CS68" si="509">+CS67/CS65</f>
        <v>3.3745781777277842E-2</v>
      </c>
      <c r="CT68" s="137">
        <f t="shared" ref="CT68" si="510">+CT67/CT65</f>
        <v>3.3745781777277842E-2</v>
      </c>
      <c r="CU68" s="137">
        <f t="shared" ref="CU68" si="511">+CU67/CU65</f>
        <v>3.3745781777277842E-2</v>
      </c>
      <c r="CV68" s="112">
        <f t="shared" ref="CV68" si="512">+CV67/CV65</f>
        <v>3.3745781777277842E-2</v>
      </c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</row>
    <row r="69" spans="1:115">
      <c r="A69" s="146"/>
      <c r="B69" s="34"/>
      <c r="C69" s="34"/>
      <c r="D69" s="34"/>
      <c r="E69" s="100"/>
      <c r="J69" s="100"/>
      <c r="O69" s="100"/>
      <c r="T69" s="100"/>
      <c r="Y69" s="100"/>
      <c r="AD69" s="100"/>
      <c r="AI69" s="100"/>
      <c r="AN69" s="100"/>
      <c r="AS69" s="100"/>
      <c r="AX69" s="100"/>
      <c r="BC69" s="100"/>
      <c r="BH69" s="100"/>
      <c r="BM69" s="100"/>
      <c r="BR69" s="100"/>
      <c r="BW69" s="100"/>
      <c r="CB69" s="100"/>
      <c r="CG69" s="100"/>
      <c r="CL69" s="100"/>
      <c r="CQ69" s="100"/>
      <c r="CV69" s="100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</row>
    <row r="70" spans="1:115">
      <c r="A70" s="148" t="s">
        <v>75</v>
      </c>
      <c r="B70" s="71"/>
      <c r="C70" s="71"/>
      <c r="D70" s="71">
        <v>231.58199999999999</v>
      </c>
      <c r="E70" s="134">
        <v>231.58199999999999</v>
      </c>
      <c r="F70" s="136">
        <v>479.608</v>
      </c>
      <c r="G70" s="136">
        <v>492.70850000000002</v>
      </c>
      <c r="H70" s="136">
        <v>520.26549999999997</v>
      </c>
      <c r="I70" s="136">
        <v>503.887</v>
      </c>
      <c r="J70" s="134">
        <v>1996.4690000000001</v>
      </c>
      <c r="K70" s="136">
        <v>466.27</v>
      </c>
      <c r="L70" s="136">
        <v>471.19499999999999</v>
      </c>
      <c r="M70" s="136">
        <v>514.0335</v>
      </c>
      <c r="N70" s="136">
        <v>488.4205</v>
      </c>
      <c r="O70" s="134">
        <v>1939.9190000000001</v>
      </c>
      <c r="P70" s="136">
        <v>474.762</v>
      </c>
      <c r="Q70" s="136">
        <v>468.32350000000002</v>
      </c>
      <c r="R70" s="136">
        <v>530.96550000000002</v>
      </c>
      <c r="S70" s="136">
        <v>527.99099999999999</v>
      </c>
      <c r="T70" s="134">
        <v>2002.0419999999999</v>
      </c>
      <c r="U70" s="136">
        <v>490.7</v>
      </c>
      <c r="V70" s="136">
        <v>505.8</v>
      </c>
      <c r="W70" s="136">
        <v>614</v>
      </c>
      <c r="X70" s="136">
        <v>624.1</v>
      </c>
      <c r="Y70" s="134">
        <f>+SUM(U70:X70)</f>
        <v>2234.6</v>
      </c>
      <c r="Z70" s="136">
        <v>558.36900000000003</v>
      </c>
      <c r="AA70" s="136">
        <v>588.65</v>
      </c>
      <c r="AB70" s="136">
        <v>617.84799999999996</v>
      </c>
      <c r="AC70" s="136">
        <v>628.65499999999997</v>
      </c>
      <c r="AD70" s="134">
        <f>+SUM(Z70:AC70)</f>
        <v>2393.5219999999999</v>
      </c>
      <c r="AE70" s="302">
        <v>606.34950000000003</v>
      </c>
      <c r="AF70" s="302">
        <v>547.529</v>
      </c>
      <c r="AG70" s="302">
        <v>489.69</v>
      </c>
      <c r="AH70" s="300">
        <f>AC70*(1+AH71)</f>
        <v>508.35599999999994</v>
      </c>
      <c r="AI70" s="301">
        <f>+SUM(AE70:AH70)</f>
        <v>2151.9245000000001</v>
      </c>
      <c r="AJ70" s="300">
        <f>AE70*(1+AJ71)</f>
        <v>642.65499999999997</v>
      </c>
      <c r="AK70" s="300">
        <f>AF70*(1+AK71)</f>
        <v>580.31200000000001</v>
      </c>
      <c r="AL70" s="300">
        <f>AG70*(1+AL71)</f>
        <v>519.01</v>
      </c>
      <c r="AM70" s="300">
        <f>AH70*(1+AM71)</f>
        <v>514.83100000000002</v>
      </c>
      <c r="AN70" s="301">
        <f>+SUM(AJ70:AM70)</f>
        <v>2256.808</v>
      </c>
      <c r="AO70" s="300">
        <f>AJ70*(1+AO71)</f>
        <v>626.12599999999998</v>
      </c>
      <c r="AP70" s="300">
        <f>AK70*(1+AP71)</f>
        <v>594.20100000000002</v>
      </c>
      <c r="AQ70" s="300">
        <f>AL70*(1+AQ71)</f>
        <v>641.25</v>
      </c>
      <c r="AR70" s="300">
        <f>AM70*(1+AR71)</f>
        <v>661.56399999999996</v>
      </c>
      <c r="AS70" s="301">
        <f>+SUM(AO70:AR70)</f>
        <v>2523.1410000000001</v>
      </c>
      <c r="AT70" s="300">
        <f>AO70*(1+AT71)</f>
        <v>662.71900000000005</v>
      </c>
      <c r="AU70" s="300">
        <f>AP70*(1+AU71)</f>
        <v>629.101</v>
      </c>
      <c r="AV70" s="300">
        <f>AQ70*(1+AV71)</f>
        <v>678.65899999999999</v>
      </c>
      <c r="AW70" s="300">
        <f>AR70*(1+AW71)</f>
        <v>700.29100000000005</v>
      </c>
      <c r="AX70" s="301">
        <f>+SUM(AT70:AW70)</f>
        <v>2670.7700000000004</v>
      </c>
      <c r="AY70" s="300">
        <f>AT70*(1+AY71)</f>
        <v>688.26800000000003</v>
      </c>
      <c r="AZ70" s="300">
        <f>AU70*(1+AZ71)</f>
        <v>653.51599999999996</v>
      </c>
      <c r="BA70" s="300">
        <f>AV70*(1+BA71)</f>
        <v>704.75699999999995</v>
      </c>
      <c r="BB70" s="300">
        <f>AW70*(1+BB71)</f>
        <v>727.34799999999996</v>
      </c>
      <c r="BC70" s="301">
        <f>+SUM(AY70:BB70)</f>
        <v>2773.8890000000001</v>
      </c>
      <c r="BD70" s="300">
        <f>AY70*(1+BD71)</f>
        <v>714.25099999999998</v>
      </c>
      <c r="BE70" s="300">
        <f>AZ70*(1+BE71)</f>
        <v>678.32799999999997</v>
      </c>
      <c r="BF70" s="300">
        <f>BA70*(1+BF71)</f>
        <v>731.30600000000004</v>
      </c>
      <c r="BG70" s="300">
        <f>BB70*(1+BG71)</f>
        <v>754.85699999999997</v>
      </c>
      <c r="BH70" s="301">
        <f>+SUM(BD70:BG70)</f>
        <v>2878.7420000000002</v>
      </c>
      <c r="BI70" s="300">
        <f>BD70*(1+BI71)</f>
        <v>744.01400000000001</v>
      </c>
      <c r="BJ70" s="300">
        <f>BE70*(1+BJ71)</f>
        <v>706.64200000000005</v>
      </c>
      <c r="BK70" s="300">
        <f>BF70*(1+BK71)</f>
        <v>761.76</v>
      </c>
      <c r="BL70" s="300">
        <f>BG70*(1+BL71)</f>
        <v>786.33</v>
      </c>
      <c r="BM70" s="301">
        <f>+SUM(BI70:BL70)</f>
        <v>2998.7460000000001</v>
      </c>
      <c r="BN70" s="300">
        <f>BI70*(1+BN71)</f>
        <v>774.45</v>
      </c>
      <c r="BO70" s="300">
        <f>BJ70*(1+BO71)</f>
        <v>735.58500000000015</v>
      </c>
      <c r="BP70" s="300">
        <f>BK70*(1+BP71)</f>
        <v>792.90800000000002</v>
      </c>
      <c r="BQ70" s="300">
        <f>BL70*(1+BQ71)</f>
        <v>818.51</v>
      </c>
      <c r="BR70" s="301">
        <f>+SUM(BN70:BQ70)</f>
        <v>3121.4530000000004</v>
      </c>
      <c r="BS70" s="300">
        <f>BN70*(1+BS71)</f>
        <v>805.54000000000008</v>
      </c>
      <c r="BT70" s="300">
        <f>BO70*(1+BT71)</f>
        <v>765.13800000000026</v>
      </c>
      <c r="BU70" s="300">
        <f>BP70*(1+BU71)</f>
        <v>824.73</v>
      </c>
      <c r="BV70" s="300">
        <f>BQ70*(1+BV71)</f>
        <v>851.37699999999984</v>
      </c>
      <c r="BW70" s="301">
        <f>+SUM(BS70:BV70)</f>
        <v>3246.7850000000003</v>
      </c>
      <c r="BX70" s="300">
        <f>BS70*(1+BX71)</f>
        <v>837.26400000000012</v>
      </c>
      <c r="BY70" s="300">
        <f>BT70*(1+BY71)</f>
        <v>795.27700000000038</v>
      </c>
      <c r="BZ70" s="300">
        <f>BU70*(1+BZ71)</f>
        <v>857.20699999999999</v>
      </c>
      <c r="CA70" s="300">
        <f>BV70*(1+CA71)</f>
        <v>884.90899999999988</v>
      </c>
      <c r="CB70" s="301">
        <f>+SUM(BX70:CA70)</f>
        <v>3374.6570000000002</v>
      </c>
      <c r="CC70" s="300">
        <f>BX70*(1+CC71)</f>
        <v>869.59800000000018</v>
      </c>
      <c r="CD70" s="300">
        <f>BY70*(1+CD71)</f>
        <v>825.98100000000034</v>
      </c>
      <c r="CE70" s="300">
        <f>BZ70*(1+CE71)</f>
        <v>890.31500000000017</v>
      </c>
      <c r="CF70" s="300">
        <f>CA70*(1+CF71)</f>
        <v>919.07999999999981</v>
      </c>
      <c r="CG70" s="301">
        <f>+SUM(CC70:CF70)</f>
        <v>3504.9740000000006</v>
      </c>
      <c r="CH70" s="300">
        <f>CC70*(1+CH71)</f>
        <v>902.51800000000037</v>
      </c>
      <c r="CI70" s="300">
        <f>CD70*(1+CI71)</f>
        <v>857.2230000000003</v>
      </c>
      <c r="CJ70" s="300">
        <f>CE70*(1+CJ71)</f>
        <v>924.03000000000009</v>
      </c>
      <c r="CK70" s="300">
        <f>CF70*(1+CK71)</f>
        <v>953.86299999999972</v>
      </c>
      <c r="CL70" s="301">
        <f>+SUM(CH70:CK70)</f>
        <v>3637.6340000000005</v>
      </c>
      <c r="CM70" s="300">
        <f>CH70*(1+CM71)</f>
        <v>935.99800000000027</v>
      </c>
      <c r="CN70" s="300">
        <f>CI70*(1+CN71)</f>
        <v>888.97700000000032</v>
      </c>
      <c r="CO70" s="300">
        <f>CJ70*(1+CO71)</f>
        <v>958.32600000000014</v>
      </c>
      <c r="CP70" s="300">
        <f>CK70*(1+CP71)</f>
        <v>989.23099999999965</v>
      </c>
      <c r="CQ70" s="301">
        <f>+SUM(CM70:CP70)</f>
        <v>3772.5320000000006</v>
      </c>
      <c r="CR70" s="300">
        <f t="shared" ref="CR70" si="513">+CM70*(1+CR71)</f>
        <v>950.0379700000002</v>
      </c>
      <c r="CS70" s="300">
        <f t="shared" ref="CS70" si="514">+CN70*(1+CS71)</f>
        <v>902.3116550000002</v>
      </c>
      <c r="CT70" s="300">
        <f t="shared" ref="CT70" si="515">+CO70*(1+CT71)</f>
        <v>972.70089000000007</v>
      </c>
      <c r="CU70" s="300">
        <f t="shared" ref="CU70" si="516">+CP70*(1+CU71)</f>
        <v>1004.0694649999996</v>
      </c>
      <c r="CV70" s="301">
        <f>+SUM(CR70:CU70)</f>
        <v>3829.1199799999999</v>
      </c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</row>
    <row r="71" spans="1:115">
      <c r="A71" s="146" t="s">
        <v>70</v>
      </c>
      <c r="B71" s="34"/>
      <c r="C71" s="34"/>
      <c r="D71" s="34"/>
      <c r="E71" s="111"/>
      <c r="I71" s="110">
        <f>+I70/D70-1</f>
        <v>1.1758470001986336</v>
      </c>
      <c r="J71" s="111">
        <f t="shared" ref="J71:X71" si="517">+J70/E70-1</f>
        <v>7.6210024958761906</v>
      </c>
      <c r="K71" s="110">
        <f t="shared" si="517"/>
        <v>-2.7810211672866236E-2</v>
      </c>
      <c r="L71" s="110">
        <f t="shared" si="517"/>
        <v>-4.3663748443552364E-2</v>
      </c>
      <c r="M71" s="110">
        <f t="shared" si="517"/>
        <v>-1.1978499439228574E-2</v>
      </c>
      <c r="N71" s="110">
        <f t="shared" si="517"/>
        <v>-3.069438187530138E-2</v>
      </c>
      <c r="O71" s="111">
        <f t="shared" si="517"/>
        <v>-2.8325007801273117E-2</v>
      </c>
      <c r="P71" s="110">
        <f t="shared" si="517"/>
        <v>1.8212623587192001E-2</v>
      </c>
      <c r="Q71" s="110">
        <f t="shared" si="517"/>
        <v>-6.0940799456700168E-3</v>
      </c>
      <c r="R71" s="110">
        <f t="shared" si="517"/>
        <v>3.2939487406949297E-2</v>
      </c>
      <c r="S71" s="110">
        <f t="shared" si="517"/>
        <v>8.1017279168257739E-2</v>
      </c>
      <c r="T71" s="111">
        <f t="shared" si="517"/>
        <v>3.202350201219728E-2</v>
      </c>
      <c r="U71" s="110">
        <f t="shared" si="517"/>
        <v>3.3570504800299883E-2</v>
      </c>
      <c r="V71" s="110">
        <f t="shared" si="517"/>
        <v>8.002267663271212E-2</v>
      </c>
      <c r="W71" s="110">
        <f t="shared" si="517"/>
        <v>0.1563839835168197</v>
      </c>
      <c r="X71" s="110">
        <f t="shared" si="517"/>
        <v>0.18202772395741595</v>
      </c>
      <c r="Y71" s="111">
        <f t="shared" ref="Y71" si="518">+Y70/T70-1</f>
        <v>0.11616040023136387</v>
      </c>
      <c r="Z71" s="110">
        <f t="shared" ref="Z71" si="519">+Z70/U70-1</f>
        <v>0.13790299572039943</v>
      </c>
      <c r="AA71" s="110">
        <f t="shared" ref="AA71" si="520">+AA70/V70-1</f>
        <v>0.16379992091735862</v>
      </c>
      <c r="AB71" s="110">
        <f t="shared" ref="AB71" si="521">+AB70/W70-1</f>
        <v>6.2671009771986252E-3</v>
      </c>
      <c r="AC71" s="110">
        <f t="shared" ref="AC71" si="522">+AC70/X70-1</f>
        <v>7.2985098541900051E-3</v>
      </c>
      <c r="AD71" s="111">
        <f t="shared" ref="AD71:AE71" si="523">+AD70/Y70-1</f>
        <v>7.1118768459679682E-2</v>
      </c>
      <c r="AE71" s="110">
        <f t="shared" si="523"/>
        <v>8.5929734637846922E-2</v>
      </c>
      <c r="AF71" s="110">
        <f>+AF70/AA70-1</f>
        <v>-6.9856451201902647E-2</v>
      </c>
      <c r="AG71" s="110">
        <f>+AG70/AB70-1</f>
        <v>-0.20742642203260342</v>
      </c>
      <c r="AH71" s="110">
        <v>-0.19135933063444976</v>
      </c>
      <c r="AI71" s="111">
        <f>+AI70/AD70-1</f>
        <v>-0.10093807368388508</v>
      </c>
      <c r="AJ71" s="110">
        <v>5.9875533829911509E-2</v>
      </c>
      <c r="AK71" s="110">
        <v>5.9874454138502342E-2</v>
      </c>
      <c r="AL71" s="110">
        <v>5.9874614552063443E-2</v>
      </c>
      <c r="AM71" s="110">
        <v>1.2737136967007512E-2</v>
      </c>
      <c r="AN71" s="111">
        <f>+AN70/AI70-1</f>
        <v>4.8739395829175081E-2</v>
      </c>
      <c r="AO71" s="110">
        <v>-2.5719865246516371E-2</v>
      </c>
      <c r="AP71" s="110">
        <v>2.3933677056479974E-2</v>
      </c>
      <c r="AQ71" s="110">
        <v>0.23552532706498908</v>
      </c>
      <c r="AR71" s="110">
        <v>0.28501197480338192</v>
      </c>
      <c r="AS71" s="111">
        <f>+AS70/AN70-1</f>
        <v>0.11801314068365598</v>
      </c>
      <c r="AT71" s="110">
        <v>5.84435081756709E-2</v>
      </c>
      <c r="AU71" s="110">
        <v>5.8734334004823197E-2</v>
      </c>
      <c r="AV71" s="110">
        <v>5.8337621832358577E-2</v>
      </c>
      <c r="AW71" s="110">
        <v>5.8538554093028106E-2</v>
      </c>
      <c r="AX71" s="111">
        <f>+AX70/AS70-1</f>
        <v>5.8510007962297994E-2</v>
      </c>
      <c r="AY71" s="110">
        <v>3.8551784391272825E-2</v>
      </c>
      <c r="AZ71" s="110">
        <v>3.8809348578368041E-2</v>
      </c>
      <c r="BA71" s="110">
        <v>3.8455247775392332E-2</v>
      </c>
      <c r="BB71" s="110">
        <v>3.8636795275106994E-2</v>
      </c>
      <c r="BC71" s="111">
        <f>+BC70/AX70-1</f>
        <v>3.8610213533924576E-2</v>
      </c>
      <c r="BD71" s="110">
        <v>3.7751282930486241E-2</v>
      </c>
      <c r="BE71" s="110">
        <v>3.7966935775099575E-2</v>
      </c>
      <c r="BF71" s="110">
        <v>3.7671140549153881E-2</v>
      </c>
      <c r="BG71" s="110">
        <v>3.7820960530585035E-2</v>
      </c>
      <c r="BH71" s="111">
        <f>+BH70/BC70-1</f>
        <v>3.7799998485880337E-2</v>
      </c>
      <c r="BI71" s="110">
        <v>4.1670225172943498E-2</v>
      </c>
      <c r="BJ71" s="110">
        <v>4.1740868724275071E-2</v>
      </c>
      <c r="BK71" s="110">
        <v>4.1643306632244137E-2</v>
      </c>
      <c r="BL71" s="110">
        <v>4.1693989722556779E-2</v>
      </c>
      <c r="BM71" s="111">
        <f t="shared" ref="BM71" si="524">+BM70/BH70-1</f>
        <v>4.1686264347412738E-2</v>
      </c>
      <c r="BN71" s="110">
        <v>4.0907832379498243E-2</v>
      </c>
      <c r="BO71" s="110">
        <v>4.0958505155368696E-2</v>
      </c>
      <c r="BP71" s="110">
        <v>4.0889519008611597E-2</v>
      </c>
      <c r="BQ71" s="110">
        <v>4.0924293871529738E-2</v>
      </c>
      <c r="BR71" s="111">
        <f t="shared" ref="BR71" si="525">+BR70/BM70-1</f>
        <v>4.091943765827466E-2</v>
      </c>
      <c r="BS71" s="110">
        <v>4.0144618761701834E-2</v>
      </c>
      <c r="BT71" s="110">
        <v>4.0176186300699523E-2</v>
      </c>
      <c r="BU71" s="110">
        <v>4.0133281540859711E-2</v>
      </c>
      <c r="BV71" s="110">
        <v>4.0154671292959021E-2</v>
      </c>
      <c r="BW71" s="111">
        <f t="shared" ref="BW71" si="526">+BW70/BR70-1</f>
        <v>4.0151813914865775E-2</v>
      </c>
      <c r="BX71" s="110">
        <v>3.9382277726742299E-2</v>
      </c>
      <c r="BY71" s="110">
        <v>3.9390279923360305E-2</v>
      </c>
      <c r="BZ71" s="110">
        <v>3.9378948261855395E-2</v>
      </c>
      <c r="CA71" s="110">
        <v>3.9385607081234397E-2</v>
      </c>
      <c r="CB71" s="111">
        <f t="shared" ref="CB71" si="527">+CB70/BW70-1</f>
        <v>3.9384190822613796E-2</v>
      </c>
      <c r="CC71" s="110">
        <v>3.8618643581952661E-2</v>
      </c>
      <c r="CD71" s="110">
        <v>3.8607931576041921E-2</v>
      </c>
      <c r="CE71" s="110">
        <v>3.8623109703957326E-2</v>
      </c>
      <c r="CF71" s="110">
        <v>3.8615270044716432E-2</v>
      </c>
      <c r="CG71" s="111">
        <f t="shared" ref="CG71" si="528">+CG70/CB70-1</f>
        <v>3.8616369011724938E-2</v>
      </c>
      <c r="CH71" s="110">
        <v>3.7856572807205335E-2</v>
      </c>
      <c r="CI71" s="110">
        <v>3.7824114598277614E-2</v>
      </c>
      <c r="CJ71" s="110">
        <v>3.7868619533535819E-2</v>
      </c>
      <c r="CK71" s="110">
        <v>3.7845454149801894E-2</v>
      </c>
      <c r="CL71" s="111">
        <f t="shared" ref="CL71" si="529">+CL70/CG70-1</f>
        <v>3.7849068209921066E-2</v>
      </c>
      <c r="CM71" s="110">
        <v>3.7096213039518267E-2</v>
      </c>
      <c r="CN71" s="110">
        <v>3.7042869825004703E-2</v>
      </c>
      <c r="CO71" s="110">
        <v>3.7115678062400702E-2</v>
      </c>
      <c r="CP71" s="110">
        <v>3.70786999810244E-2</v>
      </c>
      <c r="CQ71" s="111">
        <f t="shared" ref="CQ71" si="530">+CQ70/CL70-1</f>
        <v>3.7083994706449408E-2</v>
      </c>
      <c r="CR71" s="200">
        <v>1.4999999999999999E-2</v>
      </c>
      <c r="CS71" s="200">
        <v>1.4999999999999999E-2</v>
      </c>
      <c r="CT71" s="200">
        <v>1.4999999999999999E-2</v>
      </c>
      <c r="CU71" s="200">
        <v>1.4999999999999999E-2</v>
      </c>
      <c r="CV71" s="111">
        <f t="shared" ref="CV71" si="531">+CV70/CQ70-1</f>
        <v>1.4999999999999902E-2</v>
      </c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</row>
    <row r="72" spans="1:115">
      <c r="A72" s="146" t="s">
        <v>76</v>
      </c>
      <c r="B72" s="34"/>
      <c r="C72" s="34"/>
      <c r="D72" s="34"/>
      <c r="E72" s="118"/>
      <c r="F72" s="119"/>
      <c r="G72" s="119"/>
      <c r="H72" s="119"/>
      <c r="I72" s="119"/>
      <c r="J72" s="118">
        <f>+J71/(J$4/100)</f>
        <v>101.15996155568007</v>
      </c>
      <c r="K72" s="119">
        <f t="shared" ref="K72" si="532">+K71/(K$4/100)</f>
        <v>-0.65657421247760628</v>
      </c>
      <c r="L72" s="119">
        <f t="shared" ref="L72" si="533">+L71/(L$4/100)</f>
        <v>-1.3174119520850416</v>
      </c>
      <c r="M72" s="119">
        <f t="shared" ref="M72" si="534">+M71/(M$4/100)</f>
        <v>-0.56449995891027127</v>
      </c>
      <c r="N72" s="119">
        <f t="shared" ref="N72" si="535">+N71/(N$4/100)</f>
        <v>-2.2462706736016296</v>
      </c>
      <c r="O72" s="118">
        <f t="shared" ref="O72" si="536">+O71/(O$4/100)</f>
        <v>-1.0365933023393881</v>
      </c>
      <c r="P72" s="119">
        <f t="shared" ref="P72" si="537">+P71/(P$4/100)</f>
        <v>2.4195007402781301</v>
      </c>
      <c r="Q72" s="119">
        <f t="shared" ref="Q72" si="538">+Q71/(Q$4/100)</f>
        <v>-1.2442587729071863</v>
      </c>
      <c r="R72" s="119">
        <f t="shared" ref="R72" si="539">+R71/(R$4/100)</f>
        <v>5.4899145678248829</v>
      </c>
      <c r="S72" s="119">
        <f t="shared" ref="S72" si="540">+S71/(S$4/100)</f>
        <v>2.7463484463816186</v>
      </c>
      <c r="T72" s="118">
        <f>(+T71/(T$4/100))</f>
        <v>3.202350201219728</v>
      </c>
      <c r="U72" s="119">
        <f t="shared" ref="U72" si="541">+U71/(U$4/100)</f>
        <v>1.2402899047563061</v>
      </c>
      <c r="V72" s="119">
        <f>(+V71/(V$4/100))</f>
        <v>2.4249295949306702</v>
      </c>
      <c r="W72" s="119">
        <f>(+W71/(W$4/100))</f>
        <v>4.0739192972735196</v>
      </c>
      <c r="X72" s="119">
        <f>(+X71/(X$4/100))</f>
        <v>5.2431858228729125</v>
      </c>
      <c r="Y72" s="118">
        <f>(+Y71/(Y$4/100))</f>
        <v>3.5200121282231476</v>
      </c>
      <c r="Z72" s="119">
        <f t="shared" ref="Z72" si="542">+Z71/(Z$4/100)</f>
        <v>6.8951497860199717</v>
      </c>
      <c r="AA72" s="119">
        <f>(+AA71/(AA$4/100))</f>
        <v>8.1899960458679306</v>
      </c>
      <c r="AB72" s="119">
        <f>(+AB71/(AB$4/100))</f>
        <v>0.31335504885993126</v>
      </c>
      <c r="AC72" s="119">
        <f>(+AC71/(AC$4/100))</f>
        <v>0.36492549270950025</v>
      </c>
      <c r="AD72" s="118">
        <f>(+AD71/(AD$4/100))</f>
        <v>49.188585017445043</v>
      </c>
      <c r="AE72" s="119">
        <f t="shared" ref="AE72" si="543">+AE71/(AE$4/100)</f>
        <v>-2.7719269238015136</v>
      </c>
      <c r="AF72" s="119">
        <f>+AF71/(AF$4/100)</f>
        <v>2.2534339097387952</v>
      </c>
      <c r="AG72" s="119">
        <f>+AG71/(AG$4/100)</f>
        <v>6.6911749042775295</v>
      </c>
      <c r="AH72" s="119">
        <f>+AH71/(AH$4/100)</f>
        <v>6.1728816333693475</v>
      </c>
      <c r="AI72" s="118">
        <f>(+AI71/(AI$4/100))</f>
        <v>3.2560668930285508</v>
      </c>
      <c r="AJ72" s="119">
        <f t="shared" ref="AJ72" si="544">+AJ71/(AJ$4/100)</f>
        <v>-2.9937766914955755</v>
      </c>
      <c r="AK72" s="119">
        <f>+AK71/(AK$4/100)</f>
        <v>-2.9937227069251171</v>
      </c>
      <c r="AL72" s="119">
        <f>+AL71/(AL$4/100)</f>
        <v>-2.9937307276031722</v>
      </c>
      <c r="AM72" s="119">
        <f>+AM71/(AM$4/100)</f>
        <v>-0.63685684835037559</v>
      </c>
      <c r="AN72" s="118">
        <f>(+AN71/(AN$4/100))</f>
        <v>-2.436969791458754</v>
      </c>
      <c r="AO72" s="119">
        <f t="shared" ref="AO72" si="545">+AO71/(AO$4/100)</f>
        <v>-2.5719865246516371</v>
      </c>
      <c r="AP72" s="119">
        <f>+AP71/(AP$4/100)</f>
        <v>2.3933677056479974</v>
      </c>
      <c r="AQ72" s="119">
        <f>+AQ71/(AQ$4/100)</f>
        <v>23.552532706498909</v>
      </c>
      <c r="AR72" s="119">
        <f>+AR71/(AR$4/100)</f>
        <v>28.501197480338192</v>
      </c>
      <c r="AS72" s="118">
        <f>(+AS71/(AS$4/100))</f>
        <v>11.801314068365597</v>
      </c>
      <c r="AT72" s="119">
        <f t="shared" ref="AT72" si="546">+AT71/(AT$4/100)</f>
        <v>2.922175408783545</v>
      </c>
      <c r="AU72" s="119">
        <f>+AU71/(AU$4/100)</f>
        <v>2.9367167002411598</v>
      </c>
      <c r="AV72" s="119">
        <f>+AV71/(AV$4/100)</f>
        <v>2.9168810916179289</v>
      </c>
      <c r="AW72" s="119">
        <f>+AW71/(AW$4/100)</f>
        <v>2.9269277046514053</v>
      </c>
      <c r="AX72" s="118">
        <f>(+AX71/(AX$4/100))</f>
        <v>2.9255003981148997</v>
      </c>
      <c r="AY72" s="119">
        <f t="shared" ref="AY72" si="547">+AY71/(AY$4/100)</f>
        <v>1.9275892195636413</v>
      </c>
      <c r="AZ72" s="119">
        <f>+AZ71/(AZ$4/100)</f>
        <v>1.9404674289184021</v>
      </c>
      <c r="BA72" s="119">
        <f>+BA71/(BA$4/100)</f>
        <v>1.9227623887696166</v>
      </c>
      <c r="BB72" s="119">
        <f>+BB71/(BB$4/100)</f>
        <v>1.9318397637553497</v>
      </c>
      <c r="BC72" s="118">
        <f>(+BC71/(BC$4/100))</f>
        <v>1.9305106766962288</v>
      </c>
      <c r="BD72" s="119">
        <f t="shared" ref="BD72" si="548">+BD71/(BD$4/100)</f>
        <v>1.887564146524312</v>
      </c>
      <c r="BE72" s="119">
        <f>+BE71/(BE$4/100)</f>
        <v>1.8983467887549788</v>
      </c>
      <c r="BF72" s="119">
        <f>+BF71/(BF$4/100)</f>
        <v>1.883557027457694</v>
      </c>
      <c r="BG72" s="119">
        <f>+BG71/(BG$4/100)</f>
        <v>1.8910480265292517</v>
      </c>
      <c r="BH72" s="118">
        <f>(+BH71/(BH$4/100))</f>
        <v>1.8899999242940169</v>
      </c>
      <c r="BI72" s="119">
        <f t="shared" ref="BI72" si="549">+BI71/(BI$4/100)</f>
        <v>2.0835112586471749</v>
      </c>
      <c r="BJ72" s="119">
        <f>+BJ71/(BJ$4/100)</f>
        <v>2.0870434362137535</v>
      </c>
      <c r="BK72" s="119">
        <f>+BK71/(BK$4/100)</f>
        <v>2.0821653316122068</v>
      </c>
      <c r="BL72" s="119">
        <f>+BL71/(BL$4/100)</f>
        <v>2.084699486127839</v>
      </c>
      <c r="BM72" s="118">
        <f>(+BM71/(BM$4/100))</f>
        <v>2.0843132173706369</v>
      </c>
      <c r="BN72" s="119">
        <f t="shared" ref="BN72" si="550">+BN71/(BN$4/100)</f>
        <v>2.0453916189749122</v>
      </c>
      <c r="BO72" s="119">
        <f>+BO71/(BO$4/100)</f>
        <v>2.0479252577684348</v>
      </c>
      <c r="BP72" s="119">
        <f>+BP71/(BP$4/100)</f>
        <v>2.0444759504305798</v>
      </c>
      <c r="BQ72" s="119">
        <f>+BQ71/(BQ$4/100)</f>
        <v>2.0462146935764869</v>
      </c>
      <c r="BR72" s="118">
        <f>(+BR71/(BR$4/100))</f>
        <v>2.045971882913733</v>
      </c>
      <c r="BS72" s="119">
        <f t="shared" ref="BS72" si="551">+BS71/(BS$4/100)</f>
        <v>2.0072309380850917</v>
      </c>
      <c r="BT72" s="119">
        <f>+BT71/(BT$4/100)</f>
        <v>2.0088093150349762</v>
      </c>
      <c r="BU72" s="119">
        <f>+BU71/(BU$4/100)</f>
        <v>2.0066640770429856</v>
      </c>
      <c r="BV72" s="119">
        <f>+BV71/(BV$4/100)</f>
        <v>2.0077335646479511</v>
      </c>
      <c r="BW72" s="118">
        <f>(+BW71/(BW$4/100))</f>
        <v>2.0075906957432887</v>
      </c>
      <c r="BX72" s="119">
        <f t="shared" ref="BX72" si="552">+BX71/(BX$4/100)</f>
        <v>1.9691138863371149</v>
      </c>
      <c r="BY72" s="119">
        <f>+BY71/(BY$4/100)</f>
        <v>1.9695139961680153</v>
      </c>
      <c r="BZ72" s="119">
        <f>+BZ71/(BZ$4/100)</f>
        <v>1.9689474130927698</v>
      </c>
      <c r="CA72" s="119">
        <f>+CA71/(CA$4/100)</f>
        <v>1.9692803540617199</v>
      </c>
      <c r="CB72" s="118">
        <f>(+CB71/(CB$4/100))</f>
        <v>1.9692095411306898</v>
      </c>
      <c r="CC72" s="119">
        <f t="shared" ref="CC72" si="553">+CC71/(CC$4/100)</f>
        <v>1.930932179097633</v>
      </c>
      <c r="CD72" s="119">
        <f>+CD71/(CD$4/100)</f>
        <v>1.930396578802096</v>
      </c>
      <c r="CE72" s="119">
        <f>+CE71/(CE$4/100)</f>
        <v>1.9311554851978663</v>
      </c>
      <c r="CF72" s="119">
        <f>+CF71/(CF$4/100)</f>
        <v>1.9307635022358216</v>
      </c>
      <c r="CG72" s="118">
        <f>(+CG71/(CG$4/100))</f>
        <v>1.9308184505862469</v>
      </c>
      <c r="CH72" s="119">
        <f t="shared" ref="CH72" si="554">+CH71/(CH$4/100)</f>
        <v>1.8928286403602668</v>
      </c>
      <c r="CI72" s="119">
        <f>+CI71/(CI$4/100)</f>
        <v>1.8912057299138807</v>
      </c>
      <c r="CJ72" s="119">
        <f>+CJ71/(CJ$4/100)</f>
        <v>1.8934309766767909</v>
      </c>
      <c r="CK72" s="119">
        <f>+CK71/(CK$4/100)</f>
        <v>1.8922727074900947</v>
      </c>
      <c r="CL72" s="118">
        <f>(+CL71/(CL$4/100))</f>
        <v>1.8924534104960533</v>
      </c>
      <c r="CM72" s="119">
        <f>+CM71/(CM$4/100)</f>
        <v>1.8548106519759133</v>
      </c>
      <c r="CN72" s="119">
        <f>+CN71/(CN$4/100)</f>
        <v>1.852143491250235</v>
      </c>
      <c r="CO72" s="119">
        <f>+CO71/(CO$4/100)</f>
        <v>1.8557839031200352</v>
      </c>
      <c r="CP72" s="119">
        <f>+CP71/(CP$4/100)</f>
        <v>1.8539349990512199</v>
      </c>
      <c r="CQ72" s="118">
        <f>(+CQ71/(CQ$4/100))</f>
        <v>1.8541997353224704</v>
      </c>
      <c r="CR72" s="119">
        <f t="shared" ref="CR72:CU72" si="555">+CR71/(CR$4/100)</f>
        <v>0.75</v>
      </c>
      <c r="CS72" s="119">
        <f t="shared" si="555"/>
        <v>0.75</v>
      </c>
      <c r="CT72" s="119">
        <f t="shared" si="555"/>
        <v>0.75</v>
      </c>
      <c r="CU72" s="119">
        <f t="shared" si="555"/>
        <v>0.75</v>
      </c>
      <c r="CV72" s="118">
        <f>(+CV71/(CV$4/100))</f>
        <v>0.74999999999999512</v>
      </c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</row>
    <row r="73" spans="1:115" s="15" customFormat="1">
      <c r="A73" s="146"/>
      <c r="B73" s="34"/>
      <c r="C73" s="34"/>
      <c r="D73" s="34"/>
      <c r="E73" s="100"/>
      <c r="F73" s="83"/>
      <c r="G73" s="83"/>
      <c r="H73" s="83"/>
      <c r="I73" s="83"/>
      <c r="J73" s="100"/>
      <c r="K73" s="83"/>
      <c r="L73" s="83"/>
      <c r="M73" s="83"/>
      <c r="N73" s="83"/>
      <c r="O73" s="100"/>
      <c r="P73" s="83"/>
      <c r="Q73" s="83"/>
      <c r="R73" s="83"/>
      <c r="S73" s="83"/>
      <c r="T73" s="100"/>
      <c r="U73" s="83"/>
      <c r="V73" s="83"/>
      <c r="W73" s="83"/>
      <c r="X73" s="83"/>
      <c r="Y73" s="100"/>
      <c r="Z73" s="83"/>
      <c r="AA73" s="83"/>
      <c r="AB73" s="83"/>
      <c r="AC73" s="83"/>
      <c r="AD73" s="100"/>
      <c r="AE73" s="83"/>
      <c r="AF73" s="83"/>
      <c r="AG73" s="83"/>
      <c r="AH73" s="83"/>
      <c r="AI73" s="100"/>
      <c r="AJ73" s="83"/>
      <c r="AK73" s="83"/>
      <c r="AL73" s="83"/>
      <c r="AM73" s="83"/>
      <c r="AN73" s="100"/>
      <c r="AO73" s="83"/>
      <c r="AP73" s="83"/>
      <c r="AQ73" s="83"/>
      <c r="AR73" s="83"/>
      <c r="AS73" s="100"/>
      <c r="AT73" s="83"/>
      <c r="AU73" s="83"/>
      <c r="AV73" s="83"/>
      <c r="AW73" s="83"/>
      <c r="AX73" s="100"/>
      <c r="AY73" s="83"/>
      <c r="AZ73" s="83"/>
      <c r="BA73" s="83"/>
      <c r="BB73" s="83"/>
      <c r="BC73" s="100"/>
      <c r="BD73" s="83"/>
      <c r="BE73" s="83"/>
      <c r="BF73" s="83"/>
      <c r="BG73" s="83"/>
      <c r="BH73" s="100"/>
      <c r="BI73" s="83"/>
      <c r="BJ73" s="83"/>
      <c r="BK73" s="83"/>
      <c r="BL73" s="83"/>
      <c r="BM73" s="100"/>
      <c r="BN73" s="83"/>
      <c r="BO73" s="83"/>
      <c r="BP73" s="83"/>
      <c r="BQ73" s="83"/>
      <c r="BR73" s="100"/>
      <c r="BS73" s="83"/>
      <c r="BT73" s="83"/>
      <c r="BU73" s="83"/>
      <c r="BV73" s="83"/>
      <c r="BW73" s="100"/>
      <c r="BX73" s="83"/>
      <c r="BY73" s="83"/>
      <c r="BZ73" s="83"/>
      <c r="CA73" s="83"/>
      <c r="CB73" s="100"/>
      <c r="CC73" s="83"/>
      <c r="CD73" s="83"/>
      <c r="CE73" s="83"/>
      <c r="CF73" s="83"/>
      <c r="CG73" s="100"/>
      <c r="CH73" s="83"/>
      <c r="CI73" s="83"/>
      <c r="CJ73" s="83"/>
      <c r="CK73" s="83"/>
      <c r="CL73" s="100"/>
      <c r="CM73" s="83"/>
      <c r="CN73" s="83"/>
      <c r="CO73" s="83"/>
      <c r="CP73" s="83"/>
      <c r="CQ73" s="100"/>
      <c r="CR73" s="83"/>
      <c r="CS73" s="83"/>
      <c r="CT73" s="83"/>
      <c r="CU73" s="83"/>
      <c r="CV73" s="100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</row>
    <row r="74" spans="1:115" s="15" customFormat="1">
      <c r="A74" s="150" t="s">
        <v>88</v>
      </c>
      <c r="B74" s="28"/>
      <c r="C74" s="28"/>
      <c r="D74" s="28"/>
      <c r="E74" s="107"/>
      <c r="F74" s="108"/>
      <c r="G74" s="108"/>
      <c r="H74" s="108"/>
      <c r="I74" s="108"/>
      <c r="J74" s="107"/>
      <c r="K74" s="108"/>
      <c r="L74" s="108"/>
      <c r="M74" s="108"/>
      <c r="N74" s="108"/>
      <c r="O74" s="107"/>
      <c r="P74" s="108"/>
      <c r="Q74" s="108"/>
      <c r="R74" s="108">
        <f>+R70*R62/1000</f>
        <v>1.9645723500000001</v>
      </c>
      <c r="S74" s="108">
        <f>+S70*S62/1000</f>
        <v>1.9535667000000001</v>
      </c>
      <c r="T74" s="107">
        <f>+T70*T62/1000</f>
        <v>7.4075554000000006</v>
      </c>
      <c r="U74" s="108">
        <f>+U70*U62/1000</f>
        <v>1.81559</v>
      </c>
      <c r="V74" s="108">
        <f t="shared" ref="V74:X74" si="556">+V70*V62/1000</f>
        <v>1.8647242613999997</v>
      </c>
      <c r="W74" s="108">
        <f t="shared" si="556"/>
        <v>2.2636233619999997</v>
      </c>
      <c r="X74" s="108">
        <f t="shared" si="556"/>
        <v>2.3008588603</v>
      </c>
      <c r="Y74" s="107">
        <f>+SUM(U74:X74)</f>
        <v>8.2447964837000001</v>
      </c>
      <c r="Z74" s="108">
        <f t="shared" ref="Z74:AC74" si="557">+Z70*Z62/1000</f>
        <v>2.0585295000269999</v>
      </c>
      <c r="AA74" s="108">
        <f t="shared" si="557"/>
        <v>2.1701659479499993</v>
      </c>
      <c r="AB74" s="108">
        <f t="shared" si="557"/>
        <v>2.4238173211195941</v>
      </c>
      <c r="AC74" s="108">
        <f t="shared" si="557"/>
        <v>2.4662131754224963</v>
      </c>
      <c r="AD74" s="107">
        <f>+SUM(Z74:AC74)</f>
        <v>9.11872594451909</v>
      </c>
      <c r="AE74" s="108">
        <f t="shared" ref="AE74:AH74" si="558">+AE70*AE62/1000</f>
        <v>2.3787087127452144</v>
      </c>
      <c r="AF74" s="108">
        <f>+AF70*AF62/1000</f>
        <v>2.1769462127439247</v>
      </c>
      <c r="AG74" s="108">
        <f>+AG70*AG62/1000</f>
        <v>2.1416795640238777</v>
      </c>
      <c r="AH74" s="108">
        <f t="shared" si="558"/>
        <v>2.223316090687828</v>
      </c>
      <c r="AI74" s="107">
        <f>+SUM(AE74:AH74)</f>
        <v>8.920650580200844</v>
      </c>
      <c r="AJ74" s="108">
        <f t="shared" ref="AJ74:AM74" si="559">+AJ70*AJ62/1000</f>
        <v>2.8106783479706858</v>
      </c>
      <c r="AK74" s="108">
        <f t="shared" si="559"/>
        <v>2.5380186468129318</v>
      </c>
      <c r="AL74" s="108">
        <f t="shared" si="559"/>
        <v>2.4151861577683249</v>
      </c>
      <c r="AM74" s="108">
        <f t="shared" si="559"/>
        <v>2.3957393976802459</v>
      </c>
      <c r="AN74" s="107">
        <f>+SUM(AJ74:AM74)</f>
        <v>10.159622550232189</v>
      </c>
      <c r="AO74" s="108">
        <f t="shared" ref="AO74:AR74" si="560">+AO70*AO62/1000</f>
        <v>2.9136449167045915</v>
      </c>
      <c r="AP74" s="108">
        <f t="shared" si="560"/>
        <v>2.765083582459098</v>
      </c>
      <c r="AQ74" s="108">
        <f t="shared" si="560"/>
        <v>3.1332248508745213</v>
      </c>
      <c r="AR74" s="108">
        <f t="shared" si="560"/>
        <v>3.2324815052537259</v>
      </c>
      <c r="AS74" s="107">
        <f>+SUM(AO74:AR74)</f>
        <v>12.044434855291936</v>
      </c>
      <c r="AT74" s="108">
        <f t="shared" ref="AT74:AW74" si="561">+AT70*AT62/1000</f>
        <v>3.2381249745757694</v>
      </c>
      <c r="AU74" s="108">
        <f t="shared" si="561"/>
        <v>3.0738633713996295</v>
      </c>
      <c r="AV74" s="108">
        <f t="shared" si="561"/>
        <v>3.4818102242076172</v>
      </c>
      <c r="AW74" s="108">
        <f t="shared" si="561"/>
        <v>3.5927916136389206</v>
      </c>
      <c r="AX74" s="107">
        <f>+SUM(AT74:AW74)</f>
        <v>13.386590183821937</v>
      </c>
      <c r="AY74" s="108">
        <f t="shared" ref="AY74:BB74" si="562">+AY70*AY62/1000</f>
        <v>3.5311084939489912</v>
      </c>
      <c r="AZ74" s="108">
        <f t="shared" si="562"/>
        <v>3.3528159067856831</v>
      </c>
      <c r="BA74" s="108">
        <f t="shared" si="562"/>
        <v>3.7784107835453034</v>
      </c>
      <c r="BB74" s="108">
        <f t="shared" si="562"/>
        <v>3.8995278182268631</v>
      </c>
      <c r="BC74" s="107">
        <f>+SUM(AY74:BB74)</f>
        <v>14.561863002506842</v>
      </c>
      <c r="BD74" s="108">
        <f t="shared" ref="BD74:BG74" si="563">+BD70*BD62/1000</f>
        <v>3.8293109264016061</v>
      </c>
      <c r="BE74" s="108">
        <f t="shared" si="563"/>
        <v>3.6367170953686427</v>
      </c>
      <c r="BF74" s="108">
        <f t="shared" si="563"/>
        <v>4.0971814794497883</v>
      </c>
      <c r="BG74" s="108">
        <f t="shared" si="563"/>
        <v>4.2291272326946974</v>
      </c>
      <c r="BH74" s="107">
        <f>+SUM(BD74:BG74)</f>
        <v>15.792336733914734</v>
      </c>
      <c r="BI74" s="108">
        <f t="shared" ref="BI74:BL74" si="564">+BI70*BI62/1000</f>
        <v>4.1683787378352628</v>
      </c>
      <c r="BJ74" s="108">
        <f t="shared" si="564"/>
        <v>3.9590000834142716</v>
      </c>
      <c r="BK74" s="108">
        <f t="shared" si="564"/>
        <v>4.4598527390121587</v>
      </c>
      <c r="BL74" s="108">
        <f t="shared" si="564"/>
        <v>4.6037019589732084</v>
      </c>
      <c r="BM74" s="107">
        <f>+SUM(BI74:BL74)</f>
        <v>17.1909335192349</v>
      </c>
      <c r="BN74" s="108">
        <f t="shared" ref="BN74:BQ74" si="565">+BN70*BN62/1000</f>
        <v>4.5341484899810531</v>
      </c>
      <c r="BO74" s="108">
        <f t="shared" si="565"/>
        <v>4.3066067751342407</v>
      </c>
      <c r="BP74" s="108">
        <f t="shared" si="565"/>
        <v>4.8511136011157872</v>
      </c>
      <c r="BQ74" s="108">
        <f t="shared" si="565"/>
        <v>5.0077499453269265</v>
      </c>
      <c r="BR74" s="107">
        <f>+SUM(BN74:BQ74)</f>
        <v>18.699618811558011</v>
      </c>
      <c r="BS74" s="108">
        <f t="shared" ref="BS74:BV74" si="566">+BS70*BS62/1000</f>
        <v>4.9283978093837</v>
      </c>
      <c r="BT74" s="108">
        <f t="shared" si="566"/>
        <v>4.6812131527624041</v>
      </c>
      <c r="BU74" s="108">
        <f t="shared" si="566"/>
        <v>5.2728659209635822</v>
      </c>
      <c r="BV74" s="108">
        <f t="shared" si="566"/>
        <v>5.4432320507223109</v>
      </c>
      <c r="BW74" s="107">
        <f>+SUM(BS74:BV74)</f>
        <v>20.325708933831997</v>
      </c>
      <c r="BX74" s="108">
        <f t="shared" ref="BX74:CA74" si="567">+BX70*BX62/1000</f>
        <v>5.3530013609904499</v>
      </c>
      <c r="BY74" s="108">
        <f t="shared" si="567"/>
        <v>5.0845597844460091</v>
      </c>
      <c r="BZ74" s="108">
        <f t="shared" si="567"/>
        <v>5.7271285978434676</v>
      </c>
      <c r="CA74" s="108">
        <f t="shared" si="567"/>
        <v>5.9122098167526218</v>
      </c>
      <c r="CB74" s="107">
        <f>+SUM(BX74:CA74)</f>
        <v>22.076899560032547</v>
      </c>
      <c r="CC74" s="108">
        <f t="shared" ref="CC74:CF74" si="568">+CC70*CC62/1000</f>
        <v>5.8099147282132382</v>
      </c>
      <c r="CD74" s="108">
        <f t="shared" si="568"/>
        <v>5.5185030061296141</v>
      </c>
      <c r="CE74" s="108">
        <f t="shared" si="568"/>
        <v>6.2160028790951474</v>
      </c>
      <c r="CF74" s="108">
        <f t="shared" si="568"/>
        <v>6.4168344081799882</v>
      </c>
      <c r="CG74" s="107">
        <f>+SUM(CC74:CF74)</f>
        <v>23.961255021617987</v>
      </c>
      <c r="CH74" s="108">
        <f t="shared" ref="CH74:CK74" si="569">+CH70*CH62/1000</f>
        <v>6.3012018065911448</v>
      </c>
      <c r="CI74" s="108">
        <f t="shared" si="569"/>
        <v>5.9849610935753983</v>
      </c>
      <c r="CJ74" s="108">
        <f t="shared" si="569"/>
        <v>6.7417070718643979</v>
      </c>
      <c r="CK74" s="108">
        <f t="shared" si="569"/>
        <v>6.9593681294869087</v>
      </c>
      <c r="CL74" s="107">
        <f>+SUM(CH74:CK74)</f>
        <v>25.98723810151785</v>
      </c>
      <c r="CM74" s="108">
        <f t="shared" ref="CM74:CP74" si="570">+CM70*CM62/1000</f>
        <v>6.8290253951180526</v>
      </c>
      <c r="CN74" s="108">
        <f t="shared" si="570"/>
        <v>6.4859609835446879</v>
      </c>
      <c r="CO74" s="108">
        <f t="shared" si="570"/>
        <v>7.3065669556857893</v>
      </c>
      <c r="CP74" s="108">
        <f t="shared" si="570"/>
        <v>7.5421960127764507</v>
      </c>
      <c r="CQ74" s="107">
        <f>+SUM(CM74:CP74)</f>
        <v>28.16374934712498</v>
      </c>
      <c r="CR74" s="108">
        <f t="shared" ref="CR74:CU74" si="571">+CR70*CR62/1000</f>
        <v>7.2433765109668391</v>
      </c>
      <c r="CS74" s="108">
        <f t="shared" si="571"/>
        <v>6.8794966662212609</v>
      </c>
      <c r="CT74" s="108">
        <f t="shared" si="571"/>
        <v>7.7498929057220236</v>
      </c>
      <c r="CU74" s="108">
        <f t="shared" si="571"/>
        <v>7.9998187558516616</v>
      </c>
      <c r="CV74" s="107">
        <f>+SUM(CR74:CU74)</f>
        <v>29.872584838761789</v>
      </c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</row>
    <row r="75" spans="1:115" s="15" customFormat="1">
      <c r="A75" s="146" t="s">
        <v>89</v>
      </c>
      <c r="B75" s="34"/>
      <c r="C75" s="34"/>
      <c r="D75" s="34"/>
      <c r="E75" s="100"/>
      <c r="F75" s="83"/>
      <c r="G75" s="83"/>
      <c r="H75" s="83"/>
      <c r="I75" s="83"/>
      <c r="J75" s="100"/>
      <c r="K75" s="83"/>
      <c r="L75" s="83"/>
      <c r="M75" s="83"/>
      <c r="N75" s="83"/>
      <c r="O75" s="100"/>
      <c r="P75" s="83"/>
      <c r="Q75" s="83"/>
      <c r="R75" s="83"/>
      <c r="S75" s="83"/>
      <c r="T75" s="100"/>
      <c r="U75" s="83"/>
      <c r="V75" s="83"/>
      <c r="W75" s="83"/>
      <c r="X75" s="83"/>
      <c r="Y75" s="100"/>
      <c r="Z75" s="83"/>
      <c r="AA75" s="83"/>
      <c r="AB75" s="83"/>
      <c r="AC75" s="83"/>
      <c r="AD75" s="100"/>
      <c r="AE75" s="83"/>
      <c r="AF75" s="83"/>
      <c r="AG75" s="83"/>
      <c r="AH75" s="83"/>
      <c r="AI75" s="100"/>
      <c r="AJ75" s="83"/>
      <c r="AK75" s="83"/>
      <c r="AL75" s="83"/>
      <c r="AM75" s="83"/>
      <c r="AN75" s="100"/>
      <c r="AO75" s="83"/>
      <c r="AP75" s="83"/>
      <c r="AQ75" s="83"/>
      <c r="AR75" s="83"/>
      <c r="AS75" s="100"/>
      <c r="AT75" s="83"/>
      <c r="AU75" s="83"/>
      <c r="AV75" s="83"/>
      <c r="AW75" s="83"/>
      <c r="AX75" s="100"/>
      <c r="AY75" s="83"/>
      <c r="AZ75" s="83"/>
      <c r="BA75" s="83"/>
      <c r="BB75" s="83"/>
      <c r="BC75" s="100"/>
      <c r="BD75" s="83"/>
      <c r="BE75" s="83"/>
      <c r="BF75" s="83"/>
      <c r="BG75" s="83"/>
      <c r="BH75" s="100"/>
      <c r="BI75" s="83"/>
      <c r="BJ75" s="83"/>
      <c r="BK75" s="83"/>
      <c r="BL75" s="83"/>
      <c r="BM75" s="100"/>
      <c r="BN75" s="83"/>
      <c r="BO75" s="83"/>
      <c r="BP75" s="83"/>
      <c r="BQ75" s="83"/>
      <c r="BR75" s="100"/>
      <c r="BS75" s="83"/>
      <c r="BT75" s="83"/>
      <c r="BU75" s="83"/>
      <c r="BV75" s="83"/>
      <c r="BW75" s="100"/>
      <c r="BX75" s="83"/>
      <c r="BY75" s="83"/>
      <c r="BZ75" s="83"/>
      <c r="CA75" s="83"/>
      <c r="CB75" s="100"/>
      <c r="CC75" s="83"/>
      <c r="CD75" s="83"/>
      <c r="CE75" s="83"/>
      <c r="CF75" s="83"/>
      <c r="CG75" s="100"/>
      <c r="CH75" s="83"/>
      <c r="CI75" s="83"/>
      <c r="CJ75" s="83"/>
      <c r="CK75" s="83"/>
      <c r="CL75" s="100"/>
      <c r="CM75" s="83"/>
      <c r="CN75" s="83"/>
      <c r="CO75" s="83"/>
      <c r="CP75" s="83"/>
      <c r="CQ75" s="100"/>
      <c r="CR75" s="83"/>
      <c r="CS75" s="83"/>
      <c r="CT75" s="83"/>
      <c r="CU75" s="83"/>
      <c r="CV75" s="100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</row>
    <row r="76" spans="1:115" s="15" customFormat="1">
      <c r="A76" s="2"/>
      <c r="C76" s="18"/>
      <c r="D76" s="18"/>
      <c r="E76" s="100"/>
      <c r="F76" s="83"/>
      <c r="G76" s="83"/>
      <c r="H76" s="83"/>
      <c r="I76" s="83"/>
      <c r="J76" s="100"/>
      <c r="K76" s="83"/>
      <c r="L76" s="83"/>
      <c r="M76" s="83"/>
      <c r="N76" s="83"/>
      <c r="O76" s="100"/>
      <c r="P76" s="83"/>
      <c r="Q76" s="83"/>
      <c r="R76" s="83"/>
      <c r="S76" s="83"/>
      <c r="T76" s="100"/>
      <c r="U76" s="83"/>
      <c r="V76" s="83"/>
      <c r="W76" s="83"/>
      <c r="X76" s="83"/>
      <c r="Y76" s="100"/>
      <c r="Z76" s="83"/>
      <c r="AA76" s="83"/>
      <c r="AB76" s="83"/>
      <c r="AC76" s="83"/>
      <c r="AD76" s="100"/>
      <c r="AE76" s="83"/>
      <c r="AF76" s="83"/>
      <c r="AG76" s="83"/>
      <c r="AH76" s="83"/>
      <c r="AI76" s="100"/>
      <c r="AJ76" s="83"/>
      <c r="AK76" s="83"/>
      <c r="AL76" s="83"/>
      <c r="AM76" s="83"/>
      <c r="AN76" s="100"/>
      <c r="AO76" s="83"/>
      <c r="AP76" s="83"/>
      <c r="AQ76" s="83"/>
      <c r="AR76" s="83"/>
      <c r="AS76" s="100"/>
      <c r="AT76" s="83"/>
      <c r="AU76" s="83"/>
      <c r="AV76" s="83"/>
      <c r="AW76" s="83"/>
      <c r="AX76" s="100"/>
      <c r="AY76" s="83"/>
      <c r="AZ76" s="83"/>
      <c r="BA76" s="83"/>
      <c r="BB76" s="83"/>
      <c r="BC76" s="100"/>
      <c r="BD76" s="83"/>
      <c r="BE76" s="83"/>
      <c r="BF76" s="83"/>
      <c r="BG76" s="83"/>
      <c r="BH76" s="100"/>
      <c r="BI76" s="83"/>
      <c r="BJ76" s="83"/>
      <c r="BK76" s="83"/>
      <c r="BL76" s="83"/>
      <c r="BM76" s="100"/>
      <c r="BN76" s="83"/>
      <c r="BO76" s="83"/>
      <c r="BP76" s="83"/>
      <c r="BQ76" s="83"/>
      <c r="BR76" s="100"/>
      <c r="BS76" s="83"/>
      <c r="BT76" s="83"/>
      <c r="BU76" s="83"/>
      <c r="BV76" s="83"/>
      <c r="BW76" s="100"/>
      <c r="BX76" s="83"/>
      <c r="BY76" s="83"/>
      <c r="BZ76" s="83"/>
      <c r="CA76" s="83"/>
      <c r="CB76" s="100"/>
      <c r="CC76" s="83"/>
      <c r="CD76" s="83"/>
      <c r="CE76" s="83"/>
      <c r="CF76" s="83"/>
      <c r="CG76" s="100"/>
      <c r="CH76" s="83"/>
      <c r="CI76" s="83"/>
      <c r="CJ76" s="83"/>
      <c r="CK76" s="83"/>
      <c r="CL76" s="100"/>
      <c r="CM76" s="83"/>
      <c r="CN76" s="83"/>
      <c r="CO76" s="83"/>
      <c r="CP76" s="83"/>
      <c r="CQ76" s="100"/>
      <c r="CR76" s="83"/>
      <c r="CS76" s="83"/>
      <c r="CT76" s="83"/>
      <c r="CU76" s="83"/>
      <c r="CV76" s="100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</row>
    <row r="77" spans="1:115">
      <c r="A77" s="141" t="s">
        <v>78</v>
      </c>
      <c r="B77" s="9"/>
      <c r="C77" s="9"/>
      <c r="D77" s="9"/>
      <c r="E77" s="93"/>
      <c r="F77" s="94"/>
      <c r="G77" s="94"/>
      <c r="H77" s="94"/>
      <c r="I77" s="94"/>
      <c r="J77" s="93"/>
      <c r="K77" s="94"/>
      <c r="L77" s="94"/>
      <c r="M77" s="94"/>
      <c r="N77" s="94"/>
      <c r="O77" s="93"/>
      <c r="P77" s="94"/>
      <c r="Q77" s="94"/>
      <c r="R77" s="94"/>
      <c r="S77" s="94"/>
      <c r="T77" s="93"/>
      <c r="U77" s="131">
        <f>+U90/$U$35</f>
        <v>7.7195206268725516E-2</v>
      </c>
      <c r="V77" s="94"/>
      <c r="W77" s="94"/>
      <c r="X77" s="94"/>
      <c r="Y77" s="93"/>
      <c r="Z77" s="94"/>
      <c r="AA77" s="94"/>
      <c r="AB77" s="94"/>
      <c r="AC77" s="94"/>
      <c r="AD77" s="93"/>
      <c r="AE77" s="94"/>
      <c r="AF77" s="94"/>
      <c r="AG77" s="94"/>
      <c r="AH77" s="94"/>
      <c r="AI77" s="93"/>
      <c r="AJ77" s="94"/>
      <c r="AK77" s="94"/>
      <c r="AL77" s="94"/>
      <c r="AM77" s="94"/>
      <c r="AN77" s="93"/>
      <c r="AO77" s="94"/>
      <c r="AP77" s="94"/>
      <c r="AQ77" s="94"/>
      <c r="AR77" s="94"/>
      <c r="AS77" s="93"/>
      <c r="AT77" s="94"/>
      <c r="AU77" s="94"/>
      <c r="AV77" s="94"/>
      <c r="AW77" s="94"/>
      <c r="AX77" s="93"/>
      <c r="AY77" s="94"/>
      <c r="AZ77" s="94"/>
      <c r="BA77" s="94"/>
      <c r="BB77" s="94"/>
      <c r="BC77" s="93"/>
      <c r="BD77" s="94"/>
      <c r="BE77" s="94"/>
      <c r="BF77" s="94"/>
      <c r="BG77" s="94"/>
      <c r="BH77" s="93"/>
      <c r="BI77" s="131"/>
      <c r="BJ77" s="94"/>
      <c r="BK77" s="94"/>
      <c r="BL77" s="94"/>
      <c r="BM77" s="93"/>
      <c r="BN77" s="94"/>
      <c r="BO77" s="94"/>
      <c r="BP77" s="94"/>
      <c r="BQ77" s="94"/>
      <c r="BR77" s="93"/>
      <c r="BS77" s="94"/>
      <c r="BT77" s="94"/>
      <c r="BU77" s="94"/>
      <c r="BV77" s="94"/>
      <c r="BW77" s="93"/>
      <c r="BX77" s="94"/>
      <c r="BY77" s="94"/>
      <c r="BZ77" s="94"/>
      <c r="CA77" s="94"/>
      <c r="CB77" s="93"/>
      <c r="CC77" s="94"/>
      <c r="CD77" s="94"/>
      <c r="CE77" s="94"/>
      <c r="CF77" s="94"/>
      <c r="CG77" s="93"/>
      <c r="CH77" s="94"/>
      <c r="CI77" s="94"/>
      <c r="CJ77" s="94"/>
      <c r="CK77" s="94"/>
      <c r="CL77" s="93"/>
      <c r="CM77" s="94"/>
      <c r="CN77" s="94"/>
      <c r="CO77" s="94"/>
      <c r="CP77" s="94"/>
      <c r="CQ77" s="93"/>
      <c r="CR77" s="131"/>
      <c r="CS77" s="94"/>
      <c r="CT77" s="94"/>
      <c r="CU77" s="94"/>
      <c r="CV77" s="93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</row>
    <row r="78" spans="1:115">
      <c r="A78" s="2" t="s">
        <v>69</v>
      </c>
      <c r="B78" s="7"/>
      <c r="C78" s="7"/>
      <c r="D78" s="7"/>
      <c r="E78" s="92"/>
      <c r="F78" s="84"/>
      <c r="G78" s="84"/>
      <c r="H78" s="84"/>
      <c r="I78" s="84"/>
      <c r="J78" s="92"/>
      <c r="K78" s="84"/>
      <c r="L78" s="84"/>
      <c r="M78" s="84"/>
      <c r="N78" s="84"/>
      <c r="O78" s="92"/>
      <c r="P78" s="84"/>
      <c r="Q78" s="84"/>
      <c r="R78" s="132">
        <v>5</v>
      </c>
      <c r="S78" s="132">
        <v>5</v>
      </c>
      <c r="T78" s="133">
        <v>5</v>
      </c>
      <c r="U78" s="132">
        <v>5</v>
      </c>
      <c r="V78" s="132">
        <f>+V82*V$11+V83*V$12</f>
        <v>4.988008999999999</v>
      </c>
      <c r="W78" s="132">
        <f>+W82*W$11+W83*W$12</f>
        <v>4.988008999999999</v>
      </c>
      <c r="X78" s="132">
        <f t="shared" ref="X78" si="572">+X82*X$11+X83*X$12</f>
        <v>4.988008999999999</v>
      </c>
      <c r="Y78" s="92">
        <f>+Y90*1000/Y86</f>
        <v>4.9907765351937972</v>
      </c>
      <c r="Z78" s="84">
        <f t="shared" ref="Z78:AC78" si="573">+Z82*Z$11+Z83*Z$12</f>
        <v>4.988008999999999</v>
      </c>
      <c r="AA78" s="192">
        <f t="shared" si="573"/>
        <v>4.988008999999999</v>
      </c>
      <c r="AB78" s="192">
        <f t="shared" si="573"/>
        <v>5.3077403768999991</v>
      </c>
      <c r="AC78" s="84">
        <f t="shared" si="573"/>
        <v>5.3077403768999991</v>
      </c>
      <c r="AD78" s="92">
        <f>+AD90*1000/AD86</f>
        <v>5.1466988992541616</v>
      </c>
      <c r="AE78" s="84">
        <f t="shared" ref="AE78:AH78" si="574">+AE82*AE$11+AE83*AE$12</f>
        <v>5.3077403768999991</v>
      </c>
      <c r="AF78" s="84">
        <f t="shared" si="574"/>
        <v>5.3077403768999991</v>
      </c>
      <c r="AG78" s="84">
        <f>+AG82*AG$11+AG83*AG$12</f>
        <v>5.8385144145899996</v>
      </c>
      <c r="AH78" s="84">
        <f t="shared" si="574"/>
        <v>5.8385144145899996</v>
      </c>
      <c r="AI78" s="92">
        <f>+AI90*1000/AI86</f>
        <v>5.5843163676705547</v>
      </c>
      <c r="AJ78" s="84">
        <f t="shared" ref="AJ78:AM78" si="575">+AJ82*AJ$11+AJ83*AJ$12</f>
        <v>5.8385144145899996</v>
      </c>
      <c r="AK78" s="84">
        <f t="shared" si="575"/>
        <v>5.8385144145899996</v>
      </c>
      <c r="AL78" s="132">
        <f t="shared" si="575"/>
        <v>6.2121793371237599</v>
      </c>
      <c r="AM78" s="132">
        <f t="shared" si="575"/>
        <v>6.2121793371237599</v>
      </c>
      <c r="AN78" s="133">
        <f>+AN90*1000/AN86</f>
        <v>6.0311559513504118</v>
      </c>
      <c r="AO78" s="132">
        <f t="shared" ref="AO78:AR78" si="576">+AO82*AO$11+AO83*AO$12</f>
        <v>6.2121793371237599</v>
      </c>
      <c r="AP78" s="132">
        <f t="shared" si="576"/>
        <v>6.2121793371237599</v>
      </c>
      <c r="AQ78" s="132">
        <f t="shared" si="576"/>
        <v>6.522788303979949</v>
      </c>
      <c r="AR78" s="132">
        <f t="shared" si="576"/>
        <v>6.522788303979949</v>
      </c>
      <c r="AS78" s="92">
        <f>+AS90*1000/AS86</f>
        <v>6.3725918522527829</v>
      </c>
      <c r="AT78" s="84">
        <f t="shared" ref="AT78:AW78" si="577">+AT82*AT$11+AT83*AT$12</f>
        <v>6.522788303979949</v>
      </c>
      <c r="AU78" s="84">
        <f t="shared" si="577"/>
        <v>6.522788303979949</v>
      </c>
      <c r="AV78" s="84">
        <f t="shared" si="577"/>
        <v>6.8489277191789455</v>
      </c>
      <c r="AW78" s="84">
        <f t="shared" si="577"/>
        <v>6.8489277191789455</v>
      </c>
      <c r="AX78" s="92">
        <f>+AX90*1000/AX86</f>
        <v>6.6912172889234549</v>
      </c>
      <c r="AY78" s="84">
        <f t="shared" ref="AY78:BB78" si="578">+AY82*AY$11+AY83*AY$12</f>
        <v>6.8489277191789455</v>
      </c>
      <c r="AZ78" s="84">
        <f t="shared" si="578"/>
        <v>6.8489277191789455</v>
      </c>
      <c r="BA78" s="84">
        <f t="shared" si="578"/>
        <v>7.1571294665419973</v>
      </c>
      <c r="BB78" s="84">
        <f t="shared" si="578"/>
        <v>7.1571294665419973</v>
      </c>
      <c r="BC78" s="92">
        <f>+BC90*1000/BC86</f>
        <v>7.0080895665770955</v>
      </c>
      <c r="BD78" s="84">
        <f t="shared" ref="BD78:BG78" si="579">+BD82*BD$11+BD83*BD$12</f>
        <v>7.1571294665419973</v>
      </c>
      <c r="BE78" s="84">
        <f t="shared" si="579"/>
        <v>7.1571294665419973</v>
      </c>
      <c r="BF78" s="132">
        <f t="shared" si="579"/>
        <v>7.4792002925363867</v>
      </c>
      <c r="BG78" s="132">
        <f t="shared" si="579"/>
        <v>7.4792002925363867</v>
      </c>
      <c r="BH78" s="133">
        <f>+BH90*1000/BH86</f>
        <v>7.3234505102852259</v>
      </c>
      <c r="BI78" s="132">
        <f t="shared" ref="BI78:BL78" si="580">+BI82*BI$11+BI83*BI$12</f>
        <v>7.4792002925363867</v>
      </c>
      <c r="BJ78" s="132">
        <f t="shared" si="580"/>
        <v>7.4792002925363867</v>
      </c>
      <c r="BK78" s="132">
        <f t="shared" si="580"/>
        <v>7.815764305700525</v>
      </c>
      <c r="BL78" s="132">
        <f t="shared" si="580"/>
        <v>7.815764305700525</v>
      </c>
      <c r="BM78" s="92">
        <f>+BM90*1000/BM86</f>
        <v>7.6530046536111564</v>
      </c>
      <c r="BN78" s="84">
        <f t="shared" ref="BN78:BQ78" si="581">+BN82*BN$11+BN83*BN$12</f>
        <v>7.815764305700525</v>
      </c>
      <c r="BO78" s="84">
        <f t="shared" si="581"/>
        <v>7.815764305700525</v>
      </c>
      <c r="BP78" s="84">
        <f t="shared" si="581"/>
        <v>8.1674736994570463</v>
      </c>
      <c r="BQ78" s="84">
        <f t="shared" si="581"/>
        <v>8.1674736994570463</v>
      </c>
      <c r="BR78" s="92">
        <f>+BR90*1000/BR86</f>
        <v>7.9973891383508082</v>
      </c>
      <c r="BS78" s="84">
        <f t="shared" ref="BS78:BV78" si="582">+BS82*BS$11+BS83*BS$12</f>
        <v>8.1674736994570463</v>
      </c>
      <c r="BT78" s="84">
        <f t="shared" si="582"/>
        <v>8.3304233478388312</v>
      </c>
      <c r="BU78" s="84">
        <f t="shared" si="582"/>
        <v>8.7052923984915775</v>
      </c>
      <c r="BV78" s="84">
        <f t="shared" si="582"/>
        <v>8.7052923984915775</v>
      </c>
      <c r="BW78" s="92">
        <f>+BW90*1000/BW86</f>
        <v>8.485694366906932</v>
      </c>
      <c r="BX78" s="84">
        <f t="shared" ref="BX78:CA78" si="583">+BX82*BX$11+BX83*BX$12</f>
        <v>8.7052923984915775</v>
      </c>
      <c r="BY78" s="84">
        <f t="shared" si="583"/>
        <v>8.7052923984915775</v>
      </c>
      <c r="BZ78" s="132">
        <f t="shared" si="583"/>
        <v>9.0970305564236966</v>
      </c>
      <c r="CA78" s="132">
        <f t="shared" si="583"/>
        <v>9.0970305564236966</v>
      </c>
      <c r="CB78" s="133">
        <f>+CB90*1000/CB86</f>
        <v>8.9075861569546539</v>
      </c>
      <c r="CC78" s="132">
        <f t="shared" ref="CC78:CF78" si="584">+CC82*CC$11+CC83*CC$12</f>
        <v>9.0970305564236966</v>
      </c>
      <c r="CD78" s="132">
        <f t="shared" si="584"/>
        <v>9.0970305564236966</v>
      </c>
      <c r="CE78" s="132">
        <f t="shared" si="584"/>
        <v>9.5063969314627652</v>
      </c>
      <c r="CF78" s="132">
        <f t="shared" si="584"/>
        <v>9.5063969314627652</v>
      </c>
      <c r="CG78" s="92">
        <f>+CG90*1000/CG86</f>
        <v>9.308429249357566</v>
      </c>
      <c r="CH78" s="84">
        <f t="shared" ref="CH78:CK78" si="585">+CH82*CH$11+CH83*CH$12</f>
        <v>9.5063969314627652</v>
      </c>
      <c r="CI78" s="84">
        <f t="shared" si="585"/>
        <v>9.5063969314627652</v>
      </c>
      <c r="CJ78" s="84">
        <f t="shared" si="585"/>
        <v>9.9341847933785896</v>
      </c>
      <c r="CK78" s="84">
        <f t="shared" si="585"/>
        <v>9.9341847933785896</v>
      </c>
      <c r="CL78" s="92">
        <f>+CL90*1000/CL86</f>
        <v>9.7273092423247149</v>
      </c>
      <c r="CM78" s="84">
        <f t="shared" ref="CM78:CP78" si="586">+CM82*CM$11+CM83*CM$12</f>
        <v>9.9341847933785896</v>
      </c>
      <c r="CN78" s="84">
        <f t="shared" si="586"/>
        <v>9.9341847933785896</v>
      </c>
      <c r="CO78" s="132">
        <f t="shared" si="586"/>
        <v>10.381223109080624</v>
      </c>
      <c r="CP78" s="132">
        <f t="shared" si="586"/>
        <v>10.381223109080624</v>
      </c>
      <c r="CQ78" s="133">
        <f>+CQ90*1000/CQ86</f>
        <v>10.16503919253309</v>
      </c>
      <c r="CR78" s="132">
        <f t="shared" ref="CR78:CU78" si="587">+CR82*CR$11+CR83*CR$12</f>
        <v>10.381223109080624</v>
      </c>
      <c r="CS78" s="132">
        <f t="shared" si="587"/>
        <v>10.381223109080624</v>
      </c>
      <c r="CT78" s="132">
        <f t="shared" si="587"/>
        <v>10.848378148989251</v>
      </c>
      <c r="CU78" s="132">
        <f t="shared" si="587"/>
        <v>10.848378148989251</v>
      </c>
      <c r="CV78" s="92">
        <f>+CV90*1000/CV86</f>
        <v>10.622465956197075</v>
      </c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</row>
    <row r="79" spans="1:115">
      <c r="A79" s="2" t="s">
        <v>70</v>
      </c>
      <c r="B79" s="34"/>
      <c r="C79" s="34"/>
      <c r="D79" s="34"/>
      <c r="E79" s="100"/>
      <c r="J79" s="100"/>
      <c r="O79" s="100"/>
      <c r="T79" s="100"/>
      <c r="Y79" s="100"/>
      <c r="AD79" s="100"/>
      <c r="AI79" s="100"/>
      <c r="AN79" s="100"/>
      <c r="AS79" s="100"/>
      <c r="AX79" s="100"/>
      <c r="BC79" s="100"/>
      <c r="BH79" s="100"/>
      <c r="BM79" s="100"/>
      <c r="BR79" s="100"/>
      <c r="BW79" s="100"/>
      <c r="CB79" s="100"/>
      <c r="CG79" s="100"/>
      <c r="CL79" s="100"/>
      <c r="CQ79" s="100"/>
      <c r="CV79" s="100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</row>
    <row r="80" spans="1:115">
      <c r="B80" s="34"/>
      <c r="C80" s="34"/>
      <c r="D80" s="34"/>
      <c r="E80" s="100"/>
      <c r="J80" s="100"/>
      <c r="O80" s="100"/>
      <c r="T80" s="100"/>
      <c r="Y80" s="100"/>
      <c r="AD80" s="100"/>
      <c r="AI80" s="100"/>
      <c r="AN80" s="100"/>
      <c r="AS80" s="100"/>
      <c r="AX80" s="100"/>
      <c r="BC80" s="100"/>
      <c r="BH80" s="100"/>
      <c r="BM80" s="100"/>
      <c r="BR80" s="100"/>
      <c r="BW80" s="100"/>
      <c r="CB80" s="100"/>
      <c r="CG80" s="100"/>
      <c r="CL80" s="100"/>
      <c r="CQ80" s="100"/>
      <c r="CV80" s="100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</row>
    <row r="81" spans="1:115">
      <c r="A81" s="148" t="s">
        <v>71</v>
      </c>
      <c r="B81" s="70"/>
      <c r="C81" s="70"/>
      <c r="D81" s="70"/>
      <c r="E81" s="134"/>
      <c r="F81" s="135"/>
      <c r="G81" s="135"/>
      <c r="H81" s="135"/>
      <c r="I81" s="135"/>
      <c r="J81" s="134"/>
      <c r="K81" s="135"/>
      <c r="L81" s="135"/>
      <c r="M81" s="135"/>
      <c r="N81" s="135"/>
      <c r="O81" s="134"/>
      <c r="P81" s="135"/>
      <c r="Q81" s="135"/>
      <c r="R81" s="135"/>
      <c r="S81" s="135"/>
      <c r="T81" s="134"/>
      <c r="U81" s="135">
        <f>+U82+U83</f>
        <v>59.900000000000006</v>
      </c>
      <c r="V81" s="135">
        <f t="shared" ref="V81:W81" si="588">+V82+V83</f>
        <v>59.879999999999988</v>
      </c>
      <c r="W81" s="135">
        <f t="shared" si="588"/>
        <v>59.879999999999988</v>
      </c>
      <c r="X81" s="135">
        <f t="shared" ref="X81" si="589">+X82+X83</f>
        <v>59.879999999999988</v>
      </c>
      <c r="Y81" s="134">
        <f t="shared" ref="Y81" si="590">+Y82+Y83</f>
        <v>59.879999999999988</v>
      </c>
      <c r="Z81" s="135">
        <f t="shared" ref="Z81" si="591">+Z82+Z83</f>
        <v>59.879999999999988</v>
      </c>
      <c r="AA81" s="135">
        <f t="shared" ref="AA81" si="592">+AA82+AA83</f>
        <v>59.879999999999988</v>
      </c>
      <c r="AB81" s="135">
        <f t="shared" ref="AB81" si="593">+AB82+AB83</f>
        <v>59.879999999999988</v>
      </c>
      <c r="AC81" s="135">
        <f t="shared" ref="AC81" si="594">+AC82+AC83</f>
        <v>59.879999999999988</v>
      </c>
      <c r="AD81" s="134">
        <f t="shared" ref="AD81" si="595">+AD82+AD83</f>
        <v>59.879999999999988</v>
      </c>
      <c r="AE81" s="135">
        <f t="shared" ref="AE81" si="596">+AE82+AE83</f>
        <v>59.879999999999988</v>
      </c>
      <c r="AF81" s="135">
        <f t="shared" ref="AF81" si="597">+AF82+AF83</f>
        <v>59.879999999999988</v>
      </c>
      <c r="AG81" s="135">
        <f t="shared" ref="AG81" si="598">+AG82+AG83</f>
        <v>59.879999999999988</v>
      </c>
      <c r="AH81" s="135">
        <f t="shared" ref="AH81" si="599">+AH82+AH83</f>
        <v>59.879999999999988</v>
      </c>
      <c r="AI81" s="134">
        <f t="shared" ref="AI81" si="600">+AI82+AI83</f>
        <v>59.879999999999988</v>
      </c>
      <c r="AJ81" s="135">
        <f t="shared" ref="AJ81" si="601">+AJ82+AJ83</f>
        <v>59.879999999999988</v>
      </c>
      <c r="AK81" s="135">
        <f t="shared" ref="AK81" si="602">+AK82+AK83</f>
        <v>59.879999999999988</v>
      </c>
      <c r="AL81" s="135">
        <f t="shared" ref="AL81" si="603">+AL82+AL83</f>
        <v>59.879999999999988</v>
      </c>
      <c r="AM81" s="135">
        <f t="shared" ref="AM81" si="604">+AM82+AM83</f>
        <v>59.879999999999988</v>
      </c>
      <c r="AN81" s="134">
        <f t="shared" ref="AN81" si="605">+AN82+AN83</f>
        <v>59.879999999999988</v>
      </c>
      <c r="AO81" s="135">
        <f t="shared" ref="AO81" si="606">+AO82+AO83</f>
        <v>59.879999999999988</v>
      </c>
      <c r="AP81" s="135">
        <f t="shared" ref="AP81" si="607">+AP82+AP83</f>
        <v>59.879999999999988</v>
      </c>
      <c r="AQ81" s="135">
        <f t="shared" ref="AQ81" si="608">+AQ82+AQ83</f>
        <v>59.879999999999988</v>
      </c>
      <c r="AR81" s="135">
        <f t="shared" ref="AR81" si="609">+AR82+AR83</f>
        <v>59.879999999999988</v>
      </c>
      <c r="AS81" s="134">
        <f t="shared" ref="AS81" si="610">+AS82+AS83</f>
        <v>59.879999999999988</v>
      </c>
      <c r="AT81" s="135">
        <f t="shared" ref="AT81" si="611">+AT82+AT83</f>
        <v>59.879999999999988</v>
      </c>
      <c r="AU81" s="135">
        <f t="shared" ref="AU81" si="612">+AU82+AU83</f>
        <v>59.879999999999988</v>
      </c>
      <c r="AV81" s="135">
        <f t="shared" ref="AV81" si="613">+AV82+AV83</f>
        <v>59.879999999999988</v>
      </c>
      <c r="AW81" s="135">
        <f t="shared" ref="AW81" si="614">+AW82+AW83</f>
        <v>59.879999999999988</v>
      </c>
      <c r="AX81" s="134">
        <f t="shared" ref="AX81" si="615">+AX82+AX83</f>
        <v>59.879999999999988</v>
      </c>
      <c r="AY81" s="135">
        <f t="shared" ref="AY81" si="616">+AY82+AY83</f>
        <v>59.879999999999988</v>
      </c>
      <c r="AZ81" s="135">
        <f t="shared" ref="AZ81" si="617">+AZ82+AZ83</f>
        <v>59.879999999999988</v>
      </c>
      <c r="BA81" s="135">
        <f t="shared" ref="BA81" si="618">+BA82+BA83</f>
        <v>59.879999999999988</v>
      </c>
      <c r="BB81" s="135">
        <f t="shared" ref="BB81" si="619">+BB82+BB83</f>
        <v>59.879999999999988</v>
      </c>
      <c r="BC81" s="134">
        <f t="shared" ref="BC81" si="620">+BC82+BC83</f>
        <v>59.879999999999988</v>
      </c>
      <c r="BD81" s="135">
        <f t="shared" ref="BD81" si="621">+BD82+BD83</f>
        <v>59.879999999999988</v>
      </c>
      <c r="BE81" s="135">
        <f t="shared" ref="BE81" si="622">+BE82+BE83</f>
        <v>59.879999999999988</v>
      </c>
      <c r="BF81" s="135">
        <f t="shared" ref="BF81" si="623">+BF82+BF83</f>
        <v>59.879999999999988</v>
      </c>
      <c r="BG81" s="135">
        <f t="shared" ref="BG81" si="624">+BG82+BG83</f>
        <v>59.879999999999988</v>
      </c>
      <c r="BH81" s="134">
        <f t="shared" ref="BH81" si="625">+BH82+BH83</f>
        <v>59.879999999999988</v>
      </c>
      <c r="BI81" s="135">
        <f t="shared" ref="BI81" si="626">+BI82+BI83</f>
        <v>59.879999999999988</v>
      </c>
      <c r="BJ81" s="135">
        <f t="shared" ref="BJ81" si="627">+BJ82+BJ83</f>
        <v>59.879999999999988</v>
      </c>
      <c r="BK81" s="135">
        <f t="shared" ref="BK81" si="628">+BK82+BK83</f>
        <v>59.879999999999988</v>
      </c>
      <c r="BL81" s="135">
        <f t="shared" ref="BL81" si="629">+BL82+BL83</f>
        <v>59.879999999999988</v>
      </c>
      <c r="BM81" s="134">
        <f t="shared" ref="BM81" si="630">+BM82+BM83</f>
        <v>59.879999999999988</v>
      </c>
      <c r="BN81" s="135">
        <f t="shared" ref="BN81" si="631">+BN82+BN83</f>
        <v>59.879999999999988</v>
      </c>
      <c r="BO81" s="135">
        <f t="shared" ref="BO81" si="632">+BO82+BO83</f>
        <v>59.879999999999988</v>
      </c>
      <c r="BP81" s="135">
        <f t="shared" ref="BP81" si="633">+BP82+BP83</f>
        <v>59.879999999999988</v>
      </c>
      <c r="BQ81" s="135">
        <f t="shared" ref="BQ81" si="634">+BQ82+BQ83</f>
        <v>59.879999999999988</v>
      </c>
      <c r="BR81" s="134">
        <f t="shared" ref="BR81" si="635">+BR82+BR83</f>
        <v>59.879999999999988</v>
      </c>
      <c r="BS81" s="135">
        <f t="shared" ref="BS81" si="636">+BS82+BS83</f>
        <v>59.879999999999988</v>
      </c>
      <c r="BT81" s="135">
        <f t="shared" ref="BT81" si="637">+BT82+BT83</f>
        <v>59.879999999999988</v>
      </c>
      <c r="BU81" s="135">
        <f t="shared" ref="BU81" si="638">+BU82+BU83</f>
        <v>59.879999999999988</v>
      </c>
      <c r="BV81" s="135">
        <f t="shared" ref="BV81" si="639">+BV82+BV83</f>
        <v>59.879999999999988</v>
      </c>
      <c r="BW81" s="134">
        <f t="shared" ref="BW81" si="640">+BW82+BW83</f>
        <v>59.879999999999988</v>
      </c>
      <c r="BX81" s="135">
        <f t="shared" ref="BX81" si="641">+BX82+BX83</f>
        <v>59.879999999999988</v>
      </c>
      <c r="BY81" s="135">
        <f t="shared" ref="BY81" si="642">+BY82+BY83</f>
        <v>59.879999999999988</v>
      </c>
      <c r="BZ81" s="135">
        <f t="shared" ref="BZ81" si="643">+BZ82+BZ83</f>
        <v>59.879999999999988</v>
      </c>
      <c r="CA81" s="135">
        <f t="shared" ref="CA81" si="644">+CA82+CA83</f>
        <v>59.879999999999988</v>
      </c>
      <c r="CB81" s="134">
        <f t="shared" ref="CB81" si="645">+CB82+CB83</f>
        <v>59.879999999999988</v>
      </c>
      <c r="CC81" s="135">
        <f t="shared" ref="CC81" si="646">+CC82+CC83</f>
        <v>59.879999999999988</v>
      </c>
      <c r="CD81" s="135">
        <f t="shared" ref="CD81" si="647">+CD82+CD83</f>
        <v>59.879999999999988</v>
      </c>
      <c r="CE81" s="135">
        <f t="shared" ref="CE81" si="648">+CE82+CE83</f>
        <v>59.879999999999988</v>
      </c>
      <c r="CF81" s="135">
        <f t="shared" ref="CF81" si="649">+CF82+CF83</f>
        <v>59.879999999999988</v>
      </c>
      <c r="CG81" s="134">
        <f t="shared" ref="CG81" si="650">+CG82+CG83</f>
        <v>59.879999999999988</v>
      </c>
      <c r="CH81" s="135">
        <f t="shared" ref="CH81" si="651">+CH82+CH83</f>
        <v>59.879999999999988</v>
      </c>
      <c r="CI81" s="135">
        <f t="shared" ref="CI81" si="652">+CI82+CI83</f>
        <v>59.879999999999988</v>
      </c>
      <c r="CJ81" s="135">
        <f t="shared" ref="CJ81" si="653">+CJ82+CJ83</f>
        <v>59.879999999999988</v>
      </c>
      <c r="CK81" s="135">
        <f t="shared" ref="CK81" si="654">+CK82+CK83</f>
        <v>59.879999999999988</v>
      </c>
      <c r="CL81" s="134">
        <f t="shared" ref="CL81" si="655">+CL82+CL83</f>
        <v>59.879999999999988</v>
      </c>
      <c r="CM81" s="135">
        <f t="shared" ref="CM81" si="656">+CM82+CM83</f>
        <v>59.879999999999988</v>
      </c>
      <c r="CN81" s="135">
        <f t="shared" ref="CN81" si="657">+CN82+CN83</f>
        <v>59.879999999999988</v>
      </c>
      <c r="CO81" s="135">
        <f t="shared" ref="CO81" si="658">+CO82+CO83</f>
        <v>59.879999999999988</v>
      </c>
      <c r="CP81" s="135">
        <f t="shared" ref="CP81" si="659">+CP82+CP83</f>
        <v>59.879999999999988</v>
      </c>
      <c r="CQ81" s="134">
        <f t="shared" ref="CQ81" si="660">+CQ82+CQ83</f>
        <v>59.879999999999988</v>
      </c>
      <c r="CR81" s="135">
        <f t="shared" ref="CR81" si="661">+CR82+CR83</f>
        <v>59.879999999999988</v>
      </c>
      <c r="CS81" s="135">
        <f t="shared" ref="CS81" si="662">+CS82+CS83</f>
        <v>59.879999999999988</v>
      </c>
      <c r="CT81" s="135">
        <f t="shared" ref="CT81" si="663">+CT82+CT83</f>
        <v>59.879999999999988</v>
      </c>
      <c r="CU81" s="135">
        <f t="shared" ref="CU81" si="664">+CU82+CU83</f>
        <v>59.879999999999988</v>
      </c>
      <c r="CV81" s="134">
        <f t="shared" ref="CV81" si="665">+CV82+CV83</f>
        <v>59.879999999999988</v>
      </c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</row>
    <row r="82" spans="1:115" s="21" customFormat="1">
      <c r="A82" s="148" t="s">
        <v>72</v>
      </c>
      <c r="B82" s="70"/>
      <c r="C82" s="70"/>
      <c r="D82" s="70"/>
      <c r="E82" s="134"/>
      <c r="F82" s="135"/>
      <c r="G82" s="135"/>
      <c r="H82" s="135"/>
      <c r="I82" s="135"/>
      <c r="J82" s="134"/>
      <c r="K82" s="135"/>
      <c r="L82" s="135"/>
      <c r="M82" s="135"/>
      <c r="N82" s="135"/>
      <c r="O82" s="134"/>
      <c r="P82" s="135"/>
      <c r="Q82" s="135"/>
      <c r="R82" s="135"/>
      <c r="S82" s="135"/>
      <c r="T82" s="134"/>
      <c r="U82" s="136">
        <v>59.2</v>
      </c>
      <c r="V82" s="136">
        <v>59.22999999999999</v>
      </c>
      <c r="W82" s="136">
        <v>59.22999999999999</v>
      </c>
      <c r="X82" s="136">
        <v>59.22999999999999</v>
      </c>
      <c r="Y82" s="134">
        <v>59.22999999999999</v>
      </c>
      <c r="Z82" s="135">
        <v>59.22999999999999</v>
      </c>
      <c r="AA82" s="135">
        <v>59.22999999999999</v>
      </c>
      <c r="AB82" s="135">
        <v>59.22999999999999</v>
      </c>
      <c r="AC82" s="135">
        <v>59.22999999999999</v>
      </c>
      <c r="AD82" s="134">
        <v>59.22999999999999</v>
      </c>
      <c r="AE82" s="135">
        <v>59.22999999999999</v>
      </c>
      <c r="AF82" s="135">
        <v>59.22999999999999</v>
      </c>
      <c r="AG82" s="135">
        <v>59.22999999999999</v>
      </c>
      <c r="AH82" s="135">
        <v>59.22999999999999</v>
      </c>
      <c r="AI82" s="134">
        <v>59.22999999999999</v>
      </c>
      <c r="AJ82" s="135">
        <v>59.22999999999999</v>
      </c>
      <c r="AK82" s="135">
        <v>59.22999999999999</v>
      </c>
      <c r="AL82" s="135">
        <v>59.22999999999999</v>
      </c>
      <c r="AM82" s="135">
        <v>59.22999999999999</v>
      </c>
      <c r="AN82" s="134">
        <v>59.22999999999999</v>
      </c>
      <c r="AO82" s="136">
        <v>59.22999999999999</v>
      </c>
      <c r="AP82" s="136">
        <v>59.22999999999999</v>
      </c>
      <c r="AQ82" s="136">
        <v>59.22999999999999</v>
      </c>
      <c r="AR82" s="136">
        <v>59.22999999999999</v>
      </c>
      <c r="AS82" s="134">
        <v>59.22999999999999</v>
      </c>
      <c r="AT82" s="135">
        <v>59.22999999999999</v>
      </c>
      <c r="AU82" s="135">
        <v>59.22999999999999</v>
      </c>
      <c r="AV82" s="135">
        <v>59.22999999999999</v>
      </c>
      <c r="AW82" s="135">
        <v>59.22999999999999</v>
      </c>
      <c r="AX82" s="134">
        <v>59.22999999999999</v>
      </c>
      <c r="AY82" s="135">
        <v>59.22999999999999</v>
      </c>
      <c r="AZ82" s="135">
        <v>59.22999999999999</v>
      </c>
      <c r="BA82" s="135">
        <v>59.22999999999999</v>
      </c>
      <c r="BB82" s="135">
        <v>59.22999999999999</v>
      </c>
      <c r="BC82" s="134">
        <v>59.22999999999999</v>
      </c>
      <c r="BD82" s="135">
        <v>59.22999999999999</v>
      </c>
      <c r="BE82" s="135">
        <v>59.22999999999999</v>
      </c>
      <c r="BF82" s="135">
        <v>59.22999999999999</v>
      </c>
      <c r="BG82" s="135">
        <v>59.22999999999999</v>
      </c>
      <c r="BH82" s="134">
        <v>59.22999999999999</v>
      </c>
      <c r="BI82" s="136">
        <v>59.22999999999999</v>
      </c>
      <c r="BJ82" s="136">
        <v>59.22999999999999</v>
      </c>
      <c r="BK82" s="136">
        <v>59.22999999999999</v>
      </c>
      <c r="BL82" s="136">
        <v>59.22999999999999</v>
      </c>
      <c r="BM82" s="134">
        <v>59.22999999999999</v>
      </c>
      <c r="BN82" s="135">
        <v>59.22999999999999</v>
      </c>
      <c r="BO82" s="135">
        <v>59.22999999999999</v>
      </c>
      <c r="BP82" s="135">
        <v>59.22999999999999</v>
      </c>
      <c r="BQ82" s="135">
        <v>59.22999999999999</v>
      </c>
      <c r="BR82" s="134">
        <v>59.22999999999999</v>
      </c>
      <c r="BS82" s="135">
        <v>59.22999999999999</v>
      </c>
      <c r="BT82" s="135">
        <v>56.22999999999999</v>
      </c>
      <c r="BU82" s="135">
        <v>56.22999999999999</v>
      </c>
      <c r="BV82" s="135">
        <v>56.22999999999999</v>
      </c>
      <c r="BW82" s="134">
        <v>56.22999999999999</v>
      </c>
      <c r="BX82" s="135">
        <v>56.22999999999999</v>
      </c>
      <c r="BY82" s="135">
        <v>56.22999999999999</v>
      </c>
      <c r="BZ82" s="135">
        <v>56.22999999999999</v>
      </c>
      <c r="CA82" s="135">
        <v>56.22999999999999</v>
      </c>
      <c r="CB82" s="134">
        <v>56.22999999999999</v>
      </c>
      <c r="CC82" s="136">
        <v>56.22999999999999</v>
      </c>
      <c r="CD82" s="136">
        <v>56.22999999999999</v>
      </c>
      <c r="CE82" s="136">
        <v>56.22999999999999</v>
      </c>
      <c r="CF82" s="136">
        <v>56.22999999999999</v>
      </c>
      <c r="CG82" s="134">
        <v>56.22999999999999</v>
      </c>
      <c r="CH82" s="135">
        <v>56.22999999999999</v>
      </c>
      <c r="CI82" s="135">
        <v>56.22999999999999</v>
      </c>
      <c r="CJ82" s="135">
        <v>56.22999999999999</v>
      </c>
      <c r="CK82" s="135">
        <v>56.22999999999999</v>
      </c>
      <c r="CL82" s="134">
        <v>56.22999999999999</v>
      </c>
      <c r="CM82" s="135">
        <v>56.22999999999999</v>
      </c>
      <c r="CN82" s="135">
        <v>56.22999999999999</v>
      </c>
      <c r="CO82" s="135">
        <v>56.22999999999999</v>
      </c>
      <c r="CP82" s="135">
        <v>56.22999999999999</v>
      </c>
      <c r="CQ82" s="134">
        <v>56.22999999999999</v>
      </c>
      <c r="CR82" s="136">
        <v>56.22999999999999</v>
      </c>
      <c r="CS82" s="136">
        <v>56.22999999999999</v>
      </c>
      <c r="CT82" s="136">
        <v>56.22999999999999</v>
      </c>
      <c r="CU82" s="136">
        <v>56.22999999999999</v>
      </c>
      <c r="CV82" s="134">
        <v>56.22999999999999</v>
      </c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</row>
    <row r="83" spans="1:115" s="21" customFormat="1">
      <c r="A83" s="148" t="s">
        <v>73</v>
      </c>
      <c r="B83" s="70"/>
      <c r="C83" s="70"/>
      <c r="D83" s="70"/>
      <c r="E83" s="134"/>
      <c r="F83" s="135"/>
      <c r="G83" s="135"/>
      <c r="H83" s="135"/>
      <c r="I83" s="135"/>
      <c r="J83" s="134"/>
      <c r="K83" s="135"/>
      <c r="L83" s="135"/>
      <c r="M83" s="135"/>
      <c r="N83" s="135"/>
      <c r="O83" s="134"/>
      <c r="P83" s="135"/>
      <c r="Q83" s="135"/>
      <c r="R83" s="135"/>
      <c r="S83" s="135"/>
      <c r="T83" s="134"/>
      <c r="U83" s="136">
        <v>0.7</v>
      </c>
      <c r="V83" s="136">
        <v>0.65</v>
      </c>
      <c r="W83" s="136">
        <v>0.65</v>
      </c>
      <c r="X83" s="136">
        <v>0.65</v>
      </c>
      <c r="Y83" s="134">
        <v>0.65</v>
      </c>
      <c r="Z83" s="135">
        <v>0.65</v>
      </c>
      <c r="AA83" s="135">
        <v>0.65</v>
      </c>
      <c r="AB83" s="135">
        <v>0.65</v>
      </c>
      <c r="AC83" s="135">
        <v>0.65</v>
      </c>
      <c r="AD83" s="134">
        <v>0.65</v>
      </c>
      <c r="AE83" s="135">
        <v>0.65</v>
      </c>
      <c r="AF83" s="135">
        <v>0.65</v>
      </c>
      <c r="AG83" s="135">
        <v>0.65</v>
      </c>
      <c r="AH83" s="135">
        <v>0.65</v>
      </c>
      <c r="AI83" s="134">
        <v>0.65</v>
      </c>
      <c r="AJ83" s="135">
        <v>0.65</v>
      </c>
      <c r="AK83" s="135">
        <v>0.65</v>
      </c>
      <c r="AL83" s="135">
        <v>0.65</v>
      </c>
      <c r="AM83" s="135">
        <v>0.65</v>
      </c>
      <c r="AN83" s="134">
        <v>0.65</v>
      </c>
      <c r="AO83" s="136">
        <v>0.65</v>
      </c>
      <c r="AP83" s="136">
        <v>0.65</v>
      </c>
      <c r="AQ83" s="136">
        <v>0.65</v>
      </c>
      <c r="AR83" s="136">
        <v>0.65</v>
      </c>
      <c r="AS83" s="134">
        <v>0.65</v>
      </c>
      <c r="AT83" s="135">
        <v>0.65</v>
      </c>
      <c r="AU83" s="135">
        <v>0.65</v>
      </c>
      <c r="AV83" s="135">
        <v>0.65</v>
      </c>
      <c r="AW83" s="135">
        <v>0.65</v>
      </c>
      <c r="AX83" s="134">
        <v>0.65</v>
      </c>
      <c r="AY83" s="135">
        <v>0.65</v>
      </c>
      <c r="AZ83" s="135">
        <v>0.65</v>
      </c>
      <c r="BA83" s="135">
        <v>0.65</v>
      </c>
      <c r="BB83" s="135">
        <v>0.65</v>
      </c>
      <c r="BC83" s="134">
        <v>0.65</v>
      </c>
      <c r="BD83" s="135">
        <v>0.65</v>
      </c>
      <c r="BE83" s="135">
        <v>0.65</v>
      </c>
      <c r="BF83" s="135">
        <v>0.65</v>
      </c>
      <c r="BG83" s="135">
        <v>0.65</v>
      </c>
      <c r="BH83" s="134">
        <v>0.65</v>
      </c>
      <c r="BI83" s="136">
        <v>0.65</v>
      </c>
      <c r="BJ83" s="136">
        <v>0.65</v>
      </c>
      <c r="BK83" s="136">
        <v>0.65</v>
      </c>
      <c r="BL83" s="136">
        <v>0.65</v>
      </c>
      <c r="BM83" s="134">
        <v>0.65</v>
      </c>
      <c r="BN83" s="135">
        <v>0.65</v>
      </c>
      <c r="BO83" s="135">
        <v>0.65</v>
      </c>
      <c r="BP83" s="135">
        <v>0.65</v>
      </c>
      <c r="BQ83" s="135">
        <v>0.65</v>
      </c>
      <c r="BR83" s="134">
        <v>0.65</v>
      </c>
      <c r="BS83" s="135">
        <v>0.65</v>
      </c>
      <c r="BT83" s="135">
        <v>3.65</v>
      </c>
      <c r="BU83" s="135">
        <v>3.65</v>
      </c>
      <c r="BV83" s="135">
        <v>3.65</v>
      </c>
      <c r="BW83" s="134">
        <v>3.65</v>
      </c>
      <c r="BX83" s="135">
        <v>3.65</v>
      </c>
      <c r="BY83" s="135">
        <v>3.65</v>
      </c>
      <c r="BZ83" s="135">
        <v>3.65</v>
      </c>
      <c r="CA83" s="135">
        <v>3.65</v>
      </c>
      <c r="CB83" s="134">
        <v>3.65</v>
      </c>
      <c r="CC83" s="136">
        <v>3.65</v>
      </c>
      <c r="CD83" s="136">
        <v>3.65</v>
      </c>
      <c r="CE83" s="136">
        <v>3.65</v>
      </c>
      <c r="CF83" s="136">
        <v>3.65</v>
      </c>
      <c r="CG83" s="134">
        <v>3.65</v>
      </c>
      <c r="CH83" s="135">
        <v>3.65</v>
      </c>
      <c r="CI83" s="135">
        <v>3.65</v>
      </c>
      <c r="CJ83" s="135">
        <v>3.65</v>
      </c>
      <c r="CK83" s="135">
        <v>3.65</v>
      </c>
      <c r="CL83" s="134">
        <v>3.65</v>
      </c>
      <c r="CM83" s="135">
        <v>3.65</v>
      </c>
      <c r="CN83" s="135">
        <v>3.65</v>
      </c>
      <c r="CO83" s="135">
        <v>3.65</v>
      </c>
      <c r="CP83" s="135">
        <v>3.65</v>
      </c>
      <c r="CQ83" s="134">
        <v>3.65</v>
      </c>
      <c r="CR83" s="136">
        <v>3.65</v>
      </c>
      <c r="CS83" s="136">
        <v>3.65</v>
      </c>
      <c r="CT83" s="136">
        <v>3.65</v>
      </c>
      <c r="CU83" s="136">
        <v>3.65</v>
      </c>
      <c r="CV83" s="134">
        <v>3.65</v>
      </c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</row>
    <row r="84" spans="1:115">
      <c r="A84" s="149" t="s">
        <v>74</v>
      </c>
      <c r="B84" s="19"/>
      <c r="C84" s="19"/>
      <c r="D84" s="19"/>
      <c r="E84" s="112"/>
      <c r="F84" s="137"/>
      <c r="G84" s="137"/>
      <c r="H84" s="137"/>
      <c r="I84" s="137"/>
      <c r="J84" s="112"/>
      <c r="K84" s="137"/>
      <c r="L84" s="137"/>
      <c r="M84" s="137"/>
      <c r="N84" s="137"/>
      <c r="O84" s="112"/>
      <c r="P84" s="137"/>
      <c r="Q84" s="137"/>
      <c r="R84" s="137"/>
      <c r="S84" s="137"/>
      <c r="T84" s="112"/>
      <c r="U84" s="137">
        <f>+U83/U81</f>
        <v>1.1686143572621033E-2</v>
      </c>
      <c r="V84" s="137">
        <f t="shared" ref="V84:W84" si="666">+V83/V81</f>
        <v>1.0855043420173684E-2</v>
      </c>
      <c r="W84" s="137">
        <f t="shared" si="666"/>
        <v>1.0855043420173684E-2</v>
      </c>
      <c r="X84" s="137">
        <f t="shared" ref="X84" si="667">+X83/X81</f>
        <v>1.0855043420173684E-2</v>
      </c>
      <c r="Y84" s="112">
        <f t="shared" ref="Y84" si="668">+Y83/Y81</f>
        <v>1.0855043420173684E-2</v>
      </c>
      <c r="Z84" s="137">
        <f t="shared" ref="Z84" si="669">+Z83/Z81</f>
        <v>1.0855043420173684E-2</v>
      </c>
      <c r="AA84" s="137">
        <f t="shared" ref="AA84" si="670">+AA83/AA81</f>
        <v>1.0855043420173684E-2</v>
      </c>
      <c r="AB84" s="137">
        <f t="shared" ref="AB84" si="671">+AB83/AB81</f>
        <v>1.0855043420173684E-2</v>
      </c>
      <c r="AC84" s="137">
        <f t="shared" ref="AC84" si="672">+AC83/AC81</f>
        <v>1.0855043420173684E-2</v>
      </c>
      <c r="AD84" s="112">
        <f t="shared" ref="AD84" si="673">+AD83/AD81</f>
        <v>1.0855043420173684E-2</v>
      </c>
      <c r="AE84" s="137">
        <f t="shared" ref="AE84" si="674">+AE83/AE81</f>
        <v>1.0855043420173684E-2</v>
      </c>
      <c r="AF84" s="137">
        <f t="shared" ref="AF84" si="675">+AF83/AF81</f>
        <v>1.0855043420173684E-2</v>
      </c>
      <c r="AG84" s="137">
        <f t="shared" ref="AG84" si="676">+AG83/AG81</f>
        <v>1.0855043420173684E-2</v>
      </c>
      <c r="AH84" s="137">
        <f t="shared" ref="AH84" si="677">+AH83/AH81</f>
        <v>1.0855043420173684E-2</v>
      </c>
      <c r="AI84" s="112">
        <f t="shared" ref="AI84" si="678">+AI83/AI81</f>
        <v>1.0855043420173684E-2</v>
      </c>
      <c r="AJ84" s="137">
        <f t="shared" ref="AJ84" si="679">+AJ83/AJ81</f>
        <v>1.0855043420173684E-2</v>
      </c>
      <c r="AK84" s="137">
        <f t="shared" ref="AK84" si="680">+AK83/AK81</f>
        <v>1.0855043420173684E-2</v>
      </c>
      <c r="AL84" s="137">
        <f t="shared" ref="AL84" si="681">+AL83/AL81</f>
        <v>1.0855043420173684E-2</v>
      </c>
      <c r="AM84" s="137">
        <f t="shared" ref="AM84" si="682">+AM83/AM81</f>
        <v>1.0855043420173684E-2</v>
      </c>
      <c r="AN84" s="112">
        <f t="shared" ref="AN84" si="683">+AN83/AN81</f>
        <v>1.0855043420173684E-2</v>
      </c>
      <c r="AO84" s="137">
        <f t="shared" ref="AO84" si="684">+AO83/AO81</f>
        <v>1.0855043420173684E-2</v>
      </c>
      <c r="AP84" s="137">
        <f t="shared" ref="AP84" si="685">+AP83/AP81</f>
        <v>1.0855043420173684E-2</v>
      </c>
      <c r="AQ84" s="137">
        <f t="shared" ref="AQ84" si="686">+AQ83/AQ81</f>
        <v>1.0855043420173684E-2</v>
      </c>
      <c r="AR84" s="137">
        <f t="shared" ref="AR84" si="687">+AR83/AR81</f>
        <v>1.0855043420173684E-2</v>
      </c>
      <c r="AS84" s="112">
        <f t="shared" ref="AS84" si="688">+AS83/AS81</f>
        <v>1.0855043420173684E-2</v>
      </c>
      <c r="AT84" s="137">
        <f t="shared" ref="AT84" si="689">+AT83/AT81</f>
        <v>1.0855043420173684E-2</v>
      </c>
      <c r="AU84" s="137">
        <f t="shared" ref="AU84" si="690">+AU83/AU81</f>
        <v>1.0855043420173684E-2</v>
      </c>
      <c r="AV84" s="137">
        <f t="shared" ref="AV84" si="691">+AV83/AV81</f>
        <v>1.0855043420173684E-2</v>
      </c>
      <c r="AW84" s="137">
        <f t="shared" ref="AW84" si="692">+AW83/AW81</f>
        <v>1.0855043420173684E-2</v>
      </c>
      <c r="AX84" s="112">
        <f t="shared" ref="AX84" si="693">+AX83/AX81</f>
        <v>1.0855043420173684E-2</v>
      </c>
      <c r="AY84" s="137">
        <f t="shared" ref="AY84" si="694">+AY83/AY81</f>
        <v>1.0855043420173684E-2</v>
      </c>
      <c r="AZ84" s="137">
        <f t="shared" ref="AZ84" si="695">+AZ83/AZ81</f>
        <v>1.0855043420173684E-2</v>
      </c>
      <c r="BA84" s="137">
        <f t="shared" ref="BA84" si="696">+BA83/BA81</f>
        <v>1.0855043420173684E-2</v>
      </c>
      <c r="BB84" s="137">
        <f t="shared" ref="BB84" si="697">+BB83/BB81</f>
        <v>1.0855043420173684E-2</v>
      </c>
      <c r="BC84" s="112">
        <f t="shared" ref="BC84" si="698">+BC83/BC81</f>
        <v>1.0855043420173684E-2</v>
      </c>
      <c r="BD84" s="137">
        <f t="shared" ref="BD84" si="699">+BD83/BD81</f>
        <v>1.0855043420173684E-2</v>
      </c>
      <c r="BE84" s="137">
        <f t="shared" ref="BE84" si="700">+BE83/BE81</f>
        <v>1.0855043420173684E-2</v>
      </c>
      <c r="BF84" s="137">
        <f t="shared" ref="BF84" si="701">+BF83/BF81</f>
        <v>1.0855043420173684E-2</v>
      </c>
      <c r="BG84" s="137">
        <f t="shared" ref="BG84" si="702">+BG83/BG81</f>
        <v>1.0855043420173684E-2</v>
      </c>
      <c r="BH84" s="112">
        <f t="shared" ref="BH84" si="703">+BH83/BH81</f>
        <v>1.0855043420173684E-2</v>
      </c>
      <c r="BI84" s="137">
        <f t="shared" ref="BI84" si="704">+BI83/BI81</f>
        <v>1.0855043420173684E-2</v>
      </c>
      <c r="BJ84" s="137">
        <f t="shared" ref="BJ84" si="705">+BJ83/BJ81</f>
        <v>1.0855043420173684E-2</v>
      </c>
      <c r="BK84" s="137">
        <f t="shared" ref="BK84" si="706">+BK83/BK81</f>
        <v>1.0855043420173684E-2</v>
      </c>
      <c r="BL84" s="137">
        <f t="shared" ref="BL84" si="707">+BL83/BL81</f>
        <v>1.0855043420173684E-2</v>
      </c>
      <c r="BM84" s="112">
        <f t="shared" ref="BM84" si="708">+BM83/BM81</f>
        <v>1.0855043420173684E-2</v>
      </c>
      <c r="BN84" s="137">
        <f t="shared" ref="BN84" si="709">+BN83/BN81</f>
        <v>1.0855043420173684E-2</v>
      </c>
      <c r="BO84" s="137">
        <f t="shared" ref="BO84" si="710">+BO83/BO81</f>
        <v>1.0855043420173684E-2</v>
      </c>
      <c r="BP84" s="137">
        <f t="shared" ref="BP84" si="711">+BP83/BP81</f>
        <v>1.0855043420173684E-2</v>
      </c>
      <c r="BQ84" s="137">
        <f t="shared" ref="BQ84" si="712">+BQ83/BQ81</f>
        <v>1.0855043420173684E-2</v>
      </c>
      <c r="BR84" s="112">
        <f t="shared" ref="BR84" si="713">+BR83/BR81</f>
        <v>1.0855043420173684E-2</v>
      </c>
      <c r="BS84" s="137">
        <f t="shared" ref="BS84" si="714">+BS83/BS81</f>
        <v>1.0855043420173684E-2</v>
      </c>
      <c r="BT84" s="137">
        <f t="shared" ref="BT84" si="715">+BT83/BT81</f>
        <v>6.0955243820975294E-2</v>
      </c>
      <c r="BU84" s="137">
        <f t="shared" ref="BU84" si="716">+BU83/BU81</f>
        <v>6.0955243820975294E-2</v>
      </c>
      <c r="BV84" s="137">
        <f t="shared" ref="BV84" si="717">+BV83/BV81</f>
        <v>6.0955243820975294E-2</v>
      </c>
      <c r="BW84" s="112">
        <f t="shared" ref="BW84" si="718">+BW83/BW81</f>
        <v>6.0955243820975294E-2</v>
      </c>
      <c r="BX84" s="137">
        <f t="shared" ref="BX84" si="719">+BX83/BX81</f>
        <v>6.0955243820975294E-2</v>
      </c>
      <c r="BY84" s="137">
        <f t="shared" ref="BY84" si="720">+BY83/BY81</f>
        <v>6.0955243820975294E-2</v>
      </c>
      <c r="BZ84" s="137">
        <f t="shared" ref="BZ84" si="721">+BZ83/BZ81</f>
        <v>6.0955243820975294E-2</v>
      </c>
      <c r="CA84" s="137">
        <f t="shared" ref="CA84" si="722">+CA83/CA81</f>
        <v>6.0955243820975294E-2</v>
      </c>
      <c r="CB84" s="112">
        <f t="shared" ref="CB84" si="723">+CB83/CB81</f>
        <v>6.0955243820975294E-2</v>
      </c>
      <c r="CC84" s="137">
        <f t="shared" ref="CC84" si="724">+CC83/CC81</f>
        <v>6.0955243820975294E-2</v>
      </c>
      <c r="CD84" s="137">
        <f t="shared" ref="CD84" si="725">+CD83/CD81</f>
        <v>6.0955243820975294E-2</v>
      </c>
      <c r="CE84" s="137">
        <f t="shared" ref="CE84" si="726">+CE83/CE81</f>
        <v>6.0955243820975294E-2</v>
      </c>
      <c r="CF84" s="137">
        <f t="shared" ref="CF84" si="727">+CF83/CF81</f>
        <v>6.0955243820975294E-2</v>
      </c>
      <c r="CG84" s="112">
        <f t="shared" ref="CG84" si="728">+CG83/CG81</f>
        <v>6.0955243820975294E-2</v>
      </c>
      <c r="CH84" s="137">
        <f t="shared" ref="CH84" si="729">+CH83/CH81</f>
        <v>6.0955243820975294E-2</v>
      </c>
      <c r="CI84" s="137">
        <f t="shared" ref="CI84" si="730">+CI83/CI81</f>
        <v>6.0955243820975294E-2</v>
      </c>
      <c r="CJ84" s="137">
        <f t="shared" ref="CJ84" si="731">+CJ83/CJ81</f>
        <v>6.0955243820975294E-2</v>
      </c>
      <c r="CK84" s="137">
        <f t="shared" ref="CK84" si="732">+CK83/CK81</f>
        <v>6.0955243820975294E-2</v>
      </c>
      <c r="CL84" s="112">
        <f t="shared" ref="CL84" si="733">+CL83/CL81</f>
        <v>6.0955243820975294E-2</v>
      </c>
      <c r="CM84" s="137">
        <f t="shared" ref="CM84" si="734">+CM83/CM81</f>
        <v>6.0955243820975294E-2</v>
      </c>
      <c r="CN84" s="137">
        <f t="shared" ref="CN84" si="735">+CN83/CN81</f>
        <v>6.0955243820975294E-2</v>
      </c>
      <c r="CO84" s="137">
        <f t="shared" ref="CO84" si="736">+CO83/CO81</f>
        <v>6.0955243820975294E-2</v>
      </c>
      <c r="CP84" s="137">
        <f t="shared" ref="CP84" si="737">+CP83/CP81</f>
        <v>6.0955243820975294E-2</v>
      </c>
      <c r="CQ84" s="112">
        <f t="shared" ref="CQ84" si="738">+CQ83/CQ81</f>
        <v>6.0955243820975294E-2</v>
      </c>
      <c r="CR84" s="137">
        <f t="shared" ref="CR84" si="739">+CR83/CR81</f>
        <v>6.0955243820975294E-2</v>
      </c>
      <c r="CS84" s="137">
        <f t="shared" ref="CS84" si="740">+CS83/CS81</f>
        <v>6.0955243820975294E-2</v>
      </c>
      <c r="CT84" s="137">
        <f t="shared" ref="CT84" si="741">+CT83/CT81</f>
        <v>6.0955243820975294E-2</v>
      </c>
      <c r="CU84" s="137">
        <f t="shared" ref="CU84" si="742">+CU83/CU81</f>
        <v>6.0955243820975294E-2</v>
      </c>
      <c r="CV84" s="112">
        <f t="shared" ref="CV84" si="743">+CV83/CV81</f>
        <v>6.0955243820975294E-2</v>
      </c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</row>
    <row r="85" spans="1:115">
      <c r="A85" s="146"/>
      <c r="B85" s="34"/>
      <c r="C85" s="34"/>
      <c r="D85" s="34"/>
      <c r="E85" s="100"/>
      <c r="J85" s="100"/>
      <c r="O85" s="100"/>
      <c r="T85" s="100"/>
      <c r="Y85" s="100"/>
      <c r="AD85" s="100"/>
      <c r="AI85" s="100"/>
      <c r="AN85" s="100"/>
      <c r="AS85" s="100"/>
      <c r="AX85" s="100"/>
      <c r="BC85" s="100"/>
      <c r="BH85" s="100"/>
      <c r="BM85" s="100"/>
      <c r="BR85" s="100"/>
      <c r="BW85" s="100"/>
      <c r="CB85" s="100"/>
      <c r="CG85" s="100"/>
      <c r="CL85" s="100"/>
      <c r="CQ85" s="100"/>
      <c r="CV85" s="100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</row>
    <row r="86" spans="1:115">
      <c r="A86" s="148" t="s">
        <v>75</v>
      </c>
      <c r="B86" s="71"/>
      <c r="C86" s="71"/>
      <c r="D86" s="71">
        <v>228.328</v>
      </c>
      <c r="E86" s="134">
        <v>228.328</v>
      </c>
      <c r="F86" s="136">
        <v>515.38850000000002</v>
      </c>
      <c r="G86" s="136">
        <v>586.67349999999999</v>
      </c>
      <c r="H86" s="136">
        <v>593.94050000000004</v>
      </c>
      <c r="I86" s="136">
        <v>553.65449999999998</v>
      </c>
      <c r="J86" s="134">
        <v>2249.6570000000002</v>
      </c>
      <c r="K86" s="136">
        <v>517.73699999999997</v>
      </c>
      <c r="L86" s="136">
        <v>633.34299999999996</v>
      </c>
      <c r="M86" s="136">
        <v>694.71400000000006</v>
      </c>
      <c r="N86" s="136">
        <v>641.23050000000001</v>
      </c>
      <c r="O86" s="134">
        <v>2487.0245</v>
      </c>
      <c r="P86" s="136">
        <v>615.72299999999996</v>
      </c>
      <c r="Q86" s="136">
        <v>606.63800000000003</v>
      </c>
      <c r="R86" s="136">
        <v>700.11699999999996</v>
      </c>
      <c r="S86" s="136">
        <v>655.69399999999996</v>
      </c>
      <c r="T86" s="134">
        <v>2578.172</v>
      </c>
      <c r="U86" s="136">
        <v>669.9</v>
      </c>
      <c r="V86" s="136">
        <v>707.9</v>
      </c>
      <c r="W86" s="136">
        <v>773.4</v>
      </c>
      <c r="X86" s="136">
        <v>751.3</v>
      </c>
      <c r="Y86" s="134">
        <f>+SUM(U86:X86)</f>
        <v>2902.5</v>
      </c>
      <c r="Z86" s="136">
        <v>715.07299999999998</v>
      </c>
      <c r="AA86" s="136">
        <v>721.61699999999996</v>
      </c>
      <c r="AB86" s="136">
        <v>714.74599999999998</v>
      </c>
      <c r="AC86" s="136">
        <v>700.96500000000003</v>
      </c>
      <c r="AD86" s="134">
        <f>+SUM(Z86:AC86)</f>
        <v>2852.4010000000003</v>
      </c>
      <c r="AE86" s="302">
        <v>651.63199999999995</v>
      </c>
      <c r="AF86" s="302">
        <v>694.38400000000001</v>
      </c>
      <c r="AG86" s="302">
        <v>742.45950000000005</v>
      </c>
      <c r="AH86" s="300">
        <f>AC86*(1+AH87)</f>
        <v>722.05100000000004</v>
      </c>
      <c r="AI86" s="301">
        <f>+SUM(AE86:AH86)</f>
        <v>2810.5264999999999</v>
      </c>
      <c r="AJ86" s="300">
        <f>AE86*(1+AJ87)</f>
        <v>677.10599999999999</v>
      </c>
      <c r="AK86" s="300">
        <f>AF86*(1+AK87)</f>
        <v>721.53</v>
      </c>
      <c r="AL86" s="300">
        <f>AG86*(1+AL87)</f>
        <v>771.48500000000001</v>
      </c>
      <c r="AM86" s="300">
        <f>AH86*(1+AM87)</f>
        <v>716.91600000000005</v>
      </c>
      <c r="AN86" s="301">
        <f>+SUM(AJ86:AM86)</f>
        <v>2887.0370000000003</v>
      </c>
      <c r="AO86" s="300">
        <f>AJ86*(1+AO87)</f>
        <v>675.20799999999997</v>
      </c>
      <c r="AP86" s="300">
        <f>AK86*(1+AP87)</f>
        <v>714.42399999999998</v>
      </c>
      <c r="AQ86" s="300">
        <f>AL86*(1+AQ87)</f>
        <v>744.62699999999995</v>
      </c>
      <c r="AR86" s="300">
        <f>AM86*(1+AR87)</f>
        <v>739.52499999999998</v>
      </c>
      <c r="AS86" s="301">
        <f>+SUM(AO86:AR86)</f>
        <v>2873.7840000000001</v>
      </c>
      <c r="AT86" s="300">
        <f>AO86*(1+AT87)</f>
        <v>715.76200000000006</v>
      </c>
      <c r="AU86" s="300">
        <f>AP86*(1+AU87)</f>
        <v>757.04300000000012</v>
      </c>
      <c r="AV86" s="300">
        <f>AQ86*(1+AV87)</f>
        <v>788.95899999999995</v>
      </c>
      <c r="AW86" s="300">
        <f>AR86*(1+AW87)</f>
        <v>783.94299999999998</v>
      </c>
      <c r="AX86" s="301">
        <f>+SUM(AT86:AW86)</f>
        <v>3045.7070000000003</v>
      </c>
      <c r="AY86" s="300">
        <f>AT86*(1+AY87)</f>
        <v>744.38600000000008</v>
      </c>
      <c r="AZ86" s="300">
        <f>AU86*(1+AZ87)</f>
        <v>787.04300000000023</v>
      </c>
      <c r="BA86" s="300">
        <f>AV86*(1+BA87)</f>
        <v>820.14099999999996</v>
      </c>
      <c r="BB86" s="300">
        <f>AW86*(1+BB87)</f>
        <v>815.29399999999998</v>
      </c>
      <c r="BC86" s="301">
        <f>+SUM(AY86:BB86)</f>
        <v>3166.864</v>
      </c>
      <c r="BD86" s="300">
        <f>AY86*(1+BD87)</f>
        <v>773.38200000000006</v>
      </c>
      <c r="BE86" s="300">
        <f>AZ86*(1+BE87)</f>
        <v>817.46300000000008</v>
      </c>
      <c r="BF86" s="300">
        <f>BA86*(1+BF87)</f>
        <v>851.76800000000003</v>
      </c>
      <c r="BG86" s="300">
        <f>BB86*(1+BG87)</f>
        <v>847.05300000000011</v>
      </c>
      <c r="BH86" s="301">
        <f>+SUM(BD86:BG86)</f>
        <v>3289.6660000000002</v>
      </c>
      <c r="BI86" s="300">
        <f>BD86*(1+BI87)</f>
        <v>805.91700000000014</v>
      </c>
      <c r="BJ86" s="300">
        <f>BE86*(1+BJ87)</f>
        <v>851.7700000000001</v>
      </c>
      <c r="BK86" s="300">
        <f>BF86*(1+BK87)</f>
        <v>887.4899999999999</v>
      </c>
      <c r="BL86" s="300">
        <f>BG86*(1+BL87)</f>
        <v>882.68600000000015</v>
      </c>
      <c r="BM86" s="301">
        <f>+SUM(BI86:BL86)</f>
        <v>3427.8630000000003</v>
      </c>
      <c r="BN86" s="300">
        <f>BI86*(1+BN87)</f>
        <v>839.11200000000008</v>
      </c>
      <c r="BO86" s="300">
        <f>BJ86*(1+BO87)</f>
        <v>886.79300000000001</v>
      </c>
      <c r="BP86" s="300">
        <f>BK86*(1+BP87)</f>
        <v>923.96399999999994</v>
      </c>
      <c r="BQ86" s="300">
        <f>BL86*(1+BQ87)</f>
        <v>919.04399999999998</v>
      </c>
      <c r="BR86" s="301">
        <f>+SUM(BN86:BQ86)</f>
        <v>3568.913</v>
      </c>
      <c r="BS86" s="300">
        <f>BN86*(1+BS87)</f>
        <v>872.93800000000022</v>
      </c>
      <c r="BT86" s="300">
        <f>BO86*(1+BT87)</f>
        <v>922.50500000000011</v>
      </c>
      <c r="BU86" s="300">
        <f>BP86*(1+BU87)</f>
        <v>961.16099999999983</v>
      </c>
      <c r="BV86" s="300">
        <f>BQ86*(1+BV87)</f>
        <v>956.09300000000007</v>
      </c>
      <c r="BW86" s="301">
        <f>+SUM(BS86:BV86)</f>
        <v>3712.6970000000001</v>
      </c>
      <c r="BX86" s="300">
        <f>BS86*(1+BX87)</f>
        <v>907.36100000000022</v>
      </c>
      <c r="BY86" s="300">
        <f>BT86*(1+BY87)</f>
        <v>958.87</v>
      </c>
      <c r="BZ86" s="300">
        <f>BU86*(1+BZ87)</f>
        <v>999.04700000000003</v>
      </c>
      <c r="CA86" s="300">
        <f>BV86*(1+CA87)</f>
        <v>993.76400000000012</v>
      </c>
      <c r="CB86" s="301">
        <f>+SUM(BX86:CA86)</f>
        <v>3859.0420000000004</v>
      </c>
      <c r="CC86" s="300">
        <f>BX86*(1+CC87)</f>
        <v>942.34400000000028</v>
      </c>
      <c r="CD86" s="300">
        <f>BY86*(1+CD87)</f>
        <v>995.85400000000016</v>
      </c>
      <c r="CE86" s="300">
        <f>BZ86*(1+CE87)</f>
        <v>1037.585</v>
      </c>
      <c r="CF86" s="300">
        <f>CA86*(1+CF87)</f>
        <v>1032.1090000000002</v>
      </c>
      <c r="CG86" s="301">
        <f>+SUM(CC86:CF86)</f>
        <v>4007.8920000000007</v>
      </c>
      <c r="CH86" s="300">
        <f>CC86*(1+CH87)</f>
        <v>977.84800000000018</v>
      </c>
      <c r="CI86" s="300">
        <f>CD86*(1+CI87)</f>
        <v>1033.42</v>
      </c>
      <c r="CJ86" s="300">
        <f>CE86*(1+CJ87)</f>
        <v>1076.739</v>
      </c>
      <c r="CK86" s="300">
        <f>CF86*(1+CK87)</f>
        <v>1070.9960000000003</v>
      </c>
      <c r="CL86" s="301">
        <f>+SUM(CH86:CK86)</f>
        <v>4159.0030000000006</v>
      </c>
      <c r="CM86" s="300">
        <f>CH86*(1+CM87)</f>
        <v>1013.8340000000003</v>
      </c>
      <c r="CN86" s="300">
        <f>CI86*(1+CN87)</f>
        <v>1071.528</v>
      </c>
      <c r="CO86" s="300">
        <f>CJ86*(1+CO87)</f>
        <v>1116.4670000000001</v>
      </c>
      <c r="CP86" s="300">
        <f>CK86*(1+CP87)</f>
        <v>1110.4100000000003</v>
      </c>
      <c r="CQ86" s="301">
        <f>+SUM(CM86:CP86)</f>
        <v>4312.2390000000005</v>
      </c>
      <c r="CR86" s="300">
        <f>CM86*(1+CR87)</f>
        <v>1029.5484270000004</v>
      </c>
      <c r="CS86" s="300">
        <f>CN86*(1+CS87)</f>
        <v>1088.1366840000001</v>
      </c>
      <c r="CT86" s="300">
        <f>CO86*(1+CT87)</f>
        <v>1133.7722385000002</v>
      </c>
      <c r="CU86" s="300">
        <f>CP86*(1+CU87)</f>
        <v>1127.6213550000004</v>
      </c>
      <c r="CV86" s="301">
        <f>+SUM(CR86:CU86)</f>
        <v>4379.0787045000015</v>
      </c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</row>
    <row r="87" spans="1:115">
      <c r="A87" s="146" t="s">
        <v>70</v>
      </c>
      <c r="B87" s="34"/>
      <c r="C87" s="34"/>
      <c r="D87" s="34"/>
      <c r="E87" s="111"/>
      <c r="I87" s="110">
        <f>+I86/D86-1</f>
        <v>1.4248208717283908</v>
      </c>
      <c r="J87" s="111">
        <f t="shared" ref="J87:X87" si="744">+J86/E86-1</f>
        <v>8.8527425458112887</v>
      </c>
      <c r="K87" s="110">
        <f t="shared" si="744"/>
        <v>4.5567566990725172E-3</v>
      </c>
      <c r="L87" s="110">
        <f t="shared" si="744"/>
        <v>7.9549357521687902E-2</v>
      </c>
      <c r="M87" s="110">
        <f t="shared" si="744"/>
        <v>0.16966935240146119</v>
      </c>
      <c r="N87" s="110">
        <f t="shared" si="744"/>
        <v>0.15817806953614588</v>
      </c>
      <c r="O87" s="111">
        <f t="shared" si="744"/>
        <v>0.10551275149945072</v>
      </c>
      <c r="P87" s="110">
        <f t="shared" si="744"/>
        <v>0.18925825274222241</v>
      </c>
      <c r="Q87" s="110">
        <f t="shared" si="744"/>
        <v>-4.2165145900404544E-2</v>
      </c>
      <c r="R87" s="110">
        <f t="shared" si="744"/>
        <v>7.7773011627804145E-3</v>
      </c>
      <c r="S87" s="110">
        <f t="shared" si="744"/>
        <v>2.2555851600945198E-2</v>
      </c>
      <c r="T87" s="111">
        <f t="shared" si="744"/>
        <v>3.6649216764852888E-2</v>
      </c>
      <c r="U87" s="110">
        <f t="shared" si="744"/>
        <v>8.7989241915601646E-2</v>
      </c>
      <c r="V87" s="110">
        <f t="shared" si="744"/>
        <v>0.16692327219857628</v>
      </c>
      <c r="W87" s="110">
        <f t="shared" si="744"/>
        <v>0.10467250473849377</v>
      </c>
      <c r="X87" s="110">
        <f t="shared" si="744"/>
        <v>0.14580886816106298</v>
      </c>
      <c r="Y87" s="111">
        <f t="shared" ref="Y87" si="745">+Y86/T86-1</f>
        <v>0.12579765818572231</v>
      </c>
      <c r="Z87" s="110">
        <f t="shared" ref="Z87" si="746">+Z86/U86-1</f>
        <v>6.7432452604866411E-2</v>
      </c>
      <c r="AA87" s="110">
        <f t="shared" ref="AA87" si="747">+AA86/V86-1</f>
        <v>1.9377030654047056E-2</v>
      </c>
      <c r="AB87" s="110">
        <f t="shared" ref="AB87" si="748">+AB86/W86-1</f>
        <v>-7.5839151797258864E-2</v>
      </c>
      <c r="AC87" s="110">
        <f t="shared" ref="AC87" si="749">+AC86/X86-1</f>
        <v>-6.6997204844935321E-2</v>
      </c>
      <c r="AD87" s="111">
        <f>+AD86/Y86-1</f>
        <v>-1.7260637381567467E-2</v>
      </c>
      <c r="AE87" s="110">
        <f t="shared" ref="AE87:AG87" si="750">+AE86/Z86-1</f>
        <v>-8.871961324228439E-2</v>
      </c>
      <c r="AF87" s="110">
        <f t="shared" si="750"/>
        <v>-3.7738855930500415E-2</v>
      </c>
      <c r="AG87" s="110">
        <f t="shared" si="750"/>
        <v>3.8773914089760719E-2</v>
      </c>
      <c r="AH87" s="110">
        <v>3.008138780110281E-2</v>
      </c>
      <c r="AI87" s="111">
        <f>+AI86/AD86-1</f>
        <v>-1.4680439391235756E-2</v>
      </c>
      <c r="AJ87" s="110">
        <v>3.9092616691629667E-2</v>
      </c>
      <c r="AK87" s="110">
        <v>3.9093642710661403E-2</v>
      </c>
      <c r="AL87" s="110">
        <v>3.9093714876030194E-2</v>
      </c>
      <c r="AM87" s="110">
        <v>-7.1116860166386964E-3</v>
      </c>
      <c r="AN87" s="111">
        <f>+AN86/AI86-1</f>
        <v>2.7222835294383518E-2</v>
      </c>
      <c r="AO87" s="110">
        <v>-2.8031061606307306E-3</v>
      </c>
      <c r="AP87" s="110">
        <v>-9.8485163472066262E-3</v>
      </c>
      <c r="AQ87" s="110">
        <v>-3.4813379391692711E-2</v>
      </c>
      <c r="AR87" s="110">
        <v>3.1536470102494496E-2</v>
      </c>
      <c r="AS87" s="111">
        <f>+AS86/AN86-1</f>
        <v>-4.590519622713618E-3</v>
      </c>
      <c r="AT87" s="110">
        <v>6.0061492162415187E-2</v>
      </c>
      <c r="AU87" s="110">
        <v>5.9655050782168706E-2</v>
      </c>
      <c r="AV87" s="110">
        <v>5.95358481494761E-2</v>
      </c>
      <c r="AW87" s="110">
        <v>6.0062878198843928E-2</v>
      </c>
      <c r="AX87" s="111">
        <f>+AX86/AS86-1</f>
        <v>5.9824607555752252E-2</v>
      </c>
      <c r="AY87" s="110">
        <v>3.9990946711337072E-2</v>
      </c>
      <c r="AZ87" s="110">
        <v>3.9627867901823377E-2</v>
      </c>
      <c r="BA87" s="110">
        <v>3.9522966339188725E-2</v>
      </c>
      <c r="BB87" s="110">
        <v>3.9991427948205427E-2</v>
      </c>
      <c r="BC87" s="111">
        <f>+BC86/AX86-1</f>
        <v>3.9779597971833613E-2</v>
      </c>
      <c r="BD87" s="110">
        <v>3.8952908840306E-2</v>
      </c>
      <c r="BE87" s="110">
        <v>3.8651001279472519E-2</v>
      </c>
      <c r="BF87" s="110">
        <v>3.8562881260661319E-2</v>
      </c>
      <c r="BG87" s="110">
        <v>3.8954046025114986E-2</v>
      </c>
      <c r="BH87" s="111">
        <f>+BH86/BC86-1</f>
        <v>3.8777162517872554E-2</v>
      </c>
      <c r="BI87" s="110">
        <v>4.2068473277112828E-2</v>
      </c>
      <c r="BJ87" s="110">
        <v>4.1967648688686854E-2</v>
      </c>
      <c r="BK87" s="110">
        <v>4.1938649961022145E-2</v>
      </c>
      <c r="BL87" s="110">
        <v>4.2067025321910201E-2</v>
      </c>
      <c r="BM87" s="111">
        <f>+BM86/BH86-1</f>
        <v>4.2009431960569943E-2</v>
      </c>
      <c r="BN87" s="110">
        <v>4.11891050815405E-2</v>
      </c>
      <c r="BO87" s="110">
        <v>4.1117907416321264E-2</v>
      </c>
      <c r="BP87" s="110">
        <v>4.1097927863976036E-2</v>
      </c>
      <c r="BQ87" s="110">
        <v>4.1190185411346558E-2</v>
      </c>
      <c r="BR87" s="111">
        <f>+BR86/BM86-1</f>
        <v>4.1148085556511393E-2</v>
      </c>
      <c r="BS87" s="110">
        <v>4.0311662805442072E-2</v>
      </c>
      <c r="BT87" s="110">
        <v>4.0270953875368942E-2</v>
      </c>
      <c r="BU87" s="110">
        <v>4.0258062002415551E-2</v>
      </c>
      <c r="BV87" s="110">
        <v>4.031254216337854E-2</v>
      </c>
      <c r="BW87" s="111">
        <f>+BW86/BR86-1</f>
        <v>4.0287897183260091E-2</v>
      </c>
      <c r="BX87" s="110">
        <v>3.9433499286318119E-2</v>
      </c>
      <c r="BY87" s="110">
        <v>3.9419840542869622E-2</v>
      </c>
      <c r="BZ87" s="110">
        <v>3.9416913503565132E-2</v>
      </c>
      <c r="CA87" s="110">
        <v>3.9400978775077311E-2</v>
      </c>
      <c r="CB87" s="111">
        <f>+CB86/BW86-1</f>
        <v>3.9417436973714803E-2</v>
      </c>
      <c r="CC87" s="110">
        <v>3.8554665673309785E-2</v>
      </c>
      <c r="CD87" s="110">
        <v>3.8570400575677732E-2</v>
      </c>
      <c r="CE87" s="110">
        <v>3.8574761747945718E-2</v>
      </c>
      <c r="CF87" s="110">
        <v>3.8585619925857628E-2</v>
      </c>
      <c r="CG87" s="111">
        <f>+CG86/CB86-1</f>
        <v>3.857174915432382E-2</v>
      </c>
      <c r="CH87" s="110">
        <v>3.7676262596249233E-2</v>
      </c>
      <c r="CI87" s="110">
        <v>3.7722397058203239E-2</v>
      </c>
      <c r="CJ87" s="110">
        <v>3.7735703580911384E-2</v>
      </c>
      <c r="CK87" s="110">
        <v>3.7677222076350603E-2</v>
      </c>
      <c r="CL87" s="111">
        <f>+CL86/CG86-1</f>
        <v>3.7703361268217828E-2</v>
      </c>
      <c r="CM87" s="110">
        <v>3.6801220639608667E-2</v>
      </c>
      <c r="CN87" s="110">
        <v>3.6875616883745188E-2</v>
      </c>
      <c r="CO87" s="110">
        <v>3.6896592396114647E-2</v>
      </c>
      <c r="CP87" s="110">
        <v>3.6801257894520489E-2</v>
      </c>
      <c r="CQ87" s="111">
        <f>+CQ86/CL86-1</f>
        <v>3.684440718124038E-2</v>
      </c>
      <c r="CR87" s="110">
        <v>1.55E-2</v>
      </c>
      <c r="CS87" s="110">
        <v>1.55E-2</v>
      </c>
      <c r="CT87" s="110">
        <v>1.55E-2</v>
      </c>
      <c r="CU87" s="110">
        <v>1.55E-2</v>
      </c>
      <c r="CV87" s="111">
        <f>+CV86/CQ86-1</f>
        <v>1.5500000000000291E-2</v>
      </c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</row>
    <row r="88" spans="1:115">
      <c r="A88" s="146" t="s">
        <v>76</v>
      </c>
      <c r="B88" s="34"/>
      <c r="C88" s="34"/>
      <c r="D88" s="34"/>
      <c r="E88" s="118"/>
      <c r="F88" s="119"/>
      <c r="G88" s="119"/>
      <c r="H88" s="119"/>
      <c r="I88" s="119"/>
      <c r="J88" s="118">
        <f>+J87/(J$4/100)</f>
        <v>117.5098808957472</v>
      </c>
      <c r="K88" s="119">
        <f t="shared" ref="K88" si="751">+K87/(K$4/100)</f>
        <v>0.10758094819050482</v>
      </c>
      <c r="L88" s="119">
        <f t="shared" ref="L88" si="752">+L87/(L$4/100)</f>
        <v>2.4001437832402361</v>
      </c>
      <c r="M88" s="119">
        <f t="shared" ref="M88" si="753">+M87/(M$4/100)</f>
        <v>7.9958548184500637</v>
      </c>
      <c r="N88" s="119">
        <f t="shared" ref="N88" si="754">+N87/(N$4/100)</f>
        <v>11.575758725145368</v>
      </c>
      <c r="O88" s="118">
        <f t="shared" ref="O88" si="755">+O87/(O$4/100)</f>
        <v>3.8613868099557886</v>
      </c>
      <c r="P88" s="119">
        <f t="shared" ref="P88" si="756">+P87/(P$4/100)</f>
        <v>25.14247771175469</v>
      </c>
      <c r="Q88" s="119">
        <f t="shared" ref="Q88" si="757">+Q87/(Q$4/100)</f>
        <v>-8.6090686642151706</v>
      </c>
      <c r="R88" s="119">
        <f t="shared" ref="R88" si="758">+R87/(R$4/100)</f>
        <v>1.2962168604634023</v>
      </c>
      <c r="S88" s="119">
        <f t="shared" ref="S88" si="759">+S87/(S$4/100)</f>
        <v>0.76460513901509153</v>
      </c>
      <c r="T88" s="118">
        <f t="shared" ref="T88:W88" si="760">+T87/(T$4/100)</f>
        <v>3.6649216764852888</v>
      </c>
      <c r="U88" s="119">
        <f t="shared" si="760"/>
        <v>3.2508348958192097</v>
      </c>
      <c r="V88" s="119">
        <f t="shared" si="760"/>
        <v>5.0582809757144327</v>
      </c>
      <c r="W88" s="119">
        <f t="shared" si="760"/>
        <v>2.7267967432370703</v>
      </c>
      <c r="X88" s="119">
        <f t="shared" ref="X88" si="761">+X87/(X$4/100)</f>
        <v>4.1999261088936146</v>
      </c>
      <c r="Y88" s="118">
        <f>(+Y87/(Y$4/100))</f>
        <v>3.8120502480521909</v>
      </c>
      <c r="Z88" s="119">
        <f t="shared" ref="Z88:AC88" si="762">+Z87/(Z$4/100)</f>
        <v>3.3716226302433205</v>
      </c>
      <c r="AA88" s="119">
        <f t="shared" si="762"/>
        <v>0.9688515327023528</v>
      </c>
      <c r="AB88" s="119">
        <f t="shared" si="762"/>
        <v>-3.791957589862943</v>
      </c>
      <c r="AC88" s="119">
        <f t="shared" si="762"/>
        <v>-3.3498602422467658</v>
      </c>
      <c r="AD88" s="118">
        <f>(+AD87/(AD$4/100))</f>
        <v>-11.938147238585426</v>
      </c>
      <c r="AE88" s="119">
        <f t="shared" ref="AE88:AF88" si="763">+AE87/(AE$4/100)</f>
        <v>2.8619230078156255</v>
      </c>
      <c r="AF88" s="119">
        <f t="shared" si="763"/>
        <v>1.2173824493709811</v>
      </c>
      <c r="AG88" s="119">
        <f t="shared" ref="AG88:AH88" si="764">+AG87/(AG$4/100)</f>
        <v>-1.2507714222503459</v>
      </c>
      <c r="AH88" s="119">
        <f t="shared" si="764"/>
        <v>-0.97036734842267125</v>
      </c>
      <c r="AI88" s="118">
        <f>(+AI87/(AI$4/100))</f>
        <v>0.47356256100760502</v>
      </c>
      <c r="AJ88" s="119">
        <f t="shared" ref="AJ88:AM88" si="765">+AJ87/(AJ$4/100)</f>
        <v>-1.9546308345814833</v>
      </c>
      <c r="AK88" s="119">
        <f t="shared" si="765"/>
        <v>-1.9546821355330701</v>
      </c>
      <c r="AL88" s="119">
        <f t="shared" si="765"/>
        <v>-1.9546857438015097</v>
      </c>
      <c r="AM88" s="119">
        <f t="shared" si="765"/>
        <v>0.35558430083193482</v>
      </c>
      <c r="AN88" s="118">
        <f>(+AN87/(AN$4/100))</f>
        <v>-1.3611417647191759</v>
      </c>
      <c r="AO88" s="119">
        <f t="shared" ref="AO88:AR88" si="766">+AO87/(AO$4/100)</f>
        <v>-0.28031061606307306</v>
      </c>
      <c r="AP88" s="119">
        <f t="shared" si="766"/>
        <v>-0.98485163472066262</v>
      </c>
      <c r="AQ88" s="119">
        <f t="shared" si="766"/>
        <v>-3.4813379391692711</v>
      </c>
      <c r="AR88" s="119">
        <f t="shared" si="766"/>
        <v>3.1536470102494496</v>
      </c>
      <c r="AS88" s="118">
        <f>(+AS87/(AS$4/100))</f>
        <v>-0.4590519622713618</v>
      </c>
      <c r="AT88" s="119">
        <f t="shared" ref="AT88:AW88" si="767">+AT87/(AT$4/100)</f>
        <v>3.0030746081207593</v>
      </c>
      <c r="AU88" s="119">
        <f t="shared" si="767"/>
        <v>2.9827525391084353</v>
      </c>
      <c r="AV88" s="119">
        <f t="shared" si="767"/>
        <v>2.976792407473805</v>
      </c>
      <c r="AW88" s="119">
        <f t="shared" si="767"/>
        <v>3.0031439099421964</v>
      </c>
      <c r="AX88" s="118">
        <f>(+AX87/(AX$4/100))</f>
        <v>2.9912303777876126</v>
      </c>
      <c r="AY88" s="119">
        <f t="shared" ref="AY88:BB88" si="768">+AY87/(AY$4/100)</f>
        <v>1.9995473355668536</v>
      </c>
      <c r="AZ88" s="119">
        <f t="shared" si="768"/>
        <v>1.9813933950911689</v>
      </c>
      <c r="BA88" s="119">
        <f t="shared" si="768"/>
        <v>1.9761483169594363</v>
      </c>
      <c r="BB88" s="119">
        <f t="shared" si="768"/>
        <v>1.9995713974102713</v>
      </c>
      <c r="BC88" s="118">
        <f>(+BC87/(BC$4/100))</f>
        <v>1.9889798985916807</v>
      </c>
      <c r="BD88" s="119">
        <f t="shared" ref="BD88:BG88" si="769">+BD87/(BD$4/100)</f>
        <v>1.9476454420153</v>
      </c>
      <c r="BE88" s="119">
        <f t="shared" si="769"/>
        <v>1.9325500639736259</v>
      </c>
      <c r="BF88" s="119">
        <f t="shared" si="769"/>
        <v>1.928144063033066</v>
      </c>
      <c r="BG88" s="119">
        <f t="shared" si="769"/>
        <v>1.9477023012557493</v>
      </c>
      <c r="BH88" s="118">
        <f>(+BH87/(BH$4/100))</f>
        <v>1.9388581258936277</v>
      </c>
      <c r="BI88" s="119">
        <f t="shared" ref="BI88:BL88" si="770">+BI87/(BI$4/100)</f>
        <v>2.1034236638556414</v>
      </c>
      <c r="BJ88" s="119">
        <f t="shared" si="770"/>
        <v>2.0983824344343427</v>
      </c>
      <c r="BK88" s="119">
        <f t="shared" si="770"/>
        <v>2.0969324980511073</v>
      </c>
      <c r="BL88" s="119">
        <f t="shared" si="770"/>
        <v>2.10335126609551</v>
      </c>
      <c r="BM88" s="118">
        <f>(+BM87/(BM$4/100))</f>
        <v>2.1004715980284971</v>
      </c>
      <c r="BN88" s="119">
        <f t="shared" ref="BN88:BQ88" si="771">+BN87/(BN$4/100)</f>
        <v>2.059455254077025</v>
      </c>
      <c r="BO88" s="119">
        <f t="shared" si="771"/>
        <v>2.0558953708160632</v>
      </c>
      <c r="BP88" s="119">
        <f t="shared" si="771"/>
        <v>2.0548963931988018</v>
      </c>
      <c r="BQ88" s="119">
        <f t="shared" si="771"/>
        <v>2.0595092705673279</v>
      </c>
      <c r="BR88" s="118">
        <f>(+BR87/(BR$4/100))</f>
        <v>2.0574042778255697</v>
      </c>
      <c r="BS88" s="119">
        <f t="shared" ref="BS88:BV88" si="772">+BS87/(BS$4/100)</f>
        <v>2.0155831402721036</v>
      </c>
      <c r="BT88" s="119">
        <f t="shared" si="772"/>
        <v>2.0135476937684471</v>
      </c>
      <c r="BU88" s="119">
        <f t="shared" si="772"/>
        <v>2.0129031001207776</v>
      </c>
      <c r="BV88" s="119">
        <f t="shared" si="772"/>
        <v>2.015627108168927</v>
      </c>
      <c r="BW88" s="118">
        <f>(+BW87/(BW$4/100))</f>
        <v>2.0143948591630045</v>
      </c>
      <c r="BX88" s="119">
        <f t="shared" ref="BX88:CA88" si="773">+BX87/(BX$4/100)</f>
        <v>1.9716749643159059</v>
      </c>
      <c r="BY88" s="119">
        <f t="shared" si="773"/>
        <v>1.9709920271434811</v>
      </c>
      <c r="BZ88" s="119">
        <f t="shared" si="773"/>
        <v>1.9708456751782566</v>
      </c>
      <c r="CA88" s="119">
        <f t="shared" si="773"/>
        <v>1.9700489387538656</v>
      </c>
      <c r="CB88" s="118">
        <f>(+CB87/(CB$4/100))</f>
        <v>1.9708718486857402</v>
      </c>
      <c r="CC88" s="119">
        <f t="shared" ref="CC88:CF88" si="774">+CC87/(CC$4/100)</f>
        <v>1.9277332836654892</v>
      </c>
      <c r="CD88" s="119">
        <f t="shared" si="774"/>
        <v>1.9285200287838866</v>
      </c>
      <c r="CE88" s="119">
        <f t="shared" si="774"/>
        <v>1.9287380873972859</v>
      </c>
      <c r="CF88" s="119">
        <f t="shared" si="774"/>
        <v>1.9292809962928814</v>
      </c>
      <c r="CG88" s="118">
        <f>(+CG87/(CG$4/100))</f>
        <v>1.928587457716191</v>
      </c>
      <c r="CH88" s="119">
        <f t="shared" ref="CH88:CK88" si="775">+CH87/(CH$4/100)</f>
        <v>1.8838131298124616</v>
      </c>
      <c r="CI88" s="119">
        <f t="shared" si="775"/>
        <v>1.8861198529101619</v>
      </c>
      <c r="CJ88" s="119">
        <f t="shared" si="775"/>
        <v>1.8867851790455692</v>
      </c>
      <c r="CK88" s="119">
        <f t="shared" si="775"/>
        <v>1.8838611038175301</v>
      </c>
      <c r="CL88" s="118">
        <f>(+CL87/(CL$4/100))</f>
        <v>1.8851680634108914</v>
      </c>
      <c r="CM88" s="119">
        <f>+CM87/(CM$4/100)</f>
        <v>1.8400610319804334</v>
      </c>
      <c r="CN88" s="119">
        <f>+CN87/(CN$4/100)</f>
        <v>1.8437808441872594</v>
      </c>
      <c r="CO88" s="119">
        <f>+CO87/(CO$4/100)</f>
        <v>1.8448296198057323</v>
      </c>
      <c r="CP88" s="119">
        <f>+CP87/(CP$4/100)</f>
        <v>1.8400628947260245</v>
      </c>
      <c r="CQ88" s="118">
        <f>(+CQ87/(CQ$4/100))</f>
        <v>1.842220359062019</v>
      </c>
      <c r="CR88" s="119">
        <f>+CR87/(CR$4/100)</f>
        <v>0.77500000000000002</v>
      </c>
      <c r="CS88" s="119">
        <f>+CS87/(CS$4/100)</f>
        <v>0.77500000000000002</v>
      </c>
      <c r="CT88" s="119">
        <f>+CT87/(CT$4/100)</f>
        <v>0.77500000000000002</v>
      </c>
      <c r="CU88" s="119">
        <f>+CU87/(CU$4/100)</f>
        <v>0.77500000000000002</v>
      </c>
      <c r="CV88" s="118">
        <f>(+CV87/(CV$4/100))</f>
        <v>0.77500000000001457</v>
      </c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</row>
    <row r="89" spans="1:115">
      <c r="A89" s="146"/>
      <c r="B89" s="34"/>
      <c r="C89" s="34"/>
      <c r="D89" s="34"/>
      <c r="E89" s="100"/>
      <c r="J89" s="100"/>
      <c r="O89" s="100"/>
      <c r="T89" s="100"/>
      <c r="Y89" s="100"/>
      <c r="AD89" s="100"/>
      <c r="AI89" s="100"/>
      <c r="AN89" s="100"/>
      <c r="AS89" s="100"/>
      <c r="AX89" s="100"/>
      <c r="BC89" s="100"/>
      <c r="BH89" s="100"/>
      <c r="BM89" s="100"/>
      <c r="BR89" s="100"/>
      <c r="BW89" s="100"/>
      <c r="CB89" s="100"/>
      <c r="CG89" s="100"/>
      <c r="CL89" s="100"/>
      <c r="CQ89" s="100"/>
      <c r="CV89" s="100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</row>
    <row r="90" spans="1:115" s="15" customFormat="1">
      <c r="A90" s="150" t="s">
        <v>88</v>
      </c>
      <c r="B90" s="28"/>
      <c r="C90" s="28"/>
      <c r="D90" s="28"/>
      <c r="E90" s="107"/>
      <c r="F90" s="108"/>
      <c r="G90" s="108"/>
      <c r="H90" s="108"/>
      <c r="I90" s="108"/>
      <c r="J90" s="107"/>
      <c r="K90" s="108"/>
      <c r="L90" s="108"/>
      <c r="M90" s="108"/>
      <c r="N90" s="108"/>
      <c r="O90" s="107"/>
      <c r="P90" s="108"/>
      <c r="Q90" s="108"/>
      <c r="R90" s="108">
        <f>+R86*R78/1000</f>
        <v>3.5005850000000001</v>
      </c>
      <c r="S90" s="108">
        <f>+S86*S78/1000</f>
        <v>3.27847</v>
      </c>
      <c r="T90" s="107">
        <f>+T86*T78/1000</f>
        <v>12.89086</v>
      </c>
      <c r="U90" s="108">
        <f>+U86*U78/1000</f>
        <v>3.3494999999999999</v>
      </c>
      <c r="V90" s="108">
        <f t="shared" ref="V90:X90" si="776">+V86*V78/1000</f>
        <v>3.5310115710999992</v>
      </c>
      <c r="W90" s="108">
        <f t="shared" si="776"/>
        <v>3.8577261605999991</v>
      </c>
      <c r="X90" s="108">
        <f t="shared" si="776"/>
        <v>3.7474911616999989</v>
      </c>
      <c r="Y90" s="107">
        <f>+SUM(U90:X90)</f>
        <v>14.485728893399997</v>
      </c>
      <c r="Z90" s="108">
        <f t="shared" ref="Z90:AC90" si="777">+Z86*Z78/1000</f>
        <v>3.5667905596569991</v>
      </c>
      <c r="AA90" s="108">
        <f t="shared" si="777"/>
        <v>3.5994320905529991</v>
      </c>
      <c r="AB90" s="108">
        <f t="shared" si="777"/>
        <v>3.7936862034277663</v>
      </c>
      <c r="AC90" s="108">
        <f t="shared" si="777"/>
        <v>3.7205402332937076</v>
      </c>
      <c r="AD90" s="107">
        <f>+SUM(Z90:AC90)</f>
        <v>14.680449086931471</v>
      </c>
      <c r="AE90" s="108">
        <f t="shared" ref="AE90:AH90" si="778">+AE86*AE78/1000</f>
        <v>3.4586934772801001</v>
      </c>
      <c r="AF90" s="108">
        <f t="shared" si="778"/>
        <v>3.6856099938733293</v>
      </c>
      <c r="AG90" s="108">
        <f t="shared" si="778"/>
        <v>4.334860492999284</v>
      </c>
      <c r="AH90" s="108">
        <f t="shared" si="778"/>
        <v>4.2157051715691241</v>
      </c>
      <c r="AI90" s="107">
        <f>+SUM(AE90:AH90)</f>
        <v>15.694869135721838</v>
      </c>
      <c r="AJ90" s="108">
        <f t="shared" ref="AJ90:AM90" si="779">+AJ86*AJ78/1000</f>
        <v>3.9532931412053762</v>
      </c>
      <c r="AK90" s="108">
        <f t="shared" si="779"/>
        <v>4.2126633055591221</v>
      </c>
      <c r="AL90" s="108">
        <f t="shared" si="779"/>
        <v>4.7926031759009238</v>
      </c>
      <c r="AM90" s="108">
        <f t="shared" si="779"/>
        <v>4.453610761653418</v>
      </c>
      <c r="AN90" s="107">
        <f>+SUM(AJ90:AM90)</f>
        <v>17.412170384318841</v>
      </c>
      <c r="AO90" s="108">
        <f t="shared" ref="AO90:AR90" si="780">+AO86*AO78/1000</f>
        <v>4.194513185860659</v>
      </c>
      <c r="AP90" s="108">
        <f t="shared" si="780"/>
        <v>4.4381300107453052</v>
      </c>
      <c r="AQ90" s="108">
        <f t="shared" si="780"/>
        <v>4.8570442864276773</v>
      </c>
      <c r="AR90" s="108">
        <f t="shared" si="780"/>
        <v>4.8237650205007716</v>
      </c>
      <c r="AS90" s="107">
        <f>+SUM(AO90:AR90)</f>
        <v>18.313452503534414</v>
      </c>
      <c r="AT90" s="108">
        <f t="shared" ref="AT90:AW90" si="781">+AT86*AT78/1000</f>
        <v>4.6687640020332966</v>
      </c>
      <c r="AU90" s="108">
        <f t="shared" si="781"/>
        <v>4.938031226009894</v>
      </c>
      <c r="AV90" s="108">
        <f t="shared" si="781"/>
        <v>5.4035231643957014</v>
      </c>
      <c r="AW90" s="108">
        <f t="shared" si="781"/>
        <v>5.3691689429562999</v>
      </c>
      <c r="AX90" s="107">
        <f>+SUM(AT90:AW90)</f>
        <v>20.37948733539519</v>
      </c>
      <c r="AY90" s="108">
        <f t="shared" ref="AY90:BB90" si="782">+AY86*AY78/1000</f>
        <v>5.0982459091687389</v>
      </c>
      <c r="AZ90" s="108">
        <f t="shared" si="782"/>
        <v>5.3904006188857565</v>
      </c>
      <c r="BA90" s="108">
        <f t="shared" si="782"/>
        <v>5.8698553178192192</v>
      </c>
      <c r="BB90" s="108">
        <f t="shared" si="782"/>
        <v>5.8351647112948912</v>
      </c>
      <c r="BC90" s="107">
        <f>+SUM(AY90:BB90)</f>
        <v>22.193666557168605</v>
      </c>
      <c r="BD90" s="108">
        <f t="shared" ref="BD90:BG90" si="783">+BD86*BD78/1000</f>
        <v>5.5351951010931835</v>
      </c>
      <c r="BE90" s="108">
        <f t="shared" si="783"/>
        <v>5.8506885251078211</v>
      </c>
      <c r="BF90" s="108">
        <f t="shared" si="783"/>
        <v>6.3705434747731333</v>
      </c>
      <c r="BG90" s="108">
        <f t="shared" si="783"/>
        <v>6.3352790453938255</v>
      </c>
      <c r="BH90" s="107">
        <f>+SUM(BD90:BG90)</f>
        <v>24.091706146367962</v>
      </c>
      <c r="BI90" s="108">
        <f t="shared" ref="BI90:BL90" si="784">+BI86*BI78/1000</f>
        <v>6.0276146621600484</v>
      </c>
      <c r="BJ90" s="108">
        <f t="shared" si="784"/>
        <v>6.3705584331737191</v>
      </c>
      <c r="BK90" s="108">
        <f t="shared" si="784"/>
        <v>6.9364126636661583</v>
      </c>
      <c r="BL90" s="108">
        <f t="shared" si="784"/>
        <v>6.8988657319415756</v>
      </c>
      <c r="BM90" s="107">
        <f>+SUM(BI90:BL90)</f>
        <v>26.233451490941501</v>
      </c>
      <c r="BN90" s="108">
        <f t="shared" ref="BN90:BQ90" si="785">+BN86*BN78/1000</f>
        <v>6.5583016180849798</v>
      </c>
      <c r="BO90" s="108">
        <f t="shared" si="785"/>
        <v>6.9309650759450863</v>
      </c>
      <c r="BP90" s="108">
        <f t="shared" si="785"/>
        <v>7.5464516692451298</v>
      </c>
      <c r="BQ90" s="108">
        <f t="shared" si="785"/>
        <v>7.5062676986438017</v>
      </c>
      <c r="BR90" s="107">
        <f>+SUM(BN90:BQ90)</f>
        <v>28.541986061918998</v>
      </c>
      <c r="BS90" s="108">
        <f t="shared" ref="BS90:BV90" si="786">+BS86*BS78/1000</f>
        <v>7.1296981562566373</v>
      </c>
      <c r="BT90" s="108">
        <f t="shared" si="786"/>
        <v>7.6848571904980618</v>
      </c>
      <c r="BU90" s="108">
        <f t="shared" si="786"/>
        <v>8.3671875470265622</v>
      </c>
      <c r="BV90" s="108">
        <f t="shared" si="786"/>
        <v>8.3230691251510081</v>
      </c>
      <c r="BW90" s="107">
        <f>+SUM(BS90:BV90)</f>
        <v>31.50481201893227</v>
      </c>
      <c r="BX90" s="108">
        <f t="shared" ref="BX90:CA90" si="787">+BX86*BX78/1000</f>
        <v>7.8988428159877184</v>
      </c>
      <c r="BY90" s="108">
        <f t="shared" si="787"/>
        <v>8.3472437221416182</v>
      </c>
      <c r="BZ90" s="108">
        <f t="shared" si="787"/>
        <v>9.0883610863034239</v>
      </c>
      <c r="CA90" s="108">
        <f t="shared" si="787"/>
        <v>9.040301473873841</v>
      </c>
      <c r="CB90" s="107">
        <f>+SUM(BX90:CA90)</f>
        <v>34.374749098306602</v>
      </c>
      <c r="CC90" s="108">
        <f t="shared" ref="CC90:CF90" si="788">+CC86*CC78/1000</f>
        <v>8.572532162662533</v>
      </c>
      <c r="CD90" s="108">
        <f t="shared" si="788"/>
        <v>9.0593142677367648</v>
      </c>
      <c r="CE90" s="108">
        <f t="shared" si="788"/>
        <v>9.863694860131794</v>
      </c>
      <c r="CF90" s="108">
        <f t="shared" si="788"/>
        <v>9.8116378305351049</v>
      </c>
      <c r="CG90" s="107">
        <f>+SUM(CC90:CF90)</f>
        <v>37.307179121066198</v>
      </c>
      <c r="CH90" s="108">
        <f t="shared" ref="CH90:CK90" si="789">+CH86*CH78/1000</f>
        <v>9.2958112266370048</v>
      </c>
      <c r="CI90" s="108">
        <f t="shared" si="789"/>
        <v>9.8241007169122518</v>
      </c>
      <c r="CJ90" s="108">
        <f t="shared" si="789"/>
        <v>10.696524200237668</v>
      </c>
      <c r="CK90" s="108">
        <f t="shared" si="789"/>
        <v>10.639472176969299</v>
      </c>
      <c r="CL90" s="107">
        <f>+SUM(CH90:CK90)</f>
        <v>40.455908320756222</v>
      </c>
      <c r="CM90" s="108">
        <f t="shared" ref="CM90:CP90" si="790">+CM86*CM78/1000</f>
        <v>10.071614305810192</v>
      </c>
      <c r="CN90" s="108">
        <f t="shared" si="790"/>
        <v>10.644757163279372</v>
      </c>
      <c r="CO90" s="108">
        <f t="shared" si="790"/>
        <v>11.590293020925918</v>
      </c>
      <c r="CP90" s="108">
        <f t="shared" si="790"/>
        <v>11.52741395255422</v>
      </c>
      <c r="CQ90" s="107">
        <f>+SUM(CM90:CP90)</f>
        <v>43.834078442569705</v>
      </c>
      <c r="CR90" s="108">
        <f t="shared" ref="CR90:CU90" si="791">+CR86*CR78/1000</f>
        <v>10.687971922290009</v>
      </c>
      <c r="CS90" s="108">
        <f t="shared" si="791"/>
        <v>11.296189689779162</v>
      </c>
      <c r="CT90" s="108">
        <f t="shared" si="791"/>
        <v>12.299589978074033</v>
      </c>
      <c r="CU90" s="108">
        <f t="shared" si="791"/>
        <v>12.232862867915657</v>
      </c>
      <c r="CV90" s="107">
        <f>+SUM(CR90:CU90)</f>
        <v>46.516614458058861</v>
      </c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</row>
    <row r="91" spans="1:115" s="15" customFormat="1">
      <c r="A91" s="146" t="s">
        <v>89</v>
      </c>
      <c r="B91" s="34"/>
      <c r="C91" s="34"/>
      <c r="D91" s="34"/>
      <c r="E91" s="100"/>
      <c r="F91" s="83"/>
      <c r="G91" s="83"/>
      <c r="H91" s="83"/>
      <c r="I91" s="83"/>
      <c r="J91" s="100"/>
      <c r="K91" s="83"/>
      <c r="L91" s="83"/>
      <c r="M91" s="83"/>
      <c r="N91" s="83"/>
      <c r="O91" s="100"/>
      <c r="P91" s="83"/>
      <c r="Q91" s="83"/>
      <c r="R91" s="83"/>
      <c r="S91" s="83"/>
      <c r="T91" s="100"/>
      <c r="U91" s="83"/>
      <c r="V91" s="83"/>
      <c r="W91" s="83"/>
      <c r="X91" s="83"/>
      <c r="Y91" s="100"/>
      <c r="Z91" s="83"/>
      <c r="AA91" s="83"/>
      <c r="AB91" s="83"/>
      <c r="AC91" s="83"/>
      <c r="AD91" s="100"/>
      <c r="AE91" s="83"/>
      <c r="AF91" s="83"/>
      <c r="AG91" s="83"/>
      <c r="AH91" s="83"/>
      <c r="AI91" s="100"/>
      <c r="AJ91" s="83"/>
      <c r="AK91" s="83"/>
      <c r="AL91" s="83"/>
      <c r="AM91" s="83"/>
      <c r="AN91" s="100"/>
      <c r="AO91" s="83"/>
      <c r="AP91" s="83"/>
      <c r="AQ91" s="83"/>
      <c r="AR91" s="83"/>
      <c r="AS91" s="100"/>
      <c r="AT91" s="83"/>
      <c r="AU91" s="83"/>
      <c r="AV91" s="83"/>
      <c r="AW91" s="83"/>
      <c r="AX91" s="100"/>
      <c r="AY91" s="83"/>
      <c r="AZ91" s="83"/>
      <c r="BA91" s="83"/>
      <c r="BB91" s="83"/>
      <c r="BC91" s="100"/>
      <c r="BD91" s="83"/>
      <c r="BE91" s="83"/>
      <c r="BF91" s="83"/>
      <c r="BG91" s="83"/>
      <c r="BH91" s="100"/>
      <c r="BI91" s="83"/>
      <c r="BJ91" s="83"/>
      <c r="BK91" s="83"/>
      <c r="BL91" s="83"/>
      <c r="BM91" s="100"/>
      <c r="BN91" s="83"/>
      <c r="BO91" s="83"/>
      <c r="BP91" s="83"/>
      <c r="BQ91" s="83"/>
      <c r="BR91" s="100"/>
      <c r="BS91" s="83"/>
      <c r="BT91" s="83"/>
      <c r="BU91" s="83"/>
      <c r="BV91" s="83"/>
      <c r="BW91" s="100"/>
      <c r="BX91" s="83"/>
      <c r="BY91" s="83"/>
      <c r="BZ91" s="83"/>
      <c r="CA91" s="83"/>
      <c r="CB91" s="100"/>
      <c r="CC91" s="83"/>
      <c r="CD91" s="83"/>
      <c r="CE91" s="83"/>
      <c r="CF91" s="83"/>
      <c r="CG91" s="100"/>
      <c r="CH91" s="83"/>
      <c r="CI91" s="83"/>
      <c r="CJ91" s="83"/>
      <c r="CK91" s="83"/>
      <c r="CL91" s="100"/>
      <c r="CM91" s="83"/>
      <c r="CN91" s="83"/>
      <c r="CO91" s="83"/>
      <c r="CP91" s="83"/>
      <c r="CQ91" s="100"/>
      <c r="CR91" s="83"/>
      <c r="CS91" s="83"/>
      <c r="CT91" s="83"/>
      <c r="CU91" s="83"/>
      <c r="CV91" s="100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</row>
    <row r="92" spans="1:115" s="15" customFormat="1">
      <c r="A92" s="2"/>
      <c r="C92" s="18"/>
      <c r="D92" s="18"/>
      <c r="E92" s="100"/>
      <c r="F92" s="83"/>
      <c r="G92" s="83"/>
      <c r="H92" s="83"/>
      <c r="I92" s="83"/>
      <c r="J92" s="100"/>
      <c r="K92" s="83"/>
      <c r="L92" s="83"/>
      <c r="M92" s="83"/>
      <c r="N92" s="83"/>
      <c r="O92" s="100"/>
      <c r="P92" s="83"/>
      <c r="Q92" s="83"/>
      <c r="R92" s="83"/>
      <c r="S92" s="83"/>
      <c r="T92" s="100"/>
      <c r="U92" s="83"/>
      <c r="V92" s="83"/>
      <c r="W92" s="83"/>
      <c r="X92" s="83"/>
      <c r="Y92" s="100"/>
      <c r="Z92" s="83"/>
      <c r="AA92" s="83"/>
      <c r="AB92" s="83"/>
      <c r="AC92" s="83"/>
      <c r="AD92" s="100"/>
      <c r="AE92" s="83"/>
      <c r="AF92" s="83"/>
      <c r="AG92" s="83"/>
      <c r="AH92" s="83"/>
      <c r="AI92" s="100"/>
      <c r="AJ92" s="83"/>
      <c r="AK92" s="83"/>
      <c r="AL92" s="83"/>
      <c r="AM92" s="83"/>
      <c r="AN92" s="100"/>
      <c r="AO92" s="83"/>
      <c r="AP92" s="83"/>
      <c r="AQ92" s="83"/>
      <c r="AR92" s="83"/>
      <c r="AS92" s="100"/>
      <c r="AT92" s="83"/>
      <c r="AU92" s="83"/>
      <c r="AV92" s="83"/>
      <c r="AW92" s="83"/>
      <c r="AX92" s="100"/>
      <c r="AY92" s="83"/>
      <c r="AZ92" s="83"/>
      <c r="BA92" s="83"/>
      <c r="BB92" s="83"/>
      <c r="BC92" s="100"/>
      <c r="BD92" s="83"/>
      <c r="BE92" s="83"/>
      <c r="BF92" s="83"/>
      <c r="BG92" s="83"/>
      <c r="BH92" s="100"/>
      <c r="BI92" s="83"/>
      <c r="BJ92" s="83"/>
      <c r="BK92" s="83"/>
      <c r="BL92" s="83"/>
      <c r="BM92" s="100"/>
      <c r="BN92" s="83"/>
      <c r="BO92" s="83"/>
      <c r="BP92" s="83"/>
      <c r="BQ92" s="83"/>
      <c r="BR92" s="100"/>
      <c r="BS92" s="83"/>
      <c r="BT92" s="83"/>
      <c r="BU92" s="83"/>
      <c r="BV92" s="83"/>
      <c r="BW92" s="100"/>
      <c r="BX92" s="83"/>
      <c r="BY92" s="83"/>
      <c r="BZ92" s="83"/>
      <c r="CA92" s="83"/>
      <c r="CB92" s="100"/>
      <c r="CC92" s="83"/>
      <c r="CD92" s="83"/>
      <c r="CE92" s="83"/>
      <c r="CF92" s="83"/>
      <c r="CG92" s="100"/>
      <c r="CH92" s="83"/>
      <c r="CI92" s="83"/>
      <c r="CJ92" s="83"/>
      <c r="CK92" s="83"/>
      <c r="CL92" s="100"/>
      <c r="CM92" s="83"/>
      <c r="CN92" s="83"/>
      <c r="CO92" s="83"/>
      <c r="CP92" s="83"/>
      <c r="CQ92" s="100"/>
      <c r="CR92" s="83"/>
      <c r="CS92" s="83"/>
      <c r="CT92" s="83"/>
      <c r="CU92" s="83"/>
      <c r="CV92" s="100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</row>
    <row r="93" spans="1:115">
      <c r="A93" s="141" t="s">
        <v>79</v>
      </c>
      <c r="B93" s="9"/>
      <c r="C93" s="9"/>
      <c r="D93" s="9"/>
      <c r="E93" s="93"/>
      <c r="F93" s="94"/>
      <c r="G93" s="94"/>
      <c r="H93" s="94"/>
      <c r="I93" s="94"/>
      <c r="J93" s="93"/>
      <c r="K93" s="94"/>
      <c r="L93" s="94"/>
      <c r="M93" s="94"/>
      <c r="N93" s="94"/>
      <c r="O93" s="93"/>
      <c r="P93" s="94"/>
      <c r="Q93" s="94"/>
      <c r="R93" s="94"/>
      <c r="S93" s="94"/>
      <c r="T93" s="93"/>
      <c r="U93" s="131">
        <f>+U106/$U$35</f>
        <v>6.3834063148190817E-2</v>
      </c>
      <c r="V93" s="94"/>
      <c r="W93" s="94"/>
      <c r="X93" s="94"/>
      <c r="Y93" s="93"/>
      <c r="Z93" s="94"/>
      <c r="AA93" s="94"/>
      <c r="AB93" s="94"/>
      <c r="AC93" s="94"/>
      <c r="AD93" s="93"/>
      <c r="AE93" s="94"/>
      <c r="AF93" s="94"/>
      <c r="AG93" s="94"/>
      <c r="AH93" s="94"/>
      <c r="AI93" s="93"/>
      <c r="AJ93" s="94"/>
      <c r="AK93" s="94"/>
      <c r="AL93" s="94"/>
      <c r="AM93" s="94"/>
      <c r="AN93" s="93"/>
      <c r="AO93" s="94"/>
      <c r="AP93" s="94"/>
      <c r="AQ93" s="94"/>
      <c r="AR93" s="94"/>
      <c r="AS93" s="93"/>
      <c r="AT93" s="94"/>
      <c r="AU93" s="94"/>
      <c r="AV93" s="94"/>
      <c r="AW93" s="94"/>
      <c r="AX93" s="93"/>
      <c r="AY93" s="94"/>
      <c r="AZ93" s="94"/>
      <c r="BA93" s="94"/>
      <c r="BB93" s="94"/>
      <c r="BC93" s="93"/>
      <c r="BD93" s="94"/>
      <c r="BE93" s="94"/>
      <c r="BF93" s="94"/>
      <c r="BG93" s="94"/>
      <c r="BH93" s="93"/>
      <c r="BI93" s="131"/>
      <c r="BJ93" s="94"/>
      <c r="BK93" s="94"/>
      <c r="BL93" s="94"/>
      <c r="BM93" s="93"/>
      <c r="BN93" s="94"/>
      <c r="BO93" s="94"/>
      <c r="BP93" s="94"/>
      <c r="BQ93" s="94"/>
      <c r="BR93" s="93"/>
      <c r="BS93" s="94"/>
      <c r="BT93" s="94"/>
      <c r="BU93" s="94"/>
      <c r="BV93" s="94"/>
      <c r="BW93" s="93"/>
      <c r="BX93" s="94"/>
      <c r="BY93" s="94"/>
      <c r="BZ93" s="94"/>
      <c r="CA93" s="94"/>
      <c r="CB93" s="93"/>
      <c r="CC93" s="94"/>
      <c r="CD93" s="94"/>
      <c r="CE93" s="94"/>
      <c r="CF93" s="94"/>
      <c r="CG93" s="93"/>
      <c r="CH93" s="94"/>
      <c r="CI93" s="94"/>
      <c r="CJ93" s="94"/>
      <c r="CK93" s="94"/>
      <c r="CL93" s="93"/>
      <c r="CM93" s="94"/>
      <c r="CN93" s="94"/>
      <c r="CO93" s="94"/>
      <c r="CP93" s="94"/>
      <c r="CQ93" s="93"/>
      <c r="CR93" s="131"/>
      <c r="CS93" s="94"/>
      <c r="CT93" s="94"/>
      <c r="CU93" s="94"/>
      <c r="CV93" s="93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</row>
    <row r="94" spans="1:115">
      <c r="A94" s="2" t="s">
        <v>69</v>
      </c>
      <c r="B94" s="7"/>
      <c r="C94" s="7"/>
      <c r="D94" s="7"/>
      <c r="E94" s="92"/>
      <c r="F94" s="84"/>
      <c r="G94" s="84"/>
      <c r="H94" s="84"/>
      <c r="I94" s="84"/>
      <c r="J94" s="92"/>
      <c r="K94" s="84"/>
      <c r="L94" s="84"/>
      <c r="M94" s="84"/>
      <c r="N94" s="84"/>
      <c r="O94" s="92"/>
      <c r="P94" s="84"/>
      <c r="Q94" s="84"/>
      <c r="R94" s="132">
        <v>5.6</v>
      </c>
      <c r="S94" s="132">
        <v>5.6</v>
      </c>
      <c r="T94" s="133">
        <v>5.6</v>
      </c>
      <c r="U94" s="132">
        <v>5.6</v>
      </c>
      <c r="V94" s="132">
        <f>+V98*V$11+V99*V$12</f>
        <v>5.6328278999999997</v>
      </c>
      <c r="W94" s="132">
        <f>+W98*W$11+W99*W$12</f>
        <v>5.6328278999999997</v>
      </c>
      <c r="X94" s="132">
        <f t="shared" ref="X94" si="792">+X98*X$11+X99*X$12</f>
        <v>5.6328278999999997</v>
      </c>
      <c r="Y94" s="92">
        <f>+Y106*1000/Y102</f>
        <v>5.6248251993543308</v>
      </c>
      <c r="Z94" s="84">
        <f t="shared" ref="Z94:AC94" si="793">+Z98*Z$11+Z99*Z$12</f>
        <v>5.6328278999999997</v>
      </c>
      <c r="AA94" s="192">
        <f t="shared" si="793"/>
        <v>5.6328278999999997</v>
      </c>
      <c r="AB94" s="192">
        <f t="shared" si="793"/>
        <v>5.9938921683899995</v>
      </c>
      <c r="AC94" s="84">
        <f t="shared" si="793"/>
        <v>5.9938921683899995</v>
      </c>
      <c r="AD94" s="92">
        <f>+AD106*1000/AD102</f>
        <v>5.8156775995955705</v>
      </c>
      <c r="AE94" s="84">
        <f t="shared" ref="AE94:AH94" si="794">+AE98*AE$11+AE99*AE$12</f>
        <v>5.9938921683899995</v>
      </c>
      <c r="AF94" s="84">
        <f t="shared" si="794"/>
        <v>5.9938921683899995</v>
      </c>
      <c r="AG94" s="84">
        <f t="shared" si="794"/>
        <v>6.5932813852290009</v>
      </c>
      <c r="AH94" s="84">
        <f t="shared" si="794"/>
        <v>6.5932813852290009</v>
      </c>
      <c r="AI94" s="92">
        <f>+AI106*1000/AI102</f>
        <v>6.3126892301354554</v>
      </c>
      <c r="AJ94" s="84">
        <f t="shared" ref="AJ94:AM94" si="795">+AJ98*AJ$11+AJ99*AJ$12</f>
        <v>6.5932813852290009</v>
      </c>
      <c r="AK94" s="84">
        <f t="shared" si="795"/>
        <v>6.5932813852290009</v>
      </c>
      <c r="AL94" s="132">
        <f t="shared" si="795"/>
        <v>7.0152513938836574</v>
      </c>
      <c r="AM94" s="132">
        <f t="shared" si="795"/>
        <v>7.0152513938836574</v>
      </c>
      <c r="AN94" s="133">
        <f>+AN106*1000/AN102</f>
        <v>6.8152789916094916</v>
      </c>
      <c r="AO94" s="132">
        <f t="shared" ref="AO94:AR94" si="796">+AO98*AO$11+AO99*AO$12</f>
        <v>7.0152513938836574</v>
      </c>
      <c r="AP94" s="132">
        <f t="shared" si="796"/>
        <v>7.0152513938836574</v>
      </c>
      <c r="AQ94" s="132">
        <f t="shared" si="796"/>
        <v>7.3660139635778394</v>
      </c>
      <c r="AR94" s="132">
        <f t="shared" si="796"/>
        <v>7.3660139635778394</v>
      </c>
      <c r="AS94" s="92">
        <f>+AS106*1000/AS102</f>
        <v>7.1974221922743649</v>
      </c>
      <c r="AT94" s="84">
        <f t="shared" ref="AT94:AW94" si="797">+AT98*AT$11+AT99*AT$12</f>
        <v>7.3660139635778394</v>
      </c>
      <c r="AU94" s="84">
        <f t="shared" si="797"/>
        <v>7.3660139635778394</v>
      </c>
      <c r="AV94" s="84">
        <f t="shared" si="797"/>
        <v>7.7343146617567324</v>
      </c>
      <c r="AW94" s="84">
        <f t="shared" si="797"/>
        <v>7.7343146617567324</v>
      </c>
      <c r="AX94" s="92">
        <f>+AX106*1000/AX102</f>
        <v>7.5572830391700334</v>
      </c>
      <c r="AY94" s="84">
        <f t="shared" ref="AY94:BB94" si="798">+AY98*AY$11+AY99*AY$12</f>
        <v>7.7343146617567324</v>
      </c>
      <c r="AZ94" s="84">
        <f t="shared" si="798"/>
        <v>7.7343146617567324</v>
      </c>
      <c r="BA94" s="84">
        <f t="shared" si="798"/>
        <v>8.0823588215357844</v>
      </c>
      <c r="BB94" s="84">
        <f t="shared" si="798"/>
        <v>8.0823588215357844</v>
      </c>
      <c r="BC94" s="92">
        <f>+BC106*1000/BC102</f>
        <v>7.9150551457163258</v>
      </c>
      <c r="BD94" s="84">
        <f t="shared" ref="BD94:BG94" si="799">+BD98*BD$11+BD99*BD$12</f>
        <v>8.0823588215357844</v>
      </c>
      <c r="BE94" s="84">
        <f t="shared" si="799"/>
        <v>8.0823588215357844</v>
      </c>
      <c r="BF94" s="132">
        <f t="shared" si="799"/>
        <v>8.4460649685048939</v>
      </c>
      <c r="BG94" s="132">
        <f t="shared" si="799"/>
        <v>8.4460649685048939</v>
      </c>
      <c r="BH94" s="133">
        <f>+BH106*1000/BH102</f>
        <v>8.2712249831824725</v>
      </c>
      <c r="BI94" s="132">
        <f t="shared" ref="BI94:BL94" si="800">+BI98*BI$11+BI99*BI$12</f>
        <v>8.4460649685048939</v>
      </c>
      <c r="BJ94" s="132">
        <f t="shared" si="800"/>
        <v>8.4460649685048939</v>
      </c>
      <c r="BK94" s="132">
        <f t="shared" si="800"/>
        <v>8.8261378920876155</v>
      </c>
      <c r="BL94" s="132">
        <f t="shared" si="800"/>
        <v>8.8261378920876155</v>
      </c>
      <c r="BM94" s="92">
        <f>+BM106*1000/BM102</f>
        <v>8.6434274440601939</v>
      </c>
      <c r="BN94" s="84">
        <f t="shared" ref="BN94:BQ94" si="801">+BN98*BN$11+BN99*BN$12</f>
        <v>8.8261378920876155</v>
      </c>
      <c r="BO94" s="84">
        <f t="shared" si="801"/>
        <v>8.8261378920876155</v>
      </c>
      <c r="BP94" s="84">
        <f t="shared" si="801"/>
        <v>9.2233140972315582</v>
      </c>
      <c r="BQ94" s="84">
        <f t="shared" si="801"/>
        <v>9.2233140972315582</v>
      </c>
      <c r="BR94" s="92">
        <f>+BR106*1000/BR102</f>
        <v>9.0323797451194654</v>
      </c>
      <c r="BS94" s="84">
        <f t="shared" ref="BS94:BV94" si="802">+BS98*BS$11+BS99*BS$12</f>
        <v>9.2233140972315582</v>
      </c>
      <c r="BT94" s="84">
        <f t="shared" si="802"/>
        <v>9.2233140972315582</v>
      </c>
      <c r="BU94" s="84">
        <f t="shared" si="802"/>
        <v>9.6383632316069754</v>
      </c>
      <c r="BV94" s="84">
        <f t="shared" si="802"/>
        <v>9.6383632316069754</v>
      </c>
      <c r="BW94" s="92">
        <f>+BW106*1000/BW102</f>
        <v>9.4388356271949903</v>
      </c>
      <c r="BX94" s="84">
        <f t="shared" ref="BX94:CA94" si="803">+BX98*BX$11+BX99*BX$12</f>
        <v>9.6383632316069754</v>
      </c>
      <c r="BY94" s="84">
        <f t="shared" si="803"/>
        <v>9.6383632316069754</v>
      </c>
      <c r="BZ94" s="132">
        <f t="shared" si="803"/>
        <v>10.07208957702929</v>
      </c>
      <c r="CA94" s="132">
        <f t="shared" si="803"/>
        <v>10.07208957702929</v>
      </c>
      <c r="CB94" s="133">
        <f>+CB106*1000/CB102</f>
        <v>9.8635827580538287</v>
      </c>
      <c r="CC94" s="132">
        <f t="shared" ref="CC94:CF94" si="804">+CC98*CC$11+CC99*CC$12</f>
        <v>10.07208957702929</v>
      </c>
      <c r="CD94" s="132">
        <f t="shared" si="804"/>
        <v>10.07208957702929</v>
      </c>
      <c r="CE94" s="132">
        <f t="shared" si="804"/>
        <v>10.525333607995606</v>
      </c>
      <c r="CF94" s="132">
        <f t="shared" si="804"/>
        <v>10.525333607995606</v>
      </c>
      <c r="CG94" s="92">
        <f>+CG106*1000/CG102</f>
        <v>10.307444528701344</v>
      </c>
      <c r="CH94" s="84">
        <f t="shared" ref="CH94:CK94" si="805">+CH98*CH$11+CH99*CH$12</f>
        <v>10.525333607995606</v>
      </c>
      <c r="CI94" s="84">
        <f t="shared" si="805"/>
        <v>10.525333607995606</v>
      </c>
      <c r="CJ94" s="84">
        <f t="shared" si="805"/>
        <v>10.998973620355409</v>
      </c>
      <c r="CK94" s="84">
        <f t="shared" si="805"/>
        <v>10.998973620355409</v>
      </c>
      <c r="CL94" s="92">
        <f>+CL106*1000/CL102</f>
        <v>10.771281008295931</v>
      </c>
      <c r="CM94" s="84">
        <f t="shared" ref="CM94:CP94" si="806">+CM98*CM$11+CM99*CM$12</f>
        <v>10.998973620355409</v>
      </c>
      <c r="CN94" s="84">
        <f t="shared" si="806"/>
        <v>10.998973620355409</v>
      </c>
      <c r="CO94" s="132">
        <f t="shared" si="806"/>
        <v>11.493927433271402</v>
      </c>
      <c r="CP94" s="132">
        <f t="shared" si="806"/>
        <v>11.493927433271402</v>
      </c>
      <c r="CQ94" s="133">
        <f>+CQ106*1000/CQ102</f>
        <v>11.255991218245857</v>
      </c>
      <c r="CR94" s="132">
        <f t="shared" ref="CR94:CU94" si="807">+CR98*CR$11+CR99*CR$12</f>
        <v>11.493927433271402</v>
      </c>
      <c r="CS94" s="132">
        <f t="shared" si="807"/>
        <v>11.493927433271402</v>
      </c>
      <c r="CT94" s="132">
        <f t="shared" si="807"/>
        <v>12.011154167768616</v>
      </c>
      <c r="CU94" s="132">
        <f t="shared" si="807"/>
        <v>12.011154167768616</v>
      </c>
      <c r="CV94" s="92">
        <f>+CV106*1000/CV102</f>
        <v>11.762510823066922</v>
      </c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</row>
    <row r="95" spans="1:115">
      <c r="A95" s="2" t="s">
        <v>70</v>
      </c>
      <c r="B95" s="34"/>
      <c r="C95" s="34"/>
      <c r="D95" s="34"/>
      <c r="E95" s="100"/>
      <c r="J95" s="100"/>
      <c r="O95" s="100"/>
      <c r="T95" s="100"/>
      <c r="Y95" s="100"/>
      <c r="AD95" s="100"/>
      <c r="AI95" s="100"/>
      <c r="AN95" s="100"/>
      <c r="AS95" s="100"/>
      <c r="AX95" s="100"/>
      <c r="BC95" s="100"/>
      <c r="BH95" s="100"/>
      <c r="BM95" s="100"/>
      <c r="BR95" s="100"/>
      <c r="BW95" s="100"/>
      <c r="CB95" s="100"/>
      <c r="CG95" s="100"/>
      <c r="CL95" s="100"/>
      <c r="CQ95" s="100"/>
      <c r="CV95" s="100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</row>
    <row r="96" spans="1:115">
      <c r="B96" s="34"/>
      <c r="C96" s="34"/>
      <c r="D96" s="34"/>
      <c r="E96" s="100"/>
      <c r="J96" s="100"/>
      <c r="O96" s="100"/>
      <c r="T96" s="100"/>
      <c r="Y96" s="100"/>
      <c r="AD96" s="100"/>
      <c r="AI96" s="100"/>
      <c r="AN96" s="100"/>
      <c r="AS96" s="100"/>
      <c r="AX96" s="100"/>
      <c r="BC96" s="100"/>
      <c r="BH96" s="100"/>
      <c r="BM96" s="100"/>
      <c r="BR96" s="100"/>
      <c r="BW96" s="100"/>
      <c r="CB96" s="100"/>
      <c r="CG96" s="100"/>
      <c r="CL96" s="100"/>
      <c r="CQ96" s="100"/>
      <c r="CV96" s="100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</row>
    <row r="97" spans="1:115">
      <c r="A97" s="148" t="s">
        <v>71</v>
      </c>
      <c r="B97" s="70"/>
      <c r="C97" s="70"/>
      <c r="D97" s="70"/>
      <c r="E97" s="134"/>
      <c r="F97" s="135"/>
      <c r="G97" s="135"/>
      <c r="H97" s="135"/>
      <c r="I97" s="135"/>
      <c r="J97" s="134"/>
      <c r="K97" s="135"/>
      <c r="L97" s="135"/>
      <c r="M97" s="135"/>
      <c r="N97" s="135"/>
      <c r="O97" s="134"/>
      <c r="P97" s="135"/>
      <c r="Q97" s="135"/>
      <c r="R97" s="135"/>
      <c r="S97" s="135"/>
      <c r="T97" s="134"/>
      <c r="U97" s="135">
        <f>+U98+U99</f>
        <v>63.7</v>
      </c>
      <c r="V97" s="135">
        <f t="shared" ref="V97:W97" si="808">+V98+V99</f>
        <v>63.694999999999993</v>
      </c>
      <c r="W97" s="135">
        <f t="shared" si="808"/>
        <v>63.694999999999993</v>
      </c>
      <c r="X97" s="135">
        <f t="shared" ref="X97" si="809">+X98+X99</f>
        <v>63.694999999999993</v>
      </c>
      <c r="Y97" s="134">
        <f t="shared" ref="Y97" si="810">+Y98+Y99</f>
        <v>63.694999999999993</v>
      </c>
      <c r="Z97" s="135">
        <f t="shared" ref="Z97" si="811">+Z98+Z99</f>
        <v>63.694999999999993</v>
      </c>
      <c r="AA97" s="135">
        <f t="shared" ref="AA97" si="812">+AA98+AA99</f>
        <v>63.694999999999993</v>
      </c>
      <c r="AB97" s="135">
        <f t="shared" ref="AB97" si="813">+AB98+AB99</f>
        <v>63.694999999999993</v>
      </c>
      <c r="AC97" s="135">
        <f t="shared" ref="AC97" si="814">+AC98+AC99</f>
        <v>63.694999999999993</v>
      </c>
      <c r="AD97" s="134">
        <f t="shared" ref="AD97" si="815">+AD98+AD99</f>
        <v>63.694999999999993</v>
      </c>
      <c r="AE97" s="135">
        <f t="shared" ref="AE97" si="816">+AE98+AE99</f>
        <v>63.694999999999993</v>
      </c>
      <c r="AF97" s="135">
        <f t="shared" ref="AF97" si="817">+AF98+AF99</f>
        <v>63.694999999999993</v>
      </c>
      <c r="AG97" s="135">
        <f t="shared" ref="AG97" si="818">+AG98+AG99</f>
        <v>63.694999999999993</v>
      </c>
      <c r="AH97" s="135">
        <f t="shared" ref="AH97" si="819">+AH98+AH99</f>
        <v>63.694999999999993</v>
      </c>
      <c r="AI97" s="134">
        <f t="shared" ref="AI97" si="820">+AI98+AI99</f>
        <v>63.694999999999993</v>
      </c>
      <c r="AJ97" s="135">
        <f t="shared" ref="AJ97" si="821">+AJ98+AJ99</f>
        <v>63.694999999999993</v>
      </c>
      <c r="AK97" s="135">
        <f t="shared" ref="AK97" si="822">+AK98+AK99</f>
        <v>63.694999999999993</v>
      </c>
      <c r="AL97" s="135">
        <f t="shared" ref="AL97" si="823">+AL98+AL99</f>
        <v>63.694999999999993</v>
      </c>
      <c r="AM97" s="135">
        <f t="shared" ref="AM97" si="824">+AM98+AM99</f>
        <v>63.694999999999993</v>
      </c>
      <c r="AN97" s="134">
        <f t="shared" ref="AN97" si="825">+AN98+AN99</f>
        <v>63.694999999999993</v>
      </c>
      <c r="AO97" s="135">
        <f t="shared" ref="AO97" si="826">+AO98+AO99</f>
        <v>63.694999999999993</v>
      </c>
      <c r="AP97" s="135">
        <f t="shared" ref="AP97" si="827">+AP98+AP99</f>
        <v>63.694999999999993</v>
      </c>
      <c r="AQ97" s="135">
        <f t="shared" ref="AQ97" si="828">+AQ98+AQ99</f>
        <v>63.694999999999993</v>
      </c>
      <c r="AR97" s="135">
        <f t="shared" ref="AR97" si="829">+AR98+AR99</f>
        <v>63.694999999999993</v>
      </c>
      <c r="AS97" s="134">
        <f t="shared" ref="AS97" si="830">+AS98+AS99</f>
        <v>63.694999999999993</v>
      </c>
      <c r="AT97" s="135">
        <f t="shared" ref="AT97" si="831">+AT98+AT99</f>
        <v>63.694999999999993</v>
      </c>
      <c r="AU97" s="135">
        <f t="shared" ref="AU97" si="832">+AU98+AU99</f>
        <v>63.694999999999993</v>
      </c>
      <c r="AV97" s="135">
        <f t="shared" ref="AV97" si="833">+AV98+AV99</f>
        <v>63.694999999999993</v>
      </c>
      <c r="AW97" s="135">
        <f t="shared" ref="AW97" si="834">+AW98+AW99</f>
        <v>63.694999999999993</v>
      </c>
      <c r="AX97" s="134">
        <f t="shared" ref="AX97" si="835">+AX98+AX99</f>
        <v>63.694999999999993</v>
      </c>
      <c r="AY97" s="135">
        <f t="shared" ref="AY97" si="836">+AY98+AY99</f>
        <v>63.694999999999993</v>
      </c>
      <c r="AZ97" s="135">
        <f t="shared" ref="AZ97" si="837">+AZ98+AZ99</f>
        <v>63.694999999999993</v>
      </c>
      <c r="BA97" s="135">
        <f t="shared" ref="BA97" si="838">+BA98+BA99</f>
        <v>63.694999999999993</v>
      </c>
      <c r="BB97" s="135">
        <f t="shared" ref="BB97" si="839">+BB98+BB99</f>
        <v>63.694999999999993</v>
      </c>
      <c r="BC97" s="134">
        <f t="shared" ref="BC97" si="840">+BC98+BC99</f>
        <v>63.694999999999993</v>
      </c>
      <c r="BD97" s="135">
        <f t="shared" ref="BD97" si="841">+BD98+BD99</f>
        <v>63.694999999999993</v>
      </c>
      <c r="BE97" s="135">
        <f t="shared" ref="BE97" si="842">+BE98+BE99</f>
        <v>63.694999999999993</v>
      </c>
      <c r="BF97" s="135">
        <f t="shared" ref="BF97" si="843">+BF98+BF99</f>
        <v>63.694999999999993</v>
      </c>
      <c r="BG97" s="135">
        <f t="shared" ref="BG97" si="844">+BG98+BG99</f>
        <v>63.694999999999993</v>
      </c>
      <c r="BH97" s="134">
        <f t="shared" ref="BH97" si="845">+BH98+BH99</f>
        <v>63.694999999999993</v>
      </c>
      <c r="BI97" s="135">
        <f t="shared" ref="BI97" si="846">+BI98+BI99</f>
        <v>63.694999999999993</v>
      </c>
      <c r="BJ97" s="135">
        <f t="shared" ref="BJ97" si="847">+BJ98+BJ99</f>
        <v>63.694999999999993</v>
      </c>
      <c r="BK97" s="135">
        <f t="shared" ref="BK97" si="848">+BK98+BK99</f>
        <v>63.694999999999993</v>
      </c>
      <c r="BL97" s="135">
        <f t="shared" ref="BL97" si="849">+BL98+BL99</f>
        <v>63.694999999999993</v>
      </c>
      <c r="BM97" s="134">
        <f t="shared" ref="BM97" si="850">+BM98+BM99</f>
        <v>63.694999999999993</v>
      </c>
      <c r="BN97" s="135">
        <f t="shared" ref="BN97" si="851">+BN98+BN99</f>
        <v>63.694999999999993</v>
      </c>
      <c r="BO97" s="135">
        <f t="shared" ref="BO97" si="852">+BO98+BO99</f>
        <v>63.694999999999993</v>
      </c>
      <c r="BP97" s="135">
        <f t="shared" ref="BP97" si="853">+BP98+BP99</f>
        <v>63.694999999999993</v>
      </c>
      <c r="BQ97" s="135">
        <f t="shared" ref="BQ97" si="854">+BQ98+BQ99</f>
        <v>63.694999999999993</v>
      </c>
      <c r="BR97" s="134">
        <f t="shared" ref="BR97" si="855">+BR98+BR99</f>
        <v>63.694999999999993</v>
      </c>
      <c r="BS97" s="135">
        <f t="shared" ref="BS97" si="856">+BS98+BS99</f>
        <v>63.694999999999993</v>
      </c>
      <c r="BT97" s="135">
        <f t="shared" ref="BT97" si="857">+BT98+BT99</f>
        <v>63.694999999999993</v>
      </c>
      <c r="BU97" s="135">
        <f t="shared" ref="BU97" si="858">+BU98+BU99</f>
        <v>63.694999999999993</v>
      </c>
      <c r="BV97" s="135">
        <f t="shared" ref="BV97" si="859">+BV98+BV99</f>
        <v>63.694999999999993</v>
      </c>
      <c r="BW97" s="134">
        <f t="shared" ref="BW97" si="860">+BW98+BW99</f>
        <v>63.694999999999993</v>
      </c>
      <c r="BX97" s="135">
        <f t="shared" ref="BX97" si="861">+BX98+BX99</f>
        <v>63.694999999999993</v>
      </c>
      <c r="BY97" s="135">
        <f t="shared" ref="BY97" si="862">+BY98+BY99</f>
        <v>63.694999999999993</v>
      </c>
      <c r="BZ97" s="135">
        <f t="shared" ref="BZ97" si="863">+BZ98+BZ99</f>
        <v>63.694999999999993</v>
      </c>
      <c r="CA97" s="135">
        <f t="shared" ref="CA97" si="864">+CA98+CA99</f>
        <v>63.694999999999993</v>
      </c>
      <c r="CB97" s="134">
        <f t="shared" ref="CB97" si="865">+CB98+CB99</f>
        <v>63.694999999999993</v>
      </c>
      <c r="CC97" s="135">
        <f t="shared" ref="CC97" si="866">+CC98+CC99</f>
        <v>63.694999999999993</v>
      </c>
      <c r="CD97" s="135">
        <f t="shared" ref="CD97" si="867">+CD98+CD99</f>
        <v>63.694999999999993</v>
      </c>
      <c r="CE97" s="135">
        <f t="shared" ref="CE97" si="868">+CE98+CE99</f>
        <v>63.694999999999993</v>
      </c>
      <c r="CF97" s="135">
        <f t="shared" ref="CF97" si="869">+CF98+CF99</f>
        <v>63.694999999999993</v>
      </c>
      <c r="CG97" s="134">
        <f t="shared" ref="CG97" si="870">+CG98+CG99</f>
        <v>63.694999999999993</v>
      </c>
      <c r="CH97" s="135">
        <f t="shared" ref="CH97" si="871">+CH98+CH99</f>
        <v>63.694999999999993</v>
      </c>
      <c r="CI97" s="135">
        <f t="shared" ref="CI97" si="872">+CI98+CI99</f>
        <v>63.694999999999993</v>
      </c>
      <c r="CJ97" s="135">
        <f t="shared" ref="CJ97" si="873">+CJ98+CJ99</f>
        <v>63.694999999999993</v>
      </c>
      <c r="CK97" s="135">
        <f t="shared" ref="CK97" si="874">+CK98+CK99</f>
        <v>63.694999999999993</v>
      </c>
      <c r="CL97" s="134">
        <f t="shared" ref="CL97" si="875">+CL98+CL99</f>
        <v>63.694999999999993</v>
      </c>
      <c r="CM97" s="135">
        <f t="shared" ref="CM97" si="876">+CM98+CM99</f>
        <v>63.694999999999993</v>
      </c>
      <c r="CN97" s="135">
        <f t="shared" ref="CN97" si="877">+CN98+CN99</f>
        <v>63.694999999999993</v>
      </c>
      <c r="CO97" s="135">
        <f t="shared" ref="CO97" si="878">+CO98+CO99</f>
        <v>63.694999999999993</v>
      </c>
      <c r="CP97" s="135">
        <f t="shared" ref="CP97" si="879">+CP98+CP99</f>
        <v>63.694999999999993</v>
      </c>
      <c r="CQ97" s="134">
        <f t="shared" ref="CQ97" si="880">+CQ98+CQ99</f>
        <v>63.694999999999993</v>
      </c>
      <c r="CR97" s="135">
        <f t="shared" ref="CR97" si="881">+CR98+CR99</f>
        <v>63.694999999999993</v>
      </c>
      <c r="CS97" s="135">
        <f t="shared" ref="CS97" si="882">+CS98+CS99</f>
        <v>63.694999999999993</v>
      </c>
      <c r="CT97" s="135">
        <f t="shared" ref="CT97" si="883">+CT98+CT99</f>
        <v>63.694999999999993</v>
      </c>
      <c r="CU97" s="135">
        <f t="shared" ref="CU97" si="884">+CU98+CU99</f>
        <v>63.694999999999993</v>
      </c>
      <c r="CV97" s="134">
        <f t="shared" ref="CV97" si="885">+CV98+CV99</f>
        <v>63.694999999999993</v>
      </c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</row>
    <row r="98" spans="1:115" s="22" customFormat="1">
      <c r="A98" s="148" t="s">
        <v>72</v>
      </c>
      <c r="B98" s="70"/>
      <c r="C98" s="70"/>
      <c r="D98" s="70"/>
      <c r="E98" s="134"/>
      <c r="F98" s="135"/>
      <c r="G98" s="135"/>
      <c r="H98" s="135"/>
      <c r="I98" s="135"/>
      <c r="J98" s="134"/>
      <c r="K98" s="135"/>
      <c r="L98" s="135"/>
      <c r="M98" s="135"/>
      <c r="N98" s="135"/>
      <c r="O98" s="134"/>
      <c r="P98" s="135"/>
      <c r="Q98" s="135"/>
      <c r="R98" s="135"/>
      <c r="S98" s="135"/>
      <c r="T98" s="134"/>
      <c r="U98" s="136">
        <v>53.1</v>
      </c>
      <c r="V98" s="136">
        <v>53.144999999999996</v>
      </c>
      <c r="W98" s="136">
        <v>53.144999999999996</v>
      </c>
      <c r="X98" s="136">
        <v>53.144999999999996</v>
      </c>
      <c r="Y98" s="134">
        <v>53.144999999999996</v>
      </c>
      <c r="Z98" s="135">
        <v>53.144999999999996</v>
      </c>
      <c r="AA98" s="135">
        <v>53.144999999999996</v>
      </c>
      <c r="AB98" s="135">
        <v>53.144999999999996</v>
      </c>
      <c r="AC98" s="135">
        <v>53.144999999999996</v>
      </c>
      <c r="AD98" s="134">
        <v>53.144999999999996</v>
      </c>
      <c r="AE98" s="135">
        <v>53.144999999999996</v>
      </c>
      <c r="AF98" s="135">
        <v>53.144999999999996</v>
      </c>
      <c r="AG98" s="135">
        <v>53.144999999999996</v>
      </c>
      <c r="AH98" s="135">
        <v>53.144999999999996</v>
      </c>
      <c r="AI98" s="134">
        <v>53.144999999999996</v>
      </c>
      <c r="AJ98" s="135">
        <v>53.144999999999996</v>
      </c>
      <c r="AK98" s="135">
        <v>53.144999999999996</v>
      </c>
      <c r="AL98" s="135">
        <v>53.144999999999996</v>
      </c>
      <c r="AM98" s="135">
        <v>53.144999999999996</v>
      </c>
      <c r="AN98" s="134">
        <v>53.144999999999996</v>
      </c>
      <c r="AO98" s="136">
        <v>53.144999999999996</v>
      </c>
      <c r="AP98" s="136">
        <v>53.144999999999996</v>
      </c>
      <c r="AQ98" s="136">
        <v>53.144999999999996</v>
      </c>
      <c r="AR98" s="136">
        <v>53.144999999999996</v>
      </c>
      <c r="AS98" s="134">
        <v>53.144999999999996</v>
      </c>
      <c r="AT98" s="135">
        <v>53.144999999999996</v>
      </c>
      <c r="AU98" s="135">
        <v>53.144999999999996</v>
      </c>
      <c r="AV98" s="135">
        <v>53.144999999999996</v>
      </c>
      <c r="AW98" s="135">
        <v>53.144999999999996</v>
      </c>
      <c r="AX98" s="134">
        <v>53.144999999999996</v>
      </c>
      <c r="AY98" s="135">
        <v>53.144999999999996</v>
      </c>
      <c r="AZ98" s="135">
        <v>53.144999999999996</v>
      </c>
      <c r="BA98" s="135">
        <v>53.144999999999996</v>
      </c>
      <c r="BB98" s="135">
        <v>53.144999999999996</v>
      </c>
      <c r="BC98" s="134">
        <v>53.144999999999996</v>
      </c>
      <c r="BD98" s="135">
        <v>53.144999999999996</v>
      </c>
      <c r="BE98" s="135">
        <v>53.144999999999996</v>
      </c>
      <c r="BF98" s="135">
        <v>53.144999999999996</v>
      </c>
      <c r="BG98" s="135">
        <v>53.144999999999996</v>
      </c>
      <c r="BH98" s="134">
        <v>53.144999999999996</v>
      </c>
      <c r="BI98" s="136">
        <v>53.144999999999996</v>
      </c>
      <c r="BJ98" s="136">
        <v>53.144999999999996</v>
      </c>
      <c r="BK98" s="136">
        <v>53.144999999999996</v>
      </c>
      <c r="BL98" s="136">
        <v>53.144999999999996</v>
      </c>
      <c r="BM98" s="134">
        <v>53.144999999999996</v>
      </c>
      <c r="BN98" s="135">
        <v>53.144999999999996</v>
      </c>
      <c r="BO98" s="135">
        <v>53.144999999999996</v>
      </c>
      <c r="BP98" s="135">
        <v>53.144999999999996</v>
      </c>
      <c r="BQ98" s="135">
        <v>53.144999999999996</v>
      </c>
      <c r="BR98" s="134">
        <v>53.144999999999996</v>
      </c>
      <c r="BS98" s="135">
        <v>53.144999999999996</v>
      </c>
      <c r="BT98" s="135">
        <v>53.144999999999996</v>
      </c>
      <c r="BU98" s="135">
        <v>53.144999999999996</v>
      </c>
      <c r="BV98" s="135">
        <v>53.144999999999996</v>
      </c>
      <c r="BW98" s="134">
        <v>53.144999999999996</v>
      </c>
      <c r="BX98" s="135">
        <v>53.144999999999996</v>
      </c>
      <c r="BY98" s="135">
        <v>53.144999999999996</v>
      </c>
      <c r="BZ98" s="135">
        <v>53.144999999999996</v>
      </c>
      <c r="CA98" s="135">
        <v>53.144999999999996</v>
      </c>
      <c r="CB98" s="134">
        <v>53.144999999999996</v>
      </c>
      <c r="CC98" s="136">
        <v>53.144999999999996</v>
      </c>
      <c r="CD98" s="136">
        <v>53.144999999999996</v>
      </c>
      <c r="CE98" s="136">
        <v>53.144999999999996</v>
      </c>
      <c r="CF98" s="136">
        <v>53.144999999999996</v>
      </c>
      <c r="CG98" s="134">
        <v>53.144999999999996</v>
      </c>
      <c r="CH98" s="135">
        <v>53.144999999999996</v>
      </c>
      <c r="CI98" s="135">
        <v>53.144999999999996</v>
      </c>
      <c r="CJ98" s="135">
        <v>53.144999999999996</v>
      </c>
      <c r="CK98" s="135">
        <v>53.144999999999996</v>
      </c>
      <c r="CL98" s="134">
        <v>53.144999999999996</v>
      </c>
      <c r="CM98" s="135">
        <v>53.144999999999996</v>
      </c>
      <c r="CN98" s="135">
        <v>53.144999999999996</v>
      </c>
      <c r="CO98" s="135">
        <v>53.144999999999996</v>
      </c>
      <c r="CP98" s="135">
        <v>53.144999999999996</v>
      </c>
      <c r="CQ98" s="134">
        <v>53.144999999999996</v>
      </c>
      <c r="CR98" s="136">
        <v>53.144999999999996</v>
      </c>
      <c r="CS98" s="136">
        <v>53.144999999999996</v>
      </c>
      <c r="CT98" s="136">
        <v>53.144999999999996</v>
      </c>
      <c r="CU98" s="136">
        <v>53.144999999999996</v>
      </c>
      <c r="CV98" s="134">
        <v>53.144999999999996</v>
      </c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</row>
    <row r="99" spans="1:115" s="22" customFormat="1">
      <c r="A99" s="148" t="s">
        <v>73</v>
      </c>
      <c r="B99" s="70"/>
      <c r="C99" s="70"/>
      <c r="D99" s="70"/>
      <c r="E99" s="134"/>
      <c r="F99" s="135"/>
      <c r="G99" s="135"/>
      <c r="H99" s="135"/>
      <c r="I99" s="135"/>
      <c r="J99" s="134"/>
      <c r="K99" s="135"/>
      <c r="L99" s="135"/>
      <c r="M99" s="135"/>
      <c r="N99" s="135"/>
      <c r="O99" s="134"/>
      <c r="P99" s="135"/>
      <c r="Q99" s="135"/>
      <c r="R99" s="135"/>
      <c r="S99" s="135"/>
      <c r="T99" s="134"/>
      <c r="U99" s="136">
        <v>10.6</v>
      </c>
      <c r="V99" s="136">
        <v>10.55</v>
      </c>
      <c r="W99" s="136">
        <v>10.55</v>
      </c>
      <c r="X99" s="136">
        <v>10.55</v>
      </c>
      <c r="Y99" s="134">
        <v>10.55</v>
      </c>
      <c r="Z99" s="135">
        <v>10.55</v>
      </c>
      <c r="AA99" s="135">
        <v>10.55</v>
      </c>
      <c r="AB99" s="135">
        <v>10.55</v>
      </c>
      <c r="AC99" s="135">
        <v>10.55</v>
      </c>
      <c r="AD99" s="134">
        <v>10.55</v>
      </c>
      <c r="AE99" s="135">
        <v>10.55</v>
      </c>
      <c r="AF99" s="135">
        <v>10.55</v>
      </c>
      <c r="AG99" s="135">
        <v>10.55</v>
      </c>
      <c r="AH99" s="135">
        <v>10.55</v>
      </c>
      <c r="AI99" s="134">
        <v>10.55</v>
      </c>
      <c r="AJ99" s="135">
        <v>10.55</v>
      </c>
      <c r="AK99" s="135">
        <v>10.55</v>
      </c>
      <c r="AL99" s="135">
        <v>10.55</v>
      </c>
      <c r="AM99" s="135">
        <v>10.55</v>
      </c>
      <c r="AN99" s="134">
        <v>10.55</v>
      </c>
      <c r="AO99" s="136">
        <v>10.55</v>
      </c>
      <c r="AP99" s="136">
        <v>10.55</v>
      </c>
      <c r="AQ99" s="136">
        <v>10.55</v>
      </c>
      <c r="AR99" s="136">
        <v>10.55</v>
      </c>
      <c r="AS99" s="134">
        <v>10.55</v>
      </c>
      <c r="AT99" s="135">
        <v>10.55</v>
      </c>
      <c r="AU99" s="135">
        <v>10.55</v>
      </c>
      <c r="AV99" s="135">
        <v>10.55</v>
      </c>
      <c r="AW99" s="135">
        <v>10.55</v>
      </c>
      <c r="AX99" s="134">
        <v>10.55</v>
      </c>
      <c r="AY99" s="135">
        <v>10.55</v>
      </c>
      <c r="AZ99" s="135">
        <v>10.55</v>
      </c>
      <c r="BA99" s="135">
        <v>10.55</v>
      </c>
      <c r="BB99" s="135">
        <v>10.55</v>
      </c>
      <c r="BC99" s="134">
        <v>10.55</v>
      </c>
      <c r="BD99" s="135">
        <v>10.55</v>
      </c>
      <c r="BE99" s="135">
        <v>10.55</v>
      </c>
      <c r="BF99" s="135">
        <v>10.55</v>
      </c>
      <c r="BG99" s="135">
        <v>10.55</v>
      </c>
      <c r="BH99" s="134">
        <v>10.55</v>
      </c>
      <c r="BI99" s="136">
        <v>10.55</v>
      </c>
      <c r="BJ99" s="136">
        <v>10.55</v>
      </c>
      <c r="BK99" s="136">
        <v>10.55</v>
      </c>
      <c r="BL99" s="136">
        <v>10.55</v>
      </c>
      <c r="BM99" s="134">
        <v>10.55</v>
      </c>
      <c r="BN99" s="135">
        <v>10.55</v>
      </c>
      <c r="BO99" s="135">
        <v>10.55</v>
      </c>
      <c r="BP99" s="135">
        <v>10.55</v>
      </c>
      <c r="BQ99" s="135">
        <v>10.55</v>
      </c>
      <c r="BR99" s="134">
        <v>10.55</v>
      </c>
      <c r="BS99" s="135">
        <v>10.55</v>
      </c>
      <c r="BT99" s="135">
        <v>10.55</v>
      </c>
      <c r="BU99" s="135">
        <v>10.55</v>
      </c>
      <c r="BV99" s="135">
        <v>10.55</v>
      </c>
      <c r="BW99" s="134">
        <v>10.55</v>
      </c>
      <c r="BX99" s="135">
        <v>10.55</v>
      </c>
      <c r="BY99" s="135">
        <v>10.55</v>
      </c>
      <c r="BZ99" s="135">
        <v>10.55</v>
      </c>
      <c r="CA99" s="135">
        <v>10.55</v>
      </c>
      <c r="CB99" s="134">
        <v>10.55</v>
      </c>
      <c r="CC99" s="136">
        <v>10.55</v>
      </c>
      <c r="CD99" s="136">
        <v>10.55</v>
      </c>
      <c r="CE99" s="136">
        <v>10.55</v>
      </c>
      <c r="CF99" s="136">
        <v>10.55</v>
      </c>
      <c r="CG99" s="134">
        <v>10.55</v>
      </c>
      <c r="CH99" s="135">
        <v>10.55</v>
      </c>
      <c r="CI99" s="135">
        <v>10.55</v>
      </c>
      <c r="CJ99" s="135">
        <v>10.55</v>
      </c>
      <c r="CK99" s="135">
        <v>10.55</v>
      </c>
      <c r="CL99" s="134">
        <v>10.55</v>
      </c>
      <c r="CM99" s="135">
        <v>10.55</v>
      </c>
      <c r="CN99" s="135">
        <v>10.55</v>
      </c>
      <c r="CO99" s="135">
        <v>10.55</v>
      </c>
      <c r="CP99" s="135">
        <v>10.55</v>
      </c>
      <c r="CQ99" s="134">
        <v>10.55</v>
      </c>
      <c r="CR99" s="136">
        <v>10.55</v>
      </c>
      <c r="CS99" s="136">
        <v>10.55</v>
      </c>
      <c r="CT99" s="136">
        <v>10.55</v>
      </c>
      <c r="CU99" s="136">
        <v>10.55</v>
      </c>
      <c r="CV99" s="134">
        <v>10.55</v>
      </c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</row>
    <row r="100" spans="1:115">
      <c r="A100" s="149" t="s">
        <v>74</v>
      </c>
      <c r="B100" s="19"/>
      <c r="C100" s="19"/>
      <c r="D100" s="19"/>
      <c r="E100" s="112"/>
      <c r="F100" s="137"/>
      <c r="G100" s="137"/>
      <c r="H100" s="137"/>
      <c r="I100" s="137"/>
      <c r="J100" s="112"/>
      <c r="K100" s="137"/>
      <c r="L100" s="137"/>
      <c r="M100" s="137"/>
      <c r="N100" s="137"/>
      <c r="O100" s="112"/>
      <c r="P100" s="137"/>
      <c r="Q100" s="137"/>
      <c r="R100" s="137"/>
      <c r="S100" s="137"/>
      <c r="T100" s="112"/>
      <c r="U100" s="137">
        <f>+U99/U97</f>
        <v>0.16640502354788067</v>
      </c>
      <c r="V100" s="137">
        <f t="shared" ref="V100:W100" si="886">+V99/V97</f>
        <v>0.165633095219405</v>
      </c>
      <c r="W100" s="137">
        <f t="shared" si="886"/>
        <v>0.165633095219405</v>
      </c>
      <c r="X100" s="137">
        <f t="shared" ref="X100" si="887">+X99/X97</f>
        <v>0.165633095219405</v>
      </c>
      <c r="Y100" s="112">
        <f t="shared" ref="Y100" si="888">+Y99/Y97</f>
        <v>0.165633095219405</v>
      </c>
      <c r="Z100" s="137">
        <f t="shared" ref="Z100" si="889">+Z99/Z97</f>
        <v>0.165633095219405</v>
      </c>
      <c r="AA100" s="137">
        <f t="shared" ref="AA100" si="890">+AA99/AA97</f>
        <v>0.165633095219405</v>
      </c>
      <c r="AB100" s="137">
        <f t="shared" ref="AB100" si="891">+AB99/AB97</f>
        <v>0.165633095219405</v>
      </c>
      <c r="AC100" s="137">
        <f t="shared" ref="AC100" si="892">+AC99/AC97</f>
        <v>0.165633095219405</v>
      </c>
      <c r="AD100" s="112">
        <f t="shared" ref="AD100" si="893">+AD99/AD97</f>
        <v>0.165633095219405</v>
      </c>
      <c r="AE100" s="137">
        <f t="shared" ref="AE100" si="894">+AE99/AE97</f>
        <v>0.165633095219405</v>
      </c>
      <c r="AF100" s="137">
        <f t="shared" ref="AF100" si="895">+AF99/AF97</f>
        <v>0.165633095219405</v>
      </c>
      <c r="AG100" s="137">
        <f t="shared" ref="AG100" si="896">+AG99/AG97</f>
        <v>0.165633095219405</v>
      </c>
      <c r="AH100" s="137">
        <f t="shared" ref="AH100" si="897">+AH99/AH97</f>
        <v>0.165633095219405</v>
      </c>
      <c r="AI100" s="112">
        <f t="shared" ref="AI100" si="898">+AI99/AI97</f>
        <v>0.165633095219405</v>
      </c>
      <c r="AJ100" s="137">
        <f t="shared" ref="AJ100" si="899">+AJ99/AJ97</f>
        <v>0.165633095219405</v>
      </c>
      <c r="AK100" s="137">
        <f t="shared" ref="AK100" si="900">+AK99/AK97</f>
        <v>0.165633095219405</v>
      </c>
      <c r="AL100" s="137">
        <f t="shared" ref="AL100" si="901">+AL99/AL97</f>
        <v>0.165633095219405</v>
      </c>
      <c r="AM100" s="137">
        <f t="shared" ref="AM100" si="902">+AM99/AM97</f>
        <v>0.165633095219405</v>
      </c>
      <c r="AN100" s="112">
        <f t="shared" ref="AN100" si="903">+AN99/AN97</f>
        <v>0.165633095219405</v>
      </c>
      <c r="AO100" s="137">
        <f t="shared" ref="AO100" si="904">+AO99/AO97</f>
        <v>0.165633095219405</v>
      </c>
      <c r="AP100" s="137">
        <f t="shared" ref="AP100" si="905">+AP99/AP97</f>
        <v>0.165633095219405</v>
      </c>
      <c r="AQ100" s="137">
        <f t="shared" ref="AQ100" si="906">+AQ99/AQ97</f>
        <v>0.165633095219405</v>
      </c>
      <c r="AR100" s="137">
        <f t="shared" ref="AR100" si="907">+AR99/AR97</f>
        <v>0.165633095219405</v>
      </c>
      <c r="AS100" s="112">
        <f t="shared" ref="AS100" si="908">+AS99/AS97</f>
        <v>0.165633095219405</v>
      </c>
      <c r="AT100" s="137">
        <f t="shared" ref="AT100" si="909">+AT99/AT97</f>
        <v>0.165633095219405</v>
      </c>
      <c r="AU100" s="137">
        <f t="shared" ref="AU100" si="910">+AU99/AU97</f>
        <v>0.165633095219405</v>
      </c>
      <c r="AV100" s="137">
        <f t="shared" ref="AV100" si="911">+AV99/AV97</f>
        <v>0.165633095219405</v>
      </c>
      <c r="AW100" s="137">
        <f t="shared" ref="AW100" si="912">+AW99/AW97</f>
        <v>0.165633095219405</v>
      </c>
      <c r="AX100" s="112">
        <f t="shared" ref="AX100" si="913">+AX99/AX97</f>
        <v>0.165633095219405</v>
      </c>
      <c r="AY100" s="137">
        <f t="shared" ref="AY100" si="914">+AY99/AY97</f>
        <v>0.165633095219405</v>
      </c>
      <c r="AZ100" s="137">
        <f t="shared" ref="AZ100" si="915">+AZ99/AZ97</f>
        <v>0.165633095219405</v>
      </c>
      <c r="BA100" s="137">
        <f t="shared" ref="BA100" si="916">+BA99/BA97</f>
        <v>0.165633095219405</v>
      </c>
      <c r="BB100" s="137">
        <f t="shared" ref="BB100" si="917">+BB99/BB97</f>
        <v>0.165633095219405</v>
      </c>
      <c r="BC100" s="112">
        <f t="shared" ref="BC100" si="918">+BC99/BC97</f>
        <v>0.165633095219405</v>
      </c>
      <c r="BD100" s="137">
        <f t="shared" ref="BD100" si="919">+BD99/BD97</f>
        <v>0.165633095219405</v>
      </c>
      <c r="BE100" s="137">
        <f t="shared" ref="BE100" si="920">+BE99/BE97</f>
        <v>0.165633095219405</v>
      </c>
      <c r="BF100" s="137">
        <f t="shared" ref="BF100" si="921">+BF99/BF97</f>
        <v>0.165633095219405</v>
      </c>
      <c r="BG100" s="137">
        <f t="shared" ref="BG100" si="922">+BG99/BG97</f>
        <v>0.165633095219405</v>
      </c>
      <c r="BH100" s="112">
        <f t="shared" ref="BH100" si="923">+BH99/BH97</f>
        <v>0.165633095219405</v>
      </c>
      <c r="BI100" s="137">
        <f t="shared" ref="BI100" si="924">+BI99/BI97</f>
        <v>0.165633095219405</v>
      </c>
      <c r="BJ100" s="137">
        <f t="shared" ref="BJ100" si="925">+BJ99/BJ97</f>
        <v>0.165633095219405</v>
      </c>
      <c r="BK100" s="137">
        <f t="shared" ref="BK100" si="926">+BK99/BK97</f>
        <v>0.165633095219405</v>
      </c>
      <c r="BL100" s="137">
        <f t="shared" ref="BL100" si="927">+BL99/BL97</f>
        <v>0.165633095219405</v>
      </c>
      <c r="BM100" s="112">
        <f t="shared" ref="BM100" si="928">+BM99/BM97</f>
        <v>0.165633095219405</v>
      </c>
      <c r="BN100" s="137">
        <f t="shared" ref="BN100" si="929">+BN99/BN97</f>
        <v>0.165633095219405</v>
      </c>
      <c r="BO100" s="137">
        <f t="shared" ref="BO100" si="930">+BO99/BO97</f>
        <v>0.165633095219405</v>
      </c>
      <c r="BP100" s="137">
        <f t="shared" ref="BP100" si="931">+BP99/BP97</f>
        <v>0.165633095219405</v>
      </c>
      <c r="BQ100" s="137">
        <f t="shared" ref="BQ100" si="932">+BQ99/BQ97</f>
        <v>0.165633095219405</v>
      </c>
      <c r="BR100" s="112">
        <f t="shared" ref="BR100" si="933">+BR99/BR97</f>
        <v>0.165633095219405</v>
      </c>
      <c r="BS100" s="137">
        <f t="shared" ref="BS100" si="934">+BS99/BS97</f>
        <v>0.165633095219405</v>
      </c>
      <c r="BT100" s="137">
        <f t="shared" ref="BT100" si="935">+BT99/BT97</f>
        <v>0.165633095219405</v>
      </c>
      <c r="BU100" s="137">
        <f t="shared" ref="BU100" si="936">+BU99/BU97</f>
        <v>0.165633095219405</v>
      </c>
      <c r="BV100" s="137">
        <f t="shared" ref="BV100" si="937">+BV99/BV97</f>
        <v>0.165633095219405</v>
      </c>
      <c r="BW100" s="112">
        <f t="shared" ref="BW100" si="938">+BW99/BW97</f>
        <v>0.165633095219405</v>
      </c>
      <c r="BX100" s="137">
        <f t="shared" ref="BX100" si="939">+BX99/BX97</f>
        <v>0.165633095219405</v>
      </c>
      <c r="BY100" s="137">
        <f t="shared" ref="BY100" si="940">+BY99/BY97</f>
        <v>0.165633095219405</v>
      </c>
      <c r="BZ100" s="137">
        <f t="shared" ref="BZ100" si="941">+BZ99/BZ97</f>
        <v>0.165633095219405</v>
      </c>
      <c r="CA100" s="137">
        <f t="shared" ref="CA100" si="942">+CA99/CA97</f>
        <v>0.165633095219405</v>
      </c>
      <c r="CB100" s="112">
        <f t="shared" ref="CB100" si="943">+CB99/CB97</f>
        <v>0.165633095219405</v>
      </c>
      <c r="CC100" s="137">
        <f t="shared" ref="CC100" si="944">+CC99/CC97</f>
        <v>0.165633095219405</v>
      </c>
      <c r="CD100" s="137">
        <f t="shared" ref="CD100" si="945">+CD99/CD97</f>
        <v>0.165633095219405</v>
      </c>
      <c r="CE100" s="137">
        <f t="shared" ref="CE100" si="946">+CE99/CE97</f>
        <v>0.165633095219405</v>
      </c>
      <c r="CF100" s="137">
        <f t="shared" ref="CF100" si="947">+CF99/CF97</f>
        <v>0.165633095219405</v>
      </c>
      <c r="CG100" s="112">
        <f t="shared" ref="CG100" si="948">+CG99/CG97</f>
        <v>0.165633095219405</v>
      </c>
      <c r="CH100" s="137">
        <f t="shared" ref="CH100" si="949">+CH99/CH97</f>
        <v>0.165633095219405</v>
      </c>
      <c r="CI100" s="137">
        <f t="shared" ref="CI100" si="950">+CI99/CI97</f>
        <v>0.165633095219405</v>
      </c>
      <c r="CJ100" s="137">
        <f t="shared" ref="CJ100" si="951">+CJ99/CJ97</f>
        <v>0.165633095219405</v>
      </c>
      <c r="CK100" s="137">
        <f t="shared" ref="CK100" si="952">+CK99/CK97</f>
        <v>0.165633095219405</v>
      </c>
      <c r="CL100" s="112">
        <f t="shared" ref="CL100" si="953">+CL99/CL97</f>
        <v>0.165633095219405</v>
      </c>
      <c r="CM100" s="137">
        <f t="shared" ref="CM100" si="954">+CM99/CM97</f>
        <v>0.165633095219405</v>
      </c>
      <c r="CN100" s="137">
        <f t="shared" ref="CN100" si="955">+CN99/CN97</f>
        <v>0.165633095219405</v>
      </c>
      <c r="CO100" s="137">
        <f t="shared" ref="CO100" si="956">+CO99/CO97</f>
        <v>0.165633095219405</v>
      </c>
      <c r="CP100" s="137">
        <f t="shared" ref="CP100" si="957">+CP99/CP97</f>
        <v>0.165633095219405</v>
      </c>
      <c r="CQ100" s="112">
        <f t="shared" ref="CQ100" si="958">+CQ99/CQ97</f>
        <v>0.165633095219405</v>
      </c>
      <c r="CR100" s="137">
        <f t="shared" ref="CR100" si="959">+CR99/CR97</f>
        <v>0.165633095219405</v>
      </c>
      <c r="CS100" s="137">
        <f t="shared" ref="CS100" si="960">+CS99/CS97</f>
        <v>0.165633095219405</v>
      </c>
      <c r="CT100" s="137">
        <f t="shared" ref="CT100" si="961">+CT99/CT97</f>
        <v>0.165633095219405</v>
      </c>
      <c r="CU100" s="137">
        <f t="shared" ref="CU100" si="962">+CU99/CU97</f>
        <v>0.165633095219405</v>
      </c>
      <c r="CV100" s="112">
        <f t="shared" ref="CV100" si="963">+CV99/CV97</f>
        <v>0.165633095219405</v>
      </c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</row>
    <row r="101" spans="1:115">
      <c r="A101" s="146"/>
      <c r="B101" s="34"/>
      <c r="C101" s="34"/>
      <c r="D101" s="34"/>
      <c r="E101" s="100"/>
      <c r="J101" s="100"/>
      <c r="O101" s="100"/>
      <c r="T101" s="100"/>
      <c r="Y101" s="100"/>
      <c r="AD101" s="100"/>
      <c r="AI101" s="100"/>
      <c r="AN101" s="100"/>
      <c r="AS101" s="100"/>
      <c r="AX101" s="100"/>
      <c r="BC101" s="100"/>
      <c r="BH101" s="100"/>
      <c r="BM101" s="100"/>
      <c r="BR101" s="100"/>
      <c r="BW101" s="100"/>
      <c r="CB101" s="100"/>
      <c r="CG101" s="100"/>
      <c r="CL101" s="100"/>
      <c r="CQ101" s="100"/>
      <c r="CV101" s="100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</row>
    <row r="102" spans="1:115">
      <c r="A102" s="148" t="s">
        <v>75</v>
      </c>
      <c r="B102" s="71"/>
      <c r="C102" s="71"/>
      <c r="D102" s="71">
        <v>164.25399999999999</v>
      </c>
      <c r="E102" s="134">
        <v>164.25399999999999</v>
      </c>
      <c r="F102" s="136">
        <v>353.10599999999999</v>
      </c>
      <c r="G102" s="136">
        <v>372.99549999999999</v>
      </c>
      <c r="H102" s="136">
        <v>385.3175</v>
      </c>
      <c r="I102" s="136">
        <v>374.57299999999998</v>
      </c>
      <c r="J102" s="134">
        <v>1485.992</v>
      </c>
      <c r="K102" s="136">
        <v>362.97800000000001</v>
      </c>
      <c r="L102" s="136">
        <v>410.33550000000002</v>
      </c>
      <c r="M102" s="136">
        <v>468.95749999999998</v>
      </c>
      <c r="N102" s="136">
        <v>448.233</v>
      </c>
      <c r="O102" s="134">
        <v>1690.5039999999999</v>
      </c>
      <c r="P102" s="136">
        <v>429.24299999999999</v>
      </c>
      <c r="Q102" s="136">
        <v>425.2115</v>
      </c>
      <c r="R102" s="136">
        <v>482.69450000000001</v>
      </c>
      <c r="S102" s="136">
        <v>486.017</v>
      </c>
      <c r="T102" s="134">
        <v>1823.1659999999999</v>
      </c>
      <c r="U102" s="136">
        <v>494.6</v>
      </c>
      <c r="V102" s="136">
        <v>479.2</v>
      </c>
      <c r="W102" s="136">
        <v>512.9</v>
      </c>
      <c r="X102" s="136">
        <v>542.20000000000005</v>
      </c>
      <c r="Y102" s="134">
        <f>+SUM(U102:X102)</f>
        <v>2028.8999999999999</v>
      </c>
      <c r="Z102" s="136">
        <v>508.96899999999999</v>
      </c>
      <c r="AA102" s="136">
        <v>505.42200000000003</v>
      </c>
      <c r="AB102" s="136">
        <v>529.346</v>
      </c>
      <c r="AC102" s="136">
        <v>511.428</v>
      </c>
      <c r="AD102" s="134">
        <f>+SUM(Z102:AC102)</f>
        <v>2055.165</v>
      </c>
      <c r="AE102" s="302">
        <v>483.69200000000001</v>
      </c>
      <c r="AF102" s="302">
        <v>497.09399999999999</v>
      </c>
      <c r="AG102" s="302">
        <v>540.27200000000005</v>
      </c>
      <c r="AH102" s="300">
        <f>AC102*(1+AH103)</f>
        <v>574.05600000000004</v>
      </c>
      <c r="AI102" s="301">
        <f>+SUM(AE102:AH102)</f>
        <v>2095.114</v>
      </c>
      <c r="AJ102" s="300">
        <f>AE102*(1+AJ103)</f>
        <v>502.601</v>
      </c>
      <c r="AK102" s="300">
        <f>AF102*(1+AK103)</f>
        <v>516.52700000000004</v>
      </c>
      <c r="AL102" s="300">
        <f>AG102*(1+AL103)</f>
        <v>561.39300000000014</v>
      </c>
      <c r="AM102" s="300">
        <f>AH102*(1+AM103)</f>
        <v>569.98299999999995</v>
      </c>
      <c r="AN102" s="301">
        <f>+SUM(AJ102:AM102)</f>
        <v>2150.5039999999999</v>
      </c>
      <c r="AO102" s="300">
        <f>AJ102*(1+AO103)</f>
        <v>501.738</v>
      </c>
      <c r="AP102" s="300">
        <f>AK102*(1+AP103)</f>
        <v>510.12099999999998</v>
      </c>
      <c r="AQ102" s="300">
        <f>AL102*(1+AQ103)</f>
        <v>552.82600000000014</v>
      </c>
      <c r="AR102" s="300">
        <f>AM102*(1+AR103)</f>
        <v>540.53200000000004</v>
      </c>
      <c r="AS102" s="301">
        <f>+SUM(AO102:AR102)</f>
        <v>2105.2170000000001</v>
      </c>
      <c r="AT102" s="300">
        <f>AO102*(1+AT103)</f>
        <v>532.12900000000002</v>
      </c>
      <c r="AU102" s="300">
        <f>AP102*(1+AU103)</f>
        <v>541.16800000000001</v>
      </c>
      <c r="AV102" s="300">
        <f>AQ102*(1+AV103)</f>
        <v>586.1450000000001</v>
      </c>
      <c r="AW102" s="300">
        <f>AR102*(1+AW103)</f>
        <v>573.47</v>
      </c>
      <c r="AX102" s="301">
        <f>+SUM(AT102:AW102)</f>
        <v>2232.9120000000003</v>
      </c>
      <c r="AY102" s="300">
        <f>AT102*(1+AY103)</f>
        <v>553.65</v>
      </c>
      <c r="AZ102" s="300">
        <f>AU102*(1+AZ103)</f>
        <v>563.19299999999998</v>
      </c>
      <c r="BA102" s="300">
        <f>AV102*(1+BA103)</f>
        <v>609.69400000000007</v>
      </c>
      <c r="BB102" s="300">
        <f>AW102*(1+BB103)</f>
        <v>596.84699999999998</v>
      </c>
      <c r="BC102" s="301">
        <f>+SUM(AY102:BB102)</f>
        <v>2323.384</v>
      </c>
      <c r="BD102" s="300">
        <f>AY102*(1+BD103)</f>
        <v>575.42499999999995</v>
      </c>
      <c r="BE102" s="300">
        <f>AZ102*(1+BE103)</f>
        <v>585.46500000000003</v>
      </c>
      <c r="BF102" s="300">
        <f>BA102*(1+BF103)</f>
        <v>633.53800000000012</v>
      </c>
      <c r="BG102" s="300">
        <f>BB102*(1+BG103)</f>
        <v>620.48199999999997</v>
      </c>
      <c r="BH102" s="301">
        <f>+SUM(BD102:BG102)</f>
        <v>2414.91</v>
      </c>
      <c r="BI102" s="300">
        <f>BD102*(1+BI103)</f>
        <v>599.70399999999995</v>
      </c>
      <c r="BJ102" s="300">
        <f>BE102*(1+BJ103)</f>
        <v>610.20799999999997</v>
      </c>
      <c r="BK102" s="300">
        <f>BF102*(1+BK103)</f>
        <v>660.22100000000012</v>
      </c>
      <c r="BL102" s="300">
        <f>BG102*(1+BL103)</f>
        <v>646.71699999999998</v>
      </c>
      <c r="BM102" s="301">
        <f>+SUM(BI102:BL102)</f>
        <v>2516.85</v>
      </c>
      <c r="BN102" s="300">
        <f>BI102*(1+BN103)</f>
        <v>624.45899999999995</v>
      </c>
      <c r="BO102" s="300">
        <f>BJ102*(1+BO103)</f>
        <v>635.42700000000002</v>
      </c>
      <c r="BP102" s="300">
        <f>BK102*(1+BP103)</f>
        <v>687.44000000000017</v>
      </c>
      <c r="BQ102" s="300">
        <f>BL102*(1+BQ103)</f>
        <v>673.45299999999997</v>
      </c>
      <c r="BR102" s="301">
        <f>+SUM(BN102:BQ102)</f>
        <v>2620.779</v>
      </c>
      <c r="BS102" s="300">
        <f>BN102*(1+BS103)</f>
        <v>649.66399999999999</v>
      </c>
      <c r="BT102" s="300">
        <f>BO102*(1+BT103)</f>
        <v>661.09400000000005</v>
      </c>
      <c r="BU102" s="300">
        <f>BP102*(1+BU103)</f>
        <v>715.16600000000017</v>
      </c>
      <c r="BV102" s="300">
        <f>BQ102*(1+BV103)</f>
        <v>700.66099999999994</v>
      </c>
      <c r="BW102" s="301">
        <f>+SUM(BS102:BV102)</f>
        <v>2726.585</v>
      </c>
      <c r="BX102" s="300">
        <f>BS102*(1+BX103)</f>
        <v>675.29300000000001</v>
      </c>
      <c r="BY102" s="300">
        <f>BT102*(1+BY103)</f>
        <v>687.18000000000006</v>
      </c>
      <c r="BZ102" s="300">
        <f>BU102*(1+BZ103)</f>
        <v>743.37200000000007</v>
      </c>
      <c r="CA102" s="300">
        <f>BV102*(1+CA103)</f>
        <v>728.30899999999997</v>
      </c>
      <c r="CB102" s="301">
        <f>+SUM(BX102:CA102)</f>
        <v>2834.1540000000005</v>
      </c>
      <c r="CC102" s="300">
        <f>BX102*(1+CC103)</f>
        <v>701.31500000000005</v>
      </c>
      <c r="CD102" s="300">
        <f>BY102*(1+CD103)</f>
        <v>713.65200000000016</v>
      </c>
      <c r="CE102" s="300">
        <f>BZ102*(1+CE103)</f>
        <v>772.02600000000007</v>
      </c>
      <c r="CF102" s="300">
        <f>CA102*(1+CF103)</f>
        <v>756.36399999999992</v>
      </c>
      <c r="CG102" s="301">
        <f>+SUM(CC102:CF102)</f>
        <v>2943.3570000000004</v>
      </c>
      <c r="CH102" s="300">
        <f>CC102*(1+CH103)</f>
        <v>727.69899999999984</v>
      </c>
      <c r="CI102" s="300">
        <f>CD102*(1+CI103)</f>
        <v>740.4770000000002</v>
      </c>
      <c r="CJ102" s="300">
        <f>CE102*(1+CJ103)</f>
        <v>801.09600000000023</v>
      </c>
      <c r="CK102" s="300">
        <f>CF102*(1+CK103)</f>
        <v>784.7879999999999</v>
      </c>
      <c r="CL102" s="301">
        <f>+SUM(CH102:CK102)</f>
        <v>3054.06</v>
      </c>
      <c r="CM102" s="300">
        <f>CH102*(1+CM103)</f>
        <v>754.41199999999992</v>
      </c>
      <c r="CN102" s="300">
        <f>CI102*(1+CN103)</f>
        <v>767.62100000000021</v>
      </c>
      <c r="CO102" s="300">
        <f>CJ102*(1+CO103)</f>
        <v>830.54700000000037</v>
      </c>
      <c r="CP102" s="300">
        <f>CK102*(1+CP103)</f>
        <v>813.54599999999994</v>
      </c>
      <c r="CQ102" s="301">
        <f>+SUM(CM102:CP102)</f>
        <v>3166.1260000000002</v>
      </c>
      <c r="CR102" s="300">
        <f>CM102*(1+CR103)</f>
        <v>769.72656359999996</v>
      </c>
      <c r="CS102" s="300">
        <f>CN102*(1+CS103)</f>
        <v>783.20370630000025</v>
      </c>
      <c r="CT102" s="300">
        <f>CO102*(1+CT103)</f>
        <v>847.40710410000031</v>
      </c>
      <c r="CU102" s="300">
        <f>CP102*(1+CU103)</f>
        <v>830.06098379999992</v>
      </c>
      <c r="CV102" s="301">
        <f>+SUM(CR102:CU102)</f>
        <v>3230.3983578000007</v>
      </c>
      <c r="CW102" s="300"/>
      <c r="CX102" s="300"/>
      <c r="CY102" s="300"/>
      <c r="CZ102" s="300"/>
      <c r="DA102" s="301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</row>
    <row r="103" spans="1:115">
      <c r="A103" s="146" t="s">
        <v>70</v>
      </c>
      <c r="B103" s="34"/>
      <c r="C103" s="34"/>
      <c r="D103" s="34"/>
      <c r="E103" s="111"/>
      <c r="I103" s="110">
        <f>+I102/D102-1</f>
        <v>1.2804497911770794</v>
      </c>
      <c r="J103" s="111">
        <f t="shared" ref="J103:X103" si="964">+J102/E102-1</f>
        <v>8.0469151436190298</v>
      </c>
      <c r="K103" s="110">
        <f t="shared" si="964"/>
        <v>2.7957610462580718E-2</v>
      </c>
      <c r="L103" s="110">
        <f t="shared" si="964"/>
        <v>0.10010844634854843</v>
      </c>
      <c r="M103" s="110">
        <f t="shared" si="964"/>
        <v>0.21706774283545394</v>
      </c>
      <c r="N103" s="110">
        <f t="shared" si="964"/>
        <v>0.19665058613407815</v>
      </c>
      <c r="O103" s="111">
        <f t="shared" si="964"/>
        <v>0.13762658210811352</v>
      </c>
      <c r="P103" s="110">
        <f t="shared" si="964"/>
        <v>0.18255927356478896</v>
      </c>
      <c r="Q103" s="110">
        <f t="shared" si="964"/>
        <v>3.6253261051018004E-2</v>
      </c>
      <c r="R103" s="110">
        <f t="shared" si="964"/>
        <v>2.9292633127735446E-2</v>
      </c>
      <c r="S103" s="110">
        <f t="shared" si="964"/>
        <v>8.4295444556737209E-2</v>
      </c>
      <c r="T103" s="111">
        <f t="shared" si="964"/>
        <v>7.8474821709975329E-2</v>
      </c>
      <c r="U103" s="110">
        <f t="shared" si="964"/>
        <v>0.15226107356439122</v>
      </c>
      <c r="V103" s="110">
        <f t="shared" si="964"/>
        <v>0.12696857916589743</v>
      </c>
      <c r="W103" s="110">
        <f t="shared" si="964"/>
        <v>6.2576847260534363E-2</v>
      </c>
      <c r="X103" s="110">
        <f t="shared" si="964"/>
        <v>0.11559883707771546</v>
      </c>
      <c r="Y103" s="111">
        <f t="shared" ref="Y103" si="965">+Y102/T102-1</f>
        <v>0.11284435975659912</v>
      </c>
      <c r="Z103" s="110">
        <f t="shared" ref="Z103" si="966">+Z102/U102-1</f>
        <v>2.9051758997169275E-2</v>
      </c>
      <c r="AA103" s="110">
        <f t="shared" ref="AA103" si="967">+AA102/V102-1</f>
        <v>5.4720367278798143E-2</v>
      </c>
      <c r="AB103" s="110">
        <f t="shared" ref="AB103" si="968">+AB102/W102-1</f>
        <v>3.2064729966855277E-2</v>
      </c>
      <c r="AC103" s="110">
        <f t="shared" ref="AC103" si="969">+AC102/X102-1</f>
        <v>-5.6753965326447942E-2</v>
      </c>
      <c r="AD103" s="111">
        <f t="shared" ref="AD103:AI103" si="970">+AD102/Y102-1</f>
        <v>1.2945438414904586E-2</v>
      </c>
      <c r="AE103" s="110">
        <f t="shared" si="970"/>
        <v>-4.9663142548956762E-2</v>
      </c>
      <c r="AF103" s="110">
        <f t="shared" si="970"/>
        <v>-1.6477319942543089E-2</v>
      </c>
      <c r="AG103" s="110">
        <f t="shared" si="970"/>
        <v>2.0640564016730201E-2</v>
      </c>
      <c r="AH103" s="110">
        <v>0.12245712006382137</v>
      </c>
      <c r="AI103" s="111">
        <f t="shared" si="970"/>
        <v>1.9438341933616154E-2</v>
      </c>
      <c r="AJ103" s="110">
        <v>3.9093059219503346E-2</v>
      </c>
      <c r="AK103" s="110">
        <v>3.9093209734979872E-2</v>
      </c>
      <c r="AL103" s="110">
        <v>3.9093271537299801E-2</v>
      </c>
      <c r="AM103" s="110">
        <v>-7.0951266078572717E-3</v>
      </c>
      <c r="AN103" s="111">
        <f t="shared" ref="AN103" si="971">+AN102/AI102-1</f>
        <v>2.643770219663466E-2</v>
      </c>
      <c r="AO103" s="110">
        <v>-1.717067813235551E-3</v>
      </c>
      <c r="AP103" s="110">
        <v>-1.2402062234888156E-2</v>
      </c>
      <c r="AQ103" s="110">
        <v>-1.5260254402887141E-2</v>
      </c>
      <c r="AR103" s="110">
        <v>-5.1669962086588361E-2</v>
      </c>
      <c r="AS103" s="111">
        <f t="shared" ref="AS103" si="972">+AS102/AN102-1</f>
        <v>-2.1058784359387239E-2</v>
      </c>
      <c r="AT103" s="110">
        <v>6.0571453627191962E-2</v>
      </c>
      <c r="AU103" s="110">
        <v>6.0862030773091158E-2</v>
      </c>
      <c r="AV103" s="110">
        <v>6.0270320136896594E-2</v>
      </c>
      <c r="AW103" s="110">
        <v>6.0936262792952167E-2</v>
      </c>
      <c r="AX103" s="111">
        <f t="shared" ref="AX103" si="973">+AX102/AS102-1</f>
        <v>6.0656454892773493E-2</v>
      </c>
      <c r="AY103" s="110">
        <v>4.0443200802812829E-2</v>
      </c>
      <c r="AZ103" s="110">
        <v>4.0699006593146736E-2</v>
      </c>
      <c r="BA103" s="110">
        <v>4.0176065649284665E-2</v>
      </c>
      <c r="BB103" s="110">
        <v>4.0764120180654562E-2</v>
      </c>
      <c r="BC103" s="111">
        <f t="shared" ref="BC103" si="974">+BC102/AX102-1</f>
        <v>4.0517494643765417E-2</v>
      </c>
      <c r="BD103" s="110">
        <v>3.9329901562358938E-2</v>
      </c>
      <c r="BE103" s="110">
        <v>3.9545946061119386E-2</v>
      </c>
      <c r="BF103" s="110">
        <v>3.9108142773260024E-2</v>
      </c>
      <c r="BG103" s="110">
        <v>3.9599763423456835E-2</v>
      </c>
      <c r="BH103" s="111">
        <f t="shared" ref="BH103" si="975">+BH102/BC102-1</f>
        <v>3.9393402037717351E-2</v>
      </c>
      <c r="BI103" s="110">
        <v>4.2193161576226323E-2</v>
      </c>
      <c r="BJ103" s="110">
        <v>4.2262133517801947E-2</v>
      </c>
      <c r="BK103" s="110">
        <v>4.2117442047675091E-2</v>
      </c>
      <c r="BL103" s="110">
        <v>4.2281645559419934E-2</v>
      </c>
      <c r="BM103" s="111">
        <f t="shared" ref="BM103" si="976">+BM102/BH102-1</f>
        <v>4.2212753270308268E-2</v>
      </c>
      <c r="BN103" s="110">
        <v>4.1278697490762184E-2</v>
      </c>
      <c r="BO103" s="110">
        <v>4.1328530599402225E-2</v>
      </c>
      <c r="BP103" s="110">
        <v>4.1227104257513858E-2</v>
      </c>
      <c r="BQ103" s="110">
        <v>4.1341112109315237E-2</v>
      </c>
      <c r="BR103" s="111">
        <f t="shared" ref="BR103" si="977">+BR102/BM102-1</f>
        <v>4.1293283270755099E-2</v>
      </c>
      <c r="BS103" s="110">
        <v>4.0362938159270723E-2</v>
      </c>
      <c r="BT103" s="110">
        <v>4.0393310325183007E-2</v>
      </c>
      <c r="BU103" s="110">
        <v>4.0332247177935487E-2</v>
      </c>
      <c r="BV103" s="110">
        <v>4.0400740660446965E-2</v>
      </c>
      <c r="BW103" s="111">
        <f t="shared" ref="BW103" si="978">+BW102/BR102-1</f>
        <v>4.0371965739957494E-2</v>
      </c>
      <c r="BX103" s="110">
        <v>3.9449623189833583E-2</v>
      </c>
      <c r="BY103" s="110">
        <v>3.9458836413581055E-2</v>
      </c>
      <c r="BZ103" s="110">
        <v>3.9439794397384542E-2</v>
      </c>
      <c r="CA103" s="110">
        <v>3.9459881454797729E-2</v>
      </c>
      <c r="CB103" s="111">
        <f t="shared" ref="CB103" si="979">+CB102/BW102-1</f>
        <v>3.9451915124597337E-2</v>
      </c>
      <c r="CC103" s="110">
        <v>3.8534384333911431E-2</v>
      </c>
      <c r="CD103" s="110">
        <v>3.8522657818912176E-2</v>
      </c>
      <c r="CE103" s="110">
        <v>3.8545976980569607E-2</v>
      </c>
      <c r="CF103" s="110">
        <v>3.8520737763778845E-2</v>
      </c>
      <c r="CG103" s="111">
        <f t="shared" ref="CG103" si="980">+CG102/CB102-1</f>
        <v>3.8531074881604788E-2</v>
      </c>
      <c r="CH103" s="110">
        <v>3.7620755295409092E-2</v>
      </c>
      <c r="CI103" s="110">
        <v>3.7588348382685099E-2</v>
      </c>
      <c r="CJ103" s="110">
        <v>3.7654172268809738E-2</v>
      </c>
      <c r="CK103" s="110">
        <v>3.7579789625101112E-2</v>
      </c>
      <c r="CL103" s="111">
        <f t="shared" ref="CL103" si="981">+CL102/CG102-1</f>
        <v>3.7611135856098876E-2</v>
      </c>
      <c r="CM103" s="110">
        <v>3.670885902000709E-2</v>
      </c>
      <c r="CN103" s="110">
        <v>3.6657451885743875E-2</v>
      </c>
      <c r="CO103" s="110">
        <v>3.6763384163695845E-2</v>
      </c>
      <c r="CP103" s="110">
        <v>3.664429119711321E-2</v>
      </c>
      <c r="CQ103" s="111">
        <f t="shared" ref="CQ103" si="982">+CQ102/CL102-1</f>
        <v>3.6694105551299039E-2</v>
      </c>
      <c r="CR103" s="110">
        <v>2.0299999999999999E-2</v>
      </c>
      <c r="CS103" s="110">
        <v>2.0299999999999999E-2</v>
      </c>
      <c r="CT103" s="110">
        <v>2.0299999999999999E-2</v>
      </c>
      <c r="CU103" s="110">
        <v>2.0299999999999999E-2</v>
      </c>
      <c r="CV103" s="111">
        <f t="shared" ref="CV103" si="983">+CV102/CQ102-1</f>
        <v>2.0300000000000207E-2</v>
      </c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</row>
    <row r="104" spans="1:115">
      <c r="A104" s="146" t="s">
        <v>76</v>
      </c>
      <c r="B104" s="34"/>
      <c r="C104" s="34"/>
      <c r="D104" s="34"/>
      <c r="E104" s="118"/>
      <c r="F104" s="119"/>
      <c r="G104" s="119"/>
      <c r="H104" s="119"/>
      <c r="I104" s="119"/>
      <c r="J104" s="118">
        <f>+J103/(J$4/100)</f>
        <v>106.81345754850483</v>
      </c>
      <c r="K104" s="119">
        <f t="shared" ref="K104" si="984">+K103/(K$4/100)</f>
        <v>0.66005416600745892</v>
      </c>
      <c r="L104" s="119">
        <f t="shared" ref="L104" si="985">+L103/(L$4/100)</f>
        <v>3.0204475892567713</v>
      </c>
      <c r="M104" s="119">
        <f t="shared" ref="M104" si="986">+M103/(M$4/100)</f>
        <v>10.229556091981619</v>
      </c>
      <c r="N104" s="119">
        <f t="shared" ref="N104" si="987">+N103/(N$4/100)</f>
        <v>14.391247439812267</v>
      </c>
      <c r="O104" s="118">
        <f t="shared" ref="O104" si="988">+O103/(O$4/100)</f>
        <v>5.0366373855233357</v>
      </c>
      <c r="P104" s="119">
        <f t="shared" ref="P104" si="989">+P103/(P$4/100)</f>
        <v>24.252535359335656</v>
      </c>
      <c r="Q104" s="119">
        <f t="shared" ref="Q104" si="990">+Q103/(Q$4/100)</f>
        <v>7.4020095750916637</v>
      </c>
      <c r="R104" s="119">
        <f t="shared" ref="R104" si="991">+R103/(R$4/100)</f>
        <v>4.8821055212892412</v>
      </c>
      <c r="S104" s="119">
        <f t="shared" ref="S104" si="992">+S103/(S$4/100)</f>
        <v>2.8574726968385495</v>
      </c>
      <c r="T104" s="118">
        <f t="shared" ref="T104:V104" si="993">+T103/(T$4/100)</f>
        <v>7.8474821709975329</v>
      </c>
      <c r="U104" s="119">
        <f t="shared" si="993"/>
        <v>5.6254105665871537</v>
      </c>
      <c r="V104" s="119">
        <f t="shared" si="993"/>
        <v>3.8475327019968919</v>
      </c>
      <c r="W104" s="119">
        <f t="shared" ref="W104:X104" si="994">+W103/(W$4/100)</f>
        <v>1.6301734991282497</v>
      </c>
      <c r="X104" s="119">
        <f t="shared" si="994"/>
        <v>3.3297465382156144</v>
      </c>
      <c r="Y104" s="118">
        <f>(+Y103/(Y$4/100))</f>
        <v>3.4195260532302765</v>
      </c>
      <c r="Z104" s="119">
        <f t="shared" ref="Z104:AC104" si="995">+Z103/(Z$4/100)</f>
        <v>1.4525879498584637</v>
      </c>
      <c r="AA104" s="119">
        <f t="shared" si="995"/>
        <v>2.7360183639399072</v>
      </c>
      <c r="AB104" s="119">
        <f t="shared" si="995"/>
        <v>1.6032364983427638</v>
      </c>
      <c r="AC104" s="119">
        <f t="shared" si="995"/>
        <v>-2.8376982663223971</v>
      </c>
      <c r="AD104" s="118">
        <f>(+AD103/(AD$4/100))</f>
        <v>8.9535830252831854</v>
      </c>
      <c r="AE104" s="119">
        <f t="shared" ref="AE104:AF104" si="996">+AE103/(AE$4/100)</f>
        <v>1.6020368564179601</v>
      </c>
      <c r="AF104" s="119">
        <f t="shared" si="996"/>
        <v>0.53152644975945451</v>
      </c>
      <c r="AG104" s="119">
        <f t="shared" ref="AG104:AH104" si="997">+AG103/(AG$4/100)</f>
        <v>-0.66582464570097422</v>
      </c>
      <c r="AH104" s="119">
        <f t="shared" si="997"/>
        <v>-3.9502296794781087</v>
      </c>
      <c r="AI104" s="118">
        <f>(+AI103/(AI$4/100))</f>
        <v>-0.62704328818116628</v>
      </c>
      <c r="AJ104" s="119">
        <f t="shared" ref="AJ104:AM104" si="998">+AJ103/(AJ$4/100)</f>
        <v>-1.9546529609751673</v>
      </c>
      <c r="AK104" s="119">
        <f t="shared" si="998"/>
        <v>-1.9546604867489936</v>
      </c>
      <c r="AL104" s="119">
        <f t="shared" si="998"/>
        <v>-1.95466357686499</v>
      </c>
      <c r="AM104" s="119">
        <f t="shared" si="998"/>
        <v>0.35475633039286358</v>
      </c>
      <c r="AN104" s="118">
        <f>(+AN103/(AN$4/100))</f>
        <v>-1.321885109831733</v>
      </c>
      <c r="AO104" s="119">
        <f t="shared" ref="AO104:AR104" si="999">+AO103/(AO$4/100)</f>
        <v>-0.1717067813235551</v>
      </c>
      <c r="AP104" s="119">
        <f t="shared" si="999"/>
        <v>-1.2402062234888156</v>
      </c>
      <c r="AQ104" s="119">
        <f t="shared" si="999"/>
        <v>-1.5260254402887141</v>
      </c>
      <c r="AR104" s="119">
        <f t="shared" si="999"/>
        <v>-5.1669962086588361</v>
      </c>
      <c r="AS104" s="118">
        <f>(+AS103/(AS$4/100))</f>
        <v>-2.1058784359387239</v>
      </c>
      <c r="AT104" s="119">
        <f t="shared" ref="AT104:AW104" si="1000">+AT103/(AT$4/100)</f>
        <v>3.0285726813595981</v>
      </c>
      <c r="AU104" s="119">
        <f t="shared" si="1000"/>
        <v>3.0431015386545579</v>
      </c>
      <c r="AV104" s="119">
        <f t="shared" si="1000"/>
        <v>3.0135160068448297</v>
      </c>
      <c r="AW104" s="119">
        <f t="shared" si="1000"/>
        <v>3.0468131396476084</v>
      </c>
      <c r="AX104" s="118">
        <f>(+AX103/(AX$4/100))</f>
        <v>3.0328227446386746</v>
      </c>
      <c r="AY104" s="119">
        <f t="shared" ref="AY104:BB104" si="1001">+AY103/(AY$4/100)</f>
        <v>2.0221600401406414</v>
      </c>
      <c r="AZ104" s="119">
        <f t="shared" si="1001"/>
        <v>2.0349503296573368</v>
      </c>
      <c r="BA104" s="119">
        <f t="shared" si="1001"/>
        <v>2.0088032824642332</v>
      </c>
      <c r="BB104" s="119">
        <f t="shared" si="1001"/>
        <v>2.0382060090327281</v>
      </c>
      <c r="BC104" s="118">
        <f>(+BC103/(BC$4/100))</f>
        <v>2.0258747321882709</v>
      </c>
      <c r="BD104" s="119">
        <f t="shared" ref="BD104:BG104" si="1002">+BD103/(BD$4/100)</f>
        <v>1.9664950781179469</v>
      </c>
      <c r="BE104" s="119">
        <f t="shared" si="1002"/>
        <v>1.9772973030559693</v>
      </c>
      <c r="BF104" s="119">
        <f t="shared" si="1002"/>
        <v>1.9554071386630012</v>
      </c>
      <c r="BG104" s="119">
        <f t="shared" si="1002"/>
        <v>1.9799881711728418</v>
      </c>
      <c r="BH104" s="118">
        <f>(+BH103/(BH$4/100))</f>
        <v>1.9696701018858676</v>
      </c>
      <c r="BI104" s="119">
        <f t="shared" ref="BI104:BL104" si="1003">+BI103/(BI$4/100)</f>
        <v>2.1096580788113162</v>
      </c>
      <c r="BJ104" s="119">
        <f t="shared" si="1003"/>
        <v>2.1131066758900974</v>
      </c>
      <c r="BK104" s="119">
        <f t="shared" si="1003"/>
        <v>2.1058721023837546</v>
      </c>
      <c r="BL104" s="119">
        <f t="shared" si="1003"/>
        <v>2.1140822779709967</v>
      </c>
      <c r="BM104" s="118">
        <f>(+BM103/(BM$4/100))</f>
        <v>2.1106376635154134</v>
      </c>
      <c r="BN104" s="119">
        <f t="shared" ref="BN104:BQ104" si="1004">+BN103/(BN$4/100)</f>
        <v>2.0639348745381092</v>
      </c>
      <c r="BO104" s="119">
        <f t="shared" si="1004"/>
        <v>2.0664265299701112</v>
      </c>
      <c r="BP104" s="119">
        <f t="shared" si="1004"/>
        <v>2.0613552128756929</v>
      </c>
      <c r="BQ104" s="119">
        <f t="shared" si="1004"/>
        <v>2.0670556054657618</v>
      </c>
      <c r="BR104" s="118">
        <f>(+BR103/(BR$4/100))</f>
        <v>2.0646641635377549</v>
      </c>
      <c r="BS104" s="119">
        <f t="shared" ref="BS104:BV104" si="1005">+BS103/(BS$4/100)</f>
        <v>2.0181469079635361</v>
      </c>
      <c r="BT104" s="119">
        <f t="shared" si="1005"/>
        <v>2.0196655162591504</v>
      </c>
      <c r="BU104" s="119">
        <f t="shared" si="1005"/>
        <v>2.0166123588967744</v>
      </c>
      <c r="BV104" s="119">
        <f t="shared" si="1005"/>
        <v>2.0200370330223483</v>
      </c>
      <c r="BW104" s="118">
        <f>(+BW103/(BW$4/100))</f>
        <v>2.0185982869978747</v>
      </c>
      <c r="BX104" s="119">
        <f t="shared" ref="BX104:CA104" si="1006">+BX103/(BX$4/100)</f>
        <v>1.9724811594916791</v>
      </c>
      <c r="BY104" s="119">
        <f t="shared" si="1006"/>
        <v>1.9729418206790528</v>
      </c>
      <c r="BZ104" s="119">
        <f t="shared" si="1006"/>
        <v>1.9719897198692271</v>
      </c>
      <c r="CA104" s="119">
        <f t="shared" si="1006"/>
        <v>1.9729940727398865</v>
      </c>
      <c r="CB104" s="118">
        <f>(+CB103/(CB$4/100))</f>
        <v>1.9725957562298668</v>
      </c>
      <c r="CC104" s="119">
        <f t="shared" ref="CC104:CF104" si="1007">+CC103/(CC$4/100)</f>
        <v>1.9267192166955716</v>
      </c>
      <c r="CD104" s="119">
        <f t="shared" si="1007"/>
        <v>1.9261328909456088</v>
      </c>
      <c r="CE104" s="119">
        <f t="shared" si="1007"/>
        <v>1.9272988490284804</v>
      </c>
      <c r="CF104" s="119">
        <f t="shared" si="1007"/>
        <v>1.9260368881889423</v>
      </c>
      <c r="CG104" s="118">
        <f>(+CG103/(CG$4/100))</f>
        <v>1.9265537440802394</v>
      </c>
      <c r="CH104" s="119">
        <f t="shared" ref="CH104:CK104" si="1008">+CH103/(CH$4/100)</f>
        <v>1.8810377647704546</v>
      </c>
      <c r="CI104" s="119">
        <f t="shared" si="1008"/>
        <v>1.879417419134255</v>
      </c>
      <c r="CJ104" s="119">
        <f t="shared" si="1008"/>
        <v>1.8827086134404869</v>
      </c>
      <c r="CK104" s="119">
        <f t="shared" si="1008"/>
        <v>1.8789894812550556</v>
      </c>
      <c r="CL104" s="118">
        <f>(+CL103/(CL$4/100))</f>
        <v>1.8805567928049438</v>
      </c>
      <c r="CM104" s="119">
        <f t="shared" ref="CM104:CP104" si="1009">+CM103/(CM$4/100)</f>
        <v>1.8354429510003545</v>
      </c>
      <c r="CN104" s="119">
        <f t="shared" si="1009"/>
        <v>1.8328725942871937</v>
      </c>
      <c r="CO104" s="119">
        <f t="shared" si="1009"/>
        <v>1.8381692081847922</v>
      </c>
      <c r="CP104" s="119">
        <f t="shared" si="1009"/>
        <v>1.8322145598556605</v>
      </c>
      <c r="CQ104" s="118">
        <f>(+CQ103/(CQ$4/100))</f>
        <v>1.8347052775649519</v>
      </c>
      <c r="CR104" s="119">
        <v>0.58500000000000008</v>
      </c>
      <c r="CS104" s="119">
        <v>0.58500000000000008</v>
      </c>
      <c r="CT104" s="119">
        <v>0.58500000000000008</v>
      </c>
      <c r="CU104" s="119">
        <v>0.54</v>
      </c>
      <c r="CV104" s="118">
        <f>(+CV103/(CV$4/100))</f>
        <v>1.0150000000000103</v>
      </c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</row>
    <row r="105" spans="1:115">
      <c r="A105" s="146"/>
      <c r="B105" s="34"/>
      <c r="C105" s="34"/>
      <c r="D105" s="34"/>
      <c r="E105" s="100"/>
      <c r="J105" s="100"/>
      <c r="O105" s="100"/>
      <c r="T105" s="100"/>
      <c r="Y105" s="100"/>
      <c r="AD105" s="100"/>
      <c r="AI105" s="100"/>
      <c r="AN105" s="100"/>
      <c r="AS105" s="100"/>
      <c r="AX105" s="100"/>
      <c r="BC105" s="100"/>
      <c r="BH105" s="100"/>
      <c r="BM105" s="100"/>
      <c r="BR105" s="100"/>
      <c r="BW105" s="100"/>
      <c r="CB105" s="100"/>
      <c r="CG105" s="100"/>
      <c r="CL105" s="100"/>
      <c r="CQ105" s="100"/>
      <c r="CV105" s="100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</row>
    <row r="106" spans="1:115" s="15" customFormat="1">
      <c r="A106" s="150" t="s">
        <v>88</v>
      </c>
      <c r="B106" s="28"/>
      <c r="C106" s="28"/>
      <c r="D106" s="28"/>
      <c r="E106" s="107"/>
      <c r="F106" s="108"/>
      <c r="G106" s="108"/>
      <c r="H106" s="108"/>
      <c r="I106" s="108"/>
      <c r="J106" s="107"/>
      <c r="K106" s="108"/>
      <c r="L106" s="108"/>
      <c r="M106" s="108"/>
      <c r="N106" s="108"/>
      <c r="O106" s="107"/>
      <c r="P106" s="108"/>
      <c r="Q106" s="108"/>
      <c r="R106" s="108">
        <f>+R102*R94/1000</f>
        <v>2.7030892</v>
      </c>
      <c r="S106" s="108">
        <f>+S102*S94/1000</f>
        <v>2.7216951999999996</v>
      </c>
      <c r="T106" s="107">
        <f>+T102*T94/1000</f>
        <v>10.209729599999999</v>
      </c>
      <c r="U106" s="108">
        <f>+U102*U94/1000</f>
        <v>2.7697599999999998</v>
      </c>
      <c r="V106" s="108">
        <f t="shared" ref="V106:X106" si="1010">+V102*V94/1000</f>
        <v>2.6992511296799999</v>
      </c>
      <c r="W106" s="108">
        <f t="shared" si="1010"/>
        <v>2.8890774299099999</v>
      </c>
      <c r="X106" s="108">
        <f t="shared" si="1010"/>
        <v>3.0541192873800003</v>
      </c>
      <c r="Y106" s="107">
        <f>+SUM(U106:X106)</f>
        <v>11.41220784697</v>
      </c>
      <c r="Z106" s="108">
        <f t="shared" ref="Z106:AC106" si="1011">+Z102*Z94/1000</f>
        <v>2.8669347834350996</v>
      </c>
      <c r="AA106" s="108">
        <f t="shared" si="1011"/>
        <v>2.8469551428737998</v>
      </c>
      <c r="AB106" s="108">
        <f t="shared" si="1011"/>
        <v>3.1728428437685725</v>
      </c>
      <c r="AC106" s="108">
        <f t="shared" si="1011"/>
        <v>3.0654442838953604</v>
      </c>
      <c r="AD106" s="107">
        <f>+SUM(Z106:AC106)</f>
        <v>11.952177053972832</v>
      </c>
      <c r="AE106" s="108">
        <f t="shared" ref="AE106:AH106" si="1012">+AE102*AE94/1000</f>
        <v>2.8991976907128953</v>
      </c>
      <c r="AF106" s="108">
        <f t="shared" si="1012"/>
        <v>2.9795278335536581</v>
      </c>
      <c r="AG106" s="108">
        <f t="shared" si="1012"/>
        <v>3.5621653205604429</v>
      </c>
      <c r="AH106" s="108">
        <f t="shared" si="1012"/>
        <v>3.7849127388790196</v>
      </c>
      <c r="AI106" s="107">
        <f>+SUM(AE106:AH106)</f>
        <v>13.225803583706014</v>
      </c>
      <c r="AJ106" s="108">
        <f t="shared" ref="AJ106:AM106" si="1013">+AJ102*AJ94/1000</f>
        <v>3.3137898174974811</v>
      </c>
      <c r="AK106" s="108">
        <f t="shared" si="1013"/>
        <v>3.4056078540681805</v>
      </c>
      <c r="AL106" s="108">
        <f t="shared" si="1013"/>
        <v>3.9383130257665289</v>
      </c>
      <c r="AM106" s="108">
        <f t="shared" si="1013"/>
        <v>3.9985740352399883</v>
      </c>
      <c r="AN106" s="107">
        <f>+SUM(AJ106:AM106)</f>
        <v>14.656284732572178</v>
      </c>
      <c r="AO106" s="108">
        <f t="shared" ref="AO106:AR106" si="1014">+AO102*AO94/1000</f>
        <v>3.5198182038643986</v>
      </c>
      <c r="AP106" s="108">
        <f t="shared" si="1014"/>
        <v>3.5786270562993248</v>
      </c>
      <c r="AQ106" s="108">
        <f t="shared" si="1014"/>
        <v>4.0721240354288835</v>
      </c>
      <c r="AR106" s="108">
        <f t="shared" si="1014"/>
        <v>3.9815662597606569</v>
      </c>
      <c r="AS106" s="107">
        <f>+SUM(AO106:AR106)</f>
        <v>15.152135555353263</v>
      </c>
      <c r="AT106" s="108">
        <f t="shared" ref="AT106:AW106" si="1015">+AT102*AT94/1000</f>
        <v>3.9196696444247121</v>
      </c>
      <c r="AU106" s="108">
        <f t="shared" si="1015"/>
        <v>3.986251044641492</v>
      </c>
      <c r="AV106" s="108">
        <f t="shared" si="1015"/>
        <v>4.5334298674154008</v>
      </c>
      <c r="AW106" s="108">
        <f t="shared" si="1015"/>
        <v>4.435397429077633</v>
      </c>
      <c r="AX106" s="107">
        <f>+SUM(AT106:AW106)</f>
        <v>16.874747985559239</v>
      </c>
      <c r="AY106" s="108">
        <f t="shared" ref="AY106:BB106" si="1016">+AY102*AY94/1000</f>
        <v>4.282103312481615</v>
      </c>
      <c r="AZ106" s="108">
        <f t="shared" si="1016"/>
        <v>4.3559118772987597</v>
      </c>
      <c r="BA106" s="108">
        <f t="shared" si="1016"/>
        <v>4.9277656793374387</v>
      </c>
      <c r="BB106" s="108">
        <f t="shared" si="1016"/>
        <v>4.8239316155571679</v>
      </c>
      <c r="BC106" s="107">
        <f>+SUM(AY106:BB106)</f>
        <v>18.38971248467498</v>
      </c>
      <c r="BD106" s="108">
        <f t="shared" ref="BD106:BG106" si="1017">+BD102*BD94/1000</f>
        <v>4.6507913248822286</v>
      </c>
      <c r="BE106" s="108">
        <f t="shared" si="1017"/>
        <v>4.7319382074504484</v>
      </c>
      <c r="BF106" s="108">
        <f t="shared" si="1017"/>
        <v>5.350903108016654</v>
      </c>
      <c r="BG106" s="108">
        <f t="shared" si="1017"/>
        <v>5.2406312837878533</v>
      </c>
      <c r="BH106" s="107">
        <f>+SUM(BD106:BG106)</f>
        <v>19.974263924137183</v>
      </c>
      <c r="BI106" s="108">
        <f t="shared" ref="BI106:BL106" si="1018">+BI102*BI94/1000</f>
        <v>5.0651389458722589</v>
      </c>
      <c r="BJ106" s="108">
        <f t="shared" si="1018"/>
        <v>5.1538564123014341</v>
      </c>
      <c r="BK106" s="108">
        <f t="shared" si="1018"/>
        <v>5.827201585251979</v>
      </c>
      <c r="BL106" s="108">
        <f t="shared" si="1018"/>
        <v>5.7080134191572265</v>
      </c>
      <c r="BM106" s="107">
        <f>+SUM(BI106:BL106)</f>
        <v>21.754210362582896</v>
      </c>
      <c r="BN106" s="108">
        <f t="shared" ref="BN106:BQ106" si="1019">+BN102*BN94/1000</f>
        <v>5.5115612419551399</v>
      </c>
      <c r="BO106" s="108">
        <f t="shared" si="1019"/>
        <v>5.6083663223555575</v>
      </c>
      <c r="BP106" s="108">
        <f t="shared" si="1019"/>
        <v>6.3404750430008638</v>
      </c>
      <c r="BQ106" s="108">
        <f t="shared" si="1019"/>
        <v>6.211468548722884</v>
      </c>
      <c r="BR106" s="107">
        <f>+SUM(BN106:BQ106)</f>
        <v>23.671871156034445</v>
      </c>
      <c r="BS106" s="108">
        <f t="shared" ref="BS106:BV106" si="1020">+BS102*BS94/1000</f>
        <v>5.9920551296638429</v>
      </c>
      <c r="BT106" s="108">
        <f t="shared" si="1020"/>
        <v>6.0974776097951997</v>
      </c>
      <c r="BU106" s="108">
        <f t="shared" si="1020"/>
        <v>6.8930296788954353</v>
      </c>
      <c r="BV106" s="108">
        <f t="shared" si="1020"/>
        <v>6.7532252202209744</v>
      </c>
      <c r="BW106" s="107">
        <f>+SUM(BS106:BV106)</f>
        <v>25.735787638575452</v>
      </c>
      <c r="BX106" s="108">
        <f t="shared" ref="BX106:CA106" si="1021">+BX102*BX94/1000</f>
        <v>6.5087192217615693</v>
      </c>
      <c r="BY106" s="108">
        <f t="shared" si="1021"/>
        <v>6.6232904454956811</v>
      </c>
      <c r="BZ106" s="108">
        <f t="shared" si="1021"/>
        <v>7.4873093730554183</v>
      </c>
      <c r="CA106" s="108">
        <f t="shared" si="1021"/>
        <v>7.3355934877566247</v>
      </c>
      <c r="CB106" s="107">
        <f>+SUM(BX106:CA106)</f>
        <v>27.954912528069293</v>
      </c>
      <c r="CC106" s="108">
        <f t="shared" ref="CC106:CF106" si="1022">+CC102*CC94/1000</f>
        <v>7.0637075017142967</v>
      </c>
      <c r="CD106" s="108">
        <f t="shared" si="1022"/>
        <v>7.1879668708261084</v>
      </c>
      <c r="CE106" s="108">
        <f t="shared" si="1022"/>
        <v>8.1258312040464169</v>
      </c>
      <c r="CF106" s="108">
        <f t="shared" si="1022"/>
        <v>7.9609834290779871</v>
      </c>
      <c r="CG106" s="107">
        <f>+SUM(CC106:CF106)</f>
        <v>30.338489005664808</v>
      </c>
      <c r="CH106" s="108">
        <f t="shared" ref="CH106:CK106" si="1023">+CH102*CH94/1000</f>
        <v>7.6592747412047926</v>
      </c>
      <c r="CI106" s="108">
        <f t="shared" si="1023"/>
        <v>7.7937674540477646</v>
      </c>
      <c r="CJ106" s="108">
        <f t="shared" si="1023"/>
        <v>8.8112337713722386</v>
      </c>
      <c r="CK106" s="108">
        <f t="shared" si="1023"/>
        <v>8.63186250957148</v>
      </c>
      <c r="CL106" s="107">
        <f>+SUM(CH106:CK106)</f>
        <v>32.896138476196271</v>
      </c>
      <c r="CM106" s="108">
        <f t="shared" ref="CM106:CP106" si="1024">+CM102*CM94/1000</f>
        <v>8.2977576868795637</v>
      </c>
      <c r="CN106" s="108">
        <f t="shared" si="1024"/>
        <v>8.4430431294308423</v>
      </c>
      <c r="CO106" s="108">
        <f t="shared" si="1024"/>
        <v>9.5462469479212668</v>
      </c>
      <c r="CP106" s="108">
        <f t="shared" si="1024"/>
        <v>9.3508386876282152</v>
      </c>
      <c r="CQ106" s="107">
        <f>+SUM(CM106:CP106)</f>
        <v>35.637886451859885</v>
      </c>
      <c r="CR106" s="108">
        <f t="shared" ref="CR106:CU106" si="1025">+CR102*CR94/1000</f>
        <v>8.8471812654797652</v>
      </c>
      <c r="CS106" s="108">
        <f t="shared" si="1025"/>
        <v>9.0020865656814113</v>
      </c>
      <c r="CT106" s="108">
        <f t="shared" si="1025"/>
        <v>10.178337370207453</v>
      </c>
      <c r="CU106" s="108">
        <f t="shared" si="1025"/>
        <v>9.9699904450714882</v>
      </c>
      <c r="CV106" s="107">
        <f>+SUM(CR106:CU106)</f>
        <v>37.997595646440118</v>
      </c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</row>
    <row r="107" spans="1:115" s="15" customFormat="1">
      <c r="A107" s="146" t="s">
        <v>89</v>
      </c>
      <c r="B107" s="34"/>
      <c r="C107" s="34"/>
      <c r="D107" s="34"/>
      <c r="E107" s="100"/>
      <c r="F107" s="83"/>
      <c r="G107" s="83"/>
      <c r="H107" s="83"/>
      <c r="I107" s="83"/>
      <c r="J107" s="100"/>
      <c r="K107" s="83"/>
      <c r="L107" s="83"/>
      <c r="M107" s="83"/>
      <c r="N107" s="83"/>
      <c r="O107" s="100"/>
      <c r="P107" s="83"/>
      <c r="Q107" s="83"/>
      <c r="R107" s="83"/>
      <c r="S107" s="83"/>
      <c r="T107" s="100"/>
      <c r="U107" s="83"/>
      <c r="V107" s="83"/>
      <c r="W107" s="83"/>
      <c r="X107" s="83"/>
      <c r="Y107" s="100"/>
      <c r="Z107" s="83"/>
      <c r="AA107" s="83"/>
      <c r="AB107" s="83"/>
      <c r="AC107" s="83"/>
      <c r="AD107" s="100"/>
      <c r="AE107" s="83"/>
      <c r="AF107" s="83"/>
      <c r="AG107" s="83"/>
      <c r="AH107" s="83"/>
      <c r="AI107" s="100"/>
      <c r="AJ107" s="83"/>
      <c r="AK107" s="83"/>
      <c r="AL107" s="83"/>
      <c r="AM107" s="83"/>
      <c r="AN107" s="100"/>
      <c r="AO107" s="197"/>
      <c r="AP107" s="197"/>
      <c r="AQ107" s="197"/>
      <c r="AR107" s="197"/>
      <c r="AS107" s="100"/>
      <c r="AT107" s="83"/>
      <c r="AU107" s="83"/>
      <c r="AV107" s="83"/>
      <c r="AW107" s="83"/>
      <c r="AX107" s="100"/>
      <c r="AY107" s="83"/>
      <c r="AZ107" s="83"/>
      <c r="BA107" s="83"/>
      <c r="BB107" s="83"/>
      <c r="BC107" s="100"/>
      <c r="BD107" s="83"/>
      <c r="BE107" s="83"/>
      <c r="BF107" s="83"/>
      <c r="BG107" s="83"/>
      <c r="BH107" s="100"/>
      <c r="BI107" s="83"/>
      <c r="BJ107" s="83"/>
      <c r="BK107" s="83"/>
      <c r="BL107" s="83"/>
      <c r="BM107" s="100"/>
      <c r="BN107" s="83"/>
      <c r="BO107" s="83"/>
      <c r="BP107" s="83"/>
      <c r="BQ107" s="83"/>
      <c r="BR107" s="100"/>
      <c r="BS107" s="83"/>
      <c r="BT107" s="83"/>
      <c r="BU107" s="83"/>
      <c r="BV107" s="83"/>
      <c r="BW107" s="100"/>
      <c r="BX107" s="83"/>
      <c r="BY107" s="83"/>
      <c r="BZ107" s="83"/>
      <c r="CA107" s="83"/>
      <c r="CB107" s="100"/>
      <c r="CC107" s="83"/>
      <c r="CD107" s="83"/>
      <c r="CE107" s="83"/>
      <c r="CF107" s="83"/>
      <c r="CG107" s="100"/>
      <c r="CH107" s="83"/>
      <c r="CI107" s="83"/>
      <c r="CJ107" s="83"/>
      <c r="CK107" s="83"/>
      <c r="CL107" s="100"/>
      <c r="CM107" s="83"/>
      <c r="CN107" s="83"/>
      <c r="CO107" s="83"/>
      <c r="CP107" s="83"/>
      <c r="CQ107" s="100"/>
      <c r="CR107" s="83"/>
      <c r="CS107" s="83"/>
      <c r="CT107" s="83"/>
      <c r="CU107" s="83"/>
      <c r="CV107" s="100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/>
      <c r="DI107" s="34"/>
      <c r="DJ107" s="34"/>
      <c r="DK107" s="34"/>
    </row>
    <row r="108" spans="1:115" s="15" customFormat="1">
      <c r="A108" s="2"/>
      <c r="C108" s="18"/>
      <c r="D108" s="18"/>
      <c r="E108" s="100"/>
      <c r="F108" s="83"/>
      <c r="G108" s="83"/>
      <c r="H108" s="83"/>
      <c r="I108" s="83"/>
      <c r="J108" s="100"/>
      <c r="K108" s="83"/>
      <c r="L108" s="83"/>
      <c r="M108" s="83"/>
      <c r="N108" s="83"/>
      <c r="O108" s="100"/>
      <c r="P108" s="83"/>
      <c r="Q108" s="83"/>
      <c r="R108" s="83"/>
      <c r="S108" s="83"/>
      <c r="T108" s="100"/>
      <c r="U108" s="83"/>
      <c r="V108" s="83"/>
      <c r="W108" s="83"/>
      <c r="X108" s="83"/>
      <c r="Y108" s="100"/>
      <c r="Z108" s="83"/>
      <c r="AA108" s="83"/>
      <c r="AB108" s="83"/>
      <c r="AC108" s="83"/>
      <c r="AD108" s="100"/>
      <c r="AE108" s="83"/>
      <c r="AF108" s="83"/>
      <c r="AG108" s="83"/>
      <c r="AH108" s="83"/>
      <c r="AI108" s="100"/>
      <c r="AJ108" s="83"/>
      <c r="AK108" s="83"/>
      <c r="AL108" s="83"/>
      <c r="AM108" s="83"/>
      <c r="AN108" s="100"/>
      <c r="AO108" s="83"/>
      <c r="AP108" s="83"/>
      <c r="AQ108" s="83"/>
      <c r="AR108" s="83"/>
      <c r="AS108" s="100"/>
      <c r="AT108" s="83"/>
      <c r="AU108" s="83"/>
      <c r="AV108" s="83"/>
      <c r="AW108" s="83"/>
      <c r="AX108" s="100"/>
      <c r="AY108" s="83"/>
      <c r="AZ108" s="83"/>
      <c r="BA108" s="83"/>
      <c r="BB108" s="83"/>
      <c r="BC108" s="100"/>
      <c r="BD108" s="83"/>
      <c r="BE108" s="83"/>
      <c r="BF108" s="83"/>
      <c r="BG108" s="83"/>
      <c r="BH108" s="100"/>
      <c r="BI108" s="83"/>
      <c r="BJ108" s="83"/>
      <c r="BK108" s="83"/>
      <c r="BL108" s="83"/>
      <c r="BM108" s="100"/>
      <c r="BN108" s="83"/>
      <c r="BO108" s="83"/>
      <c r="BP108" s="83"/>
      <c r="BQ108" s="83"/>
      <c r="BR108" s="100"/>
      <c r="BS108" s="83"/>
      <c r="BT108" s="83"/>
      <c r="BU108" s="83"/>
      <c r="BV108" s="83"/>
      <c r="BW108" s="100"/>
      <c r="BX108" s="83"/>
      <c r="BY108" s="83"/>
      <c r="BZ108" s="83"/>
      <c r="CA108" s="83"/>
      <c r="CB108" s="100"/>
      <c r="CC108" s="83"/>
      <c r="CD108" s="83"/>
      <c r="CE108" s="83"/>
      <c r="CF108" s="83"/>
      <c r="CG108" s="100"/>
      <c r="CH108" s="83"/>
      <c r="CI108" s="83"/>
      <c r="CJ108" s="83"/>
      <c r="CK108" s="83"/>
      <c r="CL108" s="100"/>
      <c r="CM108" s="83"/>
      <c r="CN108" s="83"/>
      <c r="CO108" s="83"/>
      <c r="CP108" s="83"/>
      <c r="CQ108" s="100"/>
      <c r="CR108" s="83"/>
      <c r="CS108" s="83"/>
      <c r="CT108" s="83"/>
      <c r="CU108" s="83"/>
      <c r="CV108" s="100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</row>
    <row r="109" spans="1:115">
      <c r="A109" s="141" t="s">
        <v>80</v>
      </c>
      <c r="B109" s="9"/>
      <c r="C109" s="9"/>
      <c r="D109" s="9"/>
      <c r="E109" s="93"/>
      <c r="F109" s="94"/>
      <c r="G109" s="94"/>
      <c r="H109" s="94"/>
      <c r="I109" s="94"/>
      <c r="J109" s="93"/>
      <c r="K109" s="94"/>
      <c r="L109" s="94"/>
      <c r="M109" s="94"/>
      <c r="N109" s="94"/>
      <c r="O109" s="93"/>
      <c r="P109" s="94"/>
      <c r="Q109" s="94"/>
      <c r="R109" s="94"/>
      <c r="S109" s="94"/>
      <c r="T109" s="93"/>
      <c r="U109" s="131">
        <f>+U122/$U$35</f>
        <v>0.20023115925328416</v>
      </c>
      <c r="V109" s="94"/>
      <c r="W109" s="94"/>
      <c r="X109" s="94"/>
      <c r="Y109" s="93"/>
      <c r="Z109" s="94"/>
      <c r="AA109" s="94"/>
      <c r="AB109" s="94"/>
      <c r="AC109" s="94"/>
      <c r="AD109" s="93"/>
      <c r="AE109" s="94"/>
      <c r="AF109" s="94"/>
      <c r="AG109" s="94"/>
      <c r="AH109" s="94"/>
      <c r="AI109" s="93"/>
      <c r="AJ109" s="94"/>
      <c r="AK109" s="94"/>
      <c r="AL109" s="94"/>
      <c r="AM109" s="94"/>
      <c r="AN109" s="93"/>
      <c r="AO109" s="94"/>
      <c r="AP109" s="94"/>
      <c r="AQ109" s="94"/>
      <c r="AR109" s="94"/>
      <c r="AS109" s="93"/>
      <c r="AT109" s="94"/>
      <c r="AU109" s="94"/>
      <c r="AV109" s="94"/>
      <c r="AW109" s="94"/>
      <c r="AX109" s="93"/>
      <c r="AY109" s="94"/>
      <c r="AZ109" s="94"/>
      <c r="BA109" s="94"/>
      <c r="BB109" s="94"/>
      <c r="BC109" s="93"/>
      <c r="BD109" s="94"/>
      <c r="BE109" s="94"/>
      <c r="BF109" s="94"/>
      <c r="BG109" s="94"/>
      <c r="BH109" s="93"/>
      <c r="BI109" s="131"/>
      <c r="BJ109" s="94"/>
      <c r="BK109" s="94"/>
      <c r="BL109" s="94"/>
      <c r="BM109" s="93"/>
      <c r="BN109" s="94"/>
      <c r="BO109" s="94"/>
      <c r="BP109" s="94"/>
      <c r="BQ109" s="94"/>
      <c r="BR109" s="93"/>
      <c r="BS109" s="94"/>
      <c r="BT109" s="94"/>
      <c r="BU109" s="94"/>
      <c r="BV109" s="94"/>
      <c r="BW109" s="93"/>
      <c r="BX109" s="94"/>
      <c r="BY109" s="94"/>
      <c r="BZ109" s="94"/>
      <c r="CA109" s="94"/>
      <c r="CB109" s="93"/>
      <c r="CC109" s="94"/>
      <c r="CD109" s="94"/>
      <c r="CE109" s="94"/>
      <c r="CF109" s="94"/>
      <c r="CG109" s="93"/>
      <c r="CH109" s="94"/>
      <c r="CI109" s="94"/>
      <c r="CJ109" s="94"/>
      <c r="CK109" s="94"/>
      <c r="CL109" s="93"/>
      <c r="CM109" s="94"/>
      <c r="CN109" s="94"/>
      <c r="CO109" s="94"/>
      <c r="CP109" s="94"/>
      <c r="CQ109" s="93"/>
      <c r="CR109" s="131"/>
      <c r="CS109" s="94"/>
      <c r="CT109" s="94"/>
      <c r="CU109" s="94"/>
      <c r="CV109" s="93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</row>
    <row r="110" spans="1:115">
      <c r="A110" s="2" t="s">
        <v>69</v>
      </c>
      <c r="B110" s="7"/>
      <c r="C110" s="7"/>
      <c r="D110" s="7"/>
      <c r="E110" s="92"/>
      <c r="F110" s="84"/>
      <c r="G110" s="84"/>
      <c r="H110" s="84"/>
      <c r="I110" s="84"/>
      <c r="J110" s="92"/>
      <c r="K110" s="84"/>
      <c r="L110" s="84"/>
      <c r="M110" s="84"/>
      <c r="N110" s="84"/>
      <c r="O110" s="92"/>
      <c r="P110" s="84"/>
      <c r="Q110" s="84"/>
      <c r="R110" s="132">
        <v>3.9</v>
      </c>
      <c r="S110" s="132">
        <v>3.9</v>
      </c>
      <c r="T110" s="133">
        <v>3.9</v>
      </c>
      <c r="U110" s="132">
        <v>3.9</v>
      </c>
      <c r="V110" s="132">
        <f>+V114*V$11+V115*V$12</f>
        <v>3.9445274000000001</v>
      </c>
      <c r="W110" s="132">
        <f>+W114*W$11+W115*W$12</f>
        <v>3.9445274000000001</v>
      </c>
      <c r="X110" s="132">
        <f t="shared" ref="X110" si="1026">+X114*X$11+X115*X$12</f>
        <v>3.9445274000000001</v>
      </c>
      <c r="Y110" s="92">
        <f>+Y122*1000/Y118</f>
        <v>3.934210521784351</v>
      </c>
      <c r="Z110" s="84">
        <f t="shared" ref="Z110:AC110" si="1027">+Z114*Z$11+Z115*Z$12</f>
        <v>3.9445274000000001</v>
      </c>
      <c r="AA110" s="192">
        <f t="shared" si="1027"/>
        <v>3.9445274000000001</v>
      </c>
      <c r="AB110" s="192">
        <f t="shared" si="1027"/>
        <v>4.1973716063399999</v>
      </c>
      <c r="AC110" s="84">
        <f t="shared" si="1027"/>
        <v>4.1973716063399999</v>
      </c>
      <c r="AD110" s="92">
        <f>+AD122*1000/AD118</f>
        <v>4.0745549274378154</v>
      </c>
      <c r="AE110" s="84">
        <f t="shared" ref="AE110:AH110" si="1028">+AE114*AE$11+AE115*AE$12</f>
        <v>4.1973716063399999</v>
      </c>
      <c r="AF110" s="84">
        <f t="shared" si="1028"/>
        <v>4.1973716063399999</v>
      </c>
      <c r="AG110" s="84">
        <f t="shared" si="1028"/>
        <v>4.6171087669740007</v>
      </c>
      <c r="AH110" s="84">
        <f t="shared" si="1028"/>
        <v>4.6171087669740007</v>
      </c>
      <c r="AI110" s="92">
        <f>+AI122*1000/AI118</f>
        <v>4.4193909847324173</v>
      </c>
      <c r="AJ110" s="84">
        <f t="shared" ref="AJ110:AM110" si="1029">+AJ114*AJ$11+AJ115*AJ$12</f>
        <v>4.6171087669740007</v>
      </c>
      <c r="AK110" s="84">
        <f t="shared" si="1029"/>
        <v>4.6171087669740007</v>
      </c>
      <c r="AL110" s="132">
        <f t="shared" si="1029"/>
        <v>4.9126037280603363</v>
      </c>
      <c r="AM110" s="132">
        <f t="shared" si="1029"/>
        <v>4.9126037280603363</v>
      </c>
      <c r="AN110" s="133">
        <f>+AN122*1000/AN118</f>
        <v>4.7717033309452921</v>
      </c>
      <c r="AO110" s="132">
        <f t="shared" ref="AO110:AR110" si="1030">+AO114*AO$11+AO115*AO$12</f>
        <v>4.9126037280603363</v>
      </c>
      <c r="AP110" s="132">
        <f t="shared" si="1030"/>
        <v>4.9126037280603363</v>
      </c>
      <c r="AQ110" s="132">
        <f t="shared" si="1030"/>
        <v>5.158233914463354</v>
      </c>
      <c r="AR110" s="132">
        <f t="shared" si="1030"/>
        <v>5.158233914463354</v>
      </c>
      <c r="AS110" s="92">
        <f>+AS122*1000/AS118</f>
        <v>5.0432537452564592</v>
      </c>
      <c r="AT110" s="84">
        <f t="shared" ref="AT110:AW110" si="1031">+AT114*AT$11+AT115*AT$12</f>
        <v>5.158233914463354</v>
      </c>
      <c r="AU110" s="84">
        <f t="shared" si="1031"/>
        <v>5.158233914463354</v>
      </c>
      <c r="AV110" s="84">
        <f t="shared" si="1031"/>
        <v>5.416145610186522</v>
      </c>
      <c r="AW110" s="84">
        <f t="shared" si="1031"/>
        <v>5.416145610186522</v>
      </c>
      <c r="AX110" s="92">
        <f>+AX122*1000/AX118</f>
        <v>5.295377593227891</v>
      </c>
      <c r="AY110" s="84">
        <f t="shared" ref="AY110:BB110" si="1032">+AY114*AY$11+AY115*AY$12</f>
        <v>5.416145610186522</v>
      </c>
      <c r="AZ110" s="84">
        <f t="shared" si="1032"/>
        <v>5.416145610186522</v>
      </c>
      <c r="BA110" s="84">
        <f t="shared" si="1032"/>
        <v>5.6598721626449144</v>
      </c>
      <c r="BB110" s="84">
        <f t="shared" si="1032"/>
        <v>5.6598721626449144</v>
      </c>
      <c r="BC110" s="92">
        <f>+BC122*1000/BC118</f>
        <v>5.545713216558454</v>
      </c>
      <c r="BD110" s="84">
        <f t="shared" ref="BD110:BG110" si="1033">+BD114*BD$11+BD115*BD$12</f>
        <v>5.6598721626449144</v>
      </c>
      <c r="BE110" s="84">
        <f t="shared" si="1033"/>
        <v>5.6598721626449144</v>
      </c>
      <c r="BF110" s="132">
        <f t="shared" si="1033"/>
        <v>5.9145664099639363</v>
      </c>
      <c r="BG110" s="132">
        <f t="shared" si="1033"/>
        <v>5.9145664099639363</v>
      </c>
      <c r="BH110" s="133">
        <f>+BH122*1000/BH118</f>
        <v>5.79524138966572</v>
      </c>
      <c r="BI110" s="132">
        <f t="shared" ref="BI110:BL110" si="1034">+BI114*BI$11+BI115*BI$12</f>
        <v>5.9145664099639363</v>
      </c>
      <c r="BJ110" s="132">
        <f t="shared" si="1034"/>
        <v>5.9145664099639363</v>
      </c>
      <c r="BK110" s="132">
        <f t="shared" si="1034"/>
        <v>6.1807218984123136</v>
      </c>
      <c r="BL110" s="132">
        <f t="shared" si="1034"/>
        <v>6.1807218984123136</v>
      </c>
      <c r="BM110" s="92">
        <f>+BM122*1000/BM118</f>
        <v>6.056017306769756</v>
      </c>
      <c r="BN110" s="84">
        <f t="shared" ref="BN110:BQ110" si="1035">+BN114*BN$11+BN115*BN$12</f>
        <v>6.1807218984123136</v>
      </c>
      <c r="BO110" s="84">
        <f t="shared" si="1035"/>
        <v>6.1807218984123136</v>
      </c>
      <c r="BP110" s="84">
        <f t="shared" si="1035"/>
        <v>6.4588543838408672</v>
      </c>
      <c r="BQ110" s="84">
        <f t="shared" si="1035"/>
        <v>6.4588543838408672</v>
      </c>
      <c r="BR110" s="92">
        <f>+BR122*1000/BR118</f>
        <v>6.3285307316211092</v>
      </c>
      <c r="BS110" s="84">
        <f t="shared" ref="BS110:BV110" si="1036">+BS114*BS$11+BS115*BS$12</f>
        <v>6.4588543838408672</v>
      </c>
      <c r="BT110" s="84">
        <f t="shared" si="1036"/>
        <v>6.4588543838408672</v>
      </c>
      <c r="BU110" s="84">
        <f t="shared" si="1036"/>
        <v>6.7495028311137055</v>
      </c>
      <c r="BV110" s="84">
        <f t="shared" si="1036"/>
        <v>6.7495028311137055</v>
      </c>
      <c r="BW110" s="92">
        <f>+BW122*1000/BW118</f>
        <v>6.6133100582312725</v>
      </c>
      <c r="BX110" s="84">
        <f t="shared" ref="BX110:CA110" si="1037">+BX114*BX$11+BX115*BX$12</f>
        <v>6.7495028311137055</v>
      </c>
      <c r="BY110" s="84">
        <f t="shared" si="1037"/>
        <v>6.7495028311137055</v>
      </c>
      <c r="BZ110" s="132">
        <f t="shared" si="1037"/>
        <v>7.0532304585138208</v>
      </c>
      <c r="CA110" s="132">
        <f t="shared" si="1037"/>
        <v>7.0532304585138208</v>
      </c>
      <c r="CB110" s="133">
        <f>+CB122*1000/CB118</f>
        <v>6.9109075702858922</v>
      </c>
      <c r="CC110" s="132">
        <f t="shared" ref="CC110:CF110" si="1038">+CC114*CC$11+CC115*CC$12</f>
        <v>7.0532304585138208</v>
      </c>
      <c r="CD110" s="132">
        <f t="shared" si="1038"/>
        <v>7.0532304585138208</v>
      </c>
      <c r="CE110" s="132">
        <f t="shared" si="1038"/>
        <v>7.3706258291469426</v>
      </c>
      <c r="CF110" s="132">
        <f t="shared" si="1038"/>
        <v>7.3706258291469426</v>
      </c>
      <c r="CG110" s="92">
        <f>+CG122*1000/CG118</f>
        <v>7.2219003452702806</v>
      </c>
      <c r="CH110" s="84">
        <f t="shared" ref="CH110:CK110" si="1039">+CH114*CH$11+CH115*CH$12</f>
        <v>7.3706258291469426</v>
      </c>
      <c r="CI110" s="84">
        <f t="shared" si="1039"/>
        <v>7.3706258291469426</v>
      </c>
      <c r="CJ110" s="84">
        <f t="shared" si="1039"/>
        <v>7.7023039914585549</v>
      </c>
      <c r="CK110" s="84">
        <f t="shared" si="1039"/>
        <v>7.7023039914585549</v>
      </c>
      <c r="CL110" s="92">
        <f>+CL122*1000/CL118</f>
        <v>7.5468914618580571</v>
      </c>
      <c r="CM110" s="84">
        <f t="shared" ref="CM110:CP110" si="1040">+CM114*CM$11+CM115*CM$12</f>
        <v>7.7023039914585549</v>
      </c>
      <c r="CN110" s="84">
        <f t="shared" si="1040"/>
        <v>7.7023039914585549</v>
      </c>
      <c r="CO110" s="132">
        <f t="shared" si="1040"/>
        <v>8.0489076710741898</v>
      </c>
      <c r="CP110" s="132">
        <f t="shared" si="1040"/>
        <v>8.0489076710741898</v>
      </c>
      <c r="CQ110" s="133">
        <f>+CQ122*1000/CQ118</f>
        <v>7.8865112088299032</v>
      </c>
      <c r="CR110" s="132">
        <f t="shared" ref="CR110:CU110" si="1041">+CR114*CR$11+CR115*CR$12</f>
        <v>8.0489076710741898</v>
      </c>
      <c r="CS110" s="132">
        <f t="shared" si="1041"/>
        <v>8.0489076710741898</v>
      </c>
      <c r="CT110" s="132">
        <f t="shared" si="1041"/>
        <v>8.4111085162725274</v>
      </c>
      <c r="CU110" s="132">
        <f t="shared" si="1041"/>
        <v>8.4111085162725274</v>
      </c>
      <c r="CV110" s="92">
        <f>+CV122*1000/CV118</f>
        <v>8.2414042132272467</v>
      </c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</row>
    <row r="111" spans="1:115">
      <c r="A111" s="2" t="s">
        <v>70</v>
      </c>
      <c r="B111" s="34"/>
      <c r="C111" s="34"/>
      <c r="D111" s="34"/>
      <c r="E111" s="100"/>
      <c r="J111" s="100"/>
      <c r="O111" s="100"/>
      <c r="T111" s="100"/>
      <c r="Y111" s="100"/>
      <c r="AD111" s="100"/>
      <c r="AI111" s="100"/>
      <c r="AN111" s="100"/>
      <c r="AS111" s="100"/>
      <c r="AX111" s="100"/>
      <c r="BC111" s="100"/>
      <c r="BH111" s="100"/>
      <c r="BM111" s="100"/>
      <c r="BR111" s="100"/>
      <c r="BW111" s="100"/>
      <c r="CB111" s="100"/>
      <c r="CG111" s="100"/>
      <c r="CL111" s="100"/>
      <c r="CQ111" s="100"/>
      <c r="CV111" s="100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</row>
    <row r="112" spans="1:115">
      <c r="B112" s="34"/>
      <c r="C112" s="34"/>
      <c r="D112" s="34"/>
      <c r="E112" s="100"/>
      <c r="J112" s="100"/>
      <c r="O112" s="100"/>
      <c r="T112" s="100"/>
      <c r="Y112" s="100"/>
      <c r="AD112" s="100"/>
      <c r="AI112" s="100"/>
      <c r="AN112" s="100"/>
      <c r="AS112" s="100"/>
      <c r="AX112" s="100"/>
      <c r="BC112" s="100"/>
      <c r="BH112" s="100"/>
      <c r="BM112" s="100"/>
      <c r="BR112" s="100"/>
      <c r="BW112" s="100"/>
      <c r="CB112" s="100"/>
      <c r="CG112" s="100"/>
      <c r="CL112" s="100"/>
      <c r="CQ112" s="100"/>
      <c r="CV112" s="100"/>
      <c r="CW112" s="34"/>
      <c r="CX112" s="34"/>
      <c r="CY112" s="34"/>
      <c r="CZ112" s="34"/>
      <c r="DA112" s="34"/>
      <c r="DB112" s="34"/>
      <c r="DC112" s="34"/>
      <c r="DD112" s="34"/>
      <c r="DE112" s="34"/>
      <c r="DF112" s="34"/>
      <c r="DG112" s="34"/>
      <c r="DH112" s="34"/>
      <c r="DI112" s="34"/>
      <c r="DJ112" s="34"/>
      <c r="DK112" s="34"/>
    </row>
    <row r="113" spans="1:115">
      <c r="A113" s="148" t="s">
        <v>71</v>
      </c>
      <c r="B113" s="70"/>
      <c r="C113" s="70"/>
      <c r="D113" s="70"/>
      <c r="E113" s="134"/>
      <c r="F113" s="135"/>
      <c r="G113" s="135"/>
      <c r="H113" s="135"/>
      <c r="I113" s="135"/>
      <c r="J113" s="134"/>
      <c r="K113" s="135"/>
      <c r="L113" s="135"/>
      <c r="M113" s="135"/>
      <c r="N113" s="135"/>
      <c r="O113" s="134"/>
      <c r="P113" s="135"/>
      <c r="Q113" s="135"/>
      <c r="R113" s="135"/>
      <c r="S113" s="135"/>
      <c r="T113" s="134"/>
      <c r="U113" s="135">
        <f>+U114+U115</f>
        <v>37.659999999999997</v>
      </c>
      <c r="V113" s="135">
        <f t="shared" ref="V113:W113" si="1042">+V114+V115</f>
        <v>37.659999999999997</v>
      </c>
      <c r="W113" s="135">
        <f t="shared" si="1042"/>
        <v>37.659999999999997</v>
      </c>
      <c r="X113" s="135">
        <f t="shared" ref="X113" si="1043">+X114+X115</f>
        <v>37.659999999999997</v>
      </c>
      <c r="Y113" s="134">
        <f t="shared" ref="Y113" si="1044">+Y114+Y115</f>
        <v>37.659999999999997</v>
      </c>
      <c r="Z113" s="135">
        <f t="shared" ref="Z113" si="1045">+Z114+Z115</f>
        <v>37.659999999999997</v>
      </c>
      <c r="AA113" s="135">
        <f t="shared" ref="AA113" si="1046">+AA114+AA115</f>
        <v>37.659999999999997</v>
      </c>
      <c r="AB113" s="135">
        <f t="shared" ref="AB113" si="1047">+AB114+AB115</f>
        <v>37.659999999999997</v>
      </c>
      <c r="AC113" s="135">
        <f t="shared" ref="AC113" si="1048">+AC114+AC115</f>
        <v>37.659999999999997</v>
      </c>
      <c r="AD113" s="134">
        <f t="shared" ref="AD113" si="1049">+AD114+AD115</f>
        <v>37.659999999999997</v>
      </c>
      <c r="AE113" s="135">
        <f t="shared" ref="AE113" si="1050">+AE114+AE115</f>
        <v>37.659999999999997</v>
      </c>
      <c r="AF113" s="135">
        <f t="shared" ref="AF113" si="1051">+AF114+AF115</f>
        <v>37.659999999999997</v>
      </c>
      <c r="AG113" s="135">
        <f t="shared" ref="AG113" si="1052">+AG114+AG115</f>
        <v>37.659999999999997</v>
      </c>
      <c r="AH113" s="135">
        <f t="shared" ref="AH113" si="1053">+AH114+AH115</f>
        <v>37.659999999999997</v>
      </c>
      <c r="AI113" s="134">
        <f t="shared" ref="AI113" si="1054">+AI114+AI115</f>
        <v>37.659999999999997</v>
      </c>
      <c r="AJ113" s="135">
        <f t="shared" ref="AJ113" si="1055">+AJ114+AJ115</f>
        <v>37.659999999999997</v>
      </c>
      <c r="AK113" s="135">
        <f t="shared" ref="AK113" si="1056">+AK114+AK115</f>
        <v>37.659999999999997</v>
      </c>
      <c r="AL113" s="135">
        <f t="shared" ref="AL113" si="1057">+AL114+AL115</f>
        <v>37.659999999999997</v>
      </c>
      <c r="AM113" s="135">
        <f t="shared" ref="AM113" si="1058">+AM114+AM115</f>
        <v>37.659999999999997</v>
      </c>
      <c r="AN113" s="134">
        <f t="shared" ref="AN113" si="1059">+AN114+AN115</f>
        <v>37.659999999999997</v>
      </c>
      <c r="AO113" s="135">
        <f t="shared" ref="AO113" si="1060">+AO114+AO115</f>
        <v>37.659999999999997</v>
      </c>
      <c r="AP113" s="135">
        <f t="shared" ref="AP113" si="1061">+AP114+AP115</f>
        <v>37.659999999999997</v>
      </c>
      <c r="AQ113" s="135">
        <f t="shared" ref="AQ113" si="1062">+AQ114+AQ115</f>
        <v>37.659999999999997</v>
      </c>
      <c r="AR113" s="135">
        <f t="shared" ref="AR113" si="1063">+AR114+AR115</f>
        <v>37.659999999999997</v>
      </c>
      <c r="AS113" s="134">
        <f t="shared" ref="AS113" si="1064">+AS114+AS115</f>
        <v>37.659999999999997</v>
      </c>
      <c r="AT113" s="135">
        <f t="shared" ref="AT113" si="1065">+AT114+AT115</f>
        <v>37.659999999999997</v>
      </c>
      <c r="AU113" s="135">
        <f t="shared" ref="AU113" si="1066">+AU114+AU115</f>
        <v>37.659999999999997</v>
      </c>
      <c r="AV113" s="135">
        <f t="shared" ref="AV113" si="1067">+AV114+AV115</f>
        <v>37.659999999999997</v>
      </c>
      <c r="AW113" s="135">
        <f t="shared" ref="AW113" si="1068">+AW114+AW115</f>
        <v>37.659999999999997</v>
      </c>
      <c r="AX113" s="134">
        <f t="shared" ref="AX113" si="1069">+AX114+AX115</f>
        <v>37.659999999999997</v>
      </c>
      <c r="AY113" s="135">
        <f t="shared" ref="AY113" si="1070">+AY114+AY115</f>
        <v>37.659999999999997</v>
      </c>
      <c r="AZ113" s="135">
        <f t="shared" ref="AZ113" si="1071">+AZ114+AZ115</f>
        <v>37.659999999999997</v>
      </c>
      <c r="BA113" s="135">
        <f t="shared" ref="BA113" si="1072">+BA114+BA115</f>
        <v>37.659999999999997</v>
      </c>
      <c r="BB113" s="135">
        <f t="shared" ref="BB113" si="1073">+BB114+BB115</f>
        <v>37.659999999999997</v>
      </c>
      <c r="BC113" s="134">
        <f t="shared" ref="BC113" si="1074">+BC114+BC115</f>
        <v>37.659999999999997</v>
      </c>
      <c r="BD113" s="135">
        <f t="shared" ref="BD113" si="1075">+BD114+BD115</f>
        <v>37.659999999999997</v>
      </c>
      <c r="BE113" s="135">
        <f t="shared" ref="BE113" si="1076">+BE114+BE115</f>
        <v>37.659999999999997</v>
      </c>
      <c r="BF113" s="135">
        <f t="shared" ref="BF113" si="1077">+BF114+BF115</f>
        <v>37.659999999999997</v>
      </c>
      <c r="BG113" s="135">
        <f t="shared" ref="BG113" si="1078">+BG114+BG115</f>
        <v>37.659999999999997</v>
      </c>
      <c r="BH113" s="134">
        <f t="shared" ref="BH113" si="1079">+BH114+BH115</f>
        <v>37.659999999999997</v>
      </c>
      <c r="BI113" s="135">
        <f t="shared" ref="BI113" si="1080">+BI114+BI115</f>
        <v>37.659999999999997</v>
      </c>
      <c r="BJ113" s="135">
        <f t="shared" ref="BJ113" si="1081">+BJ114+BJ115</f>
        <v>37.659999999999997</v>
      </c>
      <c r="BK113" s="135">
        <f t="shared" ref="BK113" si="1082">+BK114+BK115</f>
        <v>37.659999999999997</v>
      </c>
      <c r="BL113" s="135">
        <f t="shared" ref="BL113" si="1083">+BL114+BL115</f>
        <v>37.659999999999997</v>
      </c>
      <c r="BM113" s="134">
        <f t="shared" ref="BM113" si="1084">+BM114+BM115</f>
        <v>37.659999999999997</v>
      </c>
      <c r="BN113" s="135">
        <f t="shared" ref="BN113" si="1085">+BN114+BN115</f>
        <v>37.659999999999997</v>
      </c>
      <c r="BO113" s="135">
        <f t="shared" ref="BO113" si="1086">+BO114+BO115</f>
        <v>37.659999999999997</v>
      </c>
      <c r="BP113" s="135">
        <f t="shared" ref="BP113" si="1087">+BP114+BP115</f>
        <v>37.659999999999997</v>
      </c>
      <c r="BQ113" s="135">
        <f t="shared" ref="BQ113" si="1088">+BQ114+BQ115</f>
        <v>37.659999999999997</v>
      </c>
      <c r="BR113" s="134">
        <f t="shared" ref="BR113" si="1089">+BR114+BR115</f>
        <v>37.659999999999997</v>
      </c>
      <c r="BS113" s="135">
        <f t="shared" ref="BS113" si="1090">+BS114+BS115</f>
        <v>37.659999999999997</v>
      </c>
      <c r="BT113" s="135">
        <f t="shared" ref="BT113" si="1091">+BT114+BT115</f>
        <v>37.659999999999997</v>
      </c>
      <c r="BU113" s="135">
        <f t="shared" ref="BU113" si="1092">+BU114+BU115</f>
        <v>37.659999999999997</v>
      </c>
      <c r="BV113" s="135">
        <f t="shared" ref="BV113" si="1093">+BV114+BV115</f>
        <v>37.659999999999997</v>
      </c>
      <c r="BW113" s="134">
        <f t="shared" ref="BW113" si="1094">+BW114+BW115</f>
        <v>37.659999999999997</v>
      </c>
      <c r="BX113" s="135">
        <f t="shared" ref="BX113" si="1095">+BX114+BX115</f>
        <v>37.659999999999997</v>
      </c>
      <c r="BY113" s="135">
        <f t="shared" ref="BY113" si="1096">+BY114+BY115</f>
        <v>37.659999999999997</v>
      </c>
      <c r="BZ113" s="135">
        <f t="shared" ref="BZ113" si="1097">+BZ114+BZ115</f>
        <v>37.659999999999997</v>
      </c>
      <c r="CA113" s="135">
        <f t="shared" ref="CA113" si="1098">+CA114+CA115</f>
        <v>37.659999999999997</v>
      </c>
      <c r="CB113" s="134">
        <f t="shared" ref="CB113" si="1099">+CB114+CB115</f>
        <v>37.659999999999997</v>
      </c>
      <c r="CC113" s="135">
        <f t="shared" ref="CC113" si="1100">+CC114+CC115</f>
        <v>37.659999999999997</v>
      </c>
      <c r="CD113" s="135">
        <f t="shared" ref="CD113" si="1101">+CD114+CD115</f>
        <v>37.659999999999997</v>
      </c>
      <c r="CE113" s="135">
        <f t="shared" ref="CE113" si="1102">+CE114+CE115</f>
        <v>37.659999999999997</v>
      </c>
      <c r="CF113" s="135">
        <f t="shared" ref="CF113" si="1103">+CF114+CF115</f>
        <v>37.659999999999997</v>
      </c>
      <c r="CG113" s="134">
        <f t="shared" ref="CG113" si="1104">+CG114+CG115</f>
        <v>37.659999999999997</v>
      </c>
      <c r="CH113" s="135">
        <f t="shared" ref="CH113" si="1105">+CH114+CH115</f>
        <v>37.659999999999997</v>
      </c>
      <c r="CI113" s="135">
        <f t="shared" ref="CI113" si="1106">+CI114+CI115</f>
        <v>37.659999999999997</v>
      </c>
      <c r="CJ113" s="135">
        <f t="shared" ref="CJ113" si="1107">+CJ114+CJ115</f>
        <v>37.659999999999997</v>
      </c>
      <c r="CK113" s="135">
        <f t="shared" ref="CK113" si="1108">+CK114+CK115</f>
        <v>37.659999999999997</v>
      </c>
      <c r="CL113" s="134">
        <f t="shared" ref="CL113" si="1109">+CL114+CL115</f>
        <v>37.659999999999997</v>
      </c>
      <c r="CM113" s="135">
        <f t="shared" ref="CM113" si="1110">+CM114+CM115</f>
        <v>37.659999999999997</v>
      </c>
      <c r="CN113" s="135">
        <f t="shared" ref="CN113" si="1111">+CN114+CN115</f>
        <v>37.659999999999997</v>
      </c>
      <c r="CO113" s="135">
        <f t="shared" ref="CO113" si="1112">+CO114+CO115</f>
        <v>37.659999999999997</v>
      </c>
      <c r="CP113" s="135">
        <f t="shared" ref="CP113" si="1113">+CP114+CP115</f>
        <v>37.659999999999997</v>
      </c>
      <c r="CQ113" s="134">
        <f t="shared" ref="CQ113" si="1114">+CQ114+CQ115</f>
        <v>37.659999999999997</v>
      </c>
      <c r="CR113" s="135">
        <f t="shared" ref="CR113" si="1115">+CR114+CR115</f>
        <v>37.659999999999997</v>
      </c>
      <c r="CS113" s="135">
        <f t="shared" ref="CS113" si="1116">+CS114+CS115</f>
        <v>37.659999999999997</v>
      </c>
      <c r="CT113" s="135">
        <f t="shared" ref="CT113" si="1117">+CT114+CT115</f>
        <v>37.659999999999997</v>
      </c>
      <c r="CU113" s="135">
        <f t="shared" ref="CU113" si="1118">+CU114+CU115</f>
        <v>37.659999999999997</v>
      </c>
      <c r="CV113" s="134">
        <f t="shared" ref="CV113" si="1119">+CV114+CV115</f>
        <v>37.659999999999997</v>
      </c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</row>
    <row r="114" spans="1:115" s="23" customFormat="1">
      <c r="A114" s="148" t="s">
        <v>72</v>
      </c>
      <c r="B114" s="70"/>
      <c r="C114" s="70"/>
      <c r="D114" s="70"/>
      <c r="E114" s="134"/>
      <c r="F114" s="135"/>
      <c r="G114" s="135"/>
      <c r="H114" s="135"/>
      <c r="I114" s="135"/>
      <c r="J114" s="134"/>
      <c r="K114" s="135"/>
      <c r="L114" s="135"/>
      <c r="M114" s="135"/>
      <c r="N114" s="135"/>
      <c r="O114" s="134"/>
      <c r="P114" s="135"/>
      <c r="Q114" s="135"/>
      <c r="R114" s="135"/>
      <c r="S114" s="135"/>
      <c r="T114" s="134"/>
      <c r="U114" s="136">
        <v>12.91</v>
      </c>
      <c r="V114" s="136">
        <v>12.91</v>
      </c>
      <c r="W114" s="136">
        <v>12.91</v>
      </c>
      <c r="X114" s="136">
        <v>12.91</v>
      </c>
      <c r="Y114" s="134">
        <v>12.91</v>
      </c>
      <c r="Z114" s="135">
        <v>12.91</v>
      </c>
      <c r="AA114" s="135">
        <v>12.91</v>
      </c>
      <c r="AB114" s="135">
        <v>12.91</v>
      </c>
      <c r="AC114" s="135">
        <v>12.91</v>
      </c>
      <c r="AD114" s="134">
        <v>12.91</v>
      </c>
      <c r="AE114" s="135">
        <v>12.91</v>
      </c>
      <c r="AF114" s="135">
        <v>12.91</v>
      </c>
      <c r="AG114" s="135">
        <v>12.91</v>
      </c>
      <c r="AH114" s="135">
        <v>12.91</v>
      </c>
      <c r="AI114" s="134">
        <v>12.91</v>
      </c>
      <c r="AJ114" s="135">
        <v>12.91</v>
      </c>
      <c r="AK114" s="135">
        <v>12.91</v>
      </c>
      <c r="AL114" s="135">
        <v>12.91</v>
      </c>
      <c r="AM114" s="135">
        <v>12.91</v>
      </c>
      <c r="AN114" s="134">
        <v>12.91</v>
      </c>
      <c r="AO114" s="136">
        <v>12.91</v>
      </c>
      <c r="AP114" s="136">
        <v>12.91</v>
      </c>
      <c r="AQ114" s="136">
        <v>12.91</v>
      </c>
      <c r="AR114" s="136">
        <v>12.91</v>
      </c>
      <c r="AS114" s="134">
        <v>12.91</v>
      </c>
      <c r="AT114" s="135">
        <v>12.91</v>
      </c>
      <c r="AU114" s="135">
        <v>12.91</v>
      </c>
      <c r="AV114" s="135">
        <v>12.91</v>
      </c>
      <c r="AW114" s="135">
        <v>12.91</v>
      </c>
      <c r="AX114" s="134">
        <v>12.91</v>
      </c>
      <c r="AY114" s="135">
        <v>12.91</v>
      </c>
      <c r="AZ114" s="135">
        <v>12.91</v>
      </c>
      <c r="BA114" s="135">
        <v>12.91</v>
      </c>
      <c r="BB114" s="135">
        <v>12.91</v>
      </c>
      <c r="BC114" s="134">
        <v>12.91</v>
      </c>
      <c r="BD114" s="135">
        <v>12.91</v>
      </c>
      <c r="BE114" s="135">
        <v>12.91</v>
      </c>
      <c r="BF114" s="135">
        <v>12.91</v>
      </c>
      <c r="BG114" s="135">
        <v>12.91</v>
      </c>
      <c r="BH114" s="134">
        <v>12.91</v>
      </c>
      <c r="BI114" s="136">
        <v>12.91</v>
      </c>
      <c r="BJ114" s="136">
        <v>12.91</v>
      </c>
      <c r="BK114" s="136">
        <v>12.91</v>
      </c>
      <c r="BL114" s="136">
        <v>12.91</v>
      </c>
      <c r="BM114" s="134">
        <v>12.91</v>
      </c>
      <c r="BN114" s="135">
        <v>12.91</v>
      </c>
      <c r="BO114" s="135">
        <v>12.91</v>
      </c>
      <c r="BP114" s="135">
        <v>12.91</v>
      </c>
      <c r="BQ114" s="135">
        <v>12.91</v>
      </c>
      <c r="BR114" s="134">
        <v>12.91</v>
      </c>
      <c r="BS114" s="135">
        <v>12.91</v>
      </c>
      <c r="BT114" s="135">
        <v>12.91</v>
      </c>
      <c r="BU114" s="135">
        <v>12.91</v>
      </c>
      <c r="BV114" s="135">
        <v>12.91</v>
      </c>
      <c r="BW114" s="134">
        <v>12.91</v>
      </c>
      <c r="BX114" s="135">
        <v>12.91</v>
      </c>
      <c r="BY114" s="135">
        <v>12.91</v>
      </c>
      <c r="BZ114" s="135">
        <v>12.91</v>
      </c>
      <c r="CA114" s="135">
        <v>12.91</v>
      </c>
      <c r="CB114" s="134">
        <v>12.91</v>
      </c>
      <c r="CC114" s="136">
        <v>12.91</v>
      </c>
      <c r="CD114" s="136">
        <v>12.91</v>
      </c>
      <c r="CE114" s="136">
        <v>12.91</v>
      </c>
      <c r="CF114" s="136">
        <v>12.91</v>
      </c>
      <c r="CG114" s="134">
        <v>12.91</v>
      </c>
      <c r="CH114" s="135">
        <v>12.91</v>
      </c>
      <c r="CI114" s="135">
        <v>12.91</v>
      </c>
      <c r="CJ114" s="135">
        <v>12.91</v>
      </c>
      <c r="CK114" s="135">
        <v>12.91</v>
      </c>
      <c r="CL114" s="134">
        <v>12.91</v>
      </c>
      <c r="CM114" s="135">
        <v>12.91</v>
      </c>
      <c r="CN114" s="135">
        <v>12.91</v>
      </c>
      <c r="CO114" s="135">
        <v>12.91</v>
      </c>
      <c r="CP114" s="135">
        <v>12.91</v>
      </c>
      <c r="CQ114" s="134">
        <v>12.91</v>
      </c>
      <c r="CR114" s="136">
        <v>12.91</v>
      </c>
      <c r="CS114" s="136">
        <v>12.91</v>
      </c>
      <c r="CT114" s="136">
        <v>12.91</v>
      </c>
      <c r="CU114" s="136">
        <v>12.91</v>
      </c>
      <c r="CV114" s="134">
        <v>12.91</v>
      </c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</row>
    <row r="115" spans="1:115" s="23" customFormat="1">
      <c r="A115" s="148" t="s">
        <v>73</v>
      </c>
      <c r="B115" s="70"/>
      <c r="C115" s="70"/>
      <c r="D115" s="70"/>
      <c r="E115" s="134"/>
      <c r="F115" s="135"/>
      <c r="G115" s="135"/>
      <c r="H115" s="135"/>
      <c r="I115" s="135"/>
      <c r="J115" s="134"/>
      <c r="K115" s="135"/>
      <c r="L115" s="135"/>
      <c r="M115" s="135"/>
      <c r="N115" s="135"/>
      <c r="O115" s="134"/>
      <c r="P115" s="135"/>
      <c r="Q115" s="135"/>
      <c r="R115" s="135"/>
      <c r="S115" s="135"/>
      <c r="T115" s="134"/>
      <c r="U115" s="136">
        <v>24.75</v>
      </c>
      <c r="V115" s="136">
        <v>24.75</v>
      </c>
      <c r="W115" s="136">
        <v>24.75</v>
      </c>
      <c r="X115" s="136">
        <v>24.75</v>
      </c>
      <c r="Y115" s="134">
        <v>24.75</v>
      </c>
      <c r="Z115" s="135">
        <v>24.75</v>
      </c>
      <c r="AA115" s="135">
        <v>24.75</v>
      </c>
      <c r="AB115" s="135">
        <v>24.75</v>
      </c>
      <c r="AC115" s="135">
        <v>24.75</v>
      </c>
      <c r="AD115" s="134">
        <v>24.75</v>
      </c>
      <c r="AE115" s="135">
        <v>24.75</v>
      </c>
      <c r="AF115" s="135">
        <v>24.75</v>
      </c>
      <c r="AG115" s="135">
        <v>24.75</v>
      </c>
      <c r="AH115" s="135">
        <v>24.75</v>
      </c>
      <c r="AI115" s="134">
        <v>24.75</v>
      </c>
      <c r="AJ115" s="135">
        <v>24.75</v>
      </c>
      <c r="AK115" s="135">
        <v>24.75</v>
      </c>
      <c r="AL115" s="135">
        <v>24.75</v>
      </c>
      <c r="AM115" s="135">
        <v>24.75</v>
      </c>
      <c r="AN115" s="134">
        <v>24.75</v>
      </c>
      <c r="AO115" s="136">
        <v>24.75</v>
      </c>
      <c r="AP115" s="136">
        <v>24.75</v>
      </c>
      <c r="AQ115" s="136">
        <v>24.75</v>
      </c>
      <c r="AR115" s="136">
        <v>24.75</v>
      </c>
      <c r="AS115" s="134">
        <v>24.75</v>
      </c>
      <c r="AT115" s="135">
        <v>24.75</v>
      </c>
      <c r="AU115" s="135">
        <v>24.75</v>
      </c>
      <c r="AV115" s="135">
        <v>24.75</v>
      </c>
      <c r="AW115" s="135">
        <v>24.75</v>
      </c>
      <c r="AX115" s="134">
        <v>24.75</v>
      </c>
      <c r="AY115" s="135">
        <v>24.75</v>
      </c>
      <c r="AZ115" s="135">
        <v>24.75</v>
      </c>
      <c r="BA115" s="135">
        <v>24.75</v>
      </c>
      <c r="BB115" s="135">
        <v>24.75</v>
      </c>
      <c r="BC115" s="134">
        <v>24.75</v>
      </c>
      <c r="BD115" s="135">
        <v>24.75</v>
      </c>
      <c r="BE115" s="135">
        <v>24.75</v>
      </c>
      <c r="BF115" s="135">
        <v>24.75</v>
      </c>
      <c r="BG115" s="135">
        <v>24.75</v>
      </c>
      <c r="BH115" s="134">
        <v>24.75</v>
      </c>
      <c r="BI115" s="136">
        <v>24.75</v>
      </c>
      <c r="BJ115" s="136">
        <v>24.75</v>
      </c>
      <c r="BK115" s="136">
        <v>24.75</v>
      </c>
      <c r="BL115" s="136">
        <v>24.75</v>
      </c>
      <c r="BM115" s="134">
        <v>24.75</v>
      </c>
      <c r="BN115" s="135">
        <v>24.75</v>
      </c>
      <c r="BO115" s="135">
        <v>24.75</v>
      </c>
      <c r="BP115" s="135">
        <v>24.75</v>
      </c>
      <c r="BQ115" s="135">
        <v>24.75</v>
      </c>
      <c r="BR115" s="134">
        <v>24.75</v>
      </c>
      <c r="BS115" s="135">
        <v>24.75</v>
      </c>
      <c r="BT115" s="135">
        <v>24.75</v>
      </c>
      <c r="BU115" s="135">
        <v>24.75</v>
      </c>
      <c r="BV115" s="135">
        <v>24.75</v>
      </c>
      <c r="BW115" s="134">
        <v>24.75</v>
      </c>
      <c r="BX115" s="135">
        <v>24.75</v>
      </c>
      <c r="BY115" s="135">
        <v>24.75</v>
      </c>
      <c r="BZ115" s="135">
        <v>24.75</v>
      </c>
      <c r="CA115" s="135">
        <v>24.75</v>
      </c>
      <c r="CB115" s="134">
        <v>24.75</v>
      </c>
      <c r="CC115" s="136">
        <v>24.75</v>
      </c>
      <c r="CD115" s="136">
        <v>24.75</v>
      </c>
      <c r="CE115" s="136">
        <v>24.75</v>
      </c>
      <c r="CF115" s="136">
        <v>24.75</v>
      </c>
      <c r="CG115" s="134">
        <v>24.75</v>
      </c>
      <c r="CH115" s="135">
        <v>24.75</v>
      </c>
      <c r="CI115" s="135">
        <v>24.75</v>
      </c>
      <c r="CJ115" s="135">
        <v>24.75</v>
      </c>
      <c r="CK115" s="135">
        <v>24.75</v>
      </c>
      <c r="CL115" s="134">
        <v>24.75</v>
      </c>
      <c r="CM115" s="135">
        <v>24.75</v>
      </c>
      <c r="CN115" s="135">
        <v>24.75</v>
      </c>
      <c r="CO115" s="135">
        <v>24.75</v>
      </c>
      <c r="CP115" s="135">
        <v>24.75</v>
      </c>
      <c r="CQ115" s="134">
        <v>24.75</v>
      </c>
      <c r="CR115" s="136">
        <v>24.75</v>
      </c>
      <c r="CS115" s="136">
        <v>24.75</v>
      </c>
      <c r="CT115" s="136">
        <v>24.75</v>
      </c>
      <c r="CU115" s="136">
        <v>24.75</v>
      </c>
      <c r="CV115" s="134">
        <v>24.75</v>
      </c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</row>
    <row r="116" spans="1:115">
      <c r="A116" s="149" t="s">
        <v>74</v>
      </c>
      <c r="B116" s="19"/>
      <c r="C116" s="19"/>
      <c r="D116" s="19"/>
      <c r="E116" s="112"/>
      <c r="F116" s="137"/>
      <c r="G116" s="137"/>
      <c r="H116" s="137"/>
      <c r="I116" s="137"/>
      <c r="J116" s="112"/>
      <c r="K116" s="137"/>
      <c r="L116" s="137"/>
      <c r="M116" s="137"/>
      <c r="N116" s="137"/>
      <c r="O116" s="112"/>
      <c r="P116" s="137"/>
      <c r="Q116" s="137"/>
      <c r="R116" s="137"/>
      <c r="S116" s="137"/>
      <c r="T116" s="112"/>
      <c r="U116" s="137">
        <f>+U115/U113</f>
        <v>0.65719596388741375</v>
      </c>
      <c r="V116" s="137">
        <f t="shared" ref="V116:W116" si="1120">+V115/V113</f>
        <v>0.65719596388741375</v>
      </c>
      <c r="W116" s="137">
        <f t="shared" si="1120"/>
        <v>0.65719596388741375</v>
      </c>
      <c r="X116" s="137">
        <f t="shared" ref="X116" si="1121">+X115/X113</f>
        <v>0.65719596388741375</v>
      </c>
      <c r="Y116" s="112">
        <f t="shared" ref="Y116" si="1122">+Y115/Y113</f>
        <v>0.65719596388741375</v>
      </c>
      <c r="Z116" s="137">
        <f t="shared" ref="Z116" si="1123">+Z115/Z113</f>
        <v>0.65719596388741375</v>
      </c>
      <c r="AA116" s="137">
        <f t="shared" ref="AA116" si="1124">+AA115/AA113</f>
        <v>0.65719596388741375</v>
      </c>
      <c r="AB116" s="137">
        <f t="shared" ref="AB116" si="1125">+AB115/AB113</f>
        <v>0.65719596388741375</v>
      </c>
      <c r="AC116" s="137">
        <f t="shared" ref="AC116" si="1126">+AC115/AC113</f>
        <v>0.65719596388741375</v>
      </c>
      <c r="AD116" s="112">
        <f t="shared" ref="AD116" si="1127">+AD115/AD113</f>
        <v>0.65719596388741375</v>
      </c>
      <c r="AE116" s="137">
        <f t="shared" ref="AE116" si="1128">+AE115/AE113</f>
        <v>0.65719596388741375</v>
      </c>
      <c r="AF116" s="137">
        <f t="shared" ref="AF116" si="1129">+AF115/AF113</f>
        <v>0.65719596388741375</v>
      </c>
      <c r="AG116" s="137">
        <f t="shared" ref="AG116" si="1130">+AG115/AG113</f>
        <v>0.65719596388741375</v>
      </c>
      <c r="AH116" s="137">
        <f t="shared" ref="AH116" si="1131">+AH115/AH113</f>
        <v>0.65719596388741375</v>
      </c>
      <c r="AI116" s="112">
        <f t="shared" ref="AI116" si="1132">+AI115/AI113</f>
        <v>0.65719596388741375</v>
      </c>
      <c r="AJ116" s="137">
        <f t="shared" ref="AJ116" si="1133">+AJ115/AJ113</f>
        <v>0.65719596388741375</v>
      </c>
      <c r="AK116" s="137">
        <f t="shared" ref="AK116" si="1134">+AK115/AK113</f>
        <v>0.65719596388741375</v>
      </c>
      <c r="AL116" s="137">
        <f t="shared" ref="AL116" si="1135">+AL115/AL113</f>
        <v>0.65719596388741375</v>
      </c>
      <c r="AM116" s="137">
        <f t="shared" ref="AM116" si="1136">+AM115/AM113</f>
        <v>0.65719596388741375</v>
      </c>
      <c r="AN116" s="112">
        <f t="shared" ref="AN116" si="1137">+AN115/AN113</f>
        <v>0.65719596388741375</v>
      </c>
      <c r="AO116" s="137">
        <f t="shared" ref="AO116" si="1138">+AO115/AO113</f>
        <v>0.65719596388741375</v>
      </c>
      <c r="AP116" s="137">
        <f t="shared" ref="AP116" si="1139">+AP115/AP113</f>
        <v>0.65719596388741375</v>
      </c>
      <c r="AQ116" s="137">
        <f t="shared" ref="AQ116" si="1140">+AQ115/AQ113</f>
        <v>0.65719596388741375</v>
      </c>
      <c r="AR116" s="137">
        <f t="shared" ref="AR116" si="1141">+AR115/AR113</f>
        <v>0.65719596388741375</v>
      </c>
      <c r="AS116" s="112">
        <f t="shared" ref="AS116" si="1142">+AS115/AS113</f>
        <v>0.65719596388741375</v>
      </c>
      <c r="AT116" s="137">
        <f t="shared" ref="AT116" si="1143">+AT115/AT113</f>
        <v>0.65719596388741375</v>
      </c>
      <c r="AU116" s="137">
        <f t="shared" ref="AU116" si="1144">+AU115/AU113</f>
        <v>0.65719596388741375</v>
      </c>
      <c r="AV116" s="137">
        <f t="shared" ref="AV116" si="1145">+AV115/AV113</f>
        <v>0.65719596388741375</v>
      </c>
      <c r="AW116" s="137">
        <f t="shared" ref="AW116" si="1146">+AW115/AW113</f>
        <v>0.65719596388741375</v>
      </c>
      <c r="AX116" s="112">
        <f t="shared" ref="AX116" si="1147">+AX115/AX113</f>
        <v>0.65719596388741375</v>
      </c>
      <c r="AY116" s="137">
        <f t="shared" ref="AY116" si="1148">+AY115/AY113</f>
        <v>0.65719596388741375</v>
      </c>
      <c r="AZ116" s="137">
        <f t="shared" ref="AZ116" si="1149">+AZ115/AZ113</f>
        <v>0.65719596388741375</v>
      </c>
      <c r="BA116" s="137">
        <f t="shared" ref="BA116" si="1150">+BA115/BA113</f>
        <v>0.65719596388741375</v>
      </c>
      <c r="BB116" s="137">
        <f t="shared" ref="BB116" si="1151">+BB115/BB113</f>
        <v>0.65719596388741375</v>
      </c>
      <c r="BC116" s="112">
        <f t="shared" ref="BC116" si="1152">+BC115/BC113</f>
        <v>0.65719596388741375</v>
      </c>
      <c r="BD116" s="137">
        <f t="shared" ref="BD116" si="1153">+BD115/BD113</f>
        <v>0.65719596388741375</v>
      </c>
      <c r="BE116" s="137">
        <f t="shared" ref="BE116" si="1154">+BE115/BE113</f>
        <v>0.65719596388741375</v>
      </c>
      <c r="BF116" s="137">
        <f t="shared" ref="BF116" si="1155">+BF115/BF113</f>
        <v>0.65719596388741375</v>
      </c>
      <c r="BG116" s="137">
        <f t="shared" ref="BG116" si="1156">+BG115/BG113</f>
        <v>0.65719596388741375</v>
      </c>
      <c r="BH116" s="112">
        <f t="shared" ref="BH116" si="1157">+BH115/BH113</f>
        <v>0.65719596388741375</v>
      </c>
      <c r="BI116" s="137">
        <f t="shared" ref="BI116" si="1158">+BI115/BI113</f>
        <v>0.65719596388741375</v>
      </c>
      <c r="BJ116" s="137">
        <f t="shared" ref="BJ116" si="1159">+BJ115/BJ113</f>
        <v>0.65719596388741375</v>
      </c>
      <c r="BK116" s="137">
        <f t="shared" ref="BK116" si="1160">+BK115/BK113</f>
        <v>0.65719596388741375</v>
      </c>
      <c r="BL116" s="137">
        <f t="shared" ref="BL116" si="1161">+BL115/BL113</f>
        <v>0.65719596388741375</v>
      </c>
      <c r="BM116" s="112">
        <f t="shared" ref="BM116" si="1162">+BM115/BM113</f>
        <v>0.65719596388741375</v>
      </c>
      <c r="BN116" s="137">
        <f t="shared" ref="BN116" si="1163">+BN115/BN113</f>
        <v>0.65719596388741375</v>
      </c>
      <c r="BO116" s="137">
        <f t="shared" ref="BO116" si="1164">+BO115/BO113</f>
        <v>0.65719596388741375</v>
      </c>
      <c r="BP116" s="137">
        <f t="shared" ref="BP116" si="1165">+BP115/BP113</f>
        <v>0.65719596388741375</v>
      </c>
      <c r="BQ116" s="137">
        <f t="shared" ref="BQ116" si="1166">+BQ115/BQ113</f>
        <v>0.65719596388741375</v>
      </c>
      <c r="BR116" s="112">
        <f t="shared" ref="BR116" si="1167">+BR115/BR113</f>
        <v>0.65719596388741375</v>
      </c>
      <c r="BS116" s="137">
        <f t="shared" ref="BS116" si="1168">+BS115/BS113</f>
        <v>0.65719596388741375</v>
      </c>
      <c r="BT116" s="137">
        <f t="shared" ref="BT116" si="1169">+BT115/BT113</f>
        <v>0.65719596388741375</v>
      </c>
      <c r="BU116" s="137">
        <f t="shared" ref="BU116" si="1170">+BU115/BU113</f>
        <v>0.65719596388741375</v>
      </c>
      <c r="BV116" s="137">
        <f t="shared" ref="BV116" si="1171">+BV115/BV113</f>
        <v>0.65719596388741375</v>
      </c>
      <c r="BW116" s="112">
        <f t="shared" ref="BW116" si="1172">+BW115/BW113</f>
        <v>0.65719596388741375</v>
      </c>
      <c r="BX116" s="137">
        <f t="shared" ref="BX116" si="1173">+BX115/BX113</f>
        <v>0.65719596388741375</v>
      </c>
      <c r="BY116" s="137">
        <f t="shared" ref="BY116" si="1174">+BY115/BY113</f>
        <v>0.65719596388741375</v>
      </c>
      <c r="BZ116" s="137">
        <f t="shared" ref="BZ116" si="1175">+BZ115/BZ113</f>
        <v>0.65719596388741375</v>
      </c>
      <c r="CA116" s="137">
        <f t="shared" ref="CA116" si="1176">+CA115/CA113</f>
        <v>0.65719596388741375</v>
      </c>
      <c r="CB116" s="112">
        <f t="shared" ref="CB116" si="1177">+CB115/CB113</f>
        <v>0.65719596388741375</v>
      </c>
      <c r="CC116" s="137">
        <f t="shared" ref="CC116" si="1178">+CC115/CC113</f>
        <v>0.65719596388741375</v>
      </c>
      <c r="CD116" s="137">
        <f t="shared" ref="CD116" si="1179">+CD115/CD113</f>
        <v>0.65719596388741375</v>
      </c>
      <c r="CE116" s="137">
        <f t="shared" ref="CE116" si="1180">+CE115/CE113</f>
        <v>0.65719596388741375</v>
      </c>
      <c r="CF116" s="137">
        <f t="shared" ref="CF116" si="1181">+CF115/CF113</f>
        <v>0.65719596388741375</v>
      </c>
      <c r="CG116" s="112">
        <f t="shared" ref="CG116" si="1182">+CG115/CG113</f>
        <v>0.65719596388741375</v>
      </c>
      <c r="CH116" s="137">
        <f t="shared" ref="CH116" si="1183">+CH115/CH113</f>
        <v>0.65719596388741375</v>
      </c>
      <c r="CI116" s="137">
        <f t="shared" ref="CI116" si="1184">+CI115/CI113</f>
        <v>0.65719596388741375</v>
      </c>
      <c r="CJ116" s="137">
        <f t="shared" ref="CJ116" si="1185">+CJ115/CJ113</f>
        <v>0.65719596388741375</v>
      </c>
      <c r="CK116" s="137">
        <f t="shared" ref="CK116" si="1186">+CK115/CK113</f>
        <v>0.65719596388741375</v>
      </c>
      <c r="CL116" s="112">
        <f t="shared" ref="CL116" si="1187">+CL115/CL113</f>
        <v>0.65719596388741375</v>
      </c>
      <c r="CM116" s="137">
        <f t="shared" ref="CM116" si="1188">+CM115/CM113</f>
        <v>0.65719596388741375</v>
      </c>
      <c r="CN116" s="137">
        <f t="shared" ref="CN116" si="1189">+CN115/CN113</f>
        <v>0.65719596388741375</v>
      </c>
      <c r="CO116" s="137">
        <f t="shared" ref="CO116" si="1190">+CO115/CO113</f>
        <v>0.65719596388741375</v>
      </c>
      <c r="CP116" s="137">
        <f t="shared" ref="CP116" si="1191">+CP115/CP113</f>
        <v>0.65719596388741375</v>
      </c>
      <c r="CQ116" s="112">
        <f t="shared" ref="CQ116" si="1192">+CQ115/CQ113</f>
        <v>0.65719596388741375</v>
      </c>
      <c r="CR116" s="137">
        <f t="shared" ref="CR116" si="1193">+CR115/CR113</f>
        <v>0.65719596388741375</v>
      </c>
      <c r="CS116" s="137">
        <f t="shared" ref="CS116" si="1194">+CS115/CS113</f>
        <v>0.65719596388741375</v>
      </c>
      <c r="CT116" s="137">
        <f t="shared" ref="CT116" si="1195">+CT115/CT113</f>
        <v>0.65719596388741375</v>
      </c>
      <c r="CU116" s="137">
        <f t="shared" ref="CU116" si="1196">+CU115/CU113</f>
        <v>0.65719596388741375</v>
      </c>
      <c r="CV116" s="112">
        <f t="shared" ref="CV116" si="1197">+CV115/CV113</f>
        <v>0.65719596388741375</v>
      </c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</row>
    <row r="117" spans="1:115">
      <c r="A117" s="146"/>
      <c r="B117" s="34"/>
      <c r="C117" s="34"/>
      <c r="D117" s="34"/>
      <c r="E117" s="100"/>
      <c r="J117" s="100"/>
      <c r="O117" s="100"/>
      <c r="T117" s="100"/>
      <c r="Y117" s="100"/>
      <c r="AD117" s="100"/>
      <c r="AI117" s="100"/>
      <c r="AN117" s="100"/>
      <c r="AS117" s="100"/>
      <c r="AX117" s="100"/>
      <c r="BC117" s="100"/>
      <c r="BH117" s="100"/>
      <c r="BM117" s="100"/>
      <c r="BR117" s="100"/>
      <c r="BW117" s="100"/>
      <c r="CB117" s="100"/>
      <c r="CG117" s="100"/>
      <c r="CL117" s="100"/>
      <c r="CQ117" s="100"/>
      <c r="CV117" s="100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</row>
    <row r="118" spans="1:115">
      <c r="A118" s="148" t="s">
        <v>75</v>
      </c>
      <c r="B118" s="71"/>
      <c r="C118" s="71"/>
      <c r="D118" s="71">
        <v>1003.504</v>
      </c>
      <c r="E118" s="134">
        <v>1003.504</v>
      </c>
      <c r="F118" s="136">
        <v>2076.0345000000002</v>
      </c>
      <c r="G118" s="136">
        <v>2209.4065000000001</v>
      </c>
      <c r="H118" s="136">
        <v>2286.1554999999998</v>
      </c>
      <c r="I118" s="136">
        <v>2251.9670000000001</v>
      </c>
      <c r="J118" s="134">
        <v>8823.5635000000002</v>
      </c>
      <c r="K118" s="136">
        <v>2021.3820000000001</v>
      </c>
      <c r="L118" s="136">
        <v>2178.1824999999999</v>
      </c>
      <c r="M118" s="136">
        <v>2306.0965000000001</v>
      </c>
      <c r="N118" s="136">
        <v>2244.3955000000001</v>
      </c>
      <c r="O118" s="134">
        <v>8750.0565000000006</v>
      </c>
      <c r="P118" s="136">
        <v>2110.5120000000002</v>
      </c>
      <c r="Q118" s="136">
        <v>2129.848</v>
      </c>
      <c r="R118" s="136">
        <v>2362.5135</v>
      </c>
      <c r="S118" s="136">
        <v>2381.67</v>
      </c>
      <c r="T118" s="134">
        <v>8984.5434999999998</v>
      </c>
      <c r="U118" s="136">
        <v>2227.6999999999998</v>
      </c>
      <c r="V118" s="136">
        <v>2291.9</v>
      </c>
      <c r="W118" s="136">
        <v>2529.1999999999998</v>
      </c>
      <c r="X118" s="136">
        <v>2565.9</v>
      </c>
      <c r="Y118" s="134">
        <f>+SUM(U118:X118)</f>
        <v>9614.7000000000007</v>
      </c>
      <c r="Z118" s="136">
        <v>2412.0920000000001</v>
      </c>
      <c r="AA118" s="136">
        <v>2408.4830000000002</v>
      </c>
      <c r="AB118" s="136">
        <v>2532.8539999999998</v>
      </c>
      <c r="AC118" s="136">
        <v>2570.748</v>
      </c>
      <c r="AD118" s="134">
        <f>+SUM(Z118:AC118)</f>
        <v>9924.1769999999997</v>
      </c>
      <c r="AE118" s="302">
        <v>2188.7184999999999</v>
      </c>
      <c r="AF118" s="302">
        <v>2311.9904999999999</v>
      </c>
      <c r="AG118" s="302">
        <v>2446.8294999999998</v>
      </c>
      <c r="AH118" s="300">
        <f>AC118*(1+AH119)</f>
        <v>2607.0639999999999</v>
      </c>
      <c r="AI118" s="301">
        <f>+SUM(AE118:AH118)</f>
        <v>9554.6024999999991</v>
      </c>
      <c r="AJ118" s="300">
        <f t="shared" ref="AJ118:AM118" si="1198">AE118*(1+AJ119)</f>
        <v>2274.2820000000002</v>
      </c>
      <c r="AK118" s="300">
        <f t="shared" si="1198"/>
        <v>2402.373</v>
      </c>
      <c r="AL118" s="300">
        <f t="shared" si="1198"/>
        <v>2542.4839999999999</v>
      </c>
      <c r="AM118" s="300">
        <f t="shared" si="1198"/>
        <v>2588.6970000000001</v>
      </c>
      <c r="AN118" s="301">
        <f>+SUM(AJ118:AM118)</f>
        <v>9807.8360000000011</v>
      </c>
      <c r="AO118" s="300">
        <f t="shared" ref="AO118" si="1199">AJ118*(1+AO119)</f>
        <v>2275.056</v>
      </c>
      <c r="AP118" s="300">
        <f t="shared" ref="AP118" si="1200">AK118*(1+AP119)</f>
        <v>2445.3770000000004</v>
      </c>
      <c r="AQ118" s="300">
        <f t="shared" ref="AQ118" si="1201">AL118*(1+AQ119)</f>
        <v>2646.4460000000004</v>
      </c>
      <c r="AR118" s="300">
        <f t="shared" ref="AR118" si="1202">AM118*(1+AR119)</f>
        <v>2717.3019999999997</v>
      </c>
      <c r="AS118" s="301">
        <f>+SUM(AO118:AR118)</f>
        <v>10084.181</v>
      </c>
      <c r="AT118" s="300">
        <f t="shared" ref="AT118" si="1203">AO118*(1+AT119)</f>
        <v>2415.0520000000001</v>
      </c>
      <c r="AU118" s="300">
        <f t="shared" ref="AU118" si="1204">AP118*(1+AU119)</f>
        <v>2594.9920000000006</v>
      </c>
      <c r="AV118" s="300">
        <f t="shared" ref="AV118" si="1205">AQ118*(1+AV119)</f>
        <v>2806.4930000000004</v>
      </c>
      <c r="AW118" s="300">
        <f t="shared" ref="AW118" si="1206">AR118*(1+AW119)</f>
        <v>2882.8929999999996</v>
      </c>
      <c r="AX118" s="301">
        <f>+SUM(AT118:AW118)</f>
        <v>10699.43</v>
      </c>
      <c r="AY118" s="300">
        <f t="shared" ref="AY118" si="1207">AT118*(1+AY119)</f>
        <v>2514.7860000000001</v>
      </c>
      <c r="AZ118" s="300">
        <f t="shared" ref="AZ118" si="1208">AU118*(1+AZ119)</f>
        <v>2701.3460000000005</v>
      </c>
      <c r="BA118" s="300">
        <f t="shared" ref="BA118" si="1209">AV118*(1+BA119)</f>
        <v>2919.7560000000003</v>
      </c>
      <c r="BB118" s="300">
        <f t="shared" ref="BB118" si="1210">AW118*(1+BB119)</f>
        <v>3000.4259999999999</v>
      </c>
      <c r="BC118" s="301">
        <f>+SUM(AY118:BB118)</f>
        <v>11136.314</v>
      </c>
      <c r="BD118" s="300">
        <f t="shared" ref="BD118" si="1211">AY118*(1+BD119)</f>
        <v>2615.4830000000002</v>
      </c>
      <c r="BE118" s="300">
        <f t="shared" ref="BE118" si="1212">AZ118*(1+BE119)</f>
        <v>2808.8120000000004</v>
      </c>
      <c r="BF118" s="300">
        <f t="shared" ref="BF118" si="1213">BA118*(1+BF119)</f>
        <v>3034.3850000000011</v>
      </c>
      <c r="BG118" s="300">
        <f t="shared" ref="BG118" si="1214">BB118*(1+BG119)</f>
        <v>3119.25</v>
      </c>
      <c r="BH118" s="301">
        <f>+SUM(BD118:BG118)</f>
        <v>11577.93</v>
      </c>
      <c r="BI118" s="300">
        <f t="shared" ref="BI118" si="1215">BD118*(1+BI119)</f>
        <v>2726.451</v>
      </c>
      <c r="BJ118" s="300">
        <f t="shared" ref="BJ118" si="1216">BE118*(1+BJ119)</f>
        <v>2927.7410000000004</v>
      </c>
      <c r="BK118" s="300">
        <f t="shared" ref="BK118" si="1217">BF118*(1+BK119)</f>
        <v>3162.3420000000006</v>
      </c>
      <c r="BL118" s="300">
        <f t="shared" ref="BL118" si="1218">BG118*(1+BL119)</f>
        <v>3251.1390000000001</v>
      </c>
      <c r="BM118" s="301">
        <f>+SUM(BI118:BL118)</f>
        <v>12067.673000000003</v>
      </c>
      <c r="BN118" s="300">
        <f t="shared" ref="BN118" si="1219">BI118*(1+BN119)</f>
        <v>2839.4459999999999</v>
      </c>
      <c r="BO118" s="300">
        <f t="shared" ref="BO118" si="1220">BJ118*(1+BO119)</f>
        <v>3048.9009999999998</v>
      </c>
      <c r="BP118" s="300">
        <f t="shared" ref="BP118" si="1221">BK118*(1+BP119)</f>
        <v>3292.8250000000003</v>
      </c>
      <c r="BQ118" s="300">
        <f t="shared" ref="BQ118" si="1222">BL118*(1+BQ119)</f>
        <v>3385.5459999999998</v>
      </c>
      <c r="BR118" s="301">
        <f>+SUM(BN118:BQ118)</f>
        <v>12566.718000000001</v>
      </c>
      <c r="BS118" s="300">
        <f t="shared" ref="BS118" si="1223">BN118*(1+BS119)</f>
        <v>2954.3359999999998</v>
      </c>
      <c r="BT118" s="300">
        <f t="shared" ref="BT118" si="1224">BO118*(1+BT119)</f>
        <v>3172.1570000000006</v>
      </c>
      <c r="BU118" s="300">
        <f t="shared" ref="BU118" si="1225">BP118*(1+BU119)</f>
        <v>3425.7040000000006</v>
      </c>
      <c r="BV118" s="300">
        <f t="shared" ref="BV118" si="1226">BQ118*(1+BV119)</f>
        <v>3522.3270000000002</v>
      </c>
      <c r="BW118" s="301">
        <f>+SUM(BS118:BV118)</f>
        <v>13074.524000000001</v>
      </c>
      <c r="BX118" s="300">
        <f t="shared" ref="BX118" si="1227">BS118*(1+BX119)</f>
        <v>3070.9690000000001</v>
      </c>
      <c r="BY118" s="300">
        <f t="shared" ref="BY118" si="1228">BT118*(1+BY119)</f>
        <v>3297.3550000000005</v>
      </c>
      <c r="BZ118" s="300">
        <f t="shared" ref="BZ118" si="1229">BU118*(1+BZ119)</f>
        <v>3560.8340000000003</v>
      </c>
      <c r="CA118" s="300">
        <f t="shared" ref="CA118" si="1230">BV118*(1+CA119)</f>
        <v>3661.3189999999995</v>
      </c>
      <c r="CB118" s="301">
        <f>+SUM(BX118:CA118)</f>
        <v>13590.477000000001</v>
      </c>
      <c r="CC118" s="300">
        <f t="shared" ref="CC118" si="1231">BX118*(1+CC119)</f>
        <v>3189.19</v>
      </c>
      <c r="CD118" s="300">
        <f t="shared" ref="CD118" si="1232">BY118*(1+CD119)</f>
        <v>3424.337</v>
      </c>
      <c r="CE118" s="300">
        <f t="shared" ref="CE118" si="1233">BZ118*(1+CE119)</f>
        <v>3698.0620000000004</v>
      </c>
      <c r="CF118" s="300">
        <f t="shared" ref="CF118" si="1234">CA118*(1+CF119)</f>
        <v>3802.3529999999996</v>
      </c>
      <c r="CG118" s="301">
        <f>+SUM(CC118:CF118)</f>
        <v>14113.941999999999</v>
      </c>
      <c r="CH118" s="300">
        <f t="shared" ref="CH118" si="1235">CC118*(1+CH119)</f>
        <v>3308.8319999999999</v>
      </c>
      <c r="CI118" s="300">
        <f t="shared" ref="CI118" si="1236">CD118*(1+CI119)</f>
        <v>3552.933</v>
      </c>
      <c r="CJ118" s="300">
        <f t="shared" ref="CJ118" si="1237">CE118*(1+CJ119)</f>
        <v>3837.2240000000006</v>
      </c>
      <c r="CK118" s="300">
        <f t="shared" ref="CK118" si="1238">CF118*(1+CK119)</f>
        <v>3945.2460000000001</v>
      </c>
      <c r="CL118" s="301">
        <f>+SUM(CH118:CK118)</f>
        <v>14644.235000000001</v>
      </c>
      <c r="CM118" s="300">
        <f t="shared" ref="CM118" si="1239">CH118*(1+CM119)</f>
        <v>3429.723</v>
      </c>
      <c r="CN118" s="300">
        <f t="shared" ref="CN118" si="1240">CI118*(1+CN119)</f>
        <v>3682.9660000000003</v>
      </c>
      <c r="CO118" s="300">
        <f t="shared" ref="CO118" si="1241">CJ118*(1+CO119)</f>
        <v>3978.1520000000005</v>
      </c>
      <c r="CP118" s="300">
        <f t="shared" ref="CP118" si="1242">CK118*(1+CP119)</f>
        <v>4089.8110000000006</v>
      </c>
      <c r="CQ118" s="301">
        <f>+SUM(CM118:CP118)</f>
        <v>15180.652000000002</v>
      </c>
      <c r="CR118" s="300">
        <f>CM118*(1+CR119)</f>
        <v>3499.3463769</v>
      </c>
      <c r="CS118" s="300">
        <f>CN118*(1+CS119)</f>
        <v>3757.7302098000005</v>
      </c>
      <c r="CT118" s="300">
        <f>CO118*(1+CT119)</f>
        <v>4058.9084856000004</v>
      </c>
      <c r="CU118" s="300">
        <f>CP118*(1+CU119)</f>
        <v>4172.8341633000009</v>
      </c>
      <c r="CV118" s="301">
        <f>+SUM(CR118:CU118)</f>
        <v>15488.819235600004</v>
      </c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</row>
    <row r="119" spans="1:115">
      <c r="A119" s="146" t="s">
        <v>70</v>
      </c>
      <c r="B119" s="34"/>
      <c r="C119" s="34"/>
      <c r="D119" s="34"/>
      <c r="E119" s="111"/>
      <c r="I119" s="110">
        <f>+I118/D118-1</f>
        <v>1.2441036607726526</v>
      </c>
      <c r="J119" s="111">
        <f t="shared" ref="J119:X119" si="1243">+J118/E118-1</f>
        <v>7.792753691066503</v>
      </c>
      <c r="K119" s="110">
        <f t="shared" si="1243"/>
        <v>-2.6325429562948033E-2</v>
      </c>
      <c r="L119" s="110">
        <f t="shared" si="1243"/>
        <v>-1.4132302045820944E-2</v>
      </c>
      <c r="M119" s="110">
        <f t="shared" si="1243"/>
        <v>8.7225037841915931E-3</v>
      </c>
      <c r="N119" s="110">
        <f t="shared" si="1243"/>
        <v>-3.3621718257861311E-3</v>
      </c>
      <c r="O119" s="111">
        <f t="shared" si="1243"/>
        <v>-8.3307611488260269E-3</v>
      </c>
      <c r="P119" s="110">
        <f t="shared" si="1243"/>
        <v>4.4093595371879291E-2</v>
      </c>
      <c r="Q119" s="110">
        <f t="shared" si="1243"/>
        <v>-2.2190289381169848E-2</v>
      </c>
      <c r="R119" s="110">
        <f t="shared" si="1243"/>
        <v>2.4464284126878511E-2</v>
      </c>
      <c r="S119" s="110">
        <f t="shared" si="1243"/>
        <v>6.1163239723123652E-2</v>
      </c>
      <c r="T119" s="111">
        <f t="shared" si="1243"/>
        <v>2.679834124499636E-2</v>
      </c>
      <c r="U119" s="110">
        <f t="shared" si="1243"/>
        <v>5.5525862918571312E-2</v>
      </c>
      <c r="V119" s="110">
        <f t="shared" si="1243"/>
        <v>7.6086180797878544E-2</v>
      </c>
      <c r="W119" s="110">
        <f t="shared" si="1243"/>
        <v>7.0554729105251512E-2</v>
      </c>
      <c r="X119" s="110">
        <f t="shared" si="1243"/>
        <v>7.7353285719684139E-2</v>
      </c>
      <c r="Y119" s="111">
        <f t="shared" ref="Y119" si="1244">+Y118/T118-1</f>
        <v>7.0137842840874542E-2</v>
      </c>
      <c r="Z119" s="110">
        <f t="shared" ref="Z119" si="1245">+Z118/U118-1</f>
        <v>8.2772366117520368E-2</v>
      </c>
      <c r="AA119" s="110">
        <f t="shared" ref="AA119" si="1246">+AA118/V118-1</f>
        <v>5.0867402591736166E-2</v>
      </c>
      <c r="AB119" s="110">
        <f t="shared" ref="AB119" si="1247">+AB118/W118-1</f>
        <v>1.4447256049343604E-3</v>
      </c>
      <c r="AC119" s="110">
        <f t="shared" ref="AC119" si="1248">+AC118/X118-1</f>
        <v>1.8893955337309087E-3</v>
      </c>
      <c r="AD119" s="111">
        <f>+AD118/Y118-1</f>
        <v>3.2187899778464146E-2</v>
      </c>
      <c r="AE119" s="110">
        <f t="shared" ref="AE119:AG119" si="1249">+AE118/Z118-1</f>
        <v>-9.2605713214918839E-2</v>
      </c>
      <c r="AF119" s="110">
        <f t="shared" si="1249"/>
        <v>-4.0063600199793936E-2</v>
      </c>
      <c r="AG119" s="110">
        <f t="shared" si="1249"/>
        <v>-3.3963465718908403E-2</v>
      </c>
      <c r="AH119" s="110">
        <v>1.4126627736362973E-2</v>
      </c>
      <c r="AI119" s="111">
        <f>+AI118/AD118-1</f>
        <v>-3.7239813437426661E-2</v>
      </c>
      <c r="AJ119" s="110">
        <v>3.9092966957605668E-2</v>
      </c>
      <c r="AK119" s="110">
        <v>3.9092937449353826E-2</v>
      </c>
      <c r="AL119" s="110">
        <v>3.9093242908833759E-2</v>
      </c>
      <c r="AM119" s="110">
        <v>-7.0450898021681141E-3</v>
      </c>
      <c r="AN119" s="111">
        <f>+AN118/AI118-1</f>
        <v>2.6503823680786631E-2</v>
      </c>
      <c r="AO119" s="110">
        <v>3.4032718897658576E-4</v>
      </c>
      <c r="AP119" s="110">
        <v>1.7900634081385425E-2</v>
      </c>
      <c r="AQ119" s="110">
        <v>4.0889932837335552E-2</v>
      </c>
      <c r="AR119" s="110">
        <v>4.9679433321087707E-2</v>
      </c>
      <c r="AS119" s="111">
        <f>+AS118/AN118-1</f>
        <v>2.8175940136029975E-2</v>
      </c>
      <c r="AT119" s="110">
        <v>6.1535188584368905E-2</v>
      </c>
      <c r="AU119" s="110">
        <v>6.1182795127295408E-2</v>
      </c>
      <c r="AV119" s="110">
        <v>6.047620091246908E-2</v>
      </c>
      <c r="AW119" s="110">
        <v>6.0939490715422817E-2</v>
      </c>
      <c r="AX119" s="111">
        <f>+AX118/AS118-1</f>
        <v>6.1011300768996524E-2</v>
      </c>
      <c r="AY119" s="110">
        <v>4.1296833360109808E-2</v>
      </c>
      <c r="AZ119" s="110">
        <v>4.0984326733955134E-2</v>
      </c>
      <c r="BA119" s="110">
        <v>4.0357485302831675E-2</v>
      </c>
      <c r="BB119" s="110">
        <v>4.0769116300882535E-2</v>
      </c>
      <c r="BC119" s="111">
        <f>+BC118/AX118-1</f>
        <v>4.0832455560716685E-2</v>
      </c>
      <c r="BD119" s="110">
        <v>4.0041975738691171E-2</v>
      </c>
      <c r="BE119" s="110">
        <v>3.9782389964114095E-2</v>
      </c>
      <c r="BF119" s="110">
        <v>3.925978746169223E-2</v>
      </c>
      <c r="BG119" s="110">
        <v>3.9602376462542388E-2</v>
      </c>
      <c r="BH119" s="111">
        <f>+BH118/BC118-1</f>
        <v>3.9655491035902823E-2</v>
      </c>
      <c r="BI119" s="110">
        <v>4.2427345159574692E-2</v>
      </c>
      <c r="BJ119" s="110">
        <v>4.2341388458893015E-2</v>
      </c>
      <c r="BK119" s="110">
        <v>4.216900624014408E-2</v>
      </c>
      <c r="BL119" s="110">
        <v>4.2282279394085132E-2</v>
      </c>
      <c r="BM119" s="111">
        <f>+BM118/BH118-1</f>
        <v>4.229970296935659E-2</v>
      </c>
      <c r="BN119" s="110">
        <v>4.1443987073305211E-2</v>
      </c>
      <c r="BO119" s="110">
        <v>4.1383442046273755E-2</v>
      </c>
      <c r="BP119" s="110">
        <v>4.1261508084830645E-2</v>
      </c>
      <c r="BQ119" s="110">
        <v>4.1341511390315722E-2</v>
      </c>
      <c r="BR119" s="111">
        <f>+BR118/BM118-1</f>
        <v>4.1353871620485316E-2</v>
      </c>
      <c r="BS119" s="110">
        <v>4.0462118314628981E-2</v>
      </c>
      <c r="BT119" s="110">
        <v>4.0426370026445779E-2</v>
      </c>
      <c r="BU119" s="110">
        <v>4.0354103239619521E-2</v>
      </c>
      <c r="BV119" s="110">
        <v>4.0401459616853597E-2</v>
      </c>
      <c r="BW119" s="111">
        <f>+BW118/BR118-1</f>
        <v>4.0408800452114813E-2</v>
      </c>
      <c r="BX119" s="110">
        <v>3.9478583343262263E-2</v>
      </c>
      <c r="BY119" s="110">
        <v>3.946778170185139E-2</v>
      </c>
      <c r="BZ119" s="110">
        <v>3.9445906593214008E-2</v>
      </c>
      <c r="CA119" s="110">
        <v>3.946027725421275E-2</v>
      </c>
      <c r="CB119" s="111">
        <f>+CB118/BW118-1</f>
        <v>3.946246914992857E-2</v>
      </c>
      <c r="CC119" s="110">
        <v>3.8496318263062879E-2</v>
      </c>
      <c r="CD119" s="110">
        <v>3.8510260496670723E-2</v>
      </c>
      <c r="CE119" s="110">
        <v>3.8538162688853239E-2</v>
      </c>
      <c r="CF119" s="110">
        <v>3.851999784777016E-2</v>
      </c>
      <c r="CG119" s="111">
        <f>+CG118/CB118-1</f>
        <v>3.851704395658806E-2</v>
      </c>
      <c r="CH119" s="110">
        <v>3.7514854869104663E-2</v>
      </c>
      <c r="CI119" s="110">
        <v>3.7553546861772036E-2</v>
      </c>
      <c r="CJ119" s="110">
        <v>3.7631061891336692E-2</v>
      </c>
      <c r="CK119" s="110">
        <v>3.7580151027534897E-2</v>
      </c>
      <c r="CL119" s="111">
        <f>+CL118/CG118-1</f>
        <v>3.7572281365475524E-2</v>
      </c>
      <c r="CM119" s="110">
        <v>3.6535853134882702E-2</v>
      </c>
      <c r="CN119" s="110">
        <v>3.6598776278640797E-2</v>
      </c>
      <c r="CO119" s="110">
        <v>3.6726550235274297E-2</v>
      </c>
      <c r="CP119" s="110">
        <v>3.6642835453099903E-2</v>
      </c>
      <c r="CQ119" s="111">
        <f>+CQ118/CL118-1</f>
        <v>3.6629909312436038E-2</v>
      </c>
      <c r="CR119" s="110">
        <v>2.0299999999999999E-2</v>
      </c>
      <c r="CS119" s="110">
        <v>2.0299999999999999E-2</v>
      </c>
      <c r="CT119" s="110">
        <v>2.0299999999999999E-2</v>
      </c>
      <c r="CU119" s="110">
        <v>2.0299999999999999E-2</v>
      </c>
      <c r="CV119" s="111">
        <f>+CV118/CQ118-1</f>
        <v>2.0300000000000207E-2</v>
      </c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</row>
    <row r="120" spans="1:115">
      <c r="A120" s="146" t="s">
        <v>76</v>
      </c>
      <c r="B120" s="34"/>
      <c r="C120" s="34"/>
      <c r="D120" s="34"/>
      <c r="E120" s="118"/>
      <c r="F120" s="119"/>
      <c r="G120" s="119"/>
      <c r="H120" s="119"/>
      <c r="I120" s="119"/>
      <c r="J120" s="118">
        <f>+J119/(J$4/100)</f>
        <v>103.43975930039878</v>
      </c>
      <c r="K120" s="119">
        <f t="shared" ref="K120" si="1250">+K119/(K$4/100)</f>
        <v>-0.62151983547437262</v>
      </c>
      <c r="L120" s="119">
        <f t="shared" ref="L120" si="1251">+L119/(L$4/100)</f>
        <v>-0.42639636516112356</v>
      </c>
      <c r="M120" s="119">
        <f t="shared" ref="M120" si="1252">+M119/(M$4/100)</f>
        <v>0.41105758302627099</v>
      </c>
      <c r="N120" s="119">
        <f t="shared" ref="N120" si="1253">+N119/(N$4/100)</f>
        <v>-0.24604984725071546</v>
      </c>
      <c r="O120" s="118">
        <f t="shared" ref="O120" si="1254">+O119/(O$4/100)</f>
        <v>-0.30487586343662376</v>
      </c>
      <c r="P120" s="119">
        <f t="shared" ref="P120" si="1255">+P119/(P$4/100)</f>
        <v>5.8577220427929992</v>
      </c>
      <c r="Q120" s="119">
        <f t="shared" ref="Q120" si="1256">+Q119/(Q$4/100)</f>
        <v>-4.5307023344003925</v>
      </c>
      <c r="R120" s="119">
        <f t="shared" ref="R120" si="1257">+R119/(R$4/100)</f>
        <v>4.0773806878130854</v>
      </c>
      <c r="S120" s="119">
        <f t="shared" ref="S120" si="1258">+S119/(S$4/100)</f>
        <v>2.0733301601058867</v>
      </c>
      <c r="T120" s="118">
        <f t="shared" ref="T120:U120" si="1259">+T119/(T$4/100)</f>
        <v>2.679834124499636</v>
      </c>
      <c r="U120" s="119">
        <f t="shared" si="1259"/>
        <v>2.0514486642503909</v>
      </c>
      <c r="V120" s="119">
        <f t="shared" ref="V120:W120" si="1260">+V119/(V$4/100)</f>
        <v>2.3056418423599556</v>
      </c>
      <c r="W120" s="119">
        <f t="shared" si="1260"/>
        <v>1.8380032657556333</v>
      </c>
      <c r="X120" s="119">
        <f t="shared" ref="X120" si="1261">+X119/(X$4/100)</f>
        <v>2.2281092254549502</v>
      </c>
      <c r="Y120" s="118">
        <f t="shared" ref="Y120:AC120" si="1262">+Y119/(Y$4/100)</f>
        <v>2.1253891769961983</v>
      </c>
      <c r="Z120" s="119">
        <f t="shared" si="1262"/>
        <v>4.138618305876018</v>
      </c>
      <c r="AA120" s="119">
        <f t="shared" si="1262"/>
        <v>2.5433701295868083</v>
      </c>
      <c r="AB120" s="119">
        <f t="shared" si="1262"/>
        <v>7.2236280246718021E-2</v>
      </c>
      <c r="AC120" s="119">
        <f t="shared" si="1262"/>
        <v>9.4469776686545437E-2</v>
      </c>
      <c r="AD120" s="118">
        <f t="shared" ref="AD120:AE120" si="1263">+AD119/(AD$4/100)</f>
        <v>22.262439002773405</v>
      </c>
      <c r="AE120" s="119">
        <f t="shared" si="1263"/>
        <v>2.987281071448995</v>
      </c>
      <c r="AF120" s="119">
        <f t="shared" ref="AF120" si="1264">+AF119/(AF$4/100)</f>
        <v>1.2923741999933527</v>
      </c>
      <c r="AG120" s="119">
        <f>+AG119/(AG$4/100)</f>
        <v>1.0955956683518839</v>
      </c>
      <c r="AH120" s="119">
        <f>+AH119/(AH$4/100)</f>
        <v>-0.45569766891493463</v>
      </c>
      <c r="AI120" s="118">
        <f t="shared" ref="AI120:AK120" si="1265">+AI119/(AI$4/100)</f>
        <v>1.2012843044331181</v>
      </c>
      <c r="AJ120" s="119">
        <f t="shared" si="1265"/>
        <v>-1.9546483478802834</v>
      </c>
      <c r="AK120" s="119">
        <f t="shared" si="1265"/>
        <v>-1.9546468724676913</v>
      </c>
      <c r="AL120" s="119">
        <f>+AL119/(AL$4/100)</f>
        <v>-1.9546621454416879</v>
      </c>
      <c r="AM120" s="119">
        <f>+AM119/(AM$4/100)</f>
        <v>0.3522544901084057</v>
      </c>
      <c r="AN120" s="118">
        <f t="shared" ref="AN120:AP120" si="1266">+AN119/(AN$4/100)</f>
        <v>-1.3251911840393316</v>
      </c>
      <c r="AO120" s="119">
        <f t="shared" si="1266"/>
        <v>3.4032718897658576E-2</v>
      </c>
      <c r="AP120" s="119">
        <f t="shared" si="1266"/>
        <v>1.7900634081385425</v>
      </c>
      <c r="AQ120" s="119">
        <f>+AQ119/(AQ$4/100)</f>
        <v>4.0889932837335552</v>
      </c>
      <c r="AR120" s="119">
        <f>+AR119/(AR$4/100)</f>
        <v>4.9679433321087707</v>
      </c>
      <c r="AS120" s="118">
        <f t="shared" ref="AS120:AU120" si="1267">+AS119/(AS$4/100)</f>
        <v>2.8175940136029975</v>
      </c>
      <c r="AT120" s="119">
        <f t="shared" si="1267"/>
        <v>3.0767594292184453</v>
      </c>
      <c r="AU120" s="119">
        <f t="shared" si="1267"/>
        <v>3.0591397563647704</v>
      </c>
      <c r="AV120" s="119">
        <f>+AV119/(AV$4/100)</f>
        <v>3.023810045623454</v>
      </c>
      <c r="AW120" s="119">
        <f>+AW119/(AW$4/100)</f>
        <v>3.0469745357711409</v>
      </c>
      <c r="AX120" s="118">
        <f t="shared" ref="AX120:AZ120" si="1268">+AX119/(AX$4/100)</f>
        <v>3.0505650384498262</v>
      </c>
      <c r="AY120" s="119">
        <f t="shared" si="1268"/>
        <v>2.0648416680054904</v>
      </c>
      <c r="AZ120" s="119">
        <f t="shared" si="1268"/>
        <v>2.0492163366977567</v>
      </c>
      <c r="BA120" s="119">
        <f>+BA119/(BA$4/100)</f>
        <v>2.0178742651415837</v>
      </c>
      <c r="BB120" s="119">
        <f>+BB119/(BB$4/100)</f>
        <v>2.0384558150441268</v>
      </c>
      <c r="BC120" s="118">
        <f t="shared" ref="BC120:BE120" si="1269">+BC119/(BC$4/100)</f>
        <v>2.0416227780358343</v>
      </c>
      <c r="BD120" s="119">
        <f t="shared" si="1269"/>
        <v>2.0020987869345586</v>
      </c>
      <c r="BE120" s="119">
        <f t="shared" si="1269"/>
        <v>1.9891194982057048</v>
      </c>
      <c r="BF120" s="119">
        <f>+BF119/(BF$4/100)</f>
        <v>1.9629893730846115</v>
      </c>
      <c r="BG120" s="119">
        <f>+BG119/(BG$4/100)</f>
        <v>1.9801188231271194</v>
      </c>
      <c r="BH120" s="118">
        <f t="shared" ref="BH120:BJ120" si="1270">+BH119/(BH$4/100)</f>
        <v>1.9827745517951412</v>
      </c>
      <c r="BI120" s="119">
        <f t="shared" si="1270"/>
        <v>2.1213672579787346</v>
      </c>
      <c r="BJ120" s="119">
        <f t="shared" si="1270"/>
        <v>2.1170694229446507</v>
      </c>
      <c r="BK120" s="119">
        <f>+BK119/(BK$4/100)</f>
        <v>2.108450312007204</v>
      </c>
      <c r="BL120" s="119">
        <f>+BL119/(BL$4/100)</f>
        <v>2.1141139697042566</v>
      </c>
      <c r="BM120" s="118">
        <f t="shared" ref="BM120:BO120" si="1271">+BM119/(BM$4/100)</f>
        <v>2.1149851484678295</v>
      </c>
      <c r="BN120" s="119">
        <f t="shared" si="1271"/>
        <v>2.0721993536652605</v>
      </c>
      <c r="BO120" s="119">
        <f t="shared" si="1271"/>
        <v>2.0691721023136878</v>
      </c>
      <c r="BP120" s="119">
        <f>+BP119/(BP$4/100)</f>
        <v>2.0630754042415322</v>
      </c>
      <c r="BQ120" s="119">
        <f>+BQ119/(BQ$4/100)</f>
        <v>2.0670755695157861</v>
      </c>
      <c r="BR120" s="118">
        <f t="shared" ref="BR120:BT120" si="1272">+BR119/(BR$4/100)</f>
        <v>2.0676935810242658</v>
      </c>
      <c r="BS120" s="119">
        <f t="shared" si="1272"/>
        <v>2.023105915731449</v>
      </c>
      <c r="BT120" s="119">
        <f t="shared" si="1272"/>
        <v>2.021318501322289</v>
      </c>
      <c r="BU120" s="119">
        <f>+BU119/(BU$4/100)</f>
        <v>2.017705161980976</v>
      </c>
      <c r="BV120" s="119">
        <f>+BV119/(BV$4/100)</f>
        <v>2.0200729808426798</v>
      </c>
      <c r="BW120" s="118">
        <f t="shared" ref="BW120:BY120" si="1273">+BW119/(BW$4/100)</f>
        <v>2.0204400226057406</v>
      </c>
      <c r="BX120" s="119">
        <f t="shared" si="1273"/>
        <v>1.9739291671631132</v>
      </c>
      <c r="BY120" s="119">
        <f t="shared" si="1273"/>
        <v>1.9733890850925695</v>
      </c>
      <c r="BZ120" s="119">
        <f>+BZ119/(BZ$4/100)</f>
        <v>1.9722953296607004</v>
      </c>
      <c r="CA120" s="119">
        <f>+CA119/(CA$4/100)</f>
        <v>1.9730138627106375</v>
      </c>
      <c r="CB120" s="118">
        <f t="shared" ref="CB120:CD120" si="1274">+CB119/(CB$4/100)</f>
        <v>1.9731234574964285</v>
      </c>
      <c r="CC120" s="119">
        <f t="shared" si="1274"/>
        <v>1.9248159131531439</v>
      </c>
      <c r="CD120" s="119">
        <f t="shared" si="1274"/>
        <v>1.9255130248335361</v>
      </c>
      <c r="CE120" s="119">
        <f>+CE119/(CE$4/100)</f>
        <v>1.926908134442662</v>
      </c>
      <c r="CF120" s="119">
        <f>+CF119/(CF$4/100)</f>
        <v>1.925999892388508</v>
      </c>
      <c r="CG120" s="118">
        <f t="shared" ref="CG120:CI120" si="1275">+CG119/(CG$4/100)</f>
        <v>1.925852197829403</v>
      </c>
      <c r="CH120" s="119">
        <f t="shared" si="1275"/>
        <v>1.8757427434552332</v>
      </c>
      <c r="CI120" s="119">
        <f t="shared" si="1275"/>
        <v>1.8776773430886018</v>
      </c>
      <c r="CJ120" s="119">
        <f>+CJ119/(CJ$4/100)</f>
        <v>1.8815530945668346</v>
      </c>
      <c r="CK120" s="119">
        <f>+CK119/(CK$4/100)</f>
        <v>1.8790075513767448</v>
      </c>
      <c r="CL120" s="118">
        <f t="shared" ref="CL120:CN120" si="1276">+CL119/(CL$4/100)</f>
        <v>1.8786140682737762</v>
      </c>
      <c r="CM120" s="119">
        <f t="shared" si="1276"/>
        <v>1.826792656744135</v>
      </c>
      <c r="CN120" s="119">
        <f t="shared" si="1276"/>
        <v>1.8299388139320398</v>
      </c>
      <c r="CO120" s="119">
        <f t="shared" ref="CO120:CV120" si="1277">+CO119/(CO$4/100)</f>
        <v>1.8363275117637148</v>
      </c>
      <c r="CP120" s="119">
        <f t="shared" si="1277"/>
        <v>1.8321417726549951</v>
      </c>
      <c r="CQ120" s="118">
        <f t="shared" si="1277"/>
        <v>1.8314954656218019</v>
      </c>
      <c r="CR120" s="119">
        <f t="shared" si="1277"/>
        <v>1.0149999999999999</v>
      </c>
      <c r="CS120" s="119">
        <f t="shared" si="1277"/>
        <v>1.0149999999999999</v>
      </c>
      <c r="CT120" s="119">
        <f t="shared" si="1277"/>
        <v>1.0149999999999999</v>
      </c>
      <c r="CU120" s="119">
        <f t="shared" si="1277"/>
        <v>1.0149999999999999</v>
      </c>
      <c r="CV120" s="118">
        <f t="shared" si="1277"/>
        <v>1.0150000000000103</v>
      </c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</row>
    <row r="121" spans="1:115">
      <c r="A121" s="146"/>
      <c r="B121" s="34"/>
      <c r="C121" s="34"/>
      <c r="D121" s="34"/>
      <c r="E121" s="100"/>
      <c r="J121" s="100"/>
      <c r="O121" s="100"/>
      <c r="T121" s="100"/>
      <c r="Y121" s="100"/>
      <c r="AD121" s="100"/>
      <c r="AI121" s="100"/>
      <c r="AN121" s="100"/>
      <c r="AS121" s="100"/>
      <c r="AX121" s="100"/>
      <c r="BC121" s="100"/>
      <c r="BH121" s="100"/>
      <c r="BM121" s="100"/>
      <c r="BR121" s="100"/>
      <c r="BW121" s="100"/>
      <c r="CB121" s="100"/>
      <c r="CG121" s="100"/>
      <c r="CL121" s="100"/>
      <c r="CQ121" s="100"/>
      <c r="CV121" s="100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</row>
    <row r="122" spans="1:115" s="15" customFormat="1">
      <c r="A122" s="150" t="s">
        <v>88</v>
      </c>
      <c r="B122" s="28"/>
      <c r="C122" s="28"/>
      <c r="D122" s="28"/>
      <c r="E122" s="107"/>
      <c r="F122" s="108"/>
      <c r="G122" s="108"/>
      <c r="H122" s="108"/>
      <c r="I122" s="108"/>
      <c r="J122" s="107"/>
      <c r="K122" s="108"/>
      <c r="L122" s="108"/>
      <c r="M122" s="108"/>
      <c r="N122" s="108"/>
      <c r="O122" s="107"/>
      <c r="P122" s="108"/>
      <c r="Q122" s="108"/>
      <c r="R122" s="108">
        <f>+R118*R110/1000</f>
        <v>9.2138026499999999</v>
      </c>
      <c r="S122" s="108">
        <f>+S118*S110/1000</f>
        <v>9.288513</v>
      </c>
      <c r="T122" s="107">
        <f>+T118*T110/1000</f>
        <v>35.039719650000002</v>
      </c>
      <c r="U122" s="108">
        <f>+U118*U110/1000</f>
        <v>8.6880299999999995</v>
      </c>
      <c r="V122" s="108">
        <f t="shared" ref="V122:X122" si="1278">+V118*V110/1000</f>
        <v>9.0404623480600002</v>
      </c>
      <c r="W122" s="108">
        <f t="shared" ref="W122" si="1279">+W118*W110/1000</f>
        <v>9.9764987000799987</v>
      </c>
      <c r="X122" s="108">
        <f t="shared" si="1278"/>
        <v>10.121262855660001</v>
      </c>
      <c r="Y122" s="107">
        <f>+SUM(U122:X122)</f>
        <v>37.826253903800001</v>
      </c>
      <c r="Z122" s="108">
        <f t="shared" ref="Z122:AC122" si="1280">+Z118*Z110/1000</f>
        <v>9.5145629853208007</v>
      </c>
      <c r="AA122" s="108">
        <f t="shared" si="1280"/>
        <v>9.5003271859342</v>
      </c>
      <c r="AB122" s="108">
        <f t="shared" si="1280"/>
        <v>10.631329462604693</v>
      </c>
      <c r="AC122" s="108">
        <f t="shared" si="1280"/>
        <v>10.790384662255343</v>
      </c>
      <c r="AD122" s="107">
        <f>+SUM(Z122:AC122)</f>
        <v>40.436604296115036</v>
      </c>
      <c r="AE122" s="108">
        <f>+AE118*AE110/1000</f>
        <v>9.186864886171076</v>
      </c>
      <c r="AF122" s="108">
        <f>+AF118*AF110/1000</f>
        <v>9.7042832788278197</v>
      </c>
      <c r="AG122" s="108">
        <f t="shared" ref="AG122:AH122" si="1281">+AG118*AG110/1000</f>
        <v>11.297277935740611</v>
      </c>
      <c r="AH122" s="108">
        <f t="shared" si="1281"/>
        <v>12.037098050462307</v>
      </c>
      <c r="AI122" s="107">
        <f>+SUM(AE122:AH122)</f>
        <v>42.22552415120181</v>
      </c>
      <c r="AJ122" s="108">
        <f t="shared" ref="AJ122:AM122" si="1282">+AJ118*AJ110/1000</f>
        <v>10.500607360771165</v>
      </c>
      <c r="AK122" s="108">
        <f t="shared" si="1282"/>
        <v>11.092017439841632</v>
      </c>
      <c r="AL122" s="108">
        <f t="shared" si="1282"/>
        <v>12.490216376933756</v>
      </c>
      <c r="AM122" s="108">
        <f t="shared" si="1282"/>
        <v>12.717242533018609</v>
      </c>
      <c r="AN122" s="107">
        <f>+SUM(AJ122:AM122)</f>
        <v>46.800083710565161</v>
      </c>
      <c r="AO122" s="108">
        <f t="shared" ref="AO122:AR122" si="1283">+AO118*AO110/1000</f>
        <v>11.176448587146037</v>
      </c>
      <c r="AP122" s="108">
        <f t="shared" si="1283"/>
        <v>12.013168166713003</v>
      </c>
      <c r="AQ122" s="108">
        <f t="shared" si="1283"/>
        <v>13.650987509995888</v>
      </c>
      <c r="AR122" s="108">
        <f t="shared" si="1283"/>
        <v>14.016479332239099</v>
      </c>
      <c r="AS122" s="107">
        <f>+SUM(AO122:AR122)</f>
        <v>50.857083596094029</v>
      </c>
      <c r="AT122" s="108">
        <f t="shared" ref="AT122:AW122" si="1284">+AT118*AT110/1000</f>
        <v>12.457403131592553</v>
      </c>
      <c r="AU122" s="108">
        <f t="shared" si="1284"/>
        <v>13.385575742161091</v>
      </c>
      <c r="AV122" s="108">
        <f t="shared" si="1284"/>
        <v>15.200374741969204</v>
      </c>
      <c r="AW122" s="108">
        <f t="shared" si="1284"/>
        <v>15.61416826658745</v>
      </c>
      <c r="AX122" s="107">
        <f>+SUM(AT122:AW122)</f>
        <v>56.657521882310299</v>
      </c>
      <c r="AY122" s="108">
        <f t="shared" ref="AY122:BB122" si="1285">+AY118*AY110/1000</f>
        <v>13.620447154458523</v>
      </c>
      <c r="AZ122" s="108">
        <f t="shared" si="1285"/>
        <v>14.630883279494922</v>
      </c>
      <c r="BA122" s="108">
        <f t="shared" si="1285"/>
        <v>16.52544570611547</v>
      </c>
      <c r="BB122" s="108">
        <f t="shared" si="1285"/>
        <v>16.98202759347603</v>
      </c>
      <c r="BC122" s="107">
        <f>+SUM(AY122:BB122)</f>
        <v>61.758803733544951</v>
      </c>
      <c r="BD122" s="108">
        <f t="shared" ref="BD122:BG122" si="1286">+BD118*BD110/1000</f>
        <v>14.80329942357101</v>
      </c>
      <c r="BE122" s="108">
        <f t="shared" si="1286"/>
        <v>15.89751684890299</v>
      </c>
      <c r="BF122" s="108">
        <f t="shared" si="1286"/>
        <v>17.947071595898425</v>
      </c>
      <c r="BG122" s="108">
        <f t="shared" si="1286"/>
        <v>18.449011274280007</v>
      </c>
      <c r="BH122" s="107">
        <f>+SUM(BD122:BG122)</f>
        <v>67.096899142652433</v>
      </c>
      <c r="BI122" s="108">
        <f t="shared" ref="BI122:BL122" si="1287">+BI118*BI110/1000</f>
        <v>16.125775503012584</v>
      </c>
      <c r="BJ122" s="108">
        <f t="shared" si="1287"/>
        <v>17.316318575674227</v>
      </c>
      <c r="BK122" s="108">
        <f t="shared" si="1287"/>
        <v>19.545556449668997</v>
      </c>
      <c r="BL122" s="108">
        <f t="shared" si="1287"/>
        <v>20.09438601208231</v>
      </c>
      <c r="BM122" s="107">
        <f>+SUM(BI122:BL122)</f>
        <v>73.082036540438111</v>
      </c>
      <c r="BN122" s="108">
        <f t="shared" ref="BN122:BQ122" si="1288">+BN118*BN110/1000</f>
        <v>17.549826071559249</v>
      </c>
      <c r="BO122" s="108">
        <f t="shared" si="1288"/>
        <v>18.844409176791199</v>
      </c>
      <c r="BP122" s="108">
        <f t="shared" si="1288"/>
        <v>21.267877186470805</v>
      </c>
      <c r="BQ122" s="108">
        <f t="shared" si="1288"/>
        <v>21.866748623794912</v>
      </c>
      <c r="BR122" s="107">
        <f>+SUM(BN122:BQ122)</f>
        <v>79.528861058616172</v>
      </c>
      <c r="BS122" s="108">
        <f t="shared" ref="BS122:BV122" si="1289">+BS118*BS110/1000</f>
        <v>19.081626024938892</v>
      </c>
      <c r="BT122" s="108">
        <f t="shared" si="1289"/>
        <v>20.488500145681495</v>
      </c>
      <c r="BU122" s="108">
        <f t="shared" si="1289"/>
        <v>23.121798846557549</v>
      </c>
      <c r="BV122" s="108">
        <f t="shared" si="1289"/>
        <v>23.773956058608249</v>
      </c>
      <c r="BW122" s="107">
        <f>+SUM(BS122:BV122)</f>
        <v>86.465881075786186</v>
      </c>
      <c r="BX122" s="108">
        <f t="shared" ref="BX122:CA122" si="1290">+BX118*BX110/1000</f>
        <v>20.727513959762426</v>
      </c>
      <c r="BY122" s="108">
        <f t="shared" si="1290"/>
        <v>22.255506907686936</v>
      </c>
      <c r="BZ122" s="108">
        <f t="shared" si="1290"/>
        <v>25.115382826511606</v>
      </c>
      <c r="CA122" s="108">
        <f t="shared" si="1290"/>
        <v>25.824126689135358</v>
      </c>
      <c r="CB122" s="107">
        <f>+SUM(BX122:CA122)</f>
        <v>93.922530383096316</v>
      </c>
      <c r="CC122" s="108">
        <f t="shared" ref="CC122:CF122" si="1291">+CC118*CC110/1000</f>
        <v>22.494092045987696</v>
      </c>
      <c r="CD122" s="108">
        <f t="shared" si="1291"/>
        <v>24.152638028615844</v>
      </c>
      <c r="CE122" s="108">
        <f t="shared" si="1291"/>
        <v>27.257031294986803</v>
      </c>
      <c r="CF122" s="108">
        <f t="shared" si="1291"/>
        <v>28.025721233334362</v>
      </c>
      <c r="CG122" s="107">
        <f>+SUM(CC122:CF122)</f>
        <v>101.92948260292471</v>
      </c>
      <c r="CH122" s="108">
        <f t="shared" ref="CH122:CK122" si="1292">+CH118*CH110/1000</f>
        <v>24.388162603507936</v>
      </c>
      <c r="CI122" s="108">
        <f t="shared" si="1292"/>
        <v>26.187339739028534</v>
      </c>
      <c r="CJ122" s="108">
        <f t="shared" si="1292"/>
        <v>29.555465731320567</v>
      </c>
      <c r="CK122" s="108">
        <f t="shared" si="1292"/>
        <v>30.387484013085899</v>
      </c>
      <c r="CL122" s="107">
        <f>+SUM(CH122:CK122)</f>
        <v>110.51845208694293</v>
      </c>
      <c r="CM122" s="108">
        <f t="shared" ref="CM122:CP122" si="1293">+CM118*CM110/1000</f>
        <v>26.41676915249721</v>
      </c>
      <c r="CN122" s="108">
        <f t="shared" si="1293"/>
        <v>28.367323722206152</v>
      </c>
      <c r="CO122" s="108">
        <f t="shared" si="1293"/>
        <v>32.019778149499139</v>
      </c>
      <c r="CP122" s="108">
        <f t="shared" si="1293"/>
        <v>32.918511131143603</v>
      </c>
      <c r="CQ122" s="107">
        <f>+SUM(CM122:CP122)</f>
        <v>119.7223821553461</v>
      </c>
      <c r="CR122" s="108">
        <f t="shared" ref="CR122:CU122" si="1294">+CR118*CR110/1000</f>
        <v>28.165915896776081</v>
      </c>
      <c r="CS122" s="108">
        <f t="shared" si="1294"/>
        <v>30.245623511486446</v>
      </c>
      <c r="CT122" s="108">
        <f t="shared" si="1294"/>
        <v>34.13991973000099</v>
      </c>
      <c r="CU122" s="108">
        <f t="shared" si="1294"/>
        <v>35.098160967925587</v>
      </c>
      <c r="CV122" s="107">
        <f>+SUM(CR122:CU122)</f>
        <v>127.6496201061891</v>
      </c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</row>
    <row r="123" spans="1:115" s="15" customFormat="1">
      <c r="A123" s="146" t="s">
        <v>89</v>
      </c>
      <c r="B123" s="34"/>
      <c r="C123" s="34"/>
      <c r="D123" s="34"/>
      <c r="E123" s="100"/>
      <c r="F123" s="83"/>
      <c r="G123" s="83"/>
      <c r="H123" s="83"/>
      <c r="I123" s="83"/>
      <c r="J123" s="100"/>
      <c r="K123" s="83"/>
      <c r="L123" s="83"/>
      <c r="M123" s="83"/>
      <c r="N123" s="83"/>
      <c r="O123" s="100"/>
      <c r="P123" s="83"/>
      <c r="Q123" s="83"/>
      <c r="R123" s="83"/>
      <c r="S123" s="83"/>
      <c r="T123" s="100"/>
      <c r="U123" s="83"/>
      <c r="V123" s="83"/>
      <c r="W123" s="83"/>
      <c r="X123" s="83"/>
      <c r="Y123" s="100"/>
      <c r="Z123" s="83"/>
      <c r="AA123" s="83"/>
      <c r="AB123" s="83"/>
      <c r="AC123" s="83"/>
      <c r="AD123" s="100"/>
      <c r="AE123" s="83"/>
      <c r="AF123" s="83"/>
      <c r="AG123" s="83"/>
      <c r="AH123" s="83"/>
      <c r="AI123" s="100"/>
      <c r="AJ123" s="83"/>
      <c r="AK123" s="83"/>
      <c r="AL123" s="83"/>
      <c r="AM123" s="83"/>
      <c r="AN123" s="100"/>
      <c r="AO123" s="197"/>
      <c r="AP123" s="197"/>
      <c r="AQ123" s="197"/>
      <c r="AR123" s="197"/>
      <c r="AS123" s="100"/>
      <c r="AT123" s="83"/>
      <c r="AU123" s="83"/>
      <c r="AV123" s="83"/>
      <c r="AW123" s="83"/>
      <c r="AX123" s="100"/>
      <c r="AY123" s="83"/>
      <c r="AZ123" s="83"/>
      <c r="BA123" s="83"/>
      <c r="BB123" s="83"/>
      <c r="BC123" s="100"/>
      <c r="BD123" s="83"/>
      <c r="BE123" s="83"/>
      <c r="BF123" s="83"/>
      <c r="BG123" s="83"/>
      <c r="BH123" s="100"/>
      <c r="BI123" s="83"/>
      <c r="BJ123" s="83"/>
      <c r="BK123" s="83"/>
      <c r="BL123" s="83"/>
      <c r="BM123" s="100"/>
      <c r="BN123" s="83"/>
      <c r="BO123" s="83"/>
      <c r="BP123" s="83"/>
      <c r="BQ123" s="83"/>
      <c r="BR123" s="100"/>
      <c r="BS123" s="83"/>
      <c r="BT123" s="83"/>
      <c r="BU123" s="83"/>
      <c r="BV123" s="83"/>
      <c r="BW123" s="100"/>
      <c r="BX123" s="83"/>
      <c r="BY123" s="83"/>
      <c r="BZ123" s="83"/>
      <c r="CA123" s="83"/>
      <c r="CB123" s="100"/>
      <c r="CC123" s="83"/>
      <c r="CD123" s="83"/>
      <c r="CE123" s="83"/>
      <c r="CF123" s="83"/>
      <c r="CG123" s="100"/>
      <c r="CH123" s="83"/>
      <c r="CI123" s="83"/>
      <c r="CJ123" s="83"/>
      <c r="CK123" s="83"/>
      <c r="CL123" s="100"/>
      <c r="CM123" s="83"/>
      <c r="CN123" s="83"/>
      <c r="CO123" s="83"/>
      <c r="CP123" s="83"/>
      <c r="CQ123" s="100"/>
      <c r="CR123" s="83"/>
      <c r="CS123" s="83"/>
      <c r="CT123" s="83"/>
      <c r="CU123" s="83"/>
      <c r="CV123" s="100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</row>
    <row r="124" spans="1:115" s="15" customFormat="1">
      <c r="A124" s="2"/>
      <c r="C124" s="18"/>
      <c r="D124" s="18"/>
      <c r="E124" s="100"/>
      <c r="F124" s="83"/>
      <c r="G124" s="83"/>
      <c r="H124" s="83"/>
      <c r="I124" s="83"/>
      <c r="J124" s="100"/>
      <c r="K124" s="83"/>
      <c r="L124" s="83"/>
      <c r="M124" s="83"/>
      <c r="N124" s="83"/>
      <c r="O124" s="100"/>
      <c r="P124" s="83"/>
      <c r="Q124" s="83"/>
      <c r="R124" s="83"/>
      <c r="S124" s="83"/>
      <c r="T124" s="100"/>
      <c r="U124" s="83"/>
      <c r="V124" s="83"/>
      <c r="W124" s="83"/>
      <c r="X124" s="83"/>
      <c r="Y124" s="100"/>
      <c r="Z124" s="83"/>
      <c r="AA124" s="83"/>
      <c r="AB124" s="83"/>
      <c r="AC124" s="83"/>
      <c r="AD124" s="100"/>
      <c r="AE124" s="83"/>
      <c r="AF124" s="83"/>
      <c r="AG124" s="83"/>
      <c r="AH124" s="83"/>
      <c r="AI124" s="100"/>
      <c r="AJ124" s="83"/>
      <c r="AK124" s="83"/>
      <c r="AL124" s="83"/>
      <c r="AM124" s="83"/>
      <c r="AN124" s="100"/>
      <c r="AO124" s="83"/>
      <c r="AP124" s="83"/>
      <c r="AQ124" s="83"/>
      <c r="AR124" s="83"/>
      <c r="AS124" s="100"/>
      <c r="AT124" s="83"/>
      <c r="AU124" s="83"/>
      <c r="AV124" s="83"/>
      <c r="AW124" s="83"/>
      <c r="AX124" s="100"/>
      <c r="AY124" s="83"/>
      <c r="AZ124" s="83"/>
      <c r="BA124" s="83"/>
      <c r="BB124" s="83"/>
      <c r="BC124" s="100"/>
      <c r="BD124" s="83"/>
      <c r="BE124" s="83"/>
      <c r="BF124" s="83"/>
      <c r="BG124" s="83"/>
      <c r="BH124" s="100"/>
      <c r="BI124" s="83"/>
      <c r="BJ124" s="83"/>
      <c r="BK124" s="83"/>
      <c r="BL124" s="83"/>
      <c r="BM124" s="100"/>
      <c r="BN124" s="83"/>
      <c r="BO124" s="83"/>
      <c r="BP124" s="83"/>
      <c r="BQ124" s="83"/>
      <c r="BR124" s="100"/>
      <c r="BS124" s="83"/>
      <c r="BT124" s="83"/>
      <c r="BU124" s="83"/>
      <c r="BV124" s="83"/>
      <c r="BW124" s="100"/>
      <c r="BX124" s="83"/>
      <c r="BY124" s="83"/>
      <c r="BZ124" s="83"/>
      <c r="CA124" s="83"/>
      <c r="CB124" s="100"/>
      <c r="CC124" s="83"/>
      <c r="CD124" s="83"/>
      <c r="CE124" s="83"/>
      <c r="CF124" s="83"/>
      <c r="CG124" s="100"/>
      <c r="CH124" s="83"/>
      <c r="CI124" s="83"/>
      <c r="CJ124" s="83"/>
      <c r="CK124" s="83"/>
      <c r="CL124" s="100"/>
      <c r="CM124" s="83"/>
      <c r="CN124" s="83"/>
      <c r="CO124" s="83"/>
      <c r="CP124" s="83"/>
      <c r="CQ124" s="100"/>
      <c r="CR124" s="83"/>
      <c r="CS124" s="83"/>
      <c r="CT124" s="83"/>
      <c r="CU124" s="83"/>
      <c r="CV124" s="100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</row>
    <row r="125" spans="1:115">
      <c r="A125" s="141" t="s">
        <v>81</v>
      </c>
      <c r="B125" s="9"/>
      <c r="C125" s="9"/>
      <c r="D125" s="9"/>
      <c r="E125" s="93"/>
      <c r="F125" s="94"/>
      <c r="G125" s="94"/>
      <c r="H125" s="94"/>
      <c r="I125" s="94"/>
      <c r="J125" s="93"/>
      <c r="K125" s="94"/>
      <c r="L125" s="94"/>
      <c r="M125" s="94"/>
      <c r="N125" s="94"/>
      <c r="O125" s="93"/>
      <c r="P125" s="94"/>
      <c r="Q125" s="94"/>
      <c r="R125" s="94"/>
      <c r="S125" s="94"/>
      <c r="T125" s="93"/>
      <c r="U125" s="131">
        <f>+U138/$U$35</f>
        <v>0.20411578704770689</v>
      </c>
      <c r="V125" s="94"/>
      <c r="W125" s="94"/>
      <c r="X125" s="94"/>
      <c r="Y125" s="93"/>
      <c r="Z125" s="94"/>
      <c r="AA125" s="94"/>
      <c r="AB125" s="94"/>
      <c r="AC125" s="94"/>
      <c r="AD125" s="93"/>
      <c r="AE125" s="94"/>
      <c r="AF125" s="94"/>
      <c r="AG125" s="94"/>
      <c r="AH125" s="94"/>
      <c r="AI125" s="93"/>
      <c r="AJ125" s="94"/>
      <c r="AK125" s="94"/>
      <c r="AL125" s="94"/>
      <c r="AM125" s="94"/>
      <c r="AN125" s="93"/>
      <c r="AO125" s="94"/>
      <c r="AP125" s="94"/>
      <c r="AQ125" s="94"/>
      <c r="AR125" s="94"/>
      <c r="AS125" s="93"/>
      <c r="AT125" s="94"/>
      <c r="AU125" s="94"/>
      <c r="AV125" s="94"/>
      <c r="AW125" s="94"/>
      <c r="AX125" s="93"/>
      <c r="AY125" s="94"/>
      <c r="AZ125" s="94"/>
      <c r="BA125" s="94"/>
      <c r="BB125" s="94"/>
      <c r="BC125" s="93"/>
      <c r="BD125" s="94"/>
      <c r="BE125" s="94"/>
      <c r="BF125" s="94"/>
      <c r="BG125" s="94"/>
      <c r="BH125" s="93"/>
      <c r="BI125" s="131"/>
      <c r="BJ125" s="94"/>
      <c r="BK125" s="94"/>
      <c r="BL125" s="94"/>
      <c r="BM125" s="93"/>
      <c r="BN125" s="94"/>
      <c r="BO125" s="94"/>
      <c r="BP125" s="94"/>
      <c r="BQ125" s="94"/>
      <c r="BR125" s="93"/>
      <c r="BS125" s="94"/>
      <c r="BT125" s="94"/>
      <c r="BU125" s="94"/>
      <c r="BV125" s="94"/>
      <c r="BW125" s="93"/>
      <c r="BX125" s="94"/>
      <c r="BY125" s="94"/>
      <c r="BZ125" s="94"/>
      <c r="CA125" s="94"/>
      <c r="CB125" s="93"/>
      <c r="CC125" s="94"/>
      <c r="CD125" s="94"/>
      <c r="CE125" s="94"/>
      <c r="CF125" s="94"/>
      <c r="CG125" s="93"/>
      <c r="CH125" s="94"/>
      <c r="CI125" s="94"/>
      <c r="CJ125" s="94"/>
      <c r="CK125" s="94"/>
      <c r="CL125" s="93"/>
      <c r="CM125" s="94"/>
      <c r="CN125" s="94"/>
      <c r="CO125" s="94"/>
      <c r="CP125" s="94"/>
      <c r="CQ125" s="93"/>
      <c r="CR125" s="131"/>
      <c r="CS125" s="94"/>
      <c r="CT125" s="94"/>
      <c r="CU125" s="94"/>
      <c r="CV125" s="93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</row>
    <row r="126" spans="1:115">
      <c r="A126" s="2" t="s">
        <v>69</v>
      </c>
      <c r="B126" s="7"/>
      <c r="C126" s="7"/>
      <c r="D126" s="7"/>
      <c r="E126" s="92"/>
      <c r="F126" s="84"/>
      <c r="G126" s="84"/>
      <c r="H126" s="84"/>
      <c r="I126" s="84"/>
      <c r="J126" s="92"/>
      <c r="K126" s="84"/>
      <c r="L126" s="84"/>
      <c r="M126" s="84"/>
      <c r="N126" s="84"/>
      <c r="O126" s="92"/>
      <c r="P126" s="84"/>
      <c r="Q126" s="84"/>
      <c r="R126" s="132">
        <v>4.4000000000000004</v>
      </c>
      <c r="S126" s="132">
        <v>4.4000000000000004</v>
      </c>
      <c r="T126" s="133">
        <v>4.4000000000000004</v>
      </c>
      <c r="U126" s="132">
        <v>4.4000000000000004</v>
      </c>
      <c r="V126" s="132">
        <f>+V130*V$11+V131*V$12</f>
        <v>4.4122608000000003</v>
      </c>
      <c r="W126" s="132">
        <f>+W130*W$11+W131*W$12</f>
        <v>4.4122608000000003</v>
      </c>
      <c r="X126" s="132">
        <f t="shared" ref="X126" si="1295">+X130*X$11+X131*X$12</f>
        <v>4.4122608000000003</v>
      </c>
      <c r="Y126" s="92">
        <f>+Y138*1000/Y134</f>
        <v>4.4094922216094572</v>
      </c>
      <c r="Z126" s="84">
        <f t="shared" ref="Z126:AC126" si="1296">+Z130*Z$11+Z131*Z$12</f>
        <v>4.4122608000000003</v>
      </c>
      <c r="AA126" s="192">
        <f t="shared" si="1296"/>
        <v>4.4122608000000003</v>
      </c>
      <c r="AB126" s="192">
        <f t="shared" si="1296"/>
        <v>4.6950867172799997</v>
      </c>
      <c r="AC126" s="84">
        <f t="shared" si="1296"/>
        <v>4.6950867172799997</v>
      </c>
      <c r="AD126" s="92">
        <f>+AD138*1000/AD134</f>
        <v>4.5572153059009173</v>
      </c>
      <c r="AE126" s="84">
        <f t="shared" ref="AE126:AH126" si="1297">+AE130*AE$11+AE131*AE$12</f>
        <v>4.6950867172799997</v>
      </c>
      <c r="AF126" s="84">
        <f t="shared" si="1297"/>
        <v>4.6950867172799997</v>
      </c>
      <c r="AG126" s="84">
        <f t="shared" si="1297"/>
        <v>5.1645953890080003</v>
      </c>
      <c r="AH126" s="84">
        <f t="shared" si="1297"/>
        <v>5.1645953890080003</v>
      </c>
      <c r="AI126" s="92">
        <f>+AI138*1000/AI134</f>
        <v>4.9342722097926712</v>
      </c>
      <c r="AJ126" s="84">
        <f t="shared" ref="AJ126:AM126" si="1298">+AJ130*AJ$11+AJ131*AJ$12</f>
        <v>5.1645953890080003</v>
      </c>
      <c r="AK126" s="84">
        <f t="shared" si="1298"/>
        <v>5.1645953890080003</v>
      </c>
      <c r="AL126" s="132">
        <f t="shared" si="1298"/>
        <v>5.4951294939045123</v>
      </c>
      <c r="AM126" s="132">
        <f t="shared" si="1298"/>
        <v>5.4951294939045123</v>
      </c>
      <c r="AN126" s="133">
        <f>+AN138*1000/AN134</f>
        <v>5.3310592141302608</v>
      </c>
      <c r="AO126" s="132">
        <f t="shared" ref="AO126:AR126" si="1299">+AO130*AO$11+AO131*AO$12</f>
        <v>5.4951294939045123</v>
      </c>
      <c r="AP126" s="132">
        <f t="shared" si="1299"/>
        <v>5.4951294939045123</v>
      </c>
      <c r="AQ126" s="132">
        <f t="shared" si="1299"/>
        <v>5.7698859685997386</v>
      </c>
      <c r="AR126" s="132">
        <f t="shared" si="1299"/>
        <v>5.7698859685997386</v>
      </c>
      <c r="AS126" s="92">
        <f>+AS138*1000/AS134</f>
        <v>5.6404017513681559</v>
      </c>
      <c r="AT126" s="84">
        <f t="shared" ref="AT126:AW126" si="1300">+AT130*AT$11+AT131*AT$12</f>
        <v>5.7698859685997386</v>
      </c>
      <c r="AU126" s="84">
        <f t="shared" si="1300"/>
        <v>5.7698859685997386</v>
      </c>
      <c r="AV126" s="84">
        <f t="shared" si="1300"/>
        <v>6.0583802670297251</v>
      </c>
      <c r="AW126" s="84">
        <f t="shared" si="1300"/>
        <v>6.0583802670297251</v>
      </c>
      <c r="AX126" s="92">
        <f>+AX138*1000/AX134</f>
        <v>5.9223899956985919</v>
      </c>
      <c r="AY126" s="84">
        <f t="shared" ref="AY126:BB126" si="1301">+AY130*AY$11+AY131*AY$12</f>
        <v>6.0583802670297251</v>
      </c>
      <c r="AZ126" s="84">
        <f t="shared" si="1301"/>
        <v>6.0583802670297251</v>
      </c>
      <c r="BA126" s="84">
        <f t="shared" si="1301"/>
        <v>6.3310073790460626</v>
      </c>
      <c r="BB126" s="84">
        <f t="shared" si="1301"/>
        <v>6.3310073790460626</v>
      </c>
      <c r="BC126" s="92">
        <f>+BC138*1000/BC134</f>
        <v>6.2024692952024809</v>
      </c>
      <c r="BD126" s="84">
        <f t="shared" ref="BD126:BG126" si="1302">+BD130*BD$11+BD131*BD$12</f>
        <v>6.3310073790460626</v>
      </c>
      <c r="BE126" s="84">
        <f t="shared" si="1302"/>
        <v>6.3310073790460626</v>
      </c>
      <c r="BF126" s="132">
        <f t="shared" si="1302"/>
        <v>6.6159027111031357</v>
      </c>
      <c r="BG126" s="132">
        <f t="shared" si="1302"/>
        <v>6.6159027111031357</v>
      </c>
      <c r="BH126" s="133">
        <f>+BH138*1000/BH134</f>
        <v>6.4815565952186249</v>
      </c>
      <c r="BI126" s="132">
        <f t="shared" ref="BI126:BL126" si="1303">+BI130*BI$11+BI131*BI$12</f>
        <v>6.6159027111031357</v>
      </c>
      <c r="BJ126" s="132">
        <f t="shared" si="1303"/>
        <v>6.6159027111031357</v>
      </c>
      <c r="BK126" s="132">
        <f t="shared" si="1303"/>
        <v>6.9136183331027761</v>
      </c>
      <c r="BL126" s="132">
        <f t="shared" si="1303"/>
        <v>6.9136183331027761</v>
      </c>
      <c r="BM126" s="92">
        <f>+BM138*1000/BM134</f>
        <v>6.7732184510284865</v>
      </c>
      <c r="BN126" s="84">
        <f t="shared" ref="BN126:BQ126" si="1304">+BN130*BN$11+BN131*BN$12</f>
        <v>6.9136183331027761</v>
      </c>
      <c r="BO126" s="84">
        <f t="shared" si="1304"/>
        <v>6.9136183331027761</v>
      </c>
      <c r="BP126" s="84">
        <f t="shared" si="1304"/>
        <v>7.2247311580924007</v>
      </c>
      <c r="BQ126" s="84">
        <f t="shared" si="1304"/>
        <v>7.2247311580924007</v>
      </c>
      <c r="BR126" s="92">
        <f>+BR138*1000/BR134</f>
        <v>7.0780072055471237</v>
      </c>
      <c r="BS126" s="84">
        <f t="shared" ref="BS126:BV126" si="1305">+BS130*BS$11+BS131*BS$12</f>
        <v>7.2247311580924007</v>
      </c>
      <c r="BT126" s="84">
        <f t="shared" si="1305"/>
        <v>7.2247311580924007</v>
      </c>
      <c r="BU126" s="84">
        <f t="shared" si="1305"/>
        <v>7.5498440602065582</v>
      </c>
      <c r="BV126" s="84">
        <f t="shared" si="1305"/>
        <v>7.5498440602065582</v>
      </c>
      <c r="BW126" s="92">
        <f>+BW138*1000/BW134</f>
        <v>7.3965137680623769</v>
      </c>
      <c r="BX126" s="84">
        <f t="shared" ref="BX126:CA126" si="1306">+BX130*BX$11+BX131*BX$12</f>
        <v>7.5498440602065582</v>
      </c>
      <c r="BY126" s="84">
        <f t="shared" si="1306"/>
        <v>7.5498440602065582</v>
      </c>
      <c r="BZ126" s="132">
        <f t="shared" si="1306"/>
        <v>7.8895870429158528</v>
      </c>
      <c r="CA126" s="132">
        <f t="shared" si="1306"/>
        <v>7.8895870429158528</v>
      </c>
      <c r="CB126" s="133">
        <f>+CB138*1000/CB134</f>
        <v>7.7293556846932638</v>
      </c>
      <c r="CC126" s="132">
        <f t="shared" ref="CC126:CF126" si="1307">+CC130*CC$11+CC131*CC$12</f>
        <v>7.8895870429158528</v>
      </c>
      <c r="CD126" s="132">
        <f t="shared" si="1307"/>
        <v>7.8895870429158528</v>
      </c>
      <c r="CE126" s="132">
        <f t="shared" si="1307"/>
        <v>8.2446184598470662</v>
      </c>
      <c r="CF126" s="132">
        <f t="shared" si="1307"/>
        <v>8.2446184598470662</v>
      </c>
      <c r="CG126" s="92">
        <f>+CG138*1000/CG134</f>
        <v>8.0771782842059157</v>
      </c>
      <c r="CH126" s="84">
        <f t="shared" ref="CH126:CK126" si="1308">+CH130*CH$11+CH131*CH$12</f>
        <v>8.2446184598470662</v>
      </c>
      <c r="CI126" s="84">
        <f t="shared" si="1308"/>
        <v>8.2446184598470662</v>
      </c>
      <c r="CJ126" s="84">
        <f t="shared" si="1308"/>
        <v>8.6156262905401828</v>
      </c>
      <c r="CK126" s="84">
        <f t="shared" si="1308"/>
        <v>8.6156262905401828</v>
      </c>
      <c r="CL126" s="92">
        <f>+CL138*1000/CL134</f>
        <v>8.440655939698976</v>
      </c>
      <c r="CM126" s="84">
        <f t="shared" ref="CM126:CP126" si="1309">+CM130*CM$11+CM131*CM$12</f>
        <v>8.6156262905401828</v>
      </c>
      <c r="CN126" s="84">
        <f t="shared" si="1309"/>
        <v>8.6156262905401828</v>
      </c>
      <c r="CO126" s="132">
        <f t="shared" si="1309"/>
        <v>9.0033294736144889</v>
      </c>
      <c r="CP126" s="132">
        <f t="shared" si="1309"/>
        <v>9.0033294736144889</v>
      </c>
      <c r="CQ126" s="133">
        <f>+CQ138*1000/CQ134</f>
        <v>8.820493408428133</v>
      </c>
      <c r="CR126" s="132">
        <f t="shared" ref="CR126:CU126" si="1310">+CR130*CR$11+CR131*CR$12</f>
        <v>9.0033294736144889</v>
      </c>
      <c r="CS126" s="132">
        <f t="shared" si="1310"/>
        <v>9.0033294736144889</v>
      </c>
      <c r="CT126" s="132">
        <f t="shared" si="1310"/>
        <v>9.4084792999271425</v>
      </c>
      <c r="CU126" s="132">
        <f t="shared" si="1310"/>
        <v>9.4084792999271425</v>
      </c>
      <c r="CV126" s="92">
        <f>+CV138*1000/CV134</f>
        <v>9.2174156118073984</v>
      </c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</row>
    <row r="127" spans="1:115">
      <c r="A127" s="2" t="s">
        <v>70</v>
      </c>
      <c r="B127" s="34"/>
      <c r="C127" s="34"/>
      <c r="D127" s="34"/>
      <c r="E127" s="100"/>
      <c r="J127" s="100"/>
      <c r="O127" s="100"/>
      <c r="T127" s="100"/>
      <c r="Y127" s="100"/>
      <c r="AD127" s="100"/>
      <c r="AI127" s="100"/>
      <c r="AN127" s="100"/>
      <c r="AS127" s="100"/>
      <c r="AX127" s="100"/>
      <c r="BC127" s="100"/>
      <c r="BH127" s="100"/>
      <c r="BM127" s="100"/>
      <c r="BR127" s="100"/>
      <c r="BW127" s="100"/>
      <c r="CB127" s="100"/>
      <c r="CG127" s="100"/>
      <c r="CL127" s="100"/>
      <c r="CQ127" s="100"/>
      <c r="CV127" s="100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</row>
    <row r="128" spans="1:115">
      <c r="B128" s="34"/>
      <c r="C128" s="34"/>
      <c r="D128" s="34"/>
      <c r="E128" s="100"/>
      <c r="J128" s="100"/>
      <c r="O128" s="100"/>
      <c r="T128" s="100"/>
      <c r="Y128" s="100"/>
      <c r="AD128" s="100"/>
      <c r="AI128" s="100"/>
      <c r="AN128" s="100"/>
      <c r="AS128" s="100"/>
      <c r="AX128" s="100"/>
      <c r="BC128" s="100"/>
      <c r="BH128" s="100"/>
      <c r="BM128" s="100"/>
      <c r="BR128" s="100"/>
      <c r="BW128" s="100"/>
      <c r="CB128" s="100"/>
      <c r="CG128" s="100"/>
      <c r="CL128" s="100"/>
      <c r="CQ128" s="100"/>
      <c r="CV128" s="100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</row>
    <row r="129" spans="1:115">
      <c r="A129" s="148" t="s">
        <v>71</v>
      </c>
      <c r="B129" s="70"/>
      <c r="C129" s="70"/>
      <c r="D129" s="70"/>
      <c r="E129" s="134"/>
      <c r="F129" s="135"/>
      <c r="G129" s="135"/>
      <c r="H129" s="135"/>
      <c r="I129" s="135"/>
      <c r="J129" s="134"/>
      <c r="K129" s="135"/>
      <c r="L129" s="135"/>
      <c r="M129" s="135"/>
      <c r="N129" s="135"/>
      <c r="O129" s="134"/>
      <c r="P129" s="135"/>
      <c r="Q129" s="135"/>
      <c r="R129" s="135"/>
      <c r="S129" s="135"/>
      <c r="T129" s="134"/>
      <c r="U129" s="135">
        <f>+U130+U131</f>
        <v>38.479999999999997</v>
      </c>
      <c r="V129" s="135">
        <f t="shared" ref="V129:W129" si="1311">+V130+V131</f>
        <v>38.479999999999997</v>
      </c>
      <c r="W129" s="135">
        <f t="shared" si="1311"/>
        <v>38.479999999999997</v>
      </c>
      <c r="X129" s="135">
        <f t="shared" ref="X129" si="1312">+X130+X131</f>
        <v>38.479999999999997</v>
      </c>
      <c r="Y129" s="134">
        <f t="shared" ref="Y129" si="1313">+Y130+Y131</f>
        <v>38.479999999999997</v>
      </c>
      <c r="Z129" s="135">
        <f t="shared" ref="Z129" si="1314">+Z130+Z131</f>
        <v>38.479999999999997</v>
      </c>
      <c r="AA129" s="135">
        <f t="shared" ref="AA129" si="1315">+AA130+AA131</f>
        <v>38.479999999999997</v>
      </c>
      <c r="AB129" s="135">
        <f t="shared" ref="AB129" si="1316">+AB130+AB131</f>
        <v>38.479999999999997</v>
      </c>
      <c r="AC129" s="135">
        <f t="shared" ref="AC129" si="1317">+AC130+AC131</f>
        <v>38.479999999999997</v>
      </c>
      <c r="AD129" s="134">
        <f t="shared" ref="AD129" si="1318">+AD130+AD131</f>
        <v>38.479999999999997</v>
      </c>
      <c r="AE129" s="135">
        <f t="shared" ref="AE129" si="1319">+AE130+AE131</f>
        <v>38.479999999999997</v>
      </c>
      <c r="AF129" s="135">
        <f t="shared" ref="AF129" si="1320">+AF130+AF131</f>
        <v>38.479999999999997</v>
      </c>
      <c r="AG129" s="135">
        <f t="shared" ref="AG129" si="1321">+AG130+AG131</f>
        <v>38.479999999999997</v>
      </c>
      <c r="AH129" s="135">
        <f t="shared" ref="AH129" si="1322">+AH130+AH131</f>
        <v>38.479999999999997</v>
      </c>
      <c r="AI129" s="134">
        <f t="shared" ref="AI129" si="1323">+AI130+AI131</f>
        <v>38.479999999999997</v>
      </c>
      <c r="AJ129" s="135">
        <f t="shared" ref="AJ129" si="1324">+AJ130+AJ131</f>
        <v>38.479999999999997</v>
      </c>
      <c r="AK129" s="135">
        <f t="shared" ref="AK129" si="1325">+AK130+AK131</f>
        <v>38.479999999999997</v>
      </c>
      <c r="AL129" s="135">
        <f t="shared" ref="AL129" si="1326">+AL130+AL131</f>
        <v>38.479999999999997</v>
      </c>
      <c r="AM129" s="135">
        <f t="shared" ref="AM129" si="1327">+AM130+AM131</f>
        <v>38.479999999999997</v>
      </c>
      <c r="AN129" s="134">
        <f t="shared" ref="AN129" si="1328">+AN130+AN131</f>
        <v>38.479999999999997</v>
      </c>
      <c r="AO129" s="135">
        <f t="shared" ref="AO129" si="1329">+AO130+AO131</f>
        <v>38.479999999999997</v>
      </c>
      <c r="AP129" s="135">
        <f t="shared" ref="AP129" si="1330">+AP130+AP131</f>
        <v>38.479999999999997</v>
      </c>
      <c r="AQ129" s="135">
        <f t="shared" ref="AQ129" si="1331">+AQ130+AQ131</f>
        <v>38.479999999999997</v>
      </c>
      <c r="AR129" s="135">
        <f t="shared" ref="AR129" si="1332">+AR130+AR131</f>
        <v>38.479999999999997</v>
      </c>
      <c r="AS129" s="134">
        <f t="shared" ref="AS129" si="1333">+AS130+AS131</f>
        <v>38.479999999999997</v>
      </c>
      <c r="AT129" s="135">
        <f t="shared" ref="AT129" si="1334">+AT130+AT131</f>
        <v>38.479999999999997</v>
      </c>
      <c r="AU129" s="135">
        <f t="shared" ref="AU129" si="1335">+AU130+AU131</f>
        <v>38.479999999999997</v>
      </c>
      <c r="AV129" s="135">
        <f t="shared" ref="AV129" si="1336">+AV130+AV131</f>
        <v>38.479999999999997</v>
      </c>
      <c r="AW129" s="135">
        <f t="shared" ref="AW129" si="1337">+AW130+AW131</f>
        <v>38.479999999999997</v>
      </c>
      <c r="AX129" s="134">
        <f t="shared" ref="AX129" si="1338">+AX130+AX131</f>
        <v>38.479999999999997</v>
      </c>
      <c r="AY129" s="135">
        <f t="shared" ref="AY129" si="1339">+AY130+AY131</f>
        <v>38.479999999999997</v>
      </c>
      <c r="AZ129" s="135">
        <f t="shared" ref="AZ129" si="1340">+AZ130+AZ131</f>
        <v>38.479999999999997</v>
      </c>
      <c r="BA129" s="135">
        <f t="shared" ref="BA129" si="1341">+BA130+BA131</f>
        <v>38.479999999999997</v>
      </c>
      <c r="BB129" s="135">
        <f t="shared" ref="BB129" si="1342">+BB130+BB131</f>
        <v>38.479999999999997</v>
      </c>
      <c r="BC129" s="134">
        <f t="shared" ref="BC129" si="1343">+BC130+BC131</f>
        <v>38.479999999999997</v>
      </c>
      <c r="BD129" s="135">
        <f t="shared" ref="BD129" si="1344">+BD130+BD131</f>
        <v>38.479999999999997</v>
      </c>
      <c r="BE129" s="135">
        <f t="shared" ref="BE129" si="1345">+BE130+BE131</f>
        <v>38.479999999999997</v>
      </c>
      <c r="BF129" s="135">
        <f t="shared" ref="BF129" si="1346">+BF130+BF131</f>
        <v>38.479999999999997</v>
      </c>
      <c r="BG129" s="135">
        <f t="shared" ref="BG129" si="1347">+BG130+BG131</f>
        <v>38.479999999999997</v>
      </c>
      <c r="BH129" s="134">
        <f t="shared" ref="BH129" si="1348">+BH130+BH131</f>
        <v>38.479999999999997</v>
      </c>
      <c r="BI129" s="135">
        <f t="shared" ref="BI129" si="1349">+BI130+BI131</f>
        <v>38.479999999999997</v>
      </c>
      <c r="BJ129" s="135">
        <f t="shared" ref="BJ129" si="1350">+BJ130+BJ131</f>
        <v>38.479999999999997</v>
      </c>
      <c r="BK129" s="135">
        <f t="shared" ref="BK129" si="1351">+BK130+BK131</f>
        <v>38.479999999999997</v>
      </c>
      <c r="BL129" s="135">
        <f t="shared" ref="BL129" si="1352">+BL130+BL131</f>
        <v>38.479999999999997</v>
      </c>
      <c r="BM129" s="134">
        <f t="shared" ref="BM129" si="1353">+BM130+BM131</f>
        <v>38.479999999999997</v>
      </c>
      <c r="BN129" s="135">
        <f t="shared" ref="BN129" si="1354">+BN130+BN131</f>
        <v>38.479999999999997</v>
      </c>
      <c r="BO129" s="135">
        <f t="shared" ref="BO129" si="1355">+BO130+BO131</f>
        <v>38.479999999999997</v>
      </c>
      <c r="BP129" s="135">
        <f t="shared" ref="BP129" si="1356">+BP130+BP131</f>
        <v>38.479999999999997</v>
      </c>
      <c r="BQ129" s="135">
        <f t="shared" ref="BQ129" si="1357">+BQ130+BQ131</f>
        <v>38.479999999999997</v>
      </c>
      <c r="BR129" s="134">
        <f t="shared" ref="BR129" si="1358">+BR130+BR131</f>
        <v>38.479999999999997</v>
      </c>
      <c r="BS129" s="135">
        <f t="shared" ref="BS129" si="1359">+BS130+BS131</f>
        <v>38.479999999999997</v>
      </c>
      <c r="BT129" s="135">
        <f t="shared" ref="BT129" si="1360">+BT130+BT131</f>
        <v>38.479999999999997</v>
      </c>
      <c r="BU129" s="135">
        <f t="shared" ref="BU129" si="1361">+BU130+BU131</f>
        <v>38.479999999999997</v>
      </c>
      <c r="BV129" s="135">
        <f t="shared" ref="BV129" si="1362">+BV130+BV131</f>
        <v>38.479999999999997</v>
      </c>
      <c r="BW129" s="134">
        <f t="shared" ref="BW129" si="1363">+BW130+BW131</f>
        <v>38.479999999999997</v>
      </c>
      <c r="BX129" s="135">
        <f t="shared" ref="BX129" si="1364">+BX130+BX131</f>
        <v>38.479999999999997</v>
      </c>
      <c r="BY129" s="135">
        <f t="shared" ref="BY129" si="1365">+BY130+BY131</f>
        <v>38.479999999999997</v>
      </c>
      <c r="BZ129" s="135">
        <f t="shared" ref="BZ129" si="1366">+BZ130+BZ131</f>
        <v>38.479999999999997</v>
      </c>
      <c r="CA129" s="135">
        <f t="shared" ref="CA129" si="1367">+CA130+CA131</f>
        <v>38.479999999999997</v>
      </c>
      <c r="CB129" s="134">
        <f t="shared" ref="CB129" si="1368">+CB130+CB131</f>
        <v>38.479999999999997</v>
      </c>
      <c r="CC129" s="135">
        <f t="shared" ref="CC129" si="1369">+CC130+CC131</f>
        <v>38.479999999999997</v>
      </c>
      <c r="CD129" s="135">
        <f t="shared" ref="CD129" si="1370">+CD130+CD131</f>
        <v>38.479999999999997</v>
      </c>
      <c r="CE129" s="135">
        <f t="shared" ref="CE129" si="1371">+CE130+CE131</f>
        <v>38.479999999999997</v>
      </c>
      <c r="CF129" s="135">
        <f t="shared" ref="CF129" si="1372">+CF130+CF131</f>
        <v>38.479999999999997</v>
      </c>
      <c r="CG129" s="134">
        <f t="shared" ref="CG129" si="1373">+CG130+CG131</f>
        <v>38.479999999999997</v>
      </c>
      <c r="CH129" s="135">
        <f t="shared" ref="CH129" si="1374">+CH130+CH131</f>
        <v>38.479999999999997</v>
      </c>
      <c r="CI129" s="135">
        <f t="shared" ref="CI129" si="1375">+CI130+CI131</f>
        <v>38.479999999999997</v>
      </c>
      <c r="CJ129" s="135">
        <f t="shared" ref="CJ129" si="1376">+CJ130+CJ131</f>
        <v>38.479999999999997</v>
      </c>
      <c r="CK129" s="135">
        <f t="shared" ref="CK129" si="1377">+CK130+CK131</f>
        <v>38.479999999999997</v>
      </c>
      <c r="CL129" s="134">
        <f t="shared" ref="CL129" si="1378">+CL130+CL131</f>
        <v>38.479999999999997</v>
      </c>
      <c r="CM129" s="135">
        <f t="shared" ref="CM129" si="1379">+CM130+CM131</f>
        <v>38.479999999999997</v>
      </c>
      <c r="CN129" s="135">
        <f t="shared" ref="CN129" si="1380">+CN130+CN131</f>
        <v>38.479999999999997</v>
      </c>
      <c r="CO129" s="135">
        <f t="shared" ref="CO129" si="1381">+CO130+CO131</f>
        <v>38.479999999999997</v>
      </c>
      <c r="CP129" s="135">
        <f t="shared" ref="CP129" si="1382">+CP130+CP131</f>
        <v>38.479999999999997</v>
      </c>
      <c r="CQ129" s="134">
        <f t="shared" ref="CQ129" si="1383">+CQ130+CQ131</f>
        <v>38.479999999999997</v>
      </c>
      <c r="CR129" s="135">
        <f t="shared" ref="CR129" si="1384">+CR130+CR131</f>
        <v>38.479999999999997</v>
      </c>
      <c r="CS129" s="135">
        <f t="shared" ref="CS129" si="1385">+CS130+CS131</f>
        <v>38.479999999999997</v>
      </c>
      <c r="CT129" s="135">
        <f t="shared" ref="CT129" si="1386">+CT130+CT131</f>
        <v>38.479999999999997</v>
      </c>
      <c r="CU129" s="135">
        <f t="shared" ref="CU129" si="1387">+CU130+CU131</f>
        <v>38.479999999999997</v>
      </c>
      <c r="CV129" s="134">
        <f t="shared" ref="CV129" si="1388">+CV130+CV131</f>
        <v>38.479999999999997</v>
      </c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</row>
    <row r="130" spans="1:115" s="24" customFormat="1">
      <c r="A130" s="148" t="s">
        <v>72</v>
      </c>
      <c r="B130" s="70"/>
      <c r="C130" s="70"/>
      <c r="D130" s="70"/>
      <c r="E130" s="134"/>
      <c r="F130" s="135"/>
      <c r="G130" s="135"/>
      <c r="H130" s="135"/>
      <c r="I130" s="135"/>
      <c r="J130" s="134"/>
      <c r="K130" s="135"/>
      <c r="L130" s="135"/>
      <c r="M130" s="135"/>
      <c r="N130" s="135"/>
      <c r="O130" s="134"/>
      <c r="P130" s="135"/>
      <c r="Q130" s="135"/>
      <c r="R130" s="135"/>
      <c r="S130" s="135"/>
      <c r="T130" s="134"/>
      <c r="U130" s="136">
        <v>1.68</v>
      </c>
      <c r="V130" s="136">
        <v>1.68</v>
      </c>
      <c r="W130" s="136">
        <v>1.68</v>
      </c>
      <c r="X130" s="136">
        <v>1.68</v>
      </c>
      <c r="Y130" s="134">
        <v>1.68</v>
      </c>
      <c r="Z130" s="135">
        <v>1.68</v>
      </c>
      <c r="AA130" s="135">
        <v>1.68</v>
      </c>
      <c r="AB130" s="135">
        <v>1.68</v>
      </c>
      <c r="AC130" s="135">
        <v>1.68</v>
      </c>
      <c r="AD130" s="134">
        <v>1.68</v>
      </c>
      <c r="AE130" s="135">
        <v>1.68</v>
      </c>
      <c r="AF130" s="135">
        <v>1.68</v>
      </c>
      <c r="AG130" s="135">
        <v>1.68</v>
      </c>
      <c r="AH130" s="135">
        <v>1.68</v>
      </c>
      <c r="AI130" s="134">
        <v>1.68</v>
      </c>
      <c r="AJ130" s="135">
        <v>1.68</v>
      </c>
      <c r="AK130" s="135">
        <v>1.68</v>
      </c>
      <c r="AL130" s="135">
        <v>1.68</v>
      </c>
      <c r="AM130" s="135">
        <v>1.68</v>
      </c>
      <c r="AN130" s="134">
        <v>1.68</v>
      </c>
      <c r="AO130" s="136">
        <v>1.68</v>
      </c>
      <c r="AP130" s="136">
        <v>1.68</v>
      </c>
      <c r="AQ130" s="136">
        <v>1.68</v>
      </c>
      <c r="AR130" s="136">
        <v>1.68</v>
      </c>
      <c r="AS130" s="134">
        <v>1.68</v>
      </c>
      <c r="AT130" s="135">
        <v>1.68</v>
      </c>
      <c r="AU130" s="135">
        <v>1.68</v>
      </c>
      <c r="AV130" s="135">
        <v>1.68</v>
      </c>
      <c r="AW130" s="135">
        <v>1.68</v>
      </c>
      <c r="AX130" s="134">
        <v>1.68</v>
      </c>
      <c r="AY130" s="135">
        <v>1.68</v>
      </c>
      <c r="AZ130" s="135">
        <v>1.68</v>
      </c>
      <c r="BA130" s="135">
        <v>1.68</v>
      </c>
      <c r="BB130" s="135">
        <v>1.68</v>
      </c>
      <c r="BC130" s="134">
        <v>1.68</v>
      </c>
      <c r="BD130" s="135">
        <v>1.68</v>
      </c>
      <c r="BE130" s="135">
        <v>1.68</v>
      </c>
      <c r="BF130" s="135">
        <v>1.68</v>
      </c>
      <c r="BG130" s="135">
        <v>1.68</v>
      </c>
      <c r="BH130" s="134">
        <v>1.68</v>
      </c>
      <c r="BI130" s="136">
        <v>1.68</v>
      </c>
      <c r="BJ130" s="136">
        <v>1.68</v>
      </c>
      <c r="BK130" s="136">
        <v>1.68</v>
      </c>
      <c r="BL130" s="136">
        <v>1.68</v>
      </c>
      <c r="BM130" s="134">
        <v>1.68</v>
      </c>
      <c r="BN130" s="135">
        <v>1.68</v>
      </c>
      <c r="BO130" s="135">
        <v>1.68</v>
      </c>
      <c r="BP130" s="135">
        <v>1.68</v>
      </c>
      <c r="BQ130" s="135">
        <v>1.68</v>
      </c>
      <c r="BR130" s="134">
        <v>1.68</v>
      </c>
      <c r="BS130" s="135">
        <v>1.68</v>
      </c>
      <c r="BT130" s="135">
        <v>1.68</v>
      </c>
      <c r="BU130" s="135">
        <v>1.68</v>
      </c>
      <c r="BV130" s="135">
        <v>1.68</v>
      </c>
      <c r="BW130" s="134">
        <v>1.68</v>
      </c>
      <c r="BX130" s="135">
        <v>1.68</v>
      </c>
      <c r="BY130" s="135">
        <v>1.68</v>
      </c>
      <c r="BZ130" s="135">
        <v>1.68</v>
      </c>
      <c r="CA130" s="135">
        <v>1.68</v>
      </c>
      <c r="CB130" s="134">
        <v>1.68</v>
      </c>
      <c r="CC130" s="136">
        <v>1.68</v>
      </c>
      <c r="CD130" s="136">
        <v>1.68</v>
      </c>
      <c r="CE130" s="136">
        <v>1.68</v>
      </c>
      <c r="CF130" s="136">
        <v>1.68</v>
      </c>
      <c r="CG130" s="134">
        <v>1.68</v>
      </c>
      <c r="CH130" s="135">
        <v>1.68</v>
      </c>
      <c r="CI130" s="135">
        <v>1.68</v>
      </c>
      <c r="CJ130" s="135">
        <v>1.68</v>
      </c>
      <c r="CK130" s="135">
        <v>1.68</v>
      </c>
      <c r="CL130" s="134">
        <v>1.68</v>
      </c>
      <c r="CM130" s="135">
        <v>1.68</v>
      </c>
      <c r="CN130" s="135">
        <v>1.68</v>
      </c>
      <c r="CO130" s="135">
        <v>1.68</v>
      </c>
      <c r="CP130" s="135">
        <v>1.68</v>
      </c>
      <c r="CQ130" s="134">
        <v>1.68</v>
      </c>
      <c r="CR130" s="136">
        <v>1.68</v>
      </c>
      <c r="CS130" s="136">
        <v>1.68</v>
      </c>
      <c r="CT130" s="136">
        <v>1.68</v>
      </c>
      <c r="CU130" s="136">
        <v>1.68</v>
      </c>
      <c r="CV130" s="134">
        <v>1.68</v>
      </c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</row>
    <row r="131" spans="1:115" s="24" customFormat="1">
      <c r="A131" s="148" t="s">
        <v>73</v>
      </c>
      <c r="B131" s="70"/>
      <c r="C131" s="70"/>
      <c r="D131" s="70"/>
      <c r="E131" s="134"/>
      <c r="F131" s="135"/>
      <c r="G131" s="135"/>
      <c r="H131" s="135"/>
      <c r="I131" s="135"/>
      <c r="J131" s="134"/>
      <c r="K131" s="135"/>
      <c r="L131" s="135"/>
      <c r="M131" s="135"/>
      <c r="N131" s="135"/>
      <c r="O131" s="134"/>
      <c r="P131" s="135"/>
      <c r="Q131" s="135"/>
      <c r="R131" s="135"/>
      <c r="S131" s="135"/>
      <c r="T131" s="134"/>
      <c r="U131" s="136">
        <v>36.799999999999997</v>
      </c>
      <c r="V131" s="136">
        <v>36.799999999999997</v>
      </c>
      <c r="W131" s="136">
        <v>36.799999999999997</v>
      </c>
      <c r="X131" s="136">
        <v>36.799999999999997</v>
      </c>
      <c r="Y131" s="134">
        <v>36.799999999999997</v>
      </c>
      <c r="Z131" s="135">
        <v>36.799999999999997</v>
      </c>
      <c r="AA131" s="135">
        <v>36.799999999999997</v>
      </c>
      <c r="AB131" s="135">
        <v>36.799999999999997</v>
      </c>
      <c r="AC131" s="135">
        <v>36.799999999999997</v>
      </c>
      <c r="AD131" s="134">
        <v>36.799999999999997</v>
      </c>
      <c r="AE131" s="135">
        <v>36.799999999999997</v>
      </c>
      <c r="AF131" s="135">
        <v>36.799999999999997</v>
      </c>
      <c r="AG131" s="135">
        <v>36.799999999999997</v>
      </c>
      <c r="AH131" s="135">
        <v>36.799999999999997</v>
      </c>
      <c r="AI131" s="134">
        <v>36.799999999999997</v>
      </c>
      <c r="AJ131" s="135">
        <v>36.799999999999997</v>
      </c>
      <c r="AK131" s="135">
        <v>36.799999999999997</v>
      </c>
      <c r="AL131" s="135">
        <v>36.799999999999997</v>
      </c>
      <c r="AM131" s="135">
        <v>36.799999999999997</v>
      </c>
      <c r="AN131" s="134">
        <v>36.799999999999997</v>
      </c>
      <c r="AO131" s="136">
        <v>36.799999999999997</v>
      </c>
      <c r="AP131" s="136">
        <v>36.799999999999997</v>
      </c>
      <c r="AQ131" s="136">
        <v>36.799999999999997</v>
      </c>
      <c r="AR131" s="136">
        <v>36.799999999999997</v>
      </c>
      <c r="AS131" s="134">
        <v>36.799999999999997</v>
      </c>
      <c r="AT131" s="135">
        <v>36.799999999999997</v>
      </c>
      <c r="AU131" s="135">
        <v>36.799999999999997</v>
      </c>
      <c r="AV131" s="135">
        <v>36.799999999999997</v>
      </c>
      <c r="AW131" s="135">
        <v>36.799999999999997</v>
      </c>
      <c r="AX131" s="134">
        <v>36.799999999999997</v>
      </c>
      <c r="AY131" s="135">
        <v>36.799999999999997</v>
      </c>
      <c r="AZ131" s="135">
        <v>36.799999999999997</v>
      </c>
      <c r="BA131" s="135">
        <v>36.799999999999997</v>
      </c>
      <c r="BB131" s="135">
        <v>36.799999999999997</v>
      </c>
      <c r="BC131" s="134">
        <v>36.799999999999997</v>
      </c>
      <c r="BD131" s="135">
        <v>36.799999999999997</v>
      </c>
      <c r="BE131" s="135">
        <v>36.799999999999997</v>
      </c>
      <c r="BF131" s="135">
        <v>36.799999999999997</v>
      </c>
      <c r="BG131" s="135">
        <v>36.799999999999997</v>
      </c>
      <c r="BH131" s="134">
        <v>36.799999999999997</v>
      </c>
      <c r="BI131" s="136">
        <v>36.799999999999997</v>
      </c>
      <c r="BJ131" s="136">
        <v>36.799999999999997</v>
      </c>
      <c r="BK131" s="136">
        <v>36.799999999999997</v>
      </c>
      <c r="BL131" s="136">
        <v>36.799999999999997</v>
      </c>
      <c r="BM131" s="134">
        <v>36.799999999999997</v>
      </c>
      <c r="BN131" s="135">
        <v>36.799999999999997</v>
      </c>
      <c r="BO131" s="135">
        <v>36.799999999999997</v>
      </c>
      <c r="BP131" s="135">
        <v>36.799999999999997</v>
      </c>
      <c r="BQ131" s="135">
        <v>36.799999999999997</v>
      </c>
      <c r="BR131" s="134">
        <v>36.799999999999997</v>
      </c>
      <c r="BS131" s="135">
        <v>36.799999999999997</v>
      </c>
      <c r="BT131" s="135">
        <v>36.799999999999997</v>
      </c>
      <c r="BU131" s="135">
        <v>36.799999999999997</v>
      </c>
      <c r="BV131" s="135">
        <v>36.799999999999997</v>
      </c>
      <c r="BW131" s="134">
        <v>36.799999999999997</v>
      </c>
      <c r="BX131" s="135">
        <v>36.799999999999997</v>
      </c>
      <c r="BY131" s="135">
        <v>36.799999999999997</v>
      </c>
      <c r="BZ131" s="135">
        <v>36.799999999999997</v>
      </c>
      <c r="CA131" s="135">
        <v>36.799999999999997</v>
      </c>
      <c r="CB131" s="134">
        <v>36.799999999999997</v>
      </c>
      <c r="CC131" s="136">
        <v>36.799999999999997</v>
      </c>
      <c r="CD131" s="136">
        <v>36.799999999999997</v>
      </c>
      <c r="CE131" s="136">
        <v>36.799999999999997</v>
      </c>
      <c r="CF131" s="136">
        <v>36.799999999999997</v>
      </c>
      <c r="CG131" s="134">
        <v>36.799999999999997</v>
      </c>
      <c r="CH131" s="135">
        <v>36.799999999999997</v>
      </c>
      <c r="CI131" s="135">
        <v>36.799999999999997</v>
      </c>
      <c r="CJ131" s="135">
        <v>36.799999999999997</v>
      </c>
      <c r="CK131" s="135">
        <v>36.799999999999997</v>
      </c>
      <c r="CL131" s="134">
        <v>36.799999999999997</v>
      </c>
      <c r="CM131" s="135">
        <v>36.799999999999997</v>
      </c>
      <c r="CN131" s="135">
        <v>36.799999999999997</v>
      </c>
      <c r="CO131" s="135">
        <v>36.799999999999997</v>
      </c>
      <c r="CP131" s="135">
        <v>36.799999999999997</v>
      </c>
      <c r="CQ131" s="134">
        <v>36.799999999999997</v>
      </c>
      <c r="CR131" s="136">
        <v>36.799999999999997</v>
      </c>
      <c r="CS131" s="136">
        <v>36.799999999999997</v>
      </c>
      <c r="CT131" s="136">
        <v>36.799999999999997</v>
      </c>
      <c r="CU131" s="136">
        <v>36.799999999999997</v>
      </c>
      <c r="CV131" s="134">
        <v>36.799999999999997</v>
      </c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</row>
    <row r="132" spans="1:115">
      <c r="A132" s="149" t="s">
        <v>74</v>
      </c>
      <c r="B132" s="19"/>
      <c r="C132" s="19"/>
      <c r="D132" s="19"/>
      <c r="E132" s="112"/>
      <c r="F132" s="137"/>
      <c r="G132" s="137"/>
      <c r="H132" s="137"/>
      <c r="I132" s="137"/>
      <c r="J132" s="112"/>
      <c r="K132" s="137"/>
      <c r="L132" s="137"/>
      <c r="M132" s="137"/>
      <c r="N132" s="137"/>
      <c r="O132" s="112"/>
      <c r="P132" s="137"/>
      <c r="Q132" s="137"/>
      <c r="R132" s="137"/>
      <c r="S132" s="137"/>
      <c r="T132" s="112"/>
      <c r="U132" s="137">
        <f>+U131/U129</f>
        <v>0.95634095634095639</v>
      </c>
      <c r="V132" s="137">
        <f t="shared" ref="V132:W132" si="1389">+V131/V129</f>
        <v>0.95634095634095639</v>
      </c>
      <c r="W132" s="137">
        <f t="shared" si="1389"/>
        <v>0.95634095634095639</v>
      </c>
      <c r="X132" s="137">
        <f t="shared" ref="X132" si="1390">+X131/X129</f>
        <v>0.95634095634095639</v>
      </c>
      <c r="Y132" s="112">
        <f t="shared" ref="Y132" si="1391">+Y131/Y129</f>
        <v>0.95634095634095639</v>
      </c>
      <c r="Z132" s="137">
        <f t="shared" ref="Z132" si="1392">+Z131/Z129</f>
        <v>0.95634095634095639</v>
      </c>
      <c r="AA132" s="137">
        <f t="shared" ref="AA132" si="1393">+AA131/AA129</f>
        <v>0.95634095634095639</v>
      </c>
      <c r="AB132" s="137">
        <f t="shared" ref="AB132" si="1394">+AB131/AB129</f>
        <v>0.95634095634095639</v>
      </c>
      <c r="AC132" s="137">
        <f t="shared" ref="AC132" si="1395">+AC131/AC129</f>
        <v>0.95634095634095639</v>
      </c>
      <c r="AD132" s="112">
        <f t="shared" ref="AD132" si="1396">+AD131/AD129</f>
        <v>0.95634095634095639</v>
      </c>
      <c r="AE132" s="137">
        <f t="shared" ref="AE132" si="1397">+AE131/AE129</f>
        <v>0.95634095634095639</v>
      </c>
      <c r="AF132" s="137">
        <f t="shared" ref="AF132" si="1398">+AF131/AF129</f>
        <v>0.95634095634095639</v>
      </c>
      <c r="AG132" s="137">
        <f t="shared" ref="AG132" si="1399">+AG131/AG129</f>
        <v>0.95634095634095639</v>
      </c>
      <c r="AH132" s="137">
        <f t="shared" ref="AH132" si="1400">+AH131/AH129</f>
        <v>0.95634095634095639</v>
      </c>
      <c r="AI132" s="112">
        <f t="shared" ref="AI132" si="1401">+AI131/AI129</f>
        <v>0.95634095634095639</v>
      </c>
      <c r="AJ132" s="137">
        <f t="shared" ref="AJ132" si="1402">+AJ131/AJ129</f>
        <v>0.95634095634095639</v>
      </c>
      <c r="AK132" s="137">
        <f t="shared" ref="AK132" si="1403">+AK131/AK129</f>
        <v>0.95634095634095639</v>
      </c>
      <c r="AL132" s="137">
        <f t="shared" ref="AL132" si="1404">+AL131/AL129</f>
        <v>0.95634095634095639</v>
      </c>
      <c r="AM132" s="137">
        <f t="shared" ref="AM132" si="1405">+AM131/AM129</f>
        <v>0.95634095634095639</v>
      </c>
      <c r="AN132" s="112">
        <f t="shared" ref="AN132" si="1406">+AN131/AN129</f>
        <v>0.95634095634095639</v>
      </c>
      <c r="AO132" s="137">
        <f t="shared" ref="AO132" si="1407">+AO131/AO129</f>
        <v>0.95634095634095639</v>
      </c>
      <c r="AP132" s="137">
        <f t="shared" ref="AP132" si="1408">+AP131/AP129</f>
        <v>0.95634095634095639</v>
      </c>
      <c r="AQ132" s="137">
        <f t="shared" ref="AQ132" si="1409">+AQ131/AQ129</f>
        <v>0.95634095634095639</v>
      </c>
      <c r="AR132" s="137">
        <f t="shared" ref="AR132" si="1410">+AR131/AR129</f>
        <v>0.95634095634095639</v>
      </c>
      <c r="AS132" s="112">
        <f t="shared" ref="AS132" si="1411">+AS131/AS129</f>
        <v>0.95634095634095639</v>
      </c>
      <c r="AT132" s="137">
        <f t="shared" ref="AT132" si="1412">+AT131/AT129</f>
        <v>0.95634095634095639</v>
      </c>
      <c r="AU132" s="137">
        <f t="shared" ref="AU132" si="1413">+AU131/AU129</f>
        <v>0.95634095634095639</v>
      </c>
      <c r="AV132" s="137">
        <f t="shared" ref="AV132" si="1414">+AV131/AV129</f>
        <v>0.95634095634095639</v>
      </c>
      <c r="AW132" s="137">
        <f t="shared" ref="AW132" si="1415">+AW131/AW129</f>
        <v>0.95634095634095639</v>
      </c>
      <c r="AX132" s="112">
        <f t="shared" ref="AX132" si="1416">+AX131/AX129</f>
        <v>0.95634095634095639</v>
      </c>
      <c r="AY132" s="137">
        <f t="shared" ref="AY132" si="1417">+AY131/AY129</f>
        <v>0.95634095634095639</v>
      </c>
      <c r="AZ132" s="137">
        <f t="shared" ref="AZ132" si="1418">+AZ131/AZ129</f>
        <v>0.95634095634095639</v>
      </c>
      <c r="BA132" s="137">
        <f t="shared" ref="BA132" si="1419">+BA131/BA129</f>
        <v>0.95634095634095639</v>
      </c>
      <c r="BB132" s="137">
        <f t="shared" ref="BB132" si="1420">+BB131/BB129</f>
        <v>0.95634095634095639</v>
      </c>
      <c r="BC132" s="112">
        <f t="shared" ref="BC132" si="1421">+BC131/BC129</f>
        <v>0.95634095634095639</v>
      </c>
      <c r="BD132" s="137">
        <f t="shared" ref="BD132" si="1422">+BD131/BD129</f>
        <v>0.95634095634095639</v>
      </c>
      <c r="BE132" s="137">
        <f t="shared" ref="BE132" si="1423">+BE131/BE129</f>
        <v>0.95634095634095639</v>
      </c>
      <c r="BF132" s="137">
        <f t="shared" ref="BF132" si="1424">+BF131/BF129</f>
        <v>0.95634095634095639</v>
      </c>
      <c r="BG132" s="137">
        <f t="shared" ref="BG132" si="1425">+BG131/BG129</f>
        <v>0.95634095634095639</v>
      </c>
      <c r="BH132" s="112">
        <f t="shared" ref="BH132" si="1426">+BH131/BH129</f>
        <v>0.95634095634095639</v>
      </c>
      <c r="BI132" s="137">
        <f t="shared" ref="BI132" si="1427">+BI131/BI129</f>
        <v>0.95634095634095639</v>
      </c>
      <c r="BJ132" s="137">
        <f t="shared" ref="BJ132" si="1428">+BJ131/BJ129</f>
        <v>0.95634095634095639</v>
      </c>
      <c r="BK132" s="137">
        <f t="shared" ref="BK132" si="1429">+BK131/BK129</f>
        <v>0.95634095634095639</v>
      </c>
      <c r="BL132" s="137">
        <f t="shared" ref="BL132" si="1430">+BL131/BL129</f>
        <v>0.95634095634095639</v>
      </c>
      <c r="BM132" s="112">
        <f t="shared" ref="BM132" si="1431">+BM131/BM129</f>
        <v>0.95634095634095639</v>
      </c>
      <c r="BN132" s="137">
        <f t="shared" ref="BN132" si="1432">+BN131/BN129</f>
        <v>0.95634095634095639</v>
      </c>
      <c r="BO132" s="137">
        <f t="shared" ref="BO132" si="1433">+BO131/BO129</f>
        <v>0.95634095634095639</v>
      </c>
      <c r="BP132" s="137">
        <f t="shared" ref="BP132" si="1434">+BP131/BP129</f>
        <v>0.95634095634095639</v>
      </c>
      <c r="BQ132" s="137">
        <f t="shared" ref="BQ132" si="1435">+BQ131/BQ129</f>
        <v>0.95634095634095639</v>
      </c>
      <c r="BR132" s="112">
        <f t="shared" ref="BR132" si="1436">+BR131/BR129</f>
        <v>0.95634095634095639</v>
      </c>
      <c r="BS132" s="137">
        <f t="shared" ref="BS132" si="1437">+BS131/BS129</f>
        <v>0.95634095634095639</v>
      </c>
      <c r="BT132" s="137">
        <f t="shared" ref="BT132" si="1438">+BT131/BT129</f>
        <v>0.95634095634095639</v>
      </c>
      <c r="BU132" s="137">
        <f t="shared" ref="BU132" si="1439">+BU131/BU129</f>
        <v>0.95634095634095639</v>
      </c>
      <c r="BV132" s="137">
        <f t="shared" ref="BV132" si="1440">+BV131/BV129</f>
        <v>0.95634095634095639</v>
      </c>
      <c r="BW132" s="112">
        <f t="shared" ref="BW132" si="1441">+BW131/BW129</f>
        <v>0.95634095634095639</v>
      </c>
      <c r="BX132" s="137">
        <f t="shared" ref="BX132" si="1442">+BX131/BX129</f>
        <v>0.95634095634095639</v>
      </c>
      <c r="BY132" s="137">
        <f t="shared" ref="BY132" si="1443">+BY131/BY129</f>
        <v>0.95634095634095639</v>
      </c>
      <c r="BZ132" s="137">
        <f t="shared" ref="BZ132" si="1444">+BZ131/BZ129</f>
        <v>0.95634095634095639</v>
      </c>
      <c r="CA132" s="137">
        <f t="shared" ref="CA132" si="1445">+CA131/CA129</f>
        <v>0.95634095634095639</v>
      </c>
      <c r="CB132" s="112">
        <f t="shared" ref="CB132" si="1446">+CB131/CB129</f>
        <v>0.95634095634095639</v>
      </c>
      <c r="CC132" s="137">
        <f t="shared" ref="CC132" si="1447">+CC131/CC129</f>
        <v>0.95634095634095639</v>
      </c>
      <c r="CD132" s="137">
        <f t="shared" ref="CD132" si="1448">+CD131/CD129</f>
        <v>0.95634095634095639</v>
      </c>
      <c r="CE132" s="137">
        <f t="shared" ref="CE132" si="1449">+CE131/CE129</f>
        <v>0.95634095634095639</v>
      </c>
      <c r="CF132" s="137">
        <f t="shared" ref="CF132" si="1450">+CF131/CF129</f>
        <v>0.95634095634095639</v>
      </c>
      <c r="CG132" s="112">
        <f t="shared" ref="CG132" si="1451">+CG131/CG129</f>
        <v>0.95634095634095639</v>
      </c>
      <c r="CH132" s="137">
        <f t="shared" ref="CH132" si="1452">+CH131/CH129</f>
        <v>0.95634095634095639</v>
      </c>
      <c r="CI132" s="137">
        <f t="shared" ref="CI132" si="1453">+CI131/CI129</f>
        <v>0.95634095634095639</v>
      </c>
      <c r="CJ132" s="137">
        <f t="shared" ref="CJ132" si="1454">+CJ131/CJ129</f>
        <v>0.95634095634095639</v>
      </c>
      <c r="CK132" s="137">
        <f t="shared" ref="CK132" si="1455">+CK131/CK129</f>
        <v>0.95634095634095639</v>
      </c>
      <c r="CL132" s="112">
        <f t="shared" ref="CL132" si="1456">+CL131/CL129</f>
        <v>0.95634095634095639</v>
      </c>
      <c r="CM132" s="137">
        <f t="shared" ref="CM132" si="1457">+CM131/CM129</f>
        <v>0.95634095634095639</v>
      </c>
      <c r="CN132" s="137">
        <f t="shared" ref="CN132" si="1458">+CN131/CN129</f>
        <v>0.95634095634095639</v>
      </c>
      <c r="CO132" s="137">
        <f t="shared" ref="CO132" si="1459">+CO131/CO129</f>
        <v>0.95634095634095639</v>
      </c>
      <c r="CP132" s="137">
        <f t="shared" ref="CP132" si="1460">+CP131/CP129</f>
        <v>0.95634095634095639</v>
      </c>
      <c r="CQ132" s="112">
        <f t="shared" ref="CQ132" si="1461">+CQ131/CQ129</f>
        <v>0.95634095634095639</v>
      </c>
      <c r="CR132" s="137">
        <f t="shared" ref="CR132" si="1462">+CR131/CR129</f>
        <v>0.95634095634095639</v>
      </c>
      <c r="CS132" s="137">
        <f t="shared" ref="CS132" si="1463">+CS131/CS129</f>
        <v>0.95634095634095639</v>
      </c>
      <c r="CT132" s="137">
        <f t="shared" ref="CT132" si="1464">+CT131/CT129</f>
        <v>0.95634095634095639</v>
      </c>
      <c r="CU132" s="137">
        <f t="shared" ref="CU132" si="1465">+CU131/CU129</f>
        <v>0.95634095634095639</v>
      </c>
      <c r="CV132" s="112">
        <f t="shared" ref="CV132" si="1466">+CV131/CV129</f>
        <v>0.95634095634095639</v>
      </c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</row>
    <row r="133" spans="1:115">
      <c r="A133" s="146"/>
      <c r="B133" s="34"/>
      <c r="C133" s="34"/>
      <c r="D133" s="34"/>
      <c r="E133" s="100"/>
      <c r="J133" s="100"/>
      <c r="O133" s="100"/>
      <c r="T133" s="100"/>
      <c r="Y133" s="100"/>
      <c r="AD133" s="100"/>
      <c r="AI133" s="100"/>
      <c r="AN133" s="100"/>
      <c r="AS133" s="100"/>
      <c r="AX133" s="100"/>
      <c r="BC133" s="100"/>
      <c r="BH133" s="100"/>
      <c r="BM133" s="100"/>
      <c r="BR133" s="100"/>
      <c r="BW133" s="100"/>
      <c r="CB133" s="100"/>
      <c r="CG133" s="100"/>
      <c r="CL133" s="100"/>
      <c r="CQ133" s="100"/>
      <c r="CV133" s="100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</row>
    <row r="134" spans="1:115">
      <c r="A134" s="148" t="s">
        <v>75</v>
      </c>
      <c r="B134" s="71">
        <v>669.56650000000002</v>
      </c>
      <c r="C134" s="71">
        <v>928.404</v>
      </c>
      <c r="D134" s="71">
        <v>1465.7635</v>
      </c>
      <c r="E134" s="134">
        <v>3063.7339999999999</v>
      </c>
      <c r="F134" s="136">
        <v>1906.7165</v>
      </c>
      <c r="G134" s="136">
        <v>2053.6610000000001</v>
      </c>
      <c r="H134" s="136">
        <v>2166.0300000000002</v>
      </c>
      <c r="I134" s="136">
        <v>2168.0830000000001</v>
      </c>
      <c r="J134" s="134">
        <v>8294.4904999999999</v>
      </c>
      <c r="K134" s="136">
        <v>2020.8064999999999</v>
      </c>
      <c r="L134" s="136">
        <v>2072.8319999999999</v>
      </c>
      <c r="M134" s="136">
        <v>2157.712</v>
      </c>
      <c r="N134" s="136">
        <v>2172.8645000000001</v>
      </c>
      <c r="O134" s="134">
        <v>8424.2150000000001</v>
      </c>
      <c r="P134" s="136">
        <v>2018.9490000000001</v>
      </c>
      <c r="Q134" s="136">
        <v>1988.6379999999999</v>
      </c>
      <c r="R134" s="136">
        <v>2182.913</v>
      </c>
      <c r="S134" s="136">
        <v>2232.3290000000002</v>
      </c>
      <c r="T134" s="134">
        <v>8422.8289999999997</v>
      </c>
      <c r="U134" s="136">
        <v>2012.86</v>
      </c>
      <c r="V134" s="136">
        <v>2125.4</v>
      </c>
      <c r="W134" s="136">
        <v>2369.8000000000002</v>
      </c>
      <c r="X134" s="136">
        <v>2406</v>
      </c>
      <c r="Y134" s="134">
        <f>+SUM(U134:X134)</f>
        <v>8914.0600000000013</v>
      </c>
      <c r="Z134" s="136">
        <v>2295.8919999999998</v>
      </c>
      <c r="AA134" s="136">
        <v>2278.096</v>
      </c>
      <c r="AB134" s="136">
        <v>2362.8539999999998</v>
      </c>
      <c r="AC134" s="136">
        <v>2446.1210000000001</v>
      </c>
      <c r="AD134" s="134">
        <f>+SUM(Z134:AC134)</f>
        <v>9382.9629999999997</v>
      </c>
      <c r="AE134" s="302">
        <v>2119.8910000000001</v>
      </c>
      <c r="AF134" s="302">
        <v>2203.1289999999999</v>
      </c>
      <c r="AG134" s="302">
        <v>2157.1909999999998</v>
      </c>
      <c r="AH134" s="300">
        <f>AC134*(1+AH135)</f>
        <v>2332.1689999999999</v>
      </c>
      <c r="AI134" s="301">
        <f>+SUM(AE134:AH134)</f>
        <v>8812.380000000001</v>
      </c>
      <c r="AJ134" s="300">
        <f t="shared" ref="AJ134:AM134" si="1467">AE134*(1+AJ135)</f>
        <v>2202.7640000000001</v>
      </c>
      <c r="AK134" s="300">
        <f t="shared" si="1467"/>
        <v>2289.2559999999999</v>
      </c>
      <c r="AL134" s="300">
        <f t="shared" si="1467"/>
        <v>2241.5220000000004</v>
      </c>
      <c r="AM134" s="300">
        <f t="shared" si="1467"/>
        <v>2316.0300000000002</v>
      </c>
      <c r="AN134" s="301">
        <f>+SUM(AJ134:AM134)</f>
        <v>9049.5720000000019</v>
      </c>
      <c r="AO134" s="300">
        <f t="shared" ref="AO134" si="1468">AJ134*(1+AO135)</f>
        <v>2195.817</v>
      </c>
      <c r="AP134" s="300">
        <f t="shared" ref="AP134" si="1469">AK134*(1+AP135)</f>
        <v>2293.9720000000002</v>
      </c>
      <c r="AQ134" s="300">
        <f t="shared" ref="AQ134" si="1470">AL134*(1+AQ135)</f>
        <v>2459.1360000000004</v>
      </c>
      <c r="AR134" s="300">
        <f t="shared" ref="AR134" si="1471">AM134*(1+AR135)</f>
        <v>2578.0940000000005</v>
      </c>
      <c r="AS134" s="301">
        <f>+SUM(AO134:AR134)</f>
        <v>9527.0190000000021</v>
      </c>
      <c r="AT134" s="300">
        <f t="shared" ref="AT134" si="1472">AO134*(1+AT135)</f>
        <v>2327.3409999999999</v>
      </c>
      <c r="AU134" s="300">
        <f t="shared" ref="AU134" si="1473">AP134*(1+AU135)</f>
        <v>2431.096</v>
      </c>
      <c r="AV134" s="300">
        <f t="shared" ref="AV134" si="1474">AQ134*(1+AV135)</f>
        <v>2604.6290000000004</v>
      </c>
      <c r="AW134" s="300">
        <f t="shared" ref="AW134" si="1475">AR134*(1+AW135)</f>
        <v>2731.641000000001</v>
      </c>
      <c r="AX134" s="301">
        <f>+SUM(AT134:AW134)</f>
        <v>10094.707000000002</v>
      </c>
      <c r="AY134" s="300">
        <f t="shared" ref="AY134" si="1476">AT134*(1+AY135)</f>
        <v>2420.0720000000001</v>
      </c>
      <c r="AZ134" s="300">
        <f t="shared" ref="AZ134" si="1477">AU134*(1+AZ135)</f>
        <v>2527.6990000000001</v>
      </c>
      <c r="BA134" s="300">
        <f t="shared" ref="BA134" si="1478">AV134*(1+BA135)</f>
        <v>2706.7100000000005</v>
      </c>
      <c r="BB134" s="300">
        <f t="shared" ref="BB134" si="1479">AW134*(1+BB135)</f>
        <v>2839.6580000000008</v>
      </c>
      <c r="BC134" s="301">
        <f>+SUM(AY134:BB134)</f>
        <v>10494.139000000003</v>
      </c>
      <c r="BD134" s="300">
        <f t="shared" ref="BD134" si="1480">AY134*(1+BD135)</f>
        <v>2514.0459999999998</v>
      </c>
      <c r="BE134" s="300">
        <f t="shared" ref="BE134" si="1481">AZ134*(1+BE135)</f>
        <v>2625.625</v>
      </c>
      <c r="BF134" s="300">
        <f t="shared" ref="BF134" si="1482">BA134*(1+BF135)</f>
        <v>2810.3410000000003</v>
      </c>
      <c r="BG134" s="300">
        <f t="shared" ref="BG134" si="1483">BB134*(1+BG135)</f>
        <v>2949.2110000000002</v>
      </c>
      <c r="BH134" s="301">
        <f>+SUM(BD134:BG134)</f>
        <v>10899.223000000002</v>
      </c>
      <c r="BI134" s="300">
        <f t="shared" ref="BI134" si="1484">BD134*(1+BI135)</f>
        <v>2619.7049999999995</v>
      </c>
      <c r="BJ134" s="300">
        <f t="shared" ref="BJ134" si="1485">BE134*(1+BJ135)</f>
        <v>2735.8949999999995</v>
      </c>
      <c r="BK134" s="300">
        <f t="shared" ref="BK134" si="1486">BF134*(1+BK135)</f>
        <v>2927.9470000000006</v>
      </c>
      <c r="BL134" s="300">
        <f t="shared" ref="BL134" si="1487">BG134*(1+BL135)</f>
        <v>3072.9140000000007</v>
      </c>
      <c r="BM134" s="301">
        <f>+SUM(BI134:BL134)</f>
        <v>11356.460999999999</v>
      </c>
      <c r="BN134" s="300">
        <f t="shared" ref="BN134" si="1488">BI134*(1+BN135)</f>
        <v>2727.5349999999994</v>
      </c>
      <c r="BO134" s="300">
        <f t="shared" ref="BO134" si="1489">BJ134*(1+BO135)</f>
        <v>2848.4489999999996</v>
      </c>
      <c r="BP134" s="300">
        <f t="shared" ref="BP134" si="1490">BK134*(1+BP135)</f>
        <v>3048.0910000000003</v>
      </c>
      <c r="BQ134" s="300">
        <f t="shared" ref="BQ134" si="1491">BL134*(1+BQ135)</f>
        <v>3199.2170000000001</v>
      </c>
      <c r="BR134" s="301">
        <f>+SUM(BN134:BQ134)</f>
        <v>11823.291999999999</v>
      </c>
      <c r="BS134" s="300">
        <f t="shared" ref="BS134" si="1492">BN134*(1+BS135)</f>
        <v>2837.4409999999989</v>
      </c>
      <c r="BT134" s="300">
        <f t="shared" ref="BT134" si="1493">BO134*(1+BT135)</f>
        <v>2963.1919999999996</v>
      </c>
      <c r="BU134" s="300">
        <f t="shared" ref="BU134" si="1494">BP134*(1+BU135)</f>
        <v>3170.6840000000007</v>
      </c>
      <c r="BV134" s="300">
        <f t="shared" ref="BV134" si="1495">BQ134*(1+BV135)</f>
        <v>3328.0179999999996</v>
      </c>
      <c r="BW134" s="301">
        <f>+SUM(BS134:BV134)</f>
        <v>12299.334999999999</v>
      </c>
      <c r="BX134" s="300">
        <f t="shared" ref="BX134" si="1496">BS134*(1+BX135)</f>
        <v>2949.3149999999991</v>
      </c>
      <c r="BY134" s="300">
        <f t="shared" ref="BY134" si="1497">BT134*(1+BY135)</f>
        <v>3080.0129999999995</v>
      </c>
      <c r="BZ134" s="300">
        <f t="shared" ref="BZ134" si="1498">BU134*(1+BZ135)</f>
        <v>3295.6240000000007</v>
      </c>
      <c r="CA134" s="300">
        <f t="shared" ref="CA134" si="1499">BV134*(1+CA135)</f>
        <v>3459.1990000000001</v>
      </c>
      <c r="CB134" s="301">
        <f>+SUM(BX134:CA134)</f>
        <v>12784.151</v>
      </c>
      <c r="CC134" s="300">
        <f t="shared" ref="CC134" si="1500">BX134*(1+CC135)</f>
        <v>3063.043999999999</v>
      </c>
      <c r="CD134" s="300">
        <f t="shared" ref="CD134" si="1501">BY134*(1+CD135)</f>
        <v>3198.7959999999994</v>
      </c>
      <c r="CE134" s="300">
        <f t="shared" ref="CE134" si="1502">BZ134*(1+CE135)</f>
        <v>3422.8030000000003</v>
      </c>
      <c r="CF134" s="300">
        <f t="shared" ref="CF134" si="1503">CA134*(1+CF135)</f>
        <v>3592.636</v>
      </c>
      <c r="CG134" s="301">
        <f>+SUM(CC134:CF134)</f>
        <v>13277.278999999999</v>
      </c>
      <c r="CH134" s="300">
        <f t="shared" ref="CH134" si="1504">CC134*(1+CH135)</f>
        <v>3178.5059999999989</v>
      </c>
      <c r="CI134" s="300">
        <f t="shared" ref="CI134" si="1505">CD134*(1+CI135)</f>
        <v>3319.4179999999997</v>
      </c>
      <c r="CJ134" s="300">
        <f t="shared" ref="CJ134" si="1506">CE134*(1+CJ135)</f>
        <v>3552.1040000000003</v>
      </c>
      <c r="CK134" s="300">
        <f t="shared" ref="CK134" si="1507">CF134*(1+CK135)</f>
        <v>3728.1959999999999</v>
      </c>
      <c r="CL134" s="301">
        <f>+SUM(CH134:CK134)</f>
        <v>13778.223999999998</v>
      </c>
      <c r="CM134" s="300">
        <f t="shared" ref="CM134" si="1508">CH134*(1+CM135)</f>
        <v>3295.5739999999992</v>
      </c>
      <c r="CN134" s="300">
        <f t="shared" ref="CN134" si="1509">CI134*(1+CN135)</f>
        <v>3441.7499999999991</v>
      </c>
      <c r="CO134" s="300">
        <f t="shared" ref="CO134" si="1510">CJ134*(1+CO135)</f>
        <v>3683.4059999999999</v>
      </c>
      <c r="CP134" s="300">
        <f t="shared" ref="CP134" si="1511">CK134*(1+CP135)</f>
        <v>3865.74</v>
      </c>
      <c r="CQ134" s="301">
        <f>+SUM(CM134:CP134)</f>
        <v>14286.47</v>
      </c>
      <c r="CR134" s="300">
        <f t="shared" ref="CR134" si="1512">CM134*(1+CR135)</f>
        <v>3364.7810539999987</v>
      </c>
      <c r="CS134" s="300">
        <f t="shared" ref="CS134" si="1513">CN134*(1+CS135)</f>
        <v>3514.0267499999986</v>
      </c>
      <c r="CT134" s="300">
        <f t="shared" ref="CT134" si="1514">CO134*(1+CT135)</f>
        <v>3760.7575259999994</v>
      </c>
      <c r="CU134" s="300">
        <f t="shared" ref="CU134" si="1515">CP134*(1+CU135)</f>
        <v>3946.9205399999996</v>
      </c>
      <c r="CV134" s="301">
        <f>+SUM(CR134:CU134)</f>
        <v>14586.485869999997</v>
      </c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</row>
    <row r="135" spans="1:115">
      <c r="A135" s="146" t="s">
        <v>70</v>
      </c>
      <c r="B135" s="34"/>
      <c r="C135" s="34"/>
      <c r="D135" s="34"/>
      <c r="E135" s="111"/>
      <c r="I135" s="110">
        <f>+I134/D134-1</f>
        <v>0.47914926248334067</v>
      </c>
      <c r="J135" s="111">
        <f t="shared" ref="J135" si="1516">+J134/E134-1</f>
        <v>1.7073141793641353</v>
      </c>
      <c r="K135" s="110">
        <f t="shared" ref="K135" si="1517">+K134/F134-1</f>
        <v>5.9835848695912519E-2</v>
      </c>
      <c r="L135" s="110">
        <f t="shared" ref="L135" si="1518">+L134/G134-1</f>
        <v>9.3350363083293253E-3</v>
      </c>
      <c r="M135" s="110">
        <f t="shared" ref="M135" si="1519">+M134/H134-1</f>
        <v>-3.8402053526498392E-3</v>
      </c>
      <c r="N135" s="110">
        <f t="shared" ref="N135" si="1520">+N134/I134-1</f>
        <v>2.2054044978905285E-3</v>
      </c>
      <c r="O135" s="111">
        <f t="shared" ref="O135" si="1521">+O134/J134-1</f>
        <v>1.5639839481400353E-2</v>
      </c>
      <c r="P135" s="110">
        <f t="shared" ref="P135" si="1522">+P134/K134-1</f>
        <v>-9.1918746302521726E-4</v>
      </c>
      <c r="Q135" s="110">
        <f t="shared" ref="Q135" si="1523">+Q134/L134-1</f>
        <v>-4.0617860009880213E-2</v>
      </c>
      <c r="R135" s="110">
        <f t="shared" ref="R135" si="1524">+R134/M134-1</f>
        <v>1.1679501249471702E-2</v>
      </c>
      <c r="S135" s="110">
        <f t="shared" ref="S135" si="1525">+S134/N134-1</f>
        <v>2.7366869862340826E-2</v>
      </c>
      <c r="T135" s="111">
        <f t="shared" ref="T135:X135" si="1526">+T134/O134-1</f>
        <v>-1.6452571545244599E-4</v>
      </c>
      <c r="U135" s="110">
        <f t="shared" si="1526"/>
        <v>-3.0159256127817446E-3</v>
      </c>
      <c r="V135" s="110">
        <f t="shared" si="1526"/>
        <v>6.8771691982150607E-2</v>
      </c>
      <c r="W135" s="110">
        <f t="shared" si="1526"/>
        <v>8.5613581484924151E-2</v>
      </c>
      <c r="X135" s="110">
        <f t="shared" si="1526"/>
        <v>7.7798120259155334E-2</v>
      </c>
      <c r="Y135" s="111">
        <f t="shared" ref="Y135" si="1527">+Y134/T134-1</f>
        <v>5.8321378719667916E-2</v>
      </c>
      <c r="Z135" s="110">
        <f t="shared" ref="Z135" si="1528">+Z134/U134-1</f>
        <v>0.14061186570352624</v>
      </c>
      <c r="AA135" s="110">
        <f t="shared" ref="AA135" si="1529">+AA134/V134-1</f>
        <v>7.1843417709607449E-2</v>
      </c>
      <c r="AB135" s="110">
        <f t="shared" ref="AB135" si="1530">+AB134/W134-1</f>
        <v>-2.9310490336739159E-3</v>
      </c>
      <c r="AC135" s="110">
        <f t="shared" ref="AC135" si="1531">+AC134/X134-1</f>
        <v>1.6675394846217939E-2</v>
      </c>
      <c r="AD135" s="111">
        <f>+AD134/Y134-1</f>
        <v>5.2602630002490214E-2</v>
      </c>
      <c r="AE135" s="110">
        <f t="shared" ref="AE135:AG135" si="1532">+AE134/Z134-1</f>
        <v>-7.6659093720436222E-2</v>
      </c>
      <c r="AF135" s="110">
        <f t="shared" si="1532"/>
        <v>-3.2907744010787998E-2</v>
      </c>
      <c r="AG135" s="110">
        <f t="shared" si="1532"/>
        <v>-8.7040079497082812E-2</v>
      </c>
      <c r="AH135" s="110">
        <v>-4.6584776468539424E-2</v>
      </c>
      <c r="AI135" s="111">
        <f>+AI134/AD134-1</f>
        <v>-6.0810535009036992E-2</v>
      </c>
      <c r="AJ135" s="110">
        <v>3.9093047708585127E-2</v>
      </c>
      <c r="AK135" s="110">
        <v>3.9093035405552756E-2</v>
      </c>
      <c r="AL135" s="110">
        <v>3.9092968587389976E-2</v>
      </c>
      <c r="AM135" s="110">
        <v>-6.9201674492713749E-3</v>
      </c>
      <c r="AN135" s="111">
        <f>+AN134/AI134-1</f>
        <v>2.6915770767942382E-2</v>
      </c>
      <c r="AO135" s="110">
        <v>-3.1537649970673209E-3</v>
      </c>
      <c r="AP135" s="110">
        <v>2.0600579402216823E-3</v>
      </c>
      <c r="AQ135" s="110">
        <v>9.7083142614705631E-2</v>
      </c>
      <c r="AR135" s="110">
        <v>0.11315224759610198</v>
      </c>
      <c r="AS135" s="111">
        <f>+AS134/AN134-1</f>
        <v>5.2759069710700102E-2</v>
      </c>
      <c r="AT135" s="110">
        <v>5.9897523336416514E-2</v>
      </c>
      <c r="AU135" s="110">
        <v>5.9775794996625775E-2</v>
      </c>
      <c r="AV135" s="110">
        <v>5.9164275582968884E-2</v>
      </c>
      <c r="AW135" s="110">
        <v>5.9558340386347552E-2</v>
      </c>
      <c r="AX135" s="111">
        <f>+AX134/AS134-1</f>
        <v>5.9587159425209535E-2</v>
      </c>
      <c r="AY135" s="110">
        <v>3.9844182696046726E-2</v>
      </c>
      <c r="AZ135" s="110">
        <v>3.9736398727158395E-2</v>
      </c>
      <c r="BA135" s="110">
        <v>3.9192145983170779E-2</v>
      </c>
      <c r="BB135" s="110">
        <v>3.9542897474448502E-2</v>
      </c>
      <c r="BC135" s="111">
        <f>+BC134/AX134-1</f>
        <v>3.9568458995392408E-2</v>
      </c>
      <c r="BD135" s="110">
        <v>3.8831076100215078E-2</v>
      </c>
      <c r="BE135" s="110">
        <v>3.8741163405927592E-2</v>
      </c>
      <c r="BF135" s="110">
        <v>3.8286702306490117E-2</v>
      </c>
      <c r="BG135" s="110">
        <v>3.8579645858761724E-2</v>
      </c>
      <c r="BH135" s="111">
        <f>+BH134/BC134-1</f>
        <v>3.8600975268194837E-2</v>
      </c>
      <c r="BI135" s="110">
        <v>4.2027472846558833E-2</v>
      </c>
      <c r="BJ135" s="110">
        <v>4.1997619614377424E-2</v>
      </c>
      <c r="BK135" s="110">
        <v>4.1847590737209561E-2</v>
      </c>
      <c r="BL135" s="110">
        <v>4.1944438699028419E-2</v>
      </c>
      <c r="BM135" s="111">
        <f>+BM134/BH134-1</f>
        <v>4.1951430849703542E-2</v>
      </c>
      <c r="BN135" s="110">
        <v>4.1161123103555575E-2</v>
      </c>
      <c r="BO135" s="110">
        <v>4.1139736722352271E-2</v>
      </c>
      <c r="BP135" s="110">
        <v>4.1033529636977706E-2</v>
      </c>
      <c r="BQ135" s="110">
        <v>4.1102028888540199E-2</v>
      </c>
      <c r="BR135" s="111">
        <f>+BR134/BM134-1</f>
        <v>4.1107084328471766E-2</v>
      </c>
      <c r="BS135" s="110">
        <v>4.0294991631637966E-2</v>
      </c>
      <c r="BT135" s="110">
        <v>4.0282623982384802E-2</v>
      </c>
      <c r="BU135" s="110">
        <v>4.0219599742921108E-2</v>
      </c>
      <c r="BV135" s="110">
        <v>4.0260163658795145E-2</v>
      </c>
      <c r="BW135" s="111">
        <f>+BW134/BR134-1</f>
        <v>4.0263151751644077E-2</v>
      </c>
      <c r="BX135" s="110">
        <v>3.9427780172345495E-2</v>
      </c>
      <c r="BY135" s="110">
        <v>3.9424040021706297E-2</v>
      </c>
      <c r="BZ135" s="110">
        <v>3.9404746736035445E-2</v>
      </c>
      <c r="CA135" s="110">
        <v>3.9417154594716841E-2</v>
      </c>
      <c r="CB135" s="111">
        <f>+CB134/BW134-1</f>
        <v>3.9418066098695581E-2</v>
      </c>
      <c r="CC135" s="110">
        <v>3.8561157421299397E-2</v>
      </c>
      <c r="CD135" s="110">
        <v>3.8565746313408367E-2</v>
      </c>
      <c r="CE135" s="110">
        <v>3.8590263937876346E-2</v>
      </c>
      <c r="CF135" s="110">
        <v>3.8574537053231106E-2</v>
      </c>
      <c r="CG135" s="111">
        <f>+CG134/CB134-1</f>
        <v>3.8573386687938749E-2</v>
      </c>
      <c r="CH135" s="110">
        <v>3.7695181655895249E-2</v>
      </c>
      <c r="CI135" s="110">
        <v>3.7708562846771265E-2</v>
      </c>
      <c r="CJ135" s="110">
        <v>3.7776348799507309E-2</v>
      </c>
      <c r="CK135" s="110">
        <v>3.7732739971430451E-2</v>
      </c>
      <c r="CL135" s="111">
        <f>+CL134/CG134-1</f>
        <v>3.7729492616672466E-2</v>
      </c>
      <c r="CM135" s="110">
        <v>3.6831140164593101E-2</v>
      </c>
      <c r="CN135" s="110">
        <v>3.6853448405714362E-2</v>
      </c>
      <c r="CO135" s="110">
        <v>3.696457085715954E-2</v>
      </c>
      <c r="CP135" s="110">
        <v>3.689291013669882E-2</v>
      </c>
      <c r="CQ135" s="111">
        <f>+CQ134/CL134-1</f>
        <v>3.6887627897470798E-2</v>
      </c>
      <c r="CR135" s="318">
        <v>2.0999999999999998E-2</v>
      </c>
      <c r="CS135" s="318">
        <v>2.0999999999999998E-2</v>
      </c>
      <c r="CT135" s="318">
        <v>2.0999999999999998E-2</v>
      </c>
      <c r="CU135" s="318">
        <v>2.0999999999999998E-2</v>
      </c>
      <c r="CV135" s="111">
        <f>+CV134/CQ134-1</f>
        <v>2.0999999999999908E-2</v>
      </c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</row>
    <row r="136" spans="1:115">
      <c r="A136" s="146" t="s">
        <v>76</v>
      </c>
      <c r="B136" s="34"/>
      <c r="C136" s="34"/>
      <c r="D136" s="34"/>
      <c r="E136" s="118"/>
      <c r="F136" s="119"/>
      <c r="G136" s="119"/>
      <c r="H136" s="119"/>
      <c r="I136" s="119"/>
      <c r="J136" s="118">
        <f>+J135/(J$4/100)</f>
        <v>22.662613854463334</v>
      </c>
      <c r="K136" s="119">
        <f t="shared" ref="K136" si="1533">+K135/(K$4/100)</f>
        <v>1.4126708454283017</v>
      </c>
      <c r="L136" s="119">
        <f t="shared" ref="L136" si="1534">+L135/(L$4/100)</f>
        <v>0.28165443518069921</v>
      </c>
      <c r="M136" s="119">
        <f t="shared" ref="M136" si="1535">+M135/(M$4/100)</f>
        <v>-0.18097390034335101</v>
      </c>
      <c r="N136" s="119">
        <f t="shared" ref="N136" si="1536">+N135/(N$4/100)</f>
        <v>0.16139551098199073</v>
      </c>
      <c r="O136" s="118">
        <f t="shared" ref="O136" si="1537">+O135/(O$4/100)</f>
        <v>0.57236181433122324</v>
      </c>
      <c r="P136" s="119">
        <f t="shared" ref="P136" si="1538">+P135/(P$4/100)</f>
        <v>-0.1221117175456202</v>
      </c>
      <c r="Q136" s="119">
        <f t="shared" ref="Q136" si="1539">+Q135/(Q$4/100)</f>
        <v>-8.2931515675173628</v>
      </c>
      <c r="R136" s="119">
        <f t="shared" ref="R136" si="1540">+R135/(R$4/100)</f>
        <v>1.946583541578617</v>
      </c>
      <c r="S136" s="119">
        <f t="shared" ref="S136" si="1541">+S135/(S$4/100)</f>
        <v>0.92769050380816365</v>
      </c>
      <c r="T136" s="118">
        <f t="shared" ref="T136" si="1542">+T135/(T$4/100)</f>
        <v>-1.6452571545244599E-2</v>
      </c>
      <c r="U136" s="119">
        <f t="shared" ref="U136:V136" si="1543">+U135/(U$4/100)</f>
        <v>-0.11142585174935349</v>
      </c>
      <c r="V136" s="119">
        <f t="shared" si="1543"/>
        <v>2.0839906661257759</v>
      </c>
      <c r="W136" s="119">
        <f t="shared" ref="W136:X136" si="1544">+W135/(W$4/100)</f>
        <v>2.2302975910740783</v>
      </c>
      <c r="X136" s="119">
        <f t="shared" si="1544"/>
        <v>2.2409223843527961</v>
      </c>
      <c r="Y136" s="118">
        <f>(+Y135/(Y$4/100))</f>
        <v>1.7673145066566034</v>
      </c>
      <c r="Z136" s="119">
        <f t="shared" ref="Z136:AC136" si="1545">+Z135/(Z$4/100)</f>
        <v>7.0305932851763115</v>
      </c>
      <c r="AA136" s="119">
        <f t="shared" si="1545"/>
        <v>3.5921708854803724</v>
      </c>
      <c r="AB136" s="119">
        <f t="shared" si="1545"/>
        <v>-0.14655245168369579</v>
      </c>
      <c r="AC136" s="119">
        <f t="shared" si="1545"/>
        <v>0.83376974231089696</v>
      </c>
      <c r="AD136" s="118">
        <f>(+AD135/(AD$4/100))</f>
        <v>36.382083014916553</v>
      </c>
      <c r="AE136" s="119">
        <f t="shared" ref="AE136" si="1546">+AE135/(AE$4/100)</f>
        <v>2.4728739909818138</v>
      </c>
      <c r="AF136" s="119">
        <f t="shared" ref="AF136:AG136" si="1547">+AF135/(AF$4/100)</f>
        <v>1.061540129380258</v>
      </c>
      <c r="AG136" s="119">
        <f t="shared" si="1547"/>
        <v>2.8077444999058971</v>
      </c>
      <c r="AH136" s="119">
        <f t="shared" ref="AH136" si="1548">+AH135/(AH$4/100)</f>
        <v>1.5027347247915943</v>
      </c>
      <c r="AI136" s="118">
        <f>(+AI135/(AI$4/100))</f>
        <v>1.9616301615818386</v>
      </c>
      <c r="AJ136" s="119">
        <f t="shared" ref="AJ136:AM136" si="1549">+AJ135/(AJ$4/100)</f>
        <v>-1.9546523854292563</v>
      </c>
      <c r="AK136" s="119">
        <f t="shared" si="1549"/>
        <v>-1.9546517702776378</v>
      </c>
      <c r="AL136" s="119">
        <f t="shared" si="1549"/>
        <v>-1.9546484293694988</v>
      </c>
      <c r="AM136" s="119">
        <f t="shared" si="1549"/>
        <v>0.34600837246356875</v>
      </c>
      <c r="AN136" s="118">
        <f>(+AN135/(AN$4/100))</f>
        <v>-1.3457885383971191</v>
      </c>
      <c r="AO136" s="119">
        <f t="shared" ref="AO136:AR136" si="1550">+AO135/(AO$4/100)</f>
        <v>-0.31537649970673209</v>
      </c>
      <c r="AP136" s="119">
        <f t="shared" si="1550"/>
        <v>0.20600579402216823</v>
      </c>
      <c r="AQ136" s="119">
        <f t="shared" si="1550"/>
        <v>9.7083142614705622</v>
      </c>
      <c r="AR136" s="119">
        <f t="shared" si="1550"/>
        <v>11.315224759610198</v>
      </c>
      <c r="AS136" s="118">
        <f>(+AS135/(AS$4/100))</f>
        <v>5.2759069710700102</v>
      </c>
      <c r="AT136" s="119">
        <f t="shared" ref="AT136:AW136" si="1551">+AT135/(AT$4/100)</f>
        <v>2.9948761668208257</v>
      </c>
      <c r="AU136" s="119">
        <f t="shared" si="1551"/>
        <v>2.9887897498312888</v>
      </c>
      <c r="AV136" s="119">
        <f t="shared" si="1551"/>
        <v>2.9582137791484442</v>
      </c>
      <c r="AW136" s="119">
        <f t="shared" si="1551"/>
        <v>2.9779170193173776</v>
      </c>
      <c r="AX136" s="118">
        <f>(+AX135/(AX$4/100))</f>
        <v>2.9793579712604767</v>
      </c>
      <c r="AY136" s="119">
        <f t="shared" ref="AY136:BB136" si="1552">+AY135/(AY$4/100)</f>
        <v>1.9922091348023363</v>
      </c>
      <c r="AZ136" s="119">
        <f t="shared" si="1552"/>
        <v>1.9868199363579198</v>
      </c>
      <c r="BA136" s="119">
        <f t="shared" si="1552"/>
        <v>1.9596072991585389</v>
      </c>
      <c r="BB136" s="119">
        <f t="shared" si="1552"/>
        <v>1.9771448737224251</v>
      </c>
      <c r="BC136" s="118">
        <f>(+BC135/(BC$4/100))</f>
        <v>1.9784229497696204</v>
      </c>
      <c r="BD136" s="119">
        <f t="shared" ref="BD136:BG136" si="1553">+BD135/(BD$4/100)</f>
        <v>1.9415538050107539</v>
      </c>
      <c r="BE136" s="119">
        <f t="shared" si="1553"/>
        <v>1.9370581702963796</v>
      </c>
      <c r="BF136" s="119">
        <f t="shared" si="1553"/>
        <v>1.9143351153245058</v>
      </c>
      <c r="BG136" s="119">
        <f t="shared" si="1553"/>
        <v>1.9289822929380862</v>
      </c>
      <c r="BH136" s="118">
        <f>(+BH135/(BH$4/100))</f>
        <v>1.9300487634097419</v>
      </c>
      <c r="BI136" s="119">
        <f t="shared" ref="BI136:BL136" si="1554">+BI135/(BI$4/100)</f>
        <v>2.1013736423279417</v>
      </c>
      <c r="BJ136" s="119">
        <f t="shared" si="1554"/>
        <v>2.0998809807188712</v>
      </c>
      <c r="BK136" s="119">
        <f t="shared" si="1554"/>
        <v>2.0923795368604781</v>
      </c>
      <c r="BL136" s="119">
        <f t="shared" si="1554"/>
        <v>2.097221934951421</v>
      </c>
      <c r="BM136" s="118">
        <f>(+BM135/(BM$4/100))</f>
        <v>2.0975715424851771</v>
      </c>
      <c r="BN136" s="119">
        <f t="shared" ref="BN136:BQ136" si="1555">+BN135/(BN$4/100)</f>
        <v>2.0580561551777787</v>
      </c>
      <c r="BO136" s="119">
        <f t="shared" si="1555"/>
        <v>2.0569868361176136</v>
      </c>
      <c r="BP136" s="119">
        <f t="shared" si="1555"/>
        <v>2.0516764818488853</v>
      </c>
      <c r="BQ136" s="119">
        <f t="shared" si="1555"/>
        <v>2.0551014444270099</v>
      </c>
      <c r="BR136" s="118">
        <f>(+BR135/(BR$4/100))</f>
        <v>2.0553542164235883</v>
      </c>
      <c r="BS136" s="119">
        <f t="shared" ref="BS136:BV136" si="1556">+BS135/(BS$4/100)</f>
        <v>2.0147495815818983</v>
      </c>
      <c r="BT136" s="119">
        <f t="shared" si="1556"/>
        <v>2.0141311991192401</v>
      </c>
      <c r="BU136" s="119">
        <f t="shared" si="1556"/>
        <v>2.0109799871460554</v>
      </c>
      <c r="BV136" s="119">
        <f t="shared" si="1556"/>
        <v>2.0130081829397573</v>
      </c>
      <c r="BW136" s="118">
        <f>(+BW135/(BW$4/100))</f>
        <v>2.0131575875822039</v>
      </c>
      <c r="BX136" s="119">
        <f t="shared" ref="BX136:CA136" si="1557">+BX135/(BX$4/100)</f>
        <v>1.9713890086172747</v>
      </c>
      <c r="BY136" s="119">
        <f t="shared" si="1557"/>
        <v>1.9712020010853148</v>
      </c>
      <c r="BZ136" s="119">
        <f t="shared" si="1557"/>
        <v>1.9702373368017723</v>
      </c>
      <c r="CA136" s="119">
        <f t="shared" si="1557"/>
        <v>1.9708577297358421</v>
      </c>
      <c r="CB136" s="118">
        <f>(+CB135/(CB$4/100))</f>
        <v>1.9709033049347791</v>
      </c>
      <c r="CC136" s="119">
        <f t="shared" ref="CC136:CF136" si="1558">+CC135/(CC$4/100)</f>
        <v>1.9280578710649698</v>
      </c>
      <c r="CD136" s="119">
        <f t="shared" si="1558"/>
        <v>1.9282873156704183</v>
      </c>
      <c r="CE136" s="119">
        <f t="shared" si="1558"/>
        <v>1.9295131968938173</v>
      </c>
      <c r="CF136" s="119">
        <f t="shared" si="1558"/>
        <v>1.9287268526615553</v>
      </c>
      <c r="CG136" s="118">
        <f>(+CG135/(CG$4/100))</f>
        <v>1.9286693343969374</v>
      </c>
      <c r="CH136" s="119">
        <f t="shared" ref="CH136:CK136" si="1559">+CH135/(CH$4/100)</f>
        <v>1.8847590827947625</v>
      </c>
      <c r="CI136" s="119">
        <f t="shared" si="1559"/>
        <v>1.8854281423385633</v>
      </c>
      <c r="CJ136" s="119">
        <f t="shared" si="1559"/>
        <v>1.8888174399753654</v>
      </c>
      <c r="CK136" s="119">
        <f t="shared" si="1559"/>
        <v>1.8866369985715226</v>
      </c>
      <c r="CL136" s="118">
        <f>(+CL135/(CL$4/100))</f>
        <v>1.8864746308336233</v>
      </c>
      <c r="CM136" s="119">
        <f t="shared" ref="CM136:CP136" si="1560">+CM135/(CM$4/100)</f>
        <v>1.8415570082296551</v>
      </c>
      <c r="CN136" s="119">
        <f t="shared" si="1560"/>
        <v>1.8426724202857181</v>
      </c>
      <c r="CO136" s="119">
        <f t="shared" si="1560"/>
        <v>1.848228542857977</v>
      </c>
      <c r="CP136" s="119">
        <f t="shared" si="1560"/>
        <v>1.844645506834941</v>
      </c>
      <c r="CQ136" s="118">
        <f>(+CQ135/(CQ$4/100))</f>
        <v>1.8443813948735399</v>
      </c>
      <c r="CR136" s="119">
        <f>+CR135/(CR$4/100)</f>
        <v>1.0499999999999998</v>
      </c>
      <c r="CS136" s="119">
        <f>+CS135/(CS$4/100)</f>
        <v>1.0499999999999998</v>
      </c>
      <c r="CT136" s="119">
        <f>+CT135/(CT$4/100)</f>
        <v>1.0499999999999998</v>
      </c>
      <c r="CU136" s="119">
        <f>+CU135/(CU$4/100)</f>
        <v>1.0499999999999998</v>
      </c>
      <c r="CV136" s="118">
        <f>(+CV135/(CV$4/100))</f>
        <v>1.0499999999999954</v>
      </c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</row>
    <row r="137" spans="1:115">
      <c r="A137" s="146"/>
      <c r="B137" s="34"/>
      <c r="C137" s="34"/>
      <c r="D137" s="34"/>
      <c r="E137" s="100"/>
      <c r="J137" s="100"/>
      <c r="O137" s="100"/>
      <c r="T137" s="100"/>
      <c r="Y137" s="100"/>
      <c r="AD137" s="100"/>
      <c r="AI137" s="100"/>
      <c r="AN137" s="100"/>
      <c r="AS137" s="100"/>
      <c r="AX137" s="100"/>
      <c r="BC137" s="100"/>
      <c r="BH137" s="100"/>
      <c r="BM137" s="100"/>
      <c r="BR137" s="100"/>
      <c r="BW137" s="100"/>
      <c r="CB137" s="100"/>
      <c r="CG137" s="100"/>
      <c r="CL137" s="100"/>
      <c r="CQ137" s="100"/>
      <c r="CV137" s="100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</row>
    <row r="138" spans="1:115" s="15" customFormat="1">
      <c r="A138" s="150" t="s">
        <v>88</v>
      </c>
      <c r="B138" s="28"/>
      <c r="C138" s="28"/>
      <c r="D138" s="28"/>
      <c r="E138" s="107"/>
      <c r="F138" s="108"/>
      <c r="G138" s="108"/>
      <c r="H138" s="108"/>
      <c r="I138" s="108"/>
      <c r="J138" s="107"/>
      <c r="K138" s="108"/>
      <c r="L138" s="108"/>
      <c r="M138" s="108"/>
      <c r="N138" s="108"/>
      <c r="O138" s="107"/>
      <c r="P138" s="108"/>
      <c r="Q138" s="108"/>
      <c r="R138" s="108">
        <f>+R134*R126/1000</f>
        <v>9.6048172000000012</v>
      </c>
      <c r="S138" s="108">
        <f>+S134*S126/1000</f>
        <v>9.8222476000000025</v>
      </c>
      <c r="T138" s="107">
        <f>+T134*T126/1000</f>
        <v>37.060447599999996</v>
      </c>
      <c r="U138" s="108">
        <f>+U134*U126/1000</f>
        <v>8.8565840000000016</v>
      </c>
      <c r="V138" s="108">
        <f t="shared" ref="V138:X138" si="1561">+V134*V126/1000</f>
        <v>9.3778191043200003</v>
      </c>
      <c r="W138" s="108">
        <f t="shared" ref="W138" si="1562">+W134*W126/1000</f>
        <v>10.45617564384</v>
      </c>
      <c r="X138" s="108">
        <f t="shared" si="1561"/>
        <v>10.6158994848</v>
      </c>
      <c r="Y138" s="107">
        <f>+SUM(U138:X138)</f>
        <v>39.306478232960004</v>
      </c>
      <c r="Z138" s="108">
        <f t="shared" ref="Z138:AC138" si="1563">+Z134*Z126/1000</f>
        <v>10.1300742726336</v>
      </c>
      <c r="AA138" s="108">
        <f t="shared" si="1563"/>
        <v>10.0515536794368</v>
      </c>
      <c r="AB138" s="108">
        <f t="shared" si="1563"/>
        <v>11.093804430271915</v>
      </c>
      <c r="AC138" s="108">
        <f t="shared" si="1563"/>
        <v>11.48475021595967</v>
      </c>
      <c r="AD138" s="107">
        <f>+SUM(Z138:AC138)</f>
        <v>42.760182598301988</v>
      </c>
      <c r="AE138" s="108">
        <f>+AE134*AE126/1000</f>
        <v>9.9530720761814155</v>
      </c>
      <c r="AF138" s="108">
        <f>+AF134*AF126/1000</f>
        <v>10.343881704354368</v>
      </c>
      <c r="AG138" s="108">
        <f t="shared" ref="AG138:AH138" si="1564">+AG134*AG126/1000</f>
        <v>11.141018691809556</v>
      </c>
      <c r="AH138" s="108">
        <f t="shared" si="1564"/>
        <v>12.044709263787398</v>
      </c>
      <c r="AI138" s="107">
        <f>+SUM(AE138:AH138)</f>
        <v>43.48268173613274</v>
      </c>
      <c r="AJ138" s="108">
        <f t="shared" ref="AJ138:AM138" si="1565">+AJ134*AJ126/1000</f>
        <v>11.37638479747282</v>
      </c>
      <c r="AK138" s="108">
        <f t="shared" si="1565"/>
        <v>11.823080981858899</v>
      </c>
      <c r="AL138" s="108">
        <f t="shared" si="1565"/>
        <v>12.317453653435832</v>
      </c>
      <c r="AM138" s="108">
        <f t="shared" si="1565"/>
        <v>12.726884761767669</v>
      </c>
      <c r="AN138" s="107">
        <f>+SUM(AJ138:AM138)</f>
        <v>48.243804194535223</v>
      </c>
      <c r="AO138" s="108">
        <f t="shared" ref="AO138:AR138" si="1566">+AO134*AO126/1000</f>
        <v>12.066298759916924</v>
      </c>
      <c r="AP138" s="108">
        <f t="shared" si="1566"/>
        <v>12.605673195391123</v>
      </c>
      <c r="AQ138" s="108">
        <f t="shared" si="1566"/>
        <v>14.188934301278488</v>
      </c>
      <c r="AR138" s="108">
        <f t="shared" si="1566"/>
        <v>14.875308396331176</v>
      </c>
      <c r="AS138" s="107">
        <f>+SUM(AO138:AR138)</f>
        <v>53.73621465291771</v>
      </c>
      <c r="AT138" s="108">
        <f t="shared" ref="AT138:AW138" si="1567">+AT134*AT126/1000</f>
        <v>13.428492180046884</v>
      </c>
      <c r="AU138" s="108">
        <f t="shared" si="1567"/>
        <v>14.027146698718951</v>
      </c>
      <c r="AV138" s="108">
        <f t="shared" si="1567"/>
        <v>15.779832936533369</v>
      </c>
      <c r="AW138" s="108">
        <f t="shared" si="1567"/>
        <v>16.54931993100935</v>
      </c>
      <c r="AX138" s="107">
        <f>+SUM(AT138:AW138)</f>
        <v>59.784791746308557</v>
      </c>
      <c r="AY138" s="108">
        <f t="shared" ref="AY138:BB138" si="1568">+AY134*AY126/1000</f>
        <v>14.661716449591163</v>
      </c>
      <c r="AZ138" s="108">
        <f t="shared" si="1568"/>
        <v>15.313761742590771</v>
      </c>
      <c r="BA138" s="108">
        <f t="shared" si="1568"/>
        <v>17.136200982937773</v>
      </c>
      <c r="BB138" s="108">
        <f t="shared" si="1568"/>
        <v>17.977895751967189</v>
      </c>
      <c r="BC138" s="107">
        <f>+SUM(AY138:BB138)</f>
        <v>65.089574927086886</v>
      </c>
      <c r="BD138" s="108">
        <f t="shared" ref="BD138:BG138" si="1569">+BD134*BD126/1000</f>
        <v>15.916443777261236</v>
      </c>
      <c r="BE138" s="108">
        <f t="shared" si="1569"/>
        <v>16.62285124960782</v>
      </c>
      <c r="BF138" s="108">
        <f t="shared" si="1569"/>
        <v>18.592942641024301</v>
      </c>
      <c r="BG138" s="108">
        <f t="shared" si="1569"/>
        <v>19.511693050515191</v>
      </c>
      <c r="BH138" s="107">
        <f>+SUM(BD138:BG138)</f>
        <v>70.643930718408541</v>
      </c>
      <c r="BI138" s="108">
        <f t="shared" ref="BI138:BL138" si="1570">+BI134*BI126/1000</f>
        <v>17.331713411790435</v>
      </c>
      <c r="BJ138" s="108">
        <f t="shared" si="1570"/>
        <v>18.100415147793512</v>
      </c>
      <c r="BK138" s="108">
        <f t="shared" si="1570"/>
        <v>20.24270805755328</v>
      </c>
      <c r="BL138" s="108">
        <f t="shared" si="1570"/>
        <v>21.24495456644819</v>
      </c>
      <c r="BM138" s="107">
        <f>+SUM(BI138:BL138)</f>
        <v>76.919791183585417</v>
      </c>
      <c r="BN138" s="108">
        <f t="shared" ref="BN138:BQ138" si="1571">+BN134*BN126/1000</f>
        <v>18.857135980179475</v>
      </c>
      <c r="BO138" s="108">
        <f t="shared" si="1571"/>
        <v>19.693089227308267</v>
      </c>
      <c r="BP138" s="108">
        <f t="shared" si="1571"/>
        <v>22.021638020401028</v>
      </c>
      <c r="BQ138" s="108">
        <f t="shared" si="1571"/>
        <v>23.113482741398897</v>
      </c>
      <c r="BR138" s="107">
        <f>+SUM(BN138:BQ138)</f>
        <v>83.685345969287667</v>
      </c>
      <c r="BS138" s="108">
        <f t="shared" ref="BS138:BV138" si="1572">+BS134*BS126/1000</f>
        <v>20.49974840194885</v>
      </c>
      <c r="BT138" s="108">
        <f t="shared" si="1572"/>
        <v>21.408265569810133</v>
      </c>
      <c r="BU138" s="108">
        <f t="shared" si="1572"/>
        <v>23.938169764191976</v>
      </c>
      <c r="BV138" s="108">
        <f t="shared" si="1572"/>
        <v>25.126016929560503</v>
      </c>
      <c r="BW138" s="107">
        <f>+SUM(BS138:BV138)</f>
        <v>90.972200665511465</v>
      </c>
      <c r="BX138" s="108">
        <f t="shared" ref="BX138:CA138" si="1573">+BX134*BX126/1000</f>
        <v>22.266868334428096</v>
      </c>
      <c r="BY138" s="108">
        <f t="shared" si="1573"/>
        <v>23.253617853408979</v>
      </c>
      <c r="BZ138" s="108">
        <f t="shared" si="1573"/>
        <v>26.001112408722523</v>
      </c>
      <c r="CA138" s="108">
        <f t="shared" si="1573"/>
        <v>27.291651609267475</v>
      </c>
      <c r="CB138" s="107">
        <f>+SUM(BX138:CA138)</f>
        <v>98.813250205827075</v>
      </c>
      <c r="CC138" s="108">
        <f t="shared" ref="CC138:CF138" si="1574">+CC134*CC126/1000</f>
        <v>24.166152254281137</v>
      </c>
      <c r="CD138" s="108">
        <f t="shared" si="1574"/>
        <v>25.237179474531054</v>
      </c>
      <c r="CE138" s="108">
        <f t="shared" si="1574"/>
        <v>28.219704798219922</v>
      </c>
      <c r="CF138" s="108">
        <f t="shared" si="1574"/>
        <v>29.619913085111126</v>
      </c>
      <c r="CG138" s="107">
        <f>+SUM(CC138:CF138)</f>
        <v>107.24294961214324</v>
      </c>
      <c r="CH138" s="108">
        <f t="shared" ref="CH138:CK138" si="1575">+CH134*CH126/1000</f>
        <v>26.205569242334651</v>
      </c>
      <c r="CI138" s="108">
        <f t="shared" si="1575"/>
        <v>27.367334918748629</v>
      </c>
      <c r="CJ138" s="108">
        <f t="shared" si="1575"/>
        <v>30.603600609132947</v>
      </c>
      <c r="CK138" s="108">
        <f t="shared" si="1575"/>
        <v>32.120743473886748</v>
      </c>
      <c r="CL138" s="107">
        <f>+SUM(CH138:CK138)</f>
        <v>116.29724824410297</v>
      </c>
      <c r="CM138" s="108">
        <f t="shared" ref="CM138:CP138" si="1576">+CM134*CM126/1000</f>
        <v>28.393433996820665</v>
      </c>
      <c r="CN138" s="108">
        <f t="shared" si="1576"/>
        <v>29.652831785466667</v>
      </c>
      <c r="CO138" s="108">
        <f t="shared" si="1576"/>
        <v>33.162917803088447</v>
      </c>
      <c r="CP138" s="108">
        <f t="shared" si="1576"/>
        <v>34.804530879330471</v>
      </c>
      <c r="CQ138" s="107">
        <f>+SUM(CM138:CP138)</f>
        <v>126.01371446470625</v>
      </c>
      <c r="CR138" s="108">
        <f t="shared" ref="CR138:CU138" si="1577">+CR134*CR126/1000</f>
        <v>30.294232435737811</v>
      </c>
      <c r="CS138" s="108">
        <f t="shared" si="1577"/>
        <v>31.637940609344721</v>
      </c>
      <c r="CT138" s="108">
        <f t="shared" si="1577"/>
        <v>35.383009335416212</v>
      </c>
      <c r="CU138" s="108">
        <f t="shared" si="1577"/>
        <v>37.134520199047259</v>
      </c>
      <c r="CV138" s="107">
        <f>+SUM(CR138:CU138)</f>
        <v>134.449702579546</v>
      </c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</row>
    <row r="139" spans="1:115" s="15" customFormat="1">
      <c r="A139" s="146" t="s">
        <v>89</v>
      </c>
      <c r="B139" s="34"/>
      <c r="C139" s="34"/>
      <c r="D139" s="34"/>
      <c r="E139" s="100"/>
      <c r="F139" s="83"/>
      <c r="G139" s="83"/>
      <c r="H139" s="83"/>
      <c r="I139" s="83"/>
      <c r="J139" s="100"/>
      <c r="K139" s="83"/>
      <c r="L139" s="83"/>
      <c r="M139" s="83"/>
      <c r="N139" s="83"/>
      <c r="O139" s="100"/>
      <c r="P139" s="83"/>
      <c r="Q139" s="83"/>
      <c r="R139" s="83"/>
      <c r="S139" s="83"/>
      <c r="T139" s="100"/>
      <c r="U139" s="83"/>
      <c r="V139" s="83"/>
      <c r="W139" s="83"/>
      <c r="X139" s="83"/>
      <c r="Y139" s="100"/>
      <c r="Z139" s="83"/>
      <c r="AA139" s="83"/>
      <c r="AB139" s="83"/>
      <c r="AC139" s="83"/>
      <c r="AD139" s="100"/>
      <c r="AE139" s="83"/>
      <c r="AF139" s="83"/>
      <c r="AG139" s="83"/>
      <c r="AH139" s="83"/>
      <c r="AI139" s="100"/>
      <c r="AJ139" s="83"/>
      <c r="AK139" s="83"/>
      <c r="AL139" s="83"/>
      <c r="AM139" s="83"/>
      <c r="AN139" s="100"/>
      <c r="AO139" s="197"/>
      <c r="AP139" s="197"/>
      <c r="AQ139" s="197"/>
      <c r="AR139" s="197"/>
      <c r="AS139" s="100"/>
      <c r="AT139" s="83"/>
      <c r="AU139" s="83"/>
      <c r="AV139" s="83"/>
      <c r="AW139" s="83"/>
      <c r="AX139" s="100"/>
      <c r="AY139" s="83"/>
      <c r="AZ139" s="83"/>
      <c r="BA139" s="83"/>
      <c r="BB139" s="83"/>
      <c r="BC139" s="100"/>
      <c r="BD139" s="83"/>
      <c r="BE139" s="83"/>
      <c r="BF139" s="83"/>
      <c r="BG139" s="83"/>
      <c r="BH139" s="100"/>
      <c r="BI139" s="83"/>
      <c r="BJ139" s="83"/>
      <c r="BK139" s="83"/>
      <c r="BL139" s="83"/>
      <c r="BM139" s="100"/>
      <c r="BN139" s="83"/>
      <c r="BO139" s="83"/>
      <c r="BP139" s="83"/>
      <c r="BQ139" s="83"/>
      <c r="BR139" s="100"/>
      <c r="BS139" s="83"/>
      <c r="BT139" s="83"/>
      <c r="BU139" s="83"/>
      <c r="BV139" s="83"/>
      <c r="BW139" s="100"/>
      <c r="BX139" s="83"/>
      <c r="BY139" s="83"/>
      <c r="BZ139" s="83"/>
      <c r="CA139" s="83"/>
      <c r="CB139" s="100"/>
      <c r="CC139" s="83"/>
      <c r="CD139" s="83"/>
      <c r="CE139" s="83"/>
      <c r="CF139" s="83"/>
      <c r="CG139" s="100"/>
      <c r="CH139" s="83"/>
      <c r="CI139" s="83"/>
      <c r="CJ139" s="83"/>
      <c r="CK139" s="83"/>
      <c r="CL139" s="100"/>
      <c r="CM139" s="83"/>
      <c r="CN139" s="83"/>
      <c r="CO139" s="83"/>
      <c r="CP139" s="83"/>
      <c r="CQ139" s="100"/>
      <c r="CR139" s="83"/>
      <c r="CS139" s="83"/>
      <c r="CT139" s="83"/>
      <c r="CU139" s="83"/>
      <c r="CV139" s="100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</row>
    <row r="140" spans="1:115" s="15" customFormat="1">
      <c r="A140" s="2"/>
      <c r="C140" s="18"/>
      <c r="D140" s="18"/>
      <c r="E140" s="100"/>
      <c r="F140" s="83"/>
      <c r="G140" s="83"/>
      <c r="H140" s="83"/>
      <c r="I140" s="83"/>
      <c r="J140" s="100"/>
      <c r="K140" s="83"/>
      <c r="L140" s="83"/>
      <c r="M140" s="83"/>
      <c r="N140" s="83"/>
      <c r="O140" s="100"/>
      <c r="P140" s="83"/>
      <c r="Q140" s="83"/>
      <c r="R140" s="83"/>
      <c r="S140" s="83"/>
      <c r="T140" s="100"/>
      <c r="U140" s="83"/>
      <c r="V140" s="83"/>
      <c r="W140" s="83"/>
      <c r="X140" s="83"/>
      <c r="Y140" s="100"/>
      <c r="Z140" s="83"/>
      <c r="AA140" s="83"/>
      <c r="AB140" s="83"/>
      <c r="AC140" s="83"/>
      <c r="AD140" s="100"/>
      <c r="AE140" s="83"/>
      <c r="AF140" s="83"/>
      <c r="AG140" s="83"/>
      <c r="AH140" s="83"/>
      <c r="AI140" s="100"/>
      <c r="AJ140" s="83"/>
      <c r="AK140" s="83"/>
      <c r="AL140" s="83"/>
      <c r="AM140" s="83"/>
      <c r="AN140" s="100"/>
      <c r="AO140" s="83"/>
      <c r="AP140" s="83"/>
      <c r="AQ140" s="83"/>
      <c r="AR140" s="83"/>
      <c r="AS140" s="100"/>
      <c r="AT140" s="83"/>
      <c r="AU140" s="83"/>
      <c r="AV140" s="83"/>
      <c r="AW140" s="83"/>
      <c r="AX140" s="100"/>
      <c r="AY140" s="83"/>
      <c r="AZ140" s="83"/>
      <c r="BA140" s="83"/>
      <c r="BB140" s="83"/>
      <c r="BC140" s="100"/>
      <c r="BD140" s="83"/>
      <c r="BE140" s="83"/>
      <c r="BF140" s="83"/>
      <c r="BG140" s="83"/>
      <c r="BH140" s="100"/>
      <c r="BI140" s="83"/>
      <c r="BJ140" s="83"/>
      <c r="BK140" s="83"/>
      <c r="BL140" s="83"/>
      <c r="BM140" s="100"/>
      <c r="BN140" s="83"/>
      <c r="BO140" s="83"/>
      <c r="BP140" s="83"/>
      <c r="BQ140" s="83"/>
      <c r="BR140" s="100"/>
      <c r="BS140" s="83"/>
      <c r="BT140" s="83"/>
      <c r="BU140" s="83"/>
      <c r="BV140" s="83"/>
      <c r="BW140" s="100"/>
      <c r="BX140" s="83"/>
      <c r="BY140" s="83"/>
      <c r="BZ140" s="83"/>
      <c r="CA140" s="83"/>
      <c r="CB140" s="100"/>
      <c r="CC140" s="83"/>
      <c r="CD140" s="83"/>
      <c r="CE140" s="83"/>
      <c r="CF140" s="83"/>
      <c r="CG140" s="100"/>
      <c r="CH140" s="83"/>
      <c r="CI140" s="83"/>
      <c r="CJ140" s="83"/>
      <c r="CK140" s="83"/>
      <c r="CL140" s="100"/>
      <c r="CM140" s="83"/>
      <c r="CN140" s="83"/>
      <c r="CO140" s="83"/>
      <c r="CP140" s="83"/>
      <c r="CQ140" s="100"/>
      <c r="CR140" s="83"/>
      <c r="CS140" s="83"/>
      <c r="CT140" s="83"/>
      <c r="CU140" s="83"/>
      <c r="CV140" s="100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</row>
    <row r="141" spans="1:115">
      <c r="A141" s="141" t="s">
        <v>84</v>
      </c>
      <c r="B141" s="9"/>
      <c r="C141" s="9"/>
      <c r="D141" s="9"/>
      <c r="E141" s="93"/>
      <c r="F141" s="94"/>
      <c r="G141" s="94"/>
      <c r="H141" s="94"/>
      <c r="I141" s="94"/>
      <c r="J141" s="93"/>
      <c r="K141" s="94"/>
      <c r="L141" s="94"/>
      <c r="M141" s="94"/>
      <c r="N141" s="94"/>
      <c r="O141" s="93"/>
      <c r="P141" s="94"/>
      <c r="Q141" s="94"/>
      <c r="R141" s="94"/>
      <c r="S141" s="94"/>
      <c r="T141" s="93"/>
      <c r="U141" s="131">
        <f>+U154/$U$35</f>
        <v>0.2033159714219866</v>
      </c>
      <c r="V141" s="94"/>
      <c r="W141" s="94"/>
      <c r="X141" s="94"/>
      <c r="Y141" s="93"/>
      <c r="Z141" s="94"/>
      <c r="AA141" s="94"/>
      <c r="AB141" s="94"/>
      <c r="AC141" s="94"/>
      <c r="AD141" s="93"/>
      <c r="AE141" s="94"/>
      <c r="AF141" s="94"/>
      <c r="AG141" s="94"/>
      <c r="AH141" s="94"/>
      <c r="AI141" s="93"/>
      <c r="AJ141" s="94"/>
      <c r="AK141" s="94"/>
      <c r="AL141" s="94"/>
      <c r="AM141" s="94"/>
      <c r="AN141" s="93"/>
      <c r="AO141" s="94"/>
      <c r="AP141" s="94"/>
      <c r="AQ141" s="94"/>
      <c r="AR141" s="94"/>
      <c r="AS141" s="93"/>
      <c r="AT141" s="94"/>
      <c r="AU141" s="94"/>
      <c r="AV141" s="94"/>
      <c r="AW141" s="94"/>
      <c r="AX141" s="93"/>
      <c r="AY141" s="94"/>
      <c r="AZ141" s="94"/>
      <c r="BA141" s="94"/>
      <c r="BB141" s="94"/>
      <c r="BC141" s="93"/>
      <c r="BD141" s="94"/>
      <c r="BE141" s="94"/>
      <c r="BF141" s="94"/>
      <c r="BG141" s="94"/>
      <c r="BH141" s="93"/>
      <c r="BI141" s="131"/>
      <c r="BJ141" s="94"/>
      <c r="BK141" s="94"/>
      <c r="BL141" s="94"/>
      <c r="BM141" s="93"/>
      <c r="BN141" s="94"/>
      <c r="BO141" s="94"/>
      <c r="BP141" s="94"/>
      <c r="BQ141" s="94"/>
      <c r="BR141" s="93"/>
      <c r="BS141" s="94"/>
      <c r="BT141" s="94"/>
      <c r="BU141" s="94"/>
      <c r="BV141" s="94"/>
      <c r="BW141" s="93"/>
      <c r="BX141" s="94"/>
      <c r="BY141" s="94"/>
      <c r="BZ141" s="94"/>
      <c r="CA141" s="94"/>
      <c r="CB141" s="93"/>
      <c r="CC141" s="94"/>
      <c r="CD141" s="94"/>
      <c r="CE141" s="94"/>
      <c r="CF141" s="94"/>
      <c r="CG141" s="93"/>
      <c r="CH141" s="94"/>
      <c r="CI141" s="94"/>
      <c r="CJ141" s="94"/>
      <c r="CK141" s="94"/>
      <c r="CL141" s="93"/>
      <c r="CM141" s="94"/>
      <c r="CN141" s="94"/>
      <c r="CO141" s="94"/>
      <c r="CP141" s="94"/>
      <c r="CQ141" s="93"/>
      <c r="CR141" s="131"/>
      <c r="CS141" s="94"/>
      <c r="CT141" s="94"/>
      <c r="CU141" s="94"/>
      <c r="CV141" s="93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</row>
    <row r="142" spans="1:115" s="12" customFormat="1">
      <c r="A142" s="2" t="s">
        <v>69</v>
      </c>
      <c r="B142" s="7"/>
      <c r="C142" s="7"/>
      <c r="D142" s="7"/>
      <c r="E142" s="92"/>
      <c r="F142" s="84"/>
      <c r="G142" s="84"/>
      <c r="H142" s="84"/>
      <c r="I142" s="84"/>
      <c r="J142" s="92"/>
      <c r="K142" s="84"/>
      <c r="L142" s="84"/>
      <c r="M142" s="84"/>
      <c r="N142" s="84"/>
      <c r="O142" s="92"/>
      <c r="P142" s="84"/>
      <c r="Q142" s="84"/>
      <c r="R142" s="132">
        <v>4.3</v>
      </c>
      <c r="S142" s="132">
        <v>4.3</v>
      </c>
      <c r="T142" s="133">
        <v>4.3</v>
      </c>
      <c r="U142" s="132">
        <v>4.3</v>
      </c>
      <c r="V142" s="132">
        <f>+V146*V$11+V147*V$12</f>
        <v>4.296144</v>
      </c>
      <c r="W142" s="132">
        <f>+W146*W$11+W147*W$12</f>
        <v>4.296144</v>
      </c>
      <c r="X142" s="132">
        <f t="shared" ref="X142" si="1578">+X146*X$11+X147*X$12</f>
        <v>4.296144</v>
      </c>
      <c r="Y142" s="92">
        <f>+Y154*1000/Y150</f>
        <v>4.2970168247812142</v>
      </c>
      <c r="Z142" s="84">
        <f t="shared" ref="Z142:AC142" si="1579">+Z146*Z$11+Z147*Z$12</f>
        <v>4.296144</v>
      </c>
      <c r="AA142" s="192">
        <f t="shared" si="1579"/>
        <v>4.296144</v>
      </c>
      <c r="AB142" s="192">
        <f t="shared" si="1579"/>
        <v>4.5715268303999999</v>
      </c>
      <c r="AC142" s="84">
        <f t="shared" si="1579"/>
        <v>4.5715268303999999</v>
      </c>
      <c r="AD142" s="92">
        <f>+AD154*1000/AD150</f>
        <v>4.4384666295215336</v>
      </c>
      <c r="AE142" s="84">
        <f t="shared" ref="AE142:AH142" si="1580">+AE146*AE$11+AE147*AE$12</f>
        <v>4.5715268303999999</v>
      </c>
      <c r="AF142" s="84">
        <f t="shared" si="1580"/>
        <v>4.5715268303999999</v>
      </c>
      <c r="AG142" s="84">
        <f t="shared" si="1580"/>
        <v>5.0286795134400002</v>
      </c>
      <c r="AH142" s="84">
        <f t="shared" si="1580"/>
        <v>5.0286795134400002</v>
      </c>
      <c r="AI142" s="92">
        <f>+AI154*1000/AI150</f>
        <v>4.8042464382974952</v>
      </c>
      <c r="AJ142" s="84">
        <f t="shared" ref="AJ142:AM142" si="1581">+AJ146*AJ$11+AJ147*AJ$12</f>
        <v>5.0286795134400002</v>
      </c>
      <c r="AK142" s="84">
        <f t="shared" si="1581"/>
        <v>5.0286795134400002</v>
      </c>
      <c r="AL142" s="132">
        <f t="shared" si="1581"/>
        <v>5.3505150023001606</v>
      </c>
      <c r="AM142" s="132">
        <f t="shared" si="1581"/>
        <v>5.3505150023001606</v>
      </c>
      <c r="AN142" s="133">
        <f>+AN154*1000/AN150</f>
        <v>5.1906376458787866</v>
      </c>
      <c r="AO142" s="132">
        <f t="shared" ref="AO142:AR142" si="1582">+AO146*AO$11+AO147*AO$12</f>
        <v>5.3505150023001606</v>
      </c>
      <c r="AP142" s="132">
        <f t="shared" si="1582"/>
        <v>5.3505150023001606</v>
      </c>
      <c r="AQ142" s="132">
        <f t="shared" si="1582"/>
        <v>5.6180407524151699</v>
      </c>
      <c r="AR142" s="132">
        <f t="shared" si="1582"/>
        <v>5.6180407524151699</v>
      </c>
      <c r="AS142" s="92">
        <f>+AS154*1000/AS150</f>
        <v>5.4911210868962277</v>
      </c>
      <c r="AT142" s="84">
        <f t="shared" ref="AT142:AW142" si="1583">+AT146*AT$11+AT147*AT$12</f>
        <v>5.6180407524151699</v>
      </c>
      <c r="AU142" s="84">
        <f t="shared" si="1583"/>
        <v>5.6180407524151699</v>
      </c>
      <c r="AV142" s="84">
        <f t="shared" si="1583"/>
        <v>5.8989427900359273</v>
      </c>
      <c r="AW142" s="84">
        <f t="shared" si="1583"/>
        <v>5.8989427900359273</v>
      </c>
      <c r="AX142" s="92">
        <f>+AX154*1000/AX150</f>
        <v>5.7656501629829018</v>
      </c>
      <c r="AY142" s="84">
        <f t="shared" ref="AY142:BB142" si="1584">+AY146*AY$11+AY147*AY$12</f>
        <v>5.8989427900359273</v>
      </c>
      <c r="AZ142" s="84">
        <f t="shared" si="1584"/>
        <v>5.8989427900359273</v>
      </c>
      <c r="BA142" s="84">
        <f t="shared" si="1584"/>
        <v>6.1643952155875441</v>
      </c>
      <c r="BB142" s="84">
        <f t="shared" si="1584"/>
        <v>6.1643952155875441</v>
      </c>
      <c r="BC142" s="92">
        <f>+BC154*1000/BC150</f>
        <v>6.0384105991675057</v>
      </c>
      <c r="BD142" s="84">
        <f t="shared" ref="BD142:BG142" si="1585">+BD146*BD$11+BD147*BD$12</f>
        <v>6.1643952155875441</v>
      </c>
      <c r="BE142" s="84">
        <f t="shared" si="1585"/>
        <v>6.1643952155875441</v>
      </c>
      <c r="BF142" s="132">
        <f t="shared" si="1585"/>
        <v>6.4417930002889836</v>
      </c>
      <c r="BG142" s="132">
        <f t="shared" si="1585"/>
        <v>6.4417930002889836</v>
      </c>
      <c r="BH142" s="133">
        <f>+BH154*1000/BH150</f>
        <v>6.3101189266799302</v>
      </c>
      <c r="BI142" s="132">
        <f t="shared" ref="BI142:BL142" si="1586">+BI146*BI$11+BI147*BI$12</f>
        <v>6.4417930002889836</v>
      </c>
      <c r="BJ142" s="132">
        <f t="shared" si="1586"/>
        <v>6.4417930002889836</v>
      </c>
      <c r="BK142" s="132">
        <f t="shared" si="1586"/>
        <v>6.7316736853019874</v>
      </c>
      <c r="BL142" s="132">
        <f t="shared" si="1586"/>
        <v>6.7316736853019874</v>
      </c>
      <c r="BM142" s="92">
        <f>+BM154*1000/BM150</f>
        <v>6.5940673335773186</v>
      </c>
      <c r="BN142" s="84">
        <f t="shared" ref="BN142:BQ142" si="1587">+BN146*BN$11+BN147*BN$12</f>
        <v>6.7316736853019874</v>
      </c>
      <c r="BO142" s="84">
        <f t="shared" si="1587"/>
        <v>6.7316736853019874</v>
      </c>
      <c r="BP142" s="84">
        <f t="shared" si="1587"/>
        <v>7.0345990011405766</v>
      </c>
      <c r="BQ142" s="84">
        <f t="shared" si="1587"/>
        <v>7.0345990011405766</v>
      </c>
      <c r="BR142" s="92">
        <f>+BR154*1000/BR150</f>
        <v>6.89079522712903</v>
      </c>
      <c r="BS142" s="84">
        <f t="shared" ref="BS142:BV142" si="1588">+BS146*BS$11+BS147*BS$12</f>
        <v>7.0345990011405766</v>
      </c>
      <c r="BT142" s="84">
        <f t="shared" si="1588"/>
        <v>7.0345990011405766</v>
      </c>
      <c r="BU142" s="84">
        <f t="shared" si="1588"/>
        <v>7.351155956191902</v>
      </c>
      <c r="BV142" s="84">
        <f t="shared" si="1588"/>
        <v>7.351155956191902</v>
      </c>
      <c r="BW142" s="92">
        <f>+BW154*1000/BW150</f>
        <v>7.2008778358748993</v>
      </c>
      <c r="BX142" s="84">
        <f t="shared" ref="BX142:CA142" si="1589">+BX146*BX$11+BX147*BX$12</f>
        <v>7.351155956191902</v>
      </c>
      <c r="BY142" s="84">
        <f t="shared" si="1589"/>
        <v>7.351155956191902</v>
      </c>
      <c r="BZ142" s="132">
        <f t="shared" si="1589"/>
        <v>7.6819579742205368</v>
      </c>
      <c r="CA142" s="132">
        <f t="shared" si="1589"/>
        <v>7.6819579742205368</v>
      </c>
      <c r="CB142" s="133">
        <f>+CB154*1000/CB150</f>
        <v>7.5249163300435962</v>
      </c>
      <c r="CC142" s="132">
        <f t="shared" ref="CC142:CF142" si="1590">+CC146*CC$11+CC147*CC$12</f>
        <v>7.6819579742205368</v>
      </c>
      <c r="CD142" s="132">
        <f t="shared" si="1590"/>
        <v>7.6819579742205368</v>
      </c>
      <c r="CE142" s="132">
        <f t="shared" si="1590"/>
        <v>8.0276460830604606</v>
      </c>
      <c r="CF142" s="132">
        <f t="shared" si="1590"/>
        <v>8.0276460830604606</v>
      </c>
      <c r="CG142" s="92">
        <f>+CG154*1000/CG150</f>
        <v>7.863538924533688</v>
      </c>
      <c r="CH142" s="84">
        <f t="shared" ref="CH142:CK142" si="1591">+CH146*CH$11+CH147*CH$12</f>
        <v>8.0276460830604606</v>
      </c>
      <c r="CI142" s="84">
        <f t="shared" si="1591"/>
        <v>8.0276460830604606</v>
      </c>
      <c r="CJ142" s="84">
        <f t="shared" si="1591"/>
        <v>8.3888901567981797</v>
      </c>
      <c r="CK142" s="84">
        <f t="shared" si="1591"/>
        <v>8.3888901567981797</v>
      </c>
      <c r="CL142" s="92">
        <f>+CL154*1000/CL150</f>
        <v>8.2174020725789241</v>
      </c>
      <c r="CM142" s="84">
        <f t="shared" ref="CM142:CP142" si="1592">+CM146*CM$11+CM147*CM$12</f>
        <v>8.3888901567981797</v>
      </c>
      <c r="CN142" s="84">
        <f t="shared" si="1592"/>
        <v>8.3888901567981797</v>
      </c>
      <c r="CO142" s="132">
        <f t="shared" si="1592"/>
        <v>8.7663902138540983</v>
      </c>
      <c r="CP142" s="132">
        <f t="shared" si="1592"/>
        <v>8.7663902138540983</v>
      </c>
      <c r="CQ142" s="133">
        <f>+CQ154*1000/CQ150</f>
        <v>8.587191888397232</v>
      </c>
      <c r="CR142" s="132">
        <f t="shared" ref="CR142:CU142" si="1593">+CR146*CR$11+CR147*CR$12</f>
        <v>8.7663902138540983</v>
      </c>
      <c r="CS142" s="132">
        <f t="shared" si="1593"/>
        <v>8.7663902138540983</v>
      </c>
      <c r="CT142" s="132">
        <f t="shared" si="1593"/>
        <v>9.160877773477532</v>
      </c>
      <c r="CU142" s="132">
        <f t="shared" si="1593"/>
        <v>9.160877773477532</v>
      </c>
      <c r="CV142" s="92">
        <f>+CV154*1000/CV150</f>
        <v>8.9736155233751091</v>
      </c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</row>
    <row r="143" spans="1:115" s="12" customFormat="1">
      <c r="A143" s="2" t="s">
        <v>70</v>
      </c>
      <c r="B143" s="34"/>
      <c r="C143" s="34"/>
      <c r="D143" s="34"/>
      <c r="E143" s="100"/>
      <c r="F143" s="83"/>
      <c r="G143" s="83"/>
      <c r="H143" s="83"/>
      <c r="I143" s="83"/>
      <c r="J143" s="100"/>
      <c r="K143" s="83"/>
      <c r="L143" s="83"/>
      <c r="M143" s="83"/>
      <c r="N143" s="83"/>
      <c r="O143" s="100"/>
      <c r="P143" s="83"/>
      <c r="Q143" s="83"/>
      <c r="R143" s="83"/>
      <c r="S143" s="83"/>
      <c r="T143" s="100"/>
      <c r="U143" s="83"/>
      <c r="V143" s="83"/>
      <c r="W143" s="83"/>
      <c r="X143" s="83"/>
      <c r="Y143" s="100"/>
      <c r="Z143" s="83"/>
      <c r="AA143" s="83"/>
      <c r="AB143" s="83"/>
      <c r="AC143" s="83"/>
      <c r="AD143" s="100"/>
      <c r="AE143" s="83"/>
      <c r="AF143" s="83"/>
      <c r="AG143" s="83"/>
      <c r="AH143" s="83"/>
      <c r="AI143" s="100"/>
      <c r="AJ143" s="83"/>
      <c r="AK143" s="83"/>
      <c r="AL143" s="83"/>
      <c r="AM143" s="83"/>
      <c r="AN143" s="100"/>
      <c r="AO143" s="83"/>
      <c r="AP143" s="83"/>
      <c r="AQ143" s="83"/>
      <c r="AR143" s="83"/>
      <c r="AS143" s="100"/>
      <c r="AT143" s="83"/>
      <c r="AU143" s="83"/>
      <c r="AV143" s="83"/>
      <c r="AW143" s="83"/>
      <c r="AX143" s="100"/>
      <c r="AY143" s="83"/>
      <c r="AZ143" s="83"/>
      <c r="BA143" s="83"/>
      <c r="BB143" s="83"/>
      <c r="BC143" s="100"/>
      <c r="BD143" s="83"/>
      <c r="BE143" s="83"/>
      <c r="BF143" s="83"/>
      <c r="BG143" s="83"/>
      <c r="BH143" s="100"/>
      <c r="BI143" s="83"/>
      <c r="BJ143" s="83"/>
      <c r="BK143" s="83"/>
      <c r="BL143" s="83"/>
      <c r="BM143" s="100"/>
      <c r="BN143" s="83"/>
      <c r="BO143" s="83"/>
      <c r="BP143" s="83"/>
      <c r="BQ143" s="83"/>
      <c r="BR143" s="100"/>
      <c r="BS143" s="83"/>
      <c r="BT143" s="83"/>
      <c r="BU143" s="83"/>
      <c r="BV143" s="83"/>
      <c r="BW143" s="100"/>
      <c r="BX143" s="83"/>
      <c r="BY143" s="83"/>
      <c r="BZ143" s="83"/>
      <c r="CA143" s="83"/>
      <c r="CB143" s="100"/>
      <c r="CC143" s="83"/>
      <c r="CD143" s="83"/>
      <c r="CE143" s="83"/>
      <c r="CF143" s="83"/>
      <c r="CG143" s="100"/>
      <c r="CH143" s="83"/>
      <c r="CI143" s="83"/>
      <c r="CJ143" s="83"/>
      <c r="CK143" s="83"/>
      <c r="CL143" s="100"/>
      <c r="CM143" s="83"/>
      <c r="CN143" s="83"/>
      <c r="CO143" s="83"/>
      <c r="CP143" s="83"/>
      <c r="CQ143" s="100"/>
      <c r="CR143" s="83"/>
      <c r="CS143" s="83"/>
      <c r="CT143" s="83"/>
      <c r="CU143" s="83"/>
      <c r="CV143" s="100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</row>
    <row r="144" spans="1:115" s="12" customFormat="1">
      <c r="A144" s="2"/>
      <c r="B144" s="34"/>
      <c r="C144" s="34"/>
      <c r="D144" s="34"/>
      <c r="E144" s="100"/>
      <c r="F144" s="83"/>
      <c r="G144" s="83"/>
      <c r="H144" s="83"/>
      <c r="I144" s="83"/>
      <c r="J144" s="100"/>
      <c r="K144" s="83"/>
      <c r="L144" s="83"/>
      <c r="M144" s="83"/>
      <c r="N144" s="83"/>
      <c r="O144" s="100"/>
      <c r="P144" s="83"/>
      <c r="Q144" s="83"/>
      <c r="R144" s="83"/>
      <c r="S144" s="83"/>
      <c r="T144" s="100"/>
      <c r="U144" s="83"/>
      <c r="V144" s="83"/>
      <c r="W144" s="83"/>
      <c r="X144" s="83"/>
      <c r="Y144" s="100"/>
      <c r="Z144" s="83"/>
      <c r="AA144" s="83"/>
      <c r="AB144" s="83"/>
      <c r="AC144" s="83"/>
      <c r="AD144" s="100"/>
      <c r="AE144" s="83"/>
      <c r="AF144" s="83"/>
      <c r="AG144" s="83"/>
      <c r="AH144" s="83"/>
      <c r="AI144" s="100"/>
      <c r="AJ144" s="83"/>
      <c r="AK144" s="83"/>
      <c r="AL144" s="83"/>
      <c r="AM144" s="83"/>
      <c r="AN144" s="100"/>
      <c r="AO144" s="83"/>
      <c r="AP144" s="83"/>
      <c r="AQ144" s="83"/>
      <c r="AR144" s="83"/>
      <c r="AS144" s="100"/>
      <c r="AT144" s="83"/>
      <c r="AU144" s="83"/>
      <c r="AV144" s="83"/>
      <c r="AW144" s="83"/>
      <c r="AX144" s="100"/>
      <c r="AY144" s="83"/>
      <c r="AZ144" s="83"/>
      <c r="BA144" s="83"/>
      <c r="BB144" s="83"/>
      <c r="BC144" s="100"/>
      <c r="BD144" s="83"/>
      <c r="BE144" s="83"/>
      <c r="BF144" s="83"/>
      <c r="BG144" s="83"/>
      <c r="BH144" s="100"/>
      <c r="BI144" s="83"/>
      <c r="BJ144" s="83"/>
      <c r="BK144" s="83"/>
      <c r="BL144" s="83"/>
      <c r="BM144" s="100"/>
      <c r="BN144" s="83"/>
      <c r="BO144" s="83"/>
      <c r="BP144" s="83"/>
      <c r="BQ144" s="83"/>
      <c r="BR144" s="100"/>
      <c r="BS144" s="83"/>
      <c r="BT144" s="83"/>
      <c r="BU144" s="83"/>
      <c r="BV144" s="83"/>
      <c r="BW144" s="100"/>
      <c r="BX144" s="83"/>
      <c r="BY144" s="83"/>
      <c r="BZ144" s="83"/>
      <c r="CA144" s="83"/>
      <c r="CB144" s="100"/>
      <c r="CC144" s="83"/>
      <c r="CD144" s="83"/>
      <c r="CE144" s="83"/>
      <c r="CF144" s="83"/>
      <c r="CG144" s="100"/>
      <c r="CH144" s="83"/>
      <c r="CI144" s="83"/>
      <c r="CJ144" s="83"/>
      <c r="CK144" s="83"/>
      <c r="CL144" s="100"/>
      <c r="CM144" s="83"/>
      <c r="CN144" s="83"/>
      <c r="CO144" s="83"/>
      <c r="CP144" s="83"/>
      <c r="CQ144" s="100"/>
      <c r="CR144" s="83"/>
      <c r="CS144" s="83"/>
      <c r="CT144" s="83"/>
      <c r="CU144" s="83"/>
      <c r="CV144" s="100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</row>
    <row r="145" spans="1:115" s="12" customFormat="1">
      <c r="A145" s="148" t="s">
        <v>71</v>
      </c>
      <c r="B145" s="70"/>
      <c r="C145" s="70"/>
      <c r="D145" s="70"/>
      <c r="E145" s="134"/>
      <c r="F145" s="135"/>
      <c r="G145" s="135"/>
      <c r="H145" s="135"/>
      <c r="I145" s="135"/>
      <c r="J145" s="134"/>
      <c r="K145" s="135"/>
      <c r="L145" s="135"/>
      <c r="M145" s="135"/>
      <c r="N145" s="135"/>
      <c r="O145" s="134"/>
      <c r="P145" s="135"/>
      <c r="Q145" s="135"/>
      <c r="R145" s="135"/>
      <c r="S145" s="135"/>
      <c r="T145" s="134"/>
      <c r="U145" s="135">
        <f>+U146+U147</f>
        <v>37</v>
      </c>
      <c r="V145" s="135">
        <f t="shared" ref="V145:W145" si="1594">+V146+V147</f>
        <v>37</v>
      </c>
      <c r="W145" s="135">
        <f t="shared" si="1594"/>
        <v>37</v>
      </c>
      <c r="X145" s="135">
        <f t="shared" ref="X145" si="1595">+X146+X147</f>
        <v>37</v>
      </c>
      <c r="Y145" s="134">
        <f t="shared" ref="Y145" si="1596">+Y146+Y147</f>
        <v>37</v>
      </c>
      <c r="Z145" s="135">
        <f t="shared" ref="Z145" si="1597">+Z146+Z147</f>
        <v>37</v>
      </c>
      <c r="AA145" s="135">
        <f t="shared" ref="AA145" si="1598">+AA146+AA147</f>
        <v>37</v>
      </c>
      <c r="AB145" s="135">
        <f t="shared" ref="AB145" si="1599">+AB146+AB147</f>
        <v>37</v>
      </c>
      <c r="AC145" s="135">
        <f t="shared" ref="AC145" si="1600">+AC146+AC147</f>
        <v>37</v>
      </c>
      <c r="AD145" s="134">
        <f t="shared" ref="AD145" si="1601">+AD146+AD147</f>
        <v>37</v>
      </c>
      <c r="AE145" s="135">
        <f t="shared" ref="AE145" si="1602">+AE146+AE147</f>
        <v>37</v>
      </c>
      <c r="AF145" s="135">
        <f t="shared" ref="AF145" si="1603">+AF146+AF147</f>
        <v>37</v>
      </c>
      <c r="AG145" s="135">
        <f t="shared" ref="AG145" si="1604">+AG146+AG147</f>
        <v>37</v>
      </c>
      <c r="AH145" s="135">
        <f t="shared" ref="AH145" si="1605">+AH146+AH147</f>
        <v>37</v>
      </c>
      <c r="AI145" s="134">
        <f t="shared" ref="AI145" si="1606">+AI146+AI147</f>
        <v>37</v>
      </c>
      <c r="AJ145" s="135">
        <f t="shared" ref="AJ145" si="1607">+AJ146+AJ147</f>
        <v>37</v>
      </c>
      <c r="AK145" s="135">
        <f t="shared" ref="AK145" si="1608">+AK146+AK147</f>
        <v>37</v>
      </c>
      <c r="AL145" s="135">
        <f t="shared" ref="AL145" si="1609">+AL146+AL147</f>
        <v>37</v>
      </c>
      <c r="AM145" s="135">
        <f t="shared" ref="AM145" si="1610">+AM146+AM147</f>
        <v>37</v>
      </c>
      <c r="AN145" s="134">
        <f t="shared" ref="AN145" si="1611">+AN146+AN147</f>
        <v>37</v>
      </c>
      <c r="AO145" s="135">
        <f t="shared" ref="AO145" si="1612">+AO146+AO147</f>
        <v>37</v>
      </c>
      <c r="AP145" s="135">
        <f t="shared" ref="AP145" si="1613">+AP146+AP147</f>
        <v>37</v>
      </c>
      <c r="AQ145" s="135">
        <f t="shared" ref="AQ145" si="1614">+AQ146+AQ147</f>
        <v>37</v>
      </c>
      <c r="AR145" s="135">
        <f t="shared" ref="AR145" si="1615">+AR146+AR147</f>
        <v>37</v>
      </c>
      <c r="AS145" s="134">
        <f t="shared" ref="AS145" si="1616">+AS146+AS147</f>
        <v>37</v>
      </c>
      <c r="AT145" s="135">
        <f t="shared" ref="AT145" si="1617">+AT146+AT147</f>
        <v>37</v>
      </c>
      <c r="AU145" s="135">
        <f t="shared" ref="AU145" si="1618">+AU146+AU147</f>
        <v>37</v>
      </c>
      <c r="AV145" s="135">
        <f t="shared" ref="AV145" si="1619">+AV146+AV147</f>
        <v>37</v>
      </c>
      <c r="AW145" s="135">
        <f t="shared" ref="AW145" si="1620">+AW146+AW147</f>
        <v>37</v>
      </c>
      <c r="AX145" s="134">
        <f t="shared" ref="AX145" si="1621">+AX146+AX147</f>
        <v>37</v>
      </c>
      <c r="AY145" s="135">
        <f t="shared" ref="AY145" si="1622">+AY146+AY147</f>
        <v>37</v>
      </c>
      <c r="AZ145" s="135">
        <f t="shared" ref="AZ145" si="1623">+AZ146+AZ147</f>
        <v>37</v>
      </c>
      <c r="BA145" s="135">
        <f t="shared" ref="BA145" si="1624">+BA146+BA147</f>
        <v>37</v>
      </c>
      <c r="BB145" s="135">
        <f t="shared" ref="BB145" si="1625">+BB146+BB147</f>
        <v>37</v>
      </c>
      <c r="BC145" s="134">
        <f t="shared" ref="BC145" si="1626">+BC146+BC147</f>
        <v>37</v>
      </c>
      <c r="BD145" s="135">
        <f t="shared" ref="BD145" si="1627">+BD146+BD147</f>
        <v>37</v>
      </c>
      <c r="BE145" s="135">
        <f t="shared" ref="BE145" si="1628">+BE146+BE147</f>
        <v>37</v>
      </c>
      <c r="BF145" s="135">
        <f t="shared" ref="BF145" si="1629">+BF146+BF147</f>
        <v>37</v>
      </c>
      <c r="BG145" s="135">
        <f t="shared" ref="BG145" si="1630">+BG146+BG147</f>
        <v>37</v>
      </c>
      <c r="BH145" s="134">
        <f t="shared" ref="BH145" si="1631">+BH146+BH147</f>
        <v>37</v>
      </c>
      <c r="BI145" s="135">
        <f t="shared" ref="BI145" si="1632">+BI146+BI147</f>
        <v>37</v>
      </c>
      <c r="BJ145" s="135">
        <f t="shared" ref="BJ145" si="1633">+BJ146+BJ147</f>
        <v>37</v>
      </c>
      <c r="BK145" s="135">
        <f t="shared" ref="BK145" si="1634">+BK146+BK147</f>
        <v>37</v>
      </c>
      <c r="BL145" s="135">
        <f t="shared" ref="BL145" si="1635">+BL146+BL147</f>
        <v>37</v>
      </c>
      <c r="BM145" s="134">
        <f t="shared" ref="BM145" si="1636">+BM146+BM147</f>
        <v>37</v>
      </c>
      <c r="BN145" s="135">
        <f t="shared" ref="BN145" si="1637">+BN146+BN147</f>
        <v>37</v>
      </c>
      <c r="BO145" s="135">
        <f t="shared" ref="BO145" si="1638">+BO146+BO147</f>
        <v>37</v>
      </c>
      <c r="BP145" s="135">
        <f t="shared" ref="BP145" si="1639">+BP146+BP147</f>
        <v>37</v>
      </c>
      <c r="BQ145" s="135">
        <f t="shared" ref="BQ145" si="1640">+BQ146+BQ147</f>
        <v>37</v>
      </c>
      <c r="BR145" s="134">
        <f t="shared" ref="BR145" si="1641">+BR146+BR147</f>
        <v>37</v>
      </c>
      <c r="BS145" s="135">
        <f t="shared" ref="BS145" si="1642">+BS146+BS147</f>
        <v>37</v>
      </c>
      <c r="BT145" s="135">
        <f t="shared" ref="BT145" si="1643">+BT146+BT147</f>
        <v>37</v>
      </c>
      <c r="BU145" s="135">
        <f t="shared" ref="BU145" si="1644">+BU146+BU147</f>
        <v>37</v>
      </c>
      <c r="BV145" s="135">
        <f t="shared" ref="BV145" si="1645">+BV146+BV147</f>
        <v>37</v>
      </c>
      <c r="BW145" s="134">
        <f t="shared" ref="BW145" si="1646">+BW146+BW147</f>
        <v>37</v>
      </c>
      <c r="BX145" s="135">
        <f t="shared" ref="BX145" si="1647">+BX146+BX147</f>
        <v>37</v>
      </c>
      <c r="BY145" s="135">
        <f t="shared" ref="BY145" si="1648">+BY146+BY147</f>
        <v>37</v>
      </c>
      <c r="BZ145" s="135">
        <f t="shared" ref="BZ145" si="1649">+BZ146+BZ147</f>
        <v>37</v>
      </c>
      <c r="CA145" s="135">
        <f t="shared" ref="CA145" si="1650">+CA146+CA147</f>
        <v>37</v>
      </c>
      <c r="CB145" s="134">
        <f t="shared" ref="CB145" si="1651">+CB146+CB147</f>
        <v>37</v>
      </c>
      <c r="CC145" s="135">
        <f t="shared" ref="CC145" si="1652">+CC146+CC147</f>
        <v>37</v>
      </c>
      <c r="CD145" s="135">
        <f t="shared" ref="CD145" si="1653">+CD146+CD147</f>
        <v>37</v>
      </c>
      <c r="CE145" s="135">
        <f t="shared" ref="CE145" si="1654">+CE146+CE147</f>
        <v>37</v>
      </c>
      <c r="CF145" s="135">
        <f t="shared" ref="CF145" si="1655">+CF146+CF147</f>
        <v>37</v>
      </c>
      <c r="CG145" s="134">
        <f t="shared" ref="CG145" si="1656">+CG146+CG147</f>
        <v>37</v>
      </c>
      <c r="CH145" s="135">
        <f t="shared" ref="CH145" si="1657">+CH146+CH147</f>
        <v>37</v>
      </c>
      <c r="CI145" s="135">
        <f t="shared" ref="CI145" si="1658">+CI146+CI147</f>
        <v>37</v>
      </c>
      <c r="CJ145" s="135">
        <f t="shared" ref="CJ145" si="1659">+CJ146+CJ147</f>
        <v>37</v>
      </c>
      <c r="CK145" s="135">
        <f t="shared" ref="CK145" si="1660">+CK146+CK147</f>
        <v>37</v>
      </c>
      <c r="CL145" s="134">
        <f t="shared" ref="CL145" si="1661">+CL146+CL147</f>
        <v>37</v>
      </c>
      <c r="CM145" s="135">
        <f t="shared" ref="CM145" si="1662">+CM146+CM147</f>
        <v>37</v>
      </c>
      <c r="CN145" s="135">
        <f t="shared" ref="CN145" si="1663">+CN146+CN147</f>
        <v>37</v>
      </c>
      <c r="CO145" s="135">
        <f t="shared" ref="CO145" si="1664">+CO146+CO147</f>
        <v>37</v>
      </c>
      <c r="CP145" s="135">
        <f t="shared" ref="CP145" si="1665">+CP146+CP147</f>
        <v>37</v>
      </c>
      <c r="CQ145" s="134">
        <f t="shared" ref="CQ145" si="1666">+CQ146+CQ147</f>
        <v>37</v>
      </c>
      <c r="CR145" s="135">
        <f t="shared" ref="CR145" si="1667">+CR146+CR147</f>
        <v>37</v>
      </c>
      <c r="CS145" s="135">
        <f t="shared" ref="CS145" si="1668">+CS146+CS147</f>
        <v>37</v>
      </c>
      <c r="CT145" s="135">
        <f t="shared" ref="CT145" si="1669">+CT146+CT147</f>
        <v>37</v>
      </c>
      <c r="CU145" s="135">
        <f t="shared" ref="CU145" si="1670">+CU146+CU147</f>
        <v>37</v>
      </c>
      <c r="CV145" s="134">
        <f t="shared" ref="CV145" si="1671">+CV146+CV147</f>
        <v>37</v>
      </c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</row>
    <row r="146" spans="1:115" s="25" customFormat="1">
      <c r="A146" s="148" t="s">
        <v>72</v>
      </c>
      <c r="B146" s="70"/>
      <c r="C146" s="70"/>
      <c r="D146" s="70"/>
      <c r="E146" s="134"/>
      <c r="F146" s="135"/>
      <c r="G146" s="135"/>
      <c r="H146" s="135"/>
      <c r="I146" s="135"/>
      <c r="J146" s="134"/>
      <c r="K146" s="135"/>
      <c r="L146" s="135"/>
      <c r="M146" s="135"/>
      <c r="N146" s="135"/>
      <c r="O146" s="134"/>
      <c r="P146" s="135"/>
      <c r="Q146" s="135"/>
      <c r="R146" s="135"/>
      <c r="S146" s="135"/>
      <c r="T146" s="134"/>
      <c r="U146" s="136">
        <v>0</v>
      </c>
      <c r="V146" s="136">
        <v>0</v>
      </c>
      <c r="W146" s="136">
        <v>0</v>
      </c>
      <c r="X146" s="136">
        <v>0</v>
      </c>
      <c r="Y146" s="134">
        <v>0</v>
      </c>
      <c r="Z146" s="135">
        <v>0</v>
      </c>
      <c r="AA146" s="135">
        <v>0</v>
      </c>
      <c r="AB146" s="135">
        <v>0</v>
      </c>
      <c r="AC146" s="135">
        <v>0</v>
      </c>
      <c r="AD146" s="134">
        <v>0</v>
      </c>
      <c r="AE146" s="135">
        <v>0</v>
      </c>
      <c r="AF146" s="135">
        <v>0</v>
      </c>
      <c r="AG146" s="135">
        <v>0</v>
      </c>
      <c r="AH146" s="135">
        <v>0</v>
      </c>
      <c r="AI146" s="134">
        <v>0</v>
      </c>
      <c r="AJ146" s="135">
        <v>0</v>
      </c>
      <c r="AK146" s="135">
        <v>0</v>
      </c>
      <c r="AL146" s="135">
        <v>0</v>
      </c>
      <c r="AM146" s="135">
        <v>0</v>
      </c>
      <c r="AN146" s="134">
        <v>0</v>
      </c>
      <c r="AO146" s="136">
        <v>0</v>
      </c>
      <c r="AP146" s="136">
        <v>0</v>
      </c>
      <c r="AQ146" s="136">
        <v>0</v>
      </c>
      <c r="AR146" s="136">
        <v>0</v>
      </c>
      <c r="AS146" s="134">
        <v>0</v>
      </c>
      <c r="AT146" s="135">
        <v>0</v>
      </c>
      <c r="AU146" s="135">
        <v>0</v>
      </c>
      <c r="AV146" s="135">
        <v>0</v>
      </c>
      <c r="AW146" s="135">
        <v>0</v>
      </c>
      <c r="AX146" s="134">
        <v>0</v>
      </c>
      <c r="AY146" s="135">
        <v>0</v>
      </c>
      <c r="AZ146" s="135">
        <v>0</v>
      </c>
      <c r="BA146" s="135">
        <v>0</v>
      </c>
      <c r="BB146" s="135">
        <v>0</v>
      </c>
      <c r="BC146" s="134">
        <v>0</v>
      </c>
      <c r="BD146" s="135">
        <v>0</v>
      </c>
      <c r="BE146" s="135">
        <v>0</v>
      </c>
      <c r="BF146" s="135">
        <v>0</v>
      </c>
      <c r="BG146" s="135">
        <v>0</v>
      </c>
      <c r="BH146" s="134">
        <v>0</v>
      </c>
      <c r="BI146" s="136">
        <v>0</v>
      </c>
      <c r="BJ146" s="136">
        <v>0</v>
      </c>
      <c r="BK146" s="136">
        <v>0</v>
      </c>
      <c r="BL146" s="136">
        <v>0</v>
      </c>
      <c r="BM146" s="134">
        <v>0</v>
      </c>
      <c r="BN146" s="135">
        <v>0</v>
      </c>
      <c r="BO146" s="135">
        <v>0</v>
      </c>
      <c r="BP146" s="135">
        <v>0</v>
      </c>
      <c r="BQ146" s="135">
        <v>0</v>
      </c>
      <c r="BR146" s="134">
        <v>0</v>
      </c>
      <c r="BS146" s="135">
        <v>0</v>
      </c>
      <c r="BT146" s="135">
        <v>0</v>
      </c>
      <c r="BU146" s="135">
        <v>0</v>
      </c>
      <c r="BV146" s="135">
        <v>0</v>
      </c>
      <c r="BW146" s="134">
        <v>0</v>
      </c>
      <c r="BX146" s="135">
        <v>0</v>
      </c>
      <c r="BY146" s="135">
        <v>0</v>
      </c>
      <c r="BZ146" s="135">
        <v>0</v>
      </c>
      <c r="CA146" s="135">
        <v>0</v>
      </c>
      <c r="CB146" s="134">
        <v>0</v>
      </c>
      <c r="CC146" s="136">
        <v>0</v>
      </c>
      <c r="CD146" s="136">
        <v>0</v>
      </c>
      <c r="CE146" s="136">
        <v>0</v>
      </c>
      <c r="CF146" s="136">
        <v>0</v>
      </c>
      <c r="CG146" s="134">
        <v>0</v>
      </c>
      <c r="CH146" s="135">
        <v>0</v>
      </c>
      <c r="CI146" s="135">
        <v>0</v>
      </c>
      <c r="CJ146" s="135">
        <v>0</v>
      </c>
      <c r="CK146" s="135">
        <v>0</v>
      </c>
      <c r="CL146" s="134">
        <v>0</v>
      </c>
      <c r="CM146" s="135">
        <v>0</v>
      </c>
      <c r="CN146" s="135">
        <v>0</v>
      </c>
      <c r="CO146" s="135">
        <v>0</v>
      </c>
      <c r="CP146" s="135">
        <v>0</v>
      </c>
      <c r="CQ146" s="134">
        <v>0</v>
      </c>
      <c r="CR146" s="136">
        <v>0</v>
      </c>
      <c r="CS146" s="136">
        <v>0</v>
      </c>
      <c r="CT146" s="136">
        <v>0</v>
      </c>
      <c r="CU146" s="136">
        <v>0</v>
      </c>
      <c r="CV146" s="134">
        <v>0</v>
      </c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</row>
    <row r="147" spans="1:115" s="25" customFormat="1">
      <c r="A147" s="148" t="s">
        <v>73</v>
      </c>
      <c r="B147" s="70"/>
      <c r="C147" s="70"/>
      <c r="D147" s="70"/>
      <c r="E147" s="134"/>
      <c r="F147" s="135"/>
      <c r="G147" s="135"/>
      <c r="H147" s="135"/>
      <c r="I147" s="135"/>
      <c r="J147" s="134"/>
      <c r="K147" s="135"/>
      <c r="L147" s="135"/>
      <c r="M147" s="135"/>
      <c r="N147" s="135"/>
      <c r="O147" s="134"/>
      <c r="P147" s="135"/>
      <c r="Q147" s="135"/>
      <c r="R147" s="135"/>
      <c r="S147" s="135"/>
      <c r="T147" s="134"/>
      <c r="U147" s="136">
        <v>37</v>
      </c>
      <c r="V147" s="136">
        <v>37</v>
      </c>
      <c r="W147" s="136">
        <v>37</v>
      </c>
      <c r="X147" s="136">
        <v>37</v>
      </c>
      <c r="Y147" s="134">
        <v>37</v>
      </c>
      <c r="Z147" s="135">
        <v>37</v>
      </c>
      <c r="AA147" s="135">
        <v>37</v>
      </c>
      <c r="AB147" s="135">
        <v>37</v>
      </c>
      <c r="AC147" s="135">
        <v>37</v>
      </c>
      <c r="AD147" s="134">
        <v>37</v>
      </c>
      <c r="AE147" s="135">
        <v>37</v>
      </c>
      <c r="AF147" s="135">
        <v>37</v>
      </c>
      <c r="AG147" s="135">
        <v>37</v>
      </c>
      <c r="AH147" s="135">
        <v>37</v>
      </c>
      <c r="AI147" s="134">
        <v>37</v>
      </c>
      <c r="AJ147" s="135">
        <v>37</v>
      </c>
      <c r="AK147" s="135">
        <v>37</v>
      </c>
      <c r="AL147" s="135">
        <v>37</v>
      </c>
      <c r="AM147" s="135">
        <v>37</v>
      </c>
      <c r="AN147" s="134">
        <v>37</v>
      </c>
      <c r="AO147" s="136">
        <v>37</v>
      </c>
      <c r="AP147" s="136">
        <v>37</v>
      </c>
      <c r="AQ147" s="136">
        <v>37</v>
      </c>
      <c r="AR147" s="136">
        <v>37</v>
      </c>
      <c r="AS147" s="134">
        <v>37</v>
      </c>
      <c r="AT147" s="135">
        <v>37</v>
      </c>
      <c r="AU147" s="135">
        <v>37</v>
      </c>
      <c r="AV147" s="135">
        <v>37</v>
      </c>
      <c r="AW147" s="135">
        <v>37</v>
      </c>
      <c r="AX147" s="134">
        <v>37</v>
      </c>
      <c r="AY147" s="135">
        <v>37</v>
      </c>
      <c r="AZ147" s="135">
        <v>37</v>
      </c>
      <c r="BA147" s="135">
        <v>37</v>
      </c>
      <c r="BB147" s="135">
        <v>37</v>
      </c>
      <c r="BC147" s="134">
        <v>37</v>
      </c>
      <c r="BD147" s="135">
        <v>37</v>
      </c>
      <c r="BE147" s="135">
        <v>37</v>
      </c>
      <c r="BF147" s="135">
        <v>37</v>
      </c>
      <c r="BG147" s="135">
        <v>37</v>
      </c>
      <c r="BH147" s="134">
        <v>37</v>
      </c>
      <c r="BI147" s="136">
        <v>37</v>
      </c>
      <c r="BJ147" s="136">
        <v>37</v>
      </c>
      <c r="BK147" s="136">
        <v>37</v>
      </c>
      <c r="BL147" s="136">
        <v>37</v>
      </c>
      <c r="BM147" s="134">
        <v>37</v>
      </c>
      <c r="BN147" s="135">
        <v>37</v>
      </c>
      <c r="BO147" s="135">
        <v>37</v>
      </c>
      <c r="BP147" s="135">
        <v>37</v>
      </c>
      <c r="BQ147" s="135">
        <v>37</v>
      </c>
      <c r="BR147" s="134">
        <v>37</v>
      </c>
      <c r="BS147" s="135">
        <v>37</v>
      </c>
      <c r="BT147" s="135">
        <v>37</v>
      </c>
      <c r="BU147" s="135">
        <v>37</v>
      </c>
      <c r="BV147" s="135">
        <v>37</v>
      </c>
      <c r="BW147" s="134">
        <v>37</v>
      </c>
      <c r="BX147" s="135">
        <v>37</v>
      </c>
      <c r="BY147" s="135">
        <v>37</v>
      </c>
      <c r="BZ147" s="135">
        <v>37</v>
      </c>
      <c r="CA147" s="135">
        <v>37</v>
      </c>
      <c r="CB147" s="134">
        <v>37</v>
      </c>
      <c r="CC147" s="136">
        <v>37</v>
      </c>
      <c r="CD147" s="136">
        <v>37</v>
      </c>
      <c r="CE147" s="136">
        <v>37</v>
      </c>
      <c r="CF147" s="136">
        <v>37</v>
      </c>
      <c r="CG147" s="134">
        <v>37</v>
      </c>
      <c r="CH147" s="135">
        <v>37</v>
      </c>
      <c r="CI147" s="135">
        <v>37</v>
      </c>
      <c r="CJ147" s="135">
        <v>37</v>
      </c>
      <c r="CK147" s="135">
        <v>37</v>
      </c>
      <c r="CL147" s="134">
        <v>37</v>
      </c>
      <c r="CM147" s="135">
        <v>37</v>
      </c>
      <c r="CN147" s="135">
        <v>37</v>
      </c>
      <c r="CO147" s="135">
        <v>37</v>
      </c>
      <c r="CP147" s="135">
        <v>37</v>
      </c>
      <c r="CQ147" s="134">
        <v>37</v>
      </c>
      <c r="CR147" s="136">
        <v>37</v>
      </c>
      <c r="CS147" s="136">
        <v>37</v>
      </c>
      <c r="CT147" s="136">
        <v>37</v>
      </c>
      <c r="CU147" s="136">
        <v>37</v>
      </c>
      <c r="CV147" s="134">
        <v>37</v>
      </c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</row>
    <row r="148" spans="1:115" s="12" customFormat="1">
      <c r="A148" s="149" t="s">
        <v>74</v>
      </c>
      <c r="B148" s="19"/>
      <c r="C148" s="19"/>
      <c r="D148" s="19"/>
      <c r="E148" s="112"/>
      <c r="F148" s="137"/>
      <c r="G148" s="137"/>
      <c r="H148" s="137"/>
      <c r="I148" s="137"/>
      <c r="J148" s="112"/>
      <c r="K148" s="137"/>
      <c r="L148" s="137"/>
      <c r="M148" s="137"/>
      <c r="N148" s="137"/>
      <c r="O148" s="112"/>
      <c r="P148" s="137"/>
      <c r="Q148" s="137"/>
      <c r="R148" s="137"/>
      <c r="S148" s="137"/>
      <c r="T148" s="112"/>
      <c r="U148" s="137">
        <f>+U147/U145</f>
        <v>1</v>
      </c>
      <c r="V148" s="137">
        <f t="shared" ref="V148:W148" si="1672">+V147/V145</f>
        <v>1</v>
      </c>
      <c r="W148" s="137">
        <f t="shared" si="1672"/>
        <v>1</v>
      </c>
      <c r="X148" s="137">
        <f t="shared" ref="X148" si="1673">+X147/X145</f>
        <v>1</v>
      </c>
      <c r="Y148" s="112">
        <f t="shared" ref="Y148" si="1674">+Y147/Y145</f>
        <v>1</v>
      </c>
      <c r="Z148" s="137">
        <f t="shared" ref="Z148" si="1675">+Z147/Z145</f>
        <v>1</v>
      </c>
      <c r="AA148" s="137">
        <f t="shared" ref="AA148" si="1676">+AA147/AA145</f>
        <v>1</v>
      </c>
      <c r="AB148" s="137">
        <f t="shared" ref="AB148" si="1677">+AB147/AB145</f>
        <v>1</v>
      </c>
      <c r="AC148" s="137">
        <f t="shared" ref="AC148" si="1678">+AC147/AC145</f>
        <v>1</v>
      </c>
      <c r="AD148" s="112">
        <f t="shared" ref="AD148" si="1679">+AD147/AD145</f>
        <v>1</v>
      </c>
      <c r="AE148" s="137">
        <f t="shared" ref="AE148" si="1680">+AE147/AE145</f>
        <v>1</v>
      </c>
      <c r="AF148" s="137">
        <f t="shared" ref="AF148" si="1681">+AF147/AF145</f>
        <v>1</v>
      </c>
      <c r="AG148" s="137">
        <f t="shared" ref="AG148" si="1682">+AG147/AG145</f>
        <v>1</v>
      </c>
      <c r="AH148" s="137">
        <f t="shared" ref="AH148" si="1683">+AH147/AH145</f>
        <v>1</v>
      </c>
      <c r="AI148" s="112">
        <f t="shared" ref="AI148" si="1684">+AI147/AI145</f>
        <v>1</v>
      </c>
      <c r="AJ148" s="137">
        <f t="shared" ref="AJ148" si="1685">+AJ147/AJ145</f>
        <v>1</v>
      </c>
      <c r="AK148" s="137">
        <f t="shared" ref="AK148" si="1686">+AK147/AK145</f>
        <v>1</v>
      </c>
      <c r="AL148" s="137">
        <f t="shared" ref="AL148" si="1687">+AL147/AL145</f>
        <v>1</v>
      </c>
      <c r="AM148" s="137">
        <f t="shared" ref="AM148" si="1688">+AM147/AM145</f>
        <v>1</v>
      </c>
      <c r="AN148" s="112">
        <f t="shared" ref="AN148" si="1689">+AN147/AN145</f>
        <v>1</v>
      </c>
      <c r="AO148" s="137">
        <f t="shared" ref="AO148" si="1690">+AO147/AO145</f>
        <v>1</v>
      </c>
      <c r="AP148" s="137">
        <f t="shared" ref="AP148" si="1691">+AP147/AP145</f>
        <v>1</v>
      </c>
      <c r="AQ148" s="137">
        <f t="shared" ref="AQ148" si="1692">+AQ147/AQ145</f>
        <v>1</v>
      </c>
      <c r="AR148" s="137">
        <f t="shared" ref="AR148" si="1693">+AR147/AR145</f>
        <v>1</v>
      </c>
      <c r="AS148" s="112">
        <f t="shared" ref="AS148" si="1694">+AS147/AS145</f>
        <v>1</v>
      </c>
      <c r="AT148" s="137">
        <f t="shared" ref="AT148" si="1695">+AT147/AT145</f>
        <v>1</v>
      </c>
      <c r="AU148" s="137">
        <f t="shared" ref="AU148" si="1696">+AU147/AU145</f>
        <v>1</v>
      </c>
      <c r="AV148" s="137">
        <f t="shared" ref="AV148" si="1697">+AV147/AV145</f>
        <v>1</v>
      </c>
      <c r="AW148" s="137">
        <f t="shared" ref="AW148" si="1698">+AW147/AW145</f>
        <v>1</v>
      </c>
      <c r="AX148" s="112">
        <f t="shared" ref="AX148" si="1699">+AX147/AX145</f>
        <v>1</v>
      </c>
      <c r="AY148" s="137">
        <f t="shared" ref="AY148" si="1700">+AY147/AY145</f>
        <v>1</v>
      </c>
      <c r="AZ148" s="137">
        <f t="shared" ref="AZ148" si="1701">+AZ147/AZ145</f>
        <v>1</v>
      </c>
      <c r="BA148" s="137">
        <f t="shared" ref="BA148" si="1702">+BA147/BA145</f>
        <v>1</v>
      </c>
      <c r="BB148" s="137">
        <f t="shared" ref="BB148" si="1703">+BB147/BB145</f>
        <v>1</v>
      </c>
      <c r="BC148" s="112">
        <f t="shared" ref="BC148" si="1704">+BC147/BC145</f>
        <v>1</v>
      </c>
      <c r="BD148" s="137">
        <f t="shared" ref="BD148" si="1705">+BD147/BD145</f>
        <v>1</v>
      </c>
      <c r="BE148" s="137">
        <f t="shared" ref="BE148" si="1706">+BE147/BE145</f>
        <v>1</v>
      </c>
      <c r="BF148" s="137">
        <f t="shared" ref="BF148" si="1707">+BF147/BF145</f>
        <v>1</v>
      </c>
      <c r="BG148" s="137">
        <f t="shared" ref="BG148" si="1708">+BG147/BG145</f>
        <v>1</v>
      </c>
      <c r="BH148" s="112">
        <f t="shared" ref="BH148" si="1709">+BH147/BH145</f>
        <v>1</v>
      </c>
      <c r="BI148" s="137">
        <f t="shared" ref="BI148" si="1710">+BI147/BI145</f>
        <v>1</v>
      </c>
      <c r="BJ148" s="137">
        <f t="shared" ref="BJ148" si="1711">+BJ147/BJ145</f>
        <v>1</v>
      </c>
      <c r="BK148" s="137">
        <f t="shared" ref="BK148" si="1712">+BK147/BK145</f>
        <v>1</v>
      </c>
      <c r="BL148" s="137">
        <f t="shared" ref="BL148" si="1713">+BL147/BL145</f>
        <v>1</v>
      </c>
      <c r="BM148" s="112">
        <f t="shared" ref="BM148" si="1714">+BM147/BM145</f>
        <v>1</v>
      </c>
      <c r="BN148" s="137">
        <f t="shared" ref="BN148" si="1715">+BN147/BN145</f>
        <v>1</v>
      </c>
      <c r="BO148" s="137">
        <f t="shared" ref="BO148" si="1716">+BO147/BO145</f>
        <v>1</v>
      </c>
      <c r="BP148" s="137">
        <f t="shared" ref="BP148" si="1717">+BP147/BP145</f>
        <v>1</v>
      </c>
      <c r="BQ148" s="137">
        <f t="shared" ref="BQ148" si="1718">+BQ147/BQ145</f>
        <v>1</v>
      </c>
      <c r="BR148" s="112">
        <f t="shared" ref="BR148" si="1719">+BR147/BR145</f>
        <v>1</v>
      </c>
      <c r="BS148" s="137">
        <f t="shared" ref="BS148" si="1720">+BS147/BS145</f>
        <v>1</v>
      </c>
      <c r="BT148" s="137">
        <f t="shared" ref="BT148" si="1721">+BT147/BT145</f>
        <v>1</v>
      </c>
      <c r="BU148" s="137">
        <f t="shared" ref="BU148" si="1722">+BU147/BU145</f>
        <v>1</v>
      </c>
      <c r="BV148" s="137">
        <f t="shared" ref="BV148" si="1723">+BV147/BV145</f>
        <v>1</v>
      </c>
      <c r="BW148" s="112">
        <f t="shared" ref="BW148" si="1724">+BW147/BW145</f>
        <v>1</v>
      </c>
      <c r="BX148" s="137">
        <f t="shared" ref="BX148" si="1725">+BX147/BX145</f>
        <v>1</v>
      </c>
      <c r="BY148" s="137">
        <f t="shared" ref="BY148" si="1726">+BY147/BY145</f>
        <v>1</v>
      </c>
      <c r="BZ148" s="137">
        <f t="shared" ref="BZ148" si="1727">+BZ147/BZ145</f>
        <v>1</v>
      </c>
      <c r="CA148" s="137">
        <f t="shared" ref="CA148" si="1728">+CA147/CA145</f>
        <v>1</v>
      </c>
      <c r="CB148" s="112">
        <f t="shared" ref="CB148" si="1729">+CB147/CB145</f>
        <v>1</v>
      </c>
      <c r="CC148" s="137">
        <f t="shared" ref="CC148" si="1730">+CC147/CC145</f>
        <v>1</v>
      </c>
      <c r="CD148" s="137">
        <f t="shared" ref="CD148" si="1731">+CD147/CD145</f>
        <v>1</v>
      </c>
      <c r="CE148" s="137">
        <f t="shared" ref="CE148" si="1732">+CE147/CE145</f>
        <v>1</v>
      </c>
      <c r="CF148" s="137">
        <f t="shared" ref="CF148" si="1733">+CF147/CF145</f>
        <v>1</v>
      </c>
      <c r="CG148" s="112">
        <f t="shared" ref="CG148" si="1734">+CG147/CG145</f>
        <v>1</v>
      </c>
      <c r="CH148" s="137">
        <f t="shared" ref="CH148" si="1735">+CH147/CH145</f>
        <v>1</v>
      </c>
      <c r="CI148" s="137">
        <f t="shared" ref="CI148" si="1736">+CI147/CI145</f>
        <v>1</v>
      </c>
      <c r="CJ148" s="137">
        <f t="shared" ref="CJ148" si="1737">+CJ147/CJ145</f>
        <v>1</v>
      </c>
      <c r="CK148" s="137">
        <f t="shared" ref="CK148" si="1738">+CK147/CK145</f>
        <v>1</v>
      </c>
      <c r="CL148" s="112">
        <f t="shared" ref="CL148" si="1739">+CL147/CL145</f>
        <v>1</v>
      </c>
      <c r="CM148" s="137">
        <f t="shared" ref="CM148" si="1740">+CM147/CM145</f>
        <v>1</v>
      </c>
      <c r="CN148" s="137">
        <f t="shared" ref="CN148" si="1741">+CN147/CN145</f>
        <v>1</v>
      </c>
      <c r="CO148" s="137">
        <f t="shared" ref="CO148" si="1742">+CO147/CO145</f>
        <v>1</v>
      </c>
      <c r="CP148" s="137">
        <f t="shared" ref="CP148" si="1743">+CP147/CP145</f>
        <v>1</v>
      </c>
      <c r="CQ148" s="112">
        <f t="shared" ref="CQ148" si="1744">+CQ147/CQ145</f>
        <v>1</v>
      </c>
      <c r="CR148" s="137">
        <f t="shared" ref="CR148" si="1745">+CR147/CR145</f>
        <v>1</v>
      </c>
      <c r="CS148" s="137">
        <f t="shared" ref="CS148" si="1746">+CS147/CS145</f>
        <v>1</v>
      </c>
      <c r="CT148" s="137">
        <f t="shared" ref="CT148" si="1747">+CT147/CT145</f>
        <v>1</v>
      </c>
      <c r="CU148" s="137">
        <f t="shared" ref="CU148" si="1748">+CU147/CU145</f>
        <v>1</v>
      </c>
      <c r="CV148" s="112">
        <f t="shared" ref="CV148" si="1749">+CV147/CV145</f>
        <v>1</v>
      </c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</row>
    <row r="149" spans="1:115" s="12" customFormat="1">
      <c r="A149" s="146"/>
      <c r="B149" s="34"/>
      <c r="C149" s="34"/>
      <c r="D149" s="34"/>
      <c r="E149" s="100"/>
      <c r="F149" s="83"/>
      <c r="G149" s="83"/>
      <c r="H149" s="83"/>
      <c r="I149" s="83"/>
      <c r="J149" s="100"/>
      <c r="K149" s="83"/>
      <c r="L149" s="83"/>
      <c r="M149" s="83"/>
      <c r="N149" s="83"/>
      <c r="O149" s="100"/>
      <c r="P149" s="83"/>
      <c r="Q149" s="83"/>
      <c r="R149" s="83"/>
      <c r="S149" s="83"/>
      <c r="T149" s="100"/>
      <c r="U149" s="83"/>
      <c r="V149" s="83"/>
      <c r="W149" s="83"/>
      <c r="X149" s="83"/>
      <c r="Y149" s="100"/>
      <c r="Z149" s="83"/>
      <c r="AA149" s="83"/>
      <c r="AB149" s="83"/>
      <c r="AC149" s="83"/>
      <c r="AD149" s="100"/>
      <c r="AE149" s="83"/>
      <c r="AF149" s="83"/>
      <c r="AG149" s="83"/>
      <c r="AH149" s="83"/>
      <c r="AI149" s="100"/>
      <c r="AJ149" s="83"/>
      <c r="AK149" s="83"/>
      <c r="AL149" s="83"/>
      <c r="AM149" s="83"/>
      <c r="AN149" s="100"/>
      <c r="AO149" s="83"/>
      <c r="AP149" s="83"/>
      <c r="AQ149" s="83"/>
      <c r="AR149" s="83"/>
      <c r="AS149" s="100"/>
      <c r="AT149" s="83"/>
      <c r="AU149" s="83"/>
      <c r="AV149" s="83"/>
      <c r="AW149" s="83"/>
      <c r="AX149" s="100"/>
      <c r="AY149" s="83"/>
      <c r="AZ149" s="83"/>
      <c r="BA149" s="83"/>
      <c r="BB149" s="83"/>
      <c r="BC149" s="100"/>
      <c r="BD149" s="83"/>
      <c r="BE149" s="83"/>
      <c r="BF149" s="83"/>
      <c r="BG149" s="83"/>
      <c r="BH149" s="100"/>
      <c r="BI149" s="83"/>
      <c r="BJ149" s="83"/>
      <c r="BK149" s="83"/>
      <c r="BL149" s="83"/>
      <c r="BM149" s="100"/>
      <c r="BN149" s="83"/>
      <c r="BO149" s="83"/>
      <c r="BP149" s="83"/>
      <c r="BQ149" s="83"/>
      <c r="BR149" s="100"/>
      <c r="BS149" s="83"/>
      <c r="BT149" s="83"/>
      <c r="BU149" s="83"/>
      <c r="BV149" s="83"/>
      <c r="BW149" s="100"/>
      <c r="BX149" s="83"/>
      <c r="BY149" s="83"/>
      <c r="BZ149" s="83"/>
      <c r="CA149" s="83"/>
      <c r="CB149" s="100"/>
      <c r="CC149" s="83"/>
      <c r="CD149" s="83"/>
      <c r="CE149" s="83"/>
      <c r="CF149" s="83"/>
      <c r="CG149" s="100"/>
      <c r="CH149" s="83"/>
      <c r="CI149" s="83"/>
      <c r="CJ149" s="83"/>
      <c r="CK149" s="83"/>
      <c r="CL149" s="100"/>
      <c r="CM149" s="83"/>
      <c r="CN149" s="83"/>
      <c r="CO149" s="83"/>
      <c r="CP149" s="83"/>
      <c r="CQ149" s="100"/>
      <c r="CR149" s="83"/>
      <c r="CS149" s="83"/>
      <c r="CT149" s="83"/>
      <c r="CU149" s="83"/>
      <c r="CV149" s="100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</row>
    <row r="150" spans="1:115" s="12" customFormat="1">
      <c r="A150" s="148" t="s">
        <v>75</v>
      </c>
      <c r="B150" s="71"/>
      <c r="C150" s="71"/>
      <c r="D150" s="71">
        <v>1019.2670000000001</v>
      </c>
      <c r="E150" s="134">
        <v>1019.2670000000001</v>
      </c>
      <c r="F150" s="136">
        <v>2023.702</v>
      </c>
      <c r="G150" s="136">
        <v>2172.0360000000001</v>
      </c>
      <c r="H150" s="136">
        <v>2192.1444999999999</v>
      </c>
      <c r="I150" s="136">
        <v>2212.6089999999999</v>
      </c>
      <c r="J150" s="134">
        <v>8600.4915000000001</v>
      </c>
      <c r="K150" s="136">
        <v>1964.8869999999999</v>
      </c>
      <c r="L150" s="136">
        <v>2105.0149999999999</v>
      </c>
      <c r="M150" s="136">
        <v>2187.087</v>
      </c>
      <c r="N150" s="136">
        <v>2216.7175000000002</v>
      </c>
      <c r="O150" s="134">
        <v>8473.7065000000002</v>
      </c>
      <c r="P150" s="136">
        <v>2074.5549999999998</v>
      </c>
      <c r="Q150" s="136">
        <v>2053.6664999999998</v>
      </c>
      <c r="R150" s="136">
        <v>2195.2945</v>
      </c>
      <c r="S150" s="136">
        <v>2294.0459999999998</v>
      </c>
      <c r="T150" s="134">
        <v>8617.5619999999999</v>
      </c>
      <c r="U150" s="136">
        <v>2051.6</v>
      </c>
      <c r="V150" s="136">
        <v>2156.34</v>
      </c>
      <c r="W150" s="136">
        <v>2396.6</v>
      </c>
      <c r="X150" s="136">
        <v>2459.1</v>
      </c>
      <c r="Y150" s="134">
        <f>+SUM(U150:X150)</f>
        <v>9063.6400000000012</v>
      </c>
      <c r="Z150" s="136">
        <v>2339.3829999999998</v>
      </c>
      <c r="AA150" s="136">
        <v>2351.2820000000002</v>
      </c>
      <c r="AB150" s="136">
        <v>2423.614</v>
      </c>
      <c r="AC150" s="136">
        <v>2593.5720000000001</v>
      </c>
      <c r="AD150" s="134">
        <f>+SUM(Z150:AC150)</f>
        <v>9707.8510000000006</v>
      </c>
      <c r="AE150" s="302">
        <v>2281.116</v>
      </c>
      <c r="AF150" s="302">
        <v>2260.4105</v>
      </c>
      <c r="AG150" s="302">
        <v>2258.2835</v>
      </c>
      <c r="AH150" s="300">
        <f>AC150*(1+AH151)</f>
        <v>2450.9255400000002</v>
      </c>
      <c r="AI150" s="301">
        <f>+SUM(AE150:AH150)</f>
        <v>9250.7355399999997</v>
      </c>
      <c r="AJ150" s="300">
        <f>AE150*(1+AJ151)</f>
        <v>2370.2919999999999</v>
      </c>
      <c r="AK150" s="300">
        <f>AF150*(1+AK151)</f>
        <v>2348.777</v>
      </c>
      <c r="AL150" s="300">
        <f>AG150*(1+AL151)</f>
        <v>2346.567</v>
      </c>
      <c r="AM150" s="300">
        <f>AH150*(1+AM151)</f>
        <v>2433.9198631639379</v>
      </c>
      <c r="AN150" s="301">
        <f>+SUM(AJ150:AM150)</f>
        <v>9499.5558631639378</v>
      </c>
      <c r="AO150" s="300">
        <f>AJ150*(1+AO151)</f>
        <v>2364.4859999999999</v>
      </c>
      <c r="AP150" s="300">
        <f>AK150*(1+AP151)</f>
        <v>2387.527</v>
      </c>
      <c r="AQ150" s="300">
        <f>AL150*(1+AQ151)</f>
        <v>2527.0540000000001</v>
      </c>
      <c r="AR150" s="300">
        <f>AM150*(1+AR151)</f>
        <v>2737.3937051500216</v>
      </c>
      <c r="AS150" s="301">
        <f>+SUM(AO150:AR150)</f>
        <v>10016.460705150021</v>
      </c>
      <c r="AT150" s="300">
        <f>AO150*(1+AT151)</f>
        <v>2506.895</v>
      </c>
      <c r="AU150" s="300">
        <f>AP150*(1+AU151)</f>
        <v>2531.7530000000002</v>
      </c>
      <c r="AV150" s="300">
        <f>AQ150*(1+AV151)</f>
        <v>2678.279</v>
      </c>
      <c r="AW150" s="300">
        <f>AR150*(1+AW151)</f>
        <v>2901.5634697744881</v>
      </c>
      <c r="AX150" s="301">
        <f>+SUM(AT150:AW150)</f>
        <v>10618.490469774488</v>
      </c>
      <c r="AY150" s="300">
        <f>AT150*(1+AY151)</f>
        <v>2607.5169999999998</v>
      </c>
      <c r="AZ150" s="300">
        <f>AU150*(1+AZ151)</f>
        <v>2633.777</v>
      </c>
      <c r="BA150" s="300">
        <f>AV150*(1+BA151)</f>
        <v>2784.8609999999999</v>
      </c>
      <c r="BB150" s="300">
        <f>AW150*(1+BB151)</f>
        <v>3017.3695577161043</v>
      </c>
      <c r="BC150" s="301">
        <f>+SUM(AY150:BB150)</f>
        <v>11043.524557716104</v>
      </c>
      <c r="BD150" s="300">
        <f>AY150*(1+BD151)</f>
        <v>2709.4090000000001</v>
      </c>
      <c r="BE150" s="300">
        <f>AZ150*(1+BE151)</f>
        <v>2737.047</v>
      </c>
      <c r="BF150" s="300">
        <f>BA150*(1+BF151)</f>
        <v>2892.886</v>
      </c>
      <c r="BG150" s="300">
        <f>BB150*(1+BG151)</f>
        <v>3134.7074272212922</v>
      </c>
      <c r="BH150" s="301">
        <f>+SUM(BD150:BG150)</f>
        <v>11474.049427221293</v>
      </c>
      <c r="BI150" s="300">
        <f>BD150*(1+BI151)</f>
        <v>2823.4990000000003</v>
      </c>
      <c r="BJ150" s="300">
        <f>BE150*(1+BJ151)</f>
        <v>2852.42</v>
      </c>
      <c r="BK150" s="300">
        <f>BF150*(1+BK151)</f>
        <v>3014.4270000000001</v>
      </c>
      <c r="BL150" s="300">
        <f>BG150*(1+BL151)</f>
        <v>3266.5096769123325</v>
      </c>
      <c r="BM150" s="301">
        <f>+SUM(BI150:BL150)</f>
        <v>11956.855676912332</v>
      </c>
      <c r="BN150" s="300">
        <f>BI150*(1+BN151)</f>
        <v>2939.8790000000004</v>
      </c>
      <c r="BO150" s="300">
        <f>BJ150*(1+BO151)</f>
        <v>2970.0810000000001</v>
      </c>
      <c r="BP150" s="300">
        <f>BK150*(1+BP151)</f>
        <v>3138.4749999999999</v>
      </c>
      <c r="BQ150" s="300">
        <f>BL150*(1+BQ151)</f>
        <v>3401.0053008483978</v>
      </c>
      <c r="BR150" s="301">
        <f>+SUM(BN150:BQ150)</f>
        <v>12449.440300848399</v>
      </c>
      <c r="BS150" s="300">
        <f>BN150*(1+BS151)</f>
        <v>3058.4410000000007</v>
      </c>
      <c r="BT150" s="300">
        <f>BO150*(1+BT151)</f>
        <v>3089.9160000000002</v>
      </c>
      <c r="BU150" s="300">
        <f>BP150*(1+BU151)</f>
        <v>3264.9220000000005</v>
      </c>
      <c r="BV150" s="300">
        <f>BQ150*(1+BV151)</f>
        <v>3538.0752382809142</v>
      </c>
      <c r="BW150" s="301">
        <f>+SUM(BS150:BV150)</f>
        <v>12951.354238280917</v>
      </c>
      <c r="BX150" s="300">
        <f>BS150*(1+BX151)</f>
        <v>3179.0600000000009</v>
      </c>
      <c r="BY150" s="300">
        <f>BT150*(1+BY151)</f>
        <v>3211.7940000000003</v>
      </c>
      <c r="BZ150" s="300">
        <f>BU150*(1+BZ151)</f>
        <v>3393.6450000000004</v>
      </c>
      <c r="CA150" s="300">
        <f>BV150*(1+CA151)</f>
        <v>3677.5824192724499</v>
      </c>
      <c r="CB150" s="301">
        <f>+SUM(BX150:CA150)</f>
        <v>13462.081419272452</v>
      </c>
      <c r="CC150" s="300">
        <f>BX150*(1+CC151)</f>
        <v>3301.6060000000016</v>
      </c>
      <c r="CD150" s="300">
        <f>BY150*(1+CD151)</f>
        <v>3335.5790000000006</v>
      </c>
      <c r="CE150" s="300">
        <f>BZ150*(1+CE151)</f>
        <v>3524.516000000001</v>
      </c>
      <c r="CF150" s="300">
        <f>CA150*(1+CF151)</f>
        <v>3819.3827703121265</v>
      </c>
      <c r="CG150" s="301">
        <f>+SUM(CC150:CF150)</f>
        <v>13981.083770312129</v>
      </c>
      <c r="CH150" s="300">
        <f>CC150*(1+CH151)</f>
        <v>3425.9400000000014</v>
      </c>
      <c r="CI150" s="300">
        <f>CD150*(1+CI151)</f>
        <v>3461.1260000000002</v>
      </c>
      <c r="CJ150" s="300">
        <f>CE150*(1+CJ151)</f>
        <v>3657.3940000000007</v>
      </c>
      <c r="CK150" s="300">
        <f>CF150*(1+CK151)</f>
        <v>3963.3222127841441</v>
      </c>
      <c r="CL150" s="301">
        <f>+SUM(CH150:CK150)</f>
        <v>14507.782212784146</v>
      </c>
      <c r="CM150" s="300">
        <f>CH150*(1+CM151)</f>
        <v>3551.916000000002</v>
      </c>
      <c r="CN150" s="300">
        <f>CI150*(1+CN151)</f>
        <v>3588.2829999999994</v>
      </c>
      <c r="CO150" s="300">
        <f>CJ150*(1+CO151)</f>
        <v>3792.1370000000011</v>
      </c>
      <c r="CP150" s="300">
        <f>CK150*(1+CP151)</f>
        <v>4109.2416655202423</v>
      </c>
      <c r="CQ150" s="301">
        <f>+SUM(CM150:CP150)</f>
        <v>15041.577665520246</v>
      </c>
      <c r="CR150" s="300">
        <f>CM150*(1+CR151)</f>
        <v>3626.5062360000015</v>
      </c>
      <c r="CS150" s="300">
        <f>CN150*(1+CS151)</f>
        <v>3663.6369429999991</v>
      </c>
      <c r="CT150" s="300">
        <f>CO150*(1+CT151)</f>
        <v>3871.7718770000006</v>
      </c>
      <c r="CU150" s="300">
        <f>CP150*(1+CU151)</f>
        <v>4195.5357404961669</v>
      </c>
      <c r="CV150" s="301">
        <f>+SUM(CR150:CU150)</f>
        <v>15357.450796496169</v>
      </c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</row>
    <row r="151" spans="1:115" s="12" customFormat="1">
      <c r="A151" s="146" t="s">
        <v>70</v>
      </c>
      <c r="B151" s="34"/>
      <c r="C151" s="34"/>
      <c r="D151" s="34"/>
      <c r="E151" s="111"/>
      <c r="F151" s="83"/>
      <c r="G151" s="83"/>
      <c r="H151" s="83"/>
      <c r="I151" s="110">
        <f>+I150/D150-1</f>
        <v>1.1707844951322861</v>
      </c>
      <c r="J151" s="111">
        <f>+J150/E150-1</f>
        <v>7.4379181313630287</v>
      </c>
      <c r="K151" s="110">
        <f t="shared" ref="K151" si="1750">+K150/F150-1</f>
        <v>-2.9063073515764648E-2</v>
      </c>
      <c r="L151" s="110">
        <f t="shared" ref="L151" si="1751">+L150/G150-1</f>
        <v>-3.0856302565887561E-2</v>
      </c>
      <c r="M151" s="110">
        <f t="shared" ref="M151" si="1752">+M150/H150-1</f>
        <v>-2.3071015619635649E-3</v>
      </c>
      <c r="N151" s="110">
        <f t="shared" ref="N151" si="1753">+N150/I150-1</f>
        <v>1.856857673452561E-3</v>
      </c>
      <c r="O151" s="111">
        <f>+O150/J150-1</f>
        <v>-1.4741599360920232E-2</v>
      </c>
      <c r="P151" s="110">
        <f t="shared" ref="P151" si="1754">+P150/K150-1</f>
        <v>5.5813896677009867E-2</v>
      </c>
      <c r="Q151" s="110">
        <f t="shared" ref="Q151" si="1755">+Q150/L150-1</f>
        <v>-2.4393412873542464E-2</v>
      </c>
      <c r="R151" s="110">
        <f t="shared" ref="R151" si="1756">+R150/M150-1</f>
        <v>3.7527085113668868E-3</v>
      </c>
      <c r="S151" s="110">
        <f t="shared" ref="S151" si="1757">+S150/N150-1</f>
        <v>3.4884237617107017E-2</v>
      </c>
      <c r="T151" s="111">
        <f>+T150/O150-1</f>
        <v>1.6976691368765229E-2</v>
      </c>
      <c r="U151" s="110">
        <f t="shared" ref="U151:X151" si="1758">+U150/P150-1</f>
        <v>-1.1065023583370803E-2</v>
      </c>
      <c r="V151" s="110">
        <f t="shared" si="1758"/>
        <v>4.9995215873658294E-2</v>
      </c>
      <c r="W151" s="110">
        <f t="shared" si="1758"/>
        <v>9.1698630867065978E-2</v>
      </c>
      <c r="X151" s="110">
        <f t="shared" si="1758"/>
        <v>7.1948862402933633E-2</v>
      </c>
      <c r="Y151" s="111">
        <f>+Y150/T150-1</f>
        <v>5.1763828331029327E-2</v>
      </c>
      <c r="Z151" s="110">
        <f t="shared" ref="Z151" si="1759">+Z150/U150-1</f>
        <v>0.14027247026710854</v>
      </c>
      <c r="AA151" s="110">
        <f t="shared" ref="AA151" si="1760">+AA150/V150-1</f>
        <v>9.040411066900389E-2</v>
      </c>
      <c r="AB151" s="110">
        <f t="shared" ref="AB151" si="1761">+AB150/W150-1</f>
        <v>1.1271801719102026E-2</v>
      </c>
      <c r="AC151" s="110">
        <f t="shared" ref="AC151" si="1762">+AC150/X150-1</f>
        <v>5.4683420763694146E-2</v>
      </c>
      <c r="AD151" s="111">
        <f>+AD150/Y150-1</f>
        <v>7.1076410801841128E-2</v>
      </c>
      <c r="AE151" s="110">
        <f>+AE150/Z150-1</f>
        <v>-2.4906994707578844E-2</v>
      </c>
      <c r="AF151" s="110">
        <f>+AF150/AA150-1</f>
        <v>-3.8647639883263807E-2</v>
      </c>
      <c r="AG151" s="110">
        <f>+AG150/AB150-1</f>
        <v>-6.8216514676016859E-2</v>
      </c>
      <c r="AH151" s="99">
        <v>-5.5E-2</v>
      </c>
      <c r="AI151" s="111">
        <f>+AI150/AD150-1</f>
        <v>-4.7087193653878812E-2</v>
      </c>
      <c r="AJ151" s="99">
        <v>3.9093145635732601E-2</v>
      </c>
      <c r="AK151" s="99">
        <v>3.9093120475241203E-2</v>
      </c>
      <c r="AL151" s="99">
        <v>3.90931873699649E-2</v>
      </c>
      <c r="AM151" s="99">
        <v>-6.9384714298836902E-3</v>
      </c>
      <c r="AN151" s="111">
        <f>+AN150/AI150-1</f>
        <v>2.6897355576542381E-2</v>
      </c>
      <c r="AO151" s="99">
        <v>-2.4494872361717768E-3</v>
      </c>
      <c r="AP151" s="99">
        <v>1.6497947655311762E-2</v>
      </c>
      <c r="AQ151" s="99">
        <v>7.6915340580516078E-2</v>
      </c>
      <c r="AR151" s="99">
        <v>0.12468522344510857</v>
      </c>
      <c r="AS151" s="111">
        <f>+AS150/AN150-1</f>
        <v>5.4413579901189335E-2</v>
      </c>
      <c r="AT151" s="99">
        <v>6.0228311776851395E-2</v>
      </c>
      <c r="AU151" s="99">
        <v>6.0408112662181379E-2</v>
      </c>
      <c r="AV151" s="99">
        <v>5.9842409382624862E-2</v>
      </c>
      <c r="AW151" s="99">
        <v>5.9973018976263504E-2</v>
      </c>
      <c r="AX151" s="111">
        <f>+AX150/AS150-1</f>
        <v>6.0104040972768891E-2</v>
      </c>
      <c r="AY151" s="99">
        <v>4.0138099122619675E-2</v>
      </c>
      <c r="AZ151" s="99">
        <v>4.0297769964131591E-2</v>
      </c>
      <c r="BA151" s="99">
        <v>3.9794957881535087E-2</v>
      </c>
      <c r="BB151" s="99">
        <v>3.9911616322705123E-2</v>
      </c>
      <c r="BC151" s="111">
        <f>+BC150/AX150-1</f>
        <v>4.0027731733759619E-2</v>
      </c>
      <c r="BD151" s="99">
        <v>3.9076255303417184E-2</v>
      </c>
      <c r="BE151" s="99">
        <v>3.9209849581038902E-2</v>
      </c>
      <c r="BF151" s="99">
        <v>3.8790086830186477E-2</v>
      </c>
      <c r="BG151" s="99">
        <v>3.8887470447604988E-2</v>
      </c>
      <c r="BH151" s="111">
        <f>+BH150/BC150-1</f>
        <v>3.8984371996020117E-2</v>
      </c>
      <c r="BI151" s="99">
        <v>4.2108814136219364E-2</v>
      </c>
      <c r="BJ151" s="99">
        <v>4.2152363477865107E-2</v>
      </c>
      <c r="BK151" s="99">
        <v>4.2013753739345461E-2</v>
      </c>
      <c r="BL151" s="99">
        <v>4.2046108847827668E-2</v>
      </c>
      <c r="BM151" s="111">
        <f>+BM150/BH150-1</f>
        <v>4.2078104400144811E-2</v>
      </c>
      <c r="BN151" s="99">
        <v>4.1218360622759187E-2</v>
      </c>
      <c r="BO151" s="99">
        <v>4.1249535482152044E-2</v>
      </c>
      <c r="BP151" s="99">
        <v>4.1151436077237813E-2</v>
      </c>
      <c r="BQ151" s="99">
        <v>4.1174108525279918E-2</v>
      </c>
      <c r="BR151" s="111">
        <f>+BR150/BM150-1</f>
        <v>4.1196836128682746E-2</v>
      </c>
      <c r="BS151" s="99">
        <v>4.0328870678010942E-2</v>
      </c>
      <c r="BT151" s="99">
        <v>4.0347384465272196E-2</v>
      </c>
      <c r="BU151" s="99">
        <v>4.0289312484566686E-2</v>
      </c>
      <c r="BV151" s="99">
        <v>4.0302770889043771E-2</v>
      </c>
      <c r="BW151" s="111">
        <f>+BW150/BR150-1</f>
        <v>4.0316184929077847E-2</v>
      </c>
      <c r="BX151" s="99">
        <v>3.9438066648988856E-2</v>
      </c>
      <c r="BY151" s="99">
        <v>3.9443790704990045E-2</v>
      </c>
      <c r="BZ151" s="99">
        <v>3.9426056732748904E-2</v>
      </c>
      <c r="CA151" s="99">
        <v>3.943024712479537E-2</v>
      </c>
      <c r="CB151" s="111">
        <f>+CB150/BW150-1</f>
        <v>3.943426854019294E-2</v>
      </c>
      <c r="CC151" s="99">
        <v>3.8547872641598646E-2</v>
      </c>
      <c r="CD151" s="99">
        <v>3.8540765690452172E-2</v>
      </c>
      <c r="CE151" s="99">
        <v>3.8563550400822821E-2</v>
      </c>
      <c r="CF151" s="99">
        <v>3.8558034837389066E-2</v>
      </c>
      <c r="CG151" s="111">
        <f>+CG150/CB150-1</f>
        <v>3.8552905369942936E-2</v>
      </c>
      <c r="CH151" s="99">
        <v>3.7658642490957295E-2</v>
      </c>
      <c r="CI151" s="99">
        <v>3.7638742778989709E-2</v>
      </c>
      <c r="CJ151" s="99">
        <v>3.770106306795018E-2</v>
      </c>
      <c r="CK151" s="99">
        <v>3.7686571660439983E-2</v>
      </c>
      <c r="CL151" s="111">
        <f>+CL150/CG150-1</f>
        <v>3.7672218486411335E-2</v>
      </c>
      <c r="CM151" s="99">
        <v>3.6771221912818203E-2</v>
      </c>
      <c r="CN151" s="99">
        <v>3.67386220553656E-2</v>
      </c>
      <c r="CO151" s="99">
        <v>3.6841259104160001E-2</v>
      </c>
      <c r="CP151" s="99">
        <v>3.68174589150028E-2</v>
      </c>
      <c r="CQ151" s="111">
        <f>+CQ150/CL150-1</f>
        <v>3.6793732143685087E-2</v>
      </c>
      <c r="CR151" s="99">
        <v>2.1000000000000001E-2</v>
      </c>
      <c r="CS151" s="99">
        <v>2.1000000000000001E-2</v>
      </c>
      <c r="CT151" s="99">
        <v>2.1000000000000001E-2</v>
      </c>
      <c r="CU151" s="99">
        <v>2.1000000000000001E-2</v>
      </c>
      <c r="CV151" s="111">
        <f>+CV150/CQ150-1</f>
        <v>2.0999999999999908E-2</v>
      </c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</row>
    <row r="152" spans="1:115" s="12" customFormat="1">
      <c r="A152" s="146" t="s">
        <v>76</v>
      </c>
      <c r="B152" s="34"/>
      <c r="C152" s="34"/>
      <c r="D152" s="34"/>
      <c r="E152" s="118"/>
      <c r="F152" s="119"/>
      <c r="G152" s="119"/>
      <c r="H152" s="119"/>
      <c r="I152" s="119"/>
      <c r="J152" s="118">
        <f>+J151/(J$4/100)</f>
        <v>98.72972914391805</v>
      </c>
      <c r="K152" s="119">
        <f t="shared" ref="K152" si="1763">+K151/(K$4/100)</f>
        <v>-0.68615315950327227</v>
      </c>
      <c r="L152" s="119">
        <f t="shared" ref="L152" si="1764">+L151/(L$4/100)</f>
        <v>-0.93098882360053725</v>
      </c>
      <c r="M152" s="119">
        <f t="shared" ref="M152" si="1765">+M151/(M$4/100)</f>
        <v>-0.1087246982426814</v>
      </c>
      <c r="N152" s="119">
        <f t="shared" ref="N152" si="1766">+N151/(N$4/100)</f>
        <v>0.13588822064812098</v>
      </c>
      <c r="O152" s="118">
        <f t="shared" ref="O152" si="1767">+O151/(O$4/100)</f>
        <v>-0.53948946000338549</v>
      </c>
      <c r="P152" s="119">
        <f t="shared" ref="P152" si="1768">+P151/(P$4/100)</f>
        <v>7.4147342738033837</v>
      </c>
      <c r="Q152" s="119">
        <f t="shared" ref="Q152" si="1769">+Q151/(Q$4/100)</f>
        <v>-4.980525073455575</v>
      </c>
      <c r="R152" s="119">
        <f t="shared" ref="R152" si="1770">+R151/(R$4/100)</f>
        <v>0.62545141856114783</v>
      </c>
      <c r="S152" s="119">
        <f t="shared" ref="S152" si="1771">+S151/(S$4/100)</f>
        <v>1.1825165293934583</v>
      </c>
      <c r="T152" s="118">
        <f t="shared" ref="T152" si="1772">+T151/(T$4/100)</f>
        <v>1.6976691368765229</v>
      </c>
      <c r="U152" s="119">
        <f t="shared" ref="U152:V152" si="1773">+U151/(U$4/100)</f>
        <v>-0.40880639501800581</v>
      </c>
      <c r="V152" s="119">
        <f t="shared" si="1773"/>
        <v>1.5150065416260088</v>
      </c>
      <c r="W152" s="119">
        <f t="shared" ref="W152:X152" si="1774">+W151/(W$4/100)</f>
        <v>2.3888176616419421</v>
      </c>
      <c r="X152" s="119">
        <f t="shared" si="1774"/>
        <v>2.0724384567438108</v>
      </c>
      <c r="Y152" s="118">
        <f>(+Y151/(Y$4/100))</f>
        <v>1.56860085851604</v>
      </c>
      <c r="Z152" s="119">
        <f t="shared" ref="Z152:AC152" si="1775">+Z151/(Z$4/100)</f>
        <v>7.0136235133554266</v>
      </c>
      <c r="AA152" s="119">
        <f t="shared" si="1775"/>
        <v>4.520205533450194</v>
      </c>
      <c r="AB152" s="119">
        <f t="shared" si="1775"/>
        <v>0.56359008595510129</v>
      </c>
      <c r="AC152" s="119">
        <f t="shared" si="1775"/>
        <v>2.7341710381847073</v>
      </c>
      <c r="AD152" s="118">
        <f>(+AD151/(AD$4/100))</f>
        <v>49.159288766977589</v>
      </c>
      <c r="AE152" s="119">
        <f>+AE151/(AE$4/100)</f>
        <v>0.80345144217996278</v>
      </c>
      <c r="AF152" s="119">
        <f>+AF151/(AF$4/100)</f>
        <v>1.2466980607504454</v>
      </c>
      <c r="AG152" s="119">
        <f>+AG151/(AG$4/100)</f>
        <v>2.2005327314844148</v>
      </c>
      <c r="AH152" s="119">
        <f>+AH151/(AH$4/100)</f>
        <v>1.7741935483870968</v>
      </c>
      <c r="AI152" s="118">
        <f>(+AI151/(AI$4/100))</f>
        <v>1.5189417307702842</v>
      </c>
      <c r="AJ152" s="119">
        <f>+AJ151/(AJ$4/100)</f>
        <v>-1.9546572817866301</v>
      </c>
      <c r="AK152" s="119">
        <f>+AK151/(AK$4/100)</f>
        <v>-1.95465602376206</v>
      </c>
      <c r="AL152" s="119">
        <f>+AL151/(AL$4/100)</f>
        <v>-1.954659368498245</v>
      </c>
      <c r="AM152" s="119">
        <f>+AM151/(AM$4/100)</f>
        <v>0.34692357149418451</v>
      </c>
      <c r="AN152" s="118">
        <f>(+AN151/(AN$4/100))</f>
        <v>-1.3448677788271191</v>
      </c>
      <c r="AO152" s="119">
        <f t="shared" ref="AO152:AR152" si="1776">+AO151/(AO$4/100)</f>
        <v>-0.24494872361717768</v>
      </c>
      <c r="AP152" s="119">
        <f t="shared" si="1776"/>
        <v>1.6497947655311762</v>
      </c>
      <c r="AQ152" s="119">
        <f t="shared" si="1776"/>
        <v>7.6915340580516078</v>
      </c>
      <c r="AR152" s="119">
        <f t="shared" si="1776"/>
        <v>12.468522344510857</v>
      </c>
      <c r="AS152" s="118">
        <f>(+AS151/(AS$4/100))</f>
        <v>5.4413579901189335</v>
      </c>
      <c r="AT152" s="119">
        <f t="shared" ref="AT152:AW152" si="1777">+AT151/(AT$4/100)</f>
        <v>3.0114155888425698</v>
      </c>
      <c r="AU152" s="119">
        <f t="shared" si="1777"/>
        <v>3.020405633109069</v>
      </c>
      <c r="AV152" s="119">
        <f t="shared" si="1777"/>
        <v>2.9921204691312431</v>
      </c>
      <c r="AW152" s="119">
        <f t="shared" si="1777"/>
        <v>2.9986509488131752</v>
      </c>
      <c r="AX152" s="118">
        <f>(+AX151/(AX$4/100))</f>
        <v>3.0052020486384445</v>
      </c>
      <c r="AY152" s="119">
        <f t="shared" ref="AY152:BB152" si="1778">+AY151/(AY$4/100)</f>
        <v>2.0069049561309837</v>
      </c>
      <c r="AZ152" s="119">
        <f t="shared" si="1778"/>
        <v>2.0148884982065796</v>
      </c>
      <c r="BA152" s="119">
        <f t="shared" si="1778"/>
        <v>1.9897478940767543</v>
      </c>
      <c r="BB152" s="119">
        <f t="shared" si="1778"/>
        <v>1.9955808161352562</v>
      </c>
      <c r="BC152" s="118">
        <f>(+BC151/(BC$4/100))</f>
        <v>2.001386586687981</v>
      </c>
      <c r="BD152" s="119">
        <f t="shared" ref="BD152:BG152" si="1779">+BD151/(BD$4/100)</f>
        <v>1.9538127651708592</v>
      </c>
      <c r="BE152" s="119">
        <f t="shared" si="1779"/>
        <v>1.9604924790519451</v>
      </c>
      <c r="BF152" s="119">
        <f t="shared" si="1779"/>
        <v>1.9395043415093238</v>
      </c>
      <c r="BG152" s="119">
        <f t="shared" si="1779"/>
        <v>1.9443735223802494</v>
      </c>
      <c r="BH152" s="118">
        <f>(+BH151/(BH$4/100))</f>
        <v>1.9492185998010059</v>
      </c>
      <c r="BI152" s="119">
        <f t="shared" ref="BI152:BL152" si="1780">+BI151/(BI$4/100)</f>
        <v>2.1054407068109682</v>
      </c>
      <c r="BJ152" s="119">
        <f t="shared" si="1780"/>
        <v>2.1076181738932553</v>
      </c>
      <c r="BK152" s="119">
        <f t="shared" si="1780"/>
        <v>2.100687686967273</v>
      </c>
      <c r="BL152" s="119">
        <f t="shared" si="1780"/>
        <v>2.1023054423913834</v>
      </c>
      <c r="BM152" s="118">
        <f>(+BM151/(BM$4/100))</f>
        <v>2.1039052200072406</v>
      </c>
      <c r="BN152" s="119">
        <f t="shared" ref="BN152:BQ152" si="1781">+BN151/(BN$4/100)</f>
        <v>2.0609180311379593</v>
      </c>
      <c r="BO152" s="119">
        <f t="shared" si="1781"/>
        <v>2.0624767741076022</v>
      </c>
      <c r="BP152" s="119">
        <f t="shared" si="1781"/>
        <v>2.0575718038618906</v>
      </c>
      <c r="BQ152" s="119">
        <f t="shared" si="1781"/>
        <v>2.0587054262639959</v>
      </c>
      <c r="BR152" s="118">
        <f>(+BR151/(BR$4/100))</f>
        <v>2.0598418064341373</v>
      </c>
      <c r="BS152" s="119">
        <f t="shared" ref="BS152:BV152" si="1782">+BS151/(BS$4/100)</f>
        <v>2.0164435339005471</v>
      </c>
      <c r="BT152" s="119">
        <f t="shared" si="1782"/>
        <v>2.0173692232636098</v>
      </c>
      <c r="BU152" s="119">
        <f t="shared" si="1782"/>
        <v>2.0144656242283343</v>
      </c>
      <c r="BV152" s="119">
        <f t="shared" si="1782"/>
        <v>2.0151385444521885</v>
      </c>
      <c r="BW152" s="118">
        <f>(+BW151/(BW$4/100))</f>
        <v>2.0158092464538924</v>
      </c>
      <c r="BX152" s="119">
        <f t="shared" ref="BX152:CA152" si="1783">+BX151/(BX$4/100)</f>
        <v>1.9719033324494428</v>
      </c>
      <c r="BY152" s="119">
        <f t="shared" si="1783"/>
        <v>1.9721895352495022</v>
      </c>
      <c r="BZ152" s="119">
        <f t="shared" si="1783"/>
        <v>1.9713028366374452</v>
      </c>
      <c r="CA152" s="119">
        <f t="shared" si="1783"/>
        <v>1.9715123562397685</v>
      </c>
      <c r="CB152" s="118">
        <f>(+CB151/(CB$4/100))</f>
        <v>1.971713427009647</v>
      </c>
      <c r="CC152" s="119">
        <f t="shared" ref="CC152:CF152" si="1784">+CC151/(CC$4/100)</f>
        <v>1.9273936320799323</v>
      </c>
      <c r="CD152" s="119">
        <f t="shared" si="1784"/>
        <v>1.9270382845226086</v>
      </c>
      <c r="CE152" s="119">
        <f t="shared" si="1784"/>
        <v>1.9281775200411411</v>
      </c>
      <c r="CF152" s="119">
        <f t="shared" si="1784"/>
        <v>1.9279017418694533</v>
      </c>
      <c r="CG152" s="118">
        <f>(+CG151/(CG$4/100))</f>
        <v>1.9276452684971468</v>
      </c>
      <c r="CH152" s="119">
        <f t="shared" ref="CH152:CK152" si="1785">+CH151/(CH$4/100)</f>
        <v>1.8829321245478647</v>
      </c>
      <c r="CI152" s="119">
        <f t="shared" si="1785"/>
        <v>1.8819371389494854</v>
      </c>
      <c r="CJ152" s="119">
        <f t="shared" si="1785"/>
        <v>1.885053153397509</v>
      </c>
      <c r="CK152" s="119">
        <f t="shared" si="1785"/>
        <v>1.8843285830219991</v>
      </c>
      <c r="CL152" s="118">
        <f>(+CL151/(CL$4/100))</f>
        <v>1.8836109243205668</v>
      </c>
      <c r="CM152" s="119">
        <f t="shared" ref="CM152:CP152" si="1786">+CM151/(CM$4/100)</f>
        <v>1.8385610956409102</v>
      </c>
      <c r="CN152" s="119">
        <f t="shared" si="1786"/>
        <v>1.83693110276828</v>
      </c>
      <c r="CO152" s="119">
        <f t="shared" si="1786"/>
        <v>1.8420629552080001</v>
      </c>
      <c r="CP152" s="119">
        <f t="shared" si="1786"/>
        <v>1.84087294575014</v>
      </c>
      <c r="CQ152" s="118">
        <f>(+CQ151/(CQ$4/100))</f>
        <v>1.8396866071842544</v>
      </c>
      <c r="CR152" s="119">
        <v>0.58500000000000008</v>
      </c>
      <c r="CS152" s="119">
        <v>0.58500000000000008</v>
      </c>
      <c r="CT152" s="119">
        <v>0.58500000000000008</v>
      </c>
      <c r="CU152" s="119">
        <v>0.54</v>
      </c>
      <c r="CV152" s="118">
        <f>(+CV151/(CV$4/100))</f>
        <v>1.0499999999999954</v>
      </c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</row>
    <row r="153" spans="1:115">
      <c r="A153" s="146"/>
      <c r="B153" s="34"/>
      <c r="C153" s="34"/>
      <c r="D153" s="34"/>
      <c r="E153" s="100"/>
      <c r="J153" s="100"/>
      <c r="O153" s="100"/>
      <c r="T153" s="100"/>
      <c r="Y153" s="100"/>
      <c r="AD153" s="100"/>
      <c r="AI153" s="100"/>
      <c r="AN153" s="100"/>
      <c r="AS153" s="100"/>
      <c r="AX153" s="100"/>
      <c r="BC153" s="100"/>
      <c r="BH153" s="100"/>
      <c r="BM153" s="100"/>
      <c r="BR153" s="100"/>
      <c r="BW153" s="100"/>
      <c r="CB153" s="100"/>
      <c r="CG153" s="100"/>
      <c r="CL153" s="100"/>
      <c r="CQ153" s="100"/>
      <c r="CV153" s="100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</row>
    <row r="154" spans="1:115" s="15" customFormat="1">
      <c r="A154" s="150" t="s">
        <v>88</v>
      </c>
      <c r="B154" s="28"/>
      <c r="C154" s="28"/>
      <c r="D154" s="28"/>
      <c r="E154" s="107"/>
      <c r="F154" s="108"/>
      <c r="G154" s="108"/>
      <c r="H154" s="108"/>
      <c r="I154" s="108"/>
      <c r="J154" s="107"/>
      <c r="K154" s="108"/>
      <c r="L154" s="108"/>
      <c r="M154" s="108"/>
      <c r="N154" s="108"/>
      <c r="O154" s="107"/>
      <c r="P154" s="108"/>
      <c r="Q154" s="108"/>
      <c r="R154" s="108">
        <f>+R150*R142/1000</f>
        <v>9.4397663499999993</v>
      </c>
      <c r="S154" s="108">
        <f>+S150*S142/1000</f>
        <v>9.864397799999999</v>
      </c>
      <c r="T154" s="107">
        <f>+T150*T142/1000</f>
        <v>37.055516599999997</v>
      </c>
      <c r="U154" s="108">
        <f>+U150*U142/1000</f>
        <v>8.8218799999999984</v>
      </c>
      <c r="V154" s="108">
        <f t="shared" ref="V154:X154" si="1787">+V150*V142/1000</f>
        <v>9.2639471529600019</v>
      </c>
      <c r="W154" s="108">
        <f t="shared" si="1787"/>
        <v>10.296138710399999</v>
      </c>
      <c r="X154" s="108">
        <f t="shared" si="1787"/>
        <v>10.564647710399999</v>
      </c>
      <c r="Y154" s="107">
        <f>+SUM(U154:X154)</f>
        <v>38.946613573760004</v>
      </c>
      <c r="Z154" s="108">
        <f t="shared" ref="Z154:AC154" si="1788">+Z150*Z142/1000</f>
        <v>10.050326239151998</v>
      </c>
      <c r="AA154" s="108">
        <f t="shared" si="1788"/>
        <v>10.101446056607999</v>
      </c>
      <c r="AB154" s="108">
        <f t="shared" si="1788"/>
        <v>11.079616427533065</v>
      </c>
      <c r="AC154" s="108">
        <f t="shared" si="1788"/>
        <v>11.856583984574188</v>
      </c>
      <c r="AD154" s="107">
        <f>+SUM(Z154:AC154)</f>
        <v>43.087972707867252</v>
      </c>
      <c r="AE154" s="108">
        <f t="shared" ref="AE154:AH154" si="1789">+AE150*AE142/1000</f>
        <v>10.428182997254726</v>
      </c>
      <c r="AF154" s="108">
        <f t="shared" si="1789"/>
        <v>10.333527248467879</v>
      </c>
      <c r="AG154" s="108">
        <f t="shared" si="1789"/>
        <v>11.356183971989582</v>
      </c>
      <c r="AH154" s="108">
        <f t="shared" si="1789"/>
        <v>12.324919051964871</v>
      </c>
      <c r="AI154" s="107">
        <f>+SUM(AE154:AH154)</f>
        <v>44.442813269677053</v>
      </c>
      <c r="AJ154" s="108">
        <f t="shared" ref="AJ154:AM154" si="1790">+AJ150*AJ142/1000</f>
        <v>11.919438821270726</v>
      </c>
      <c r="AK154" s="108">
        <f t="shared" si="1790"/>
        <v>11.811246781539063</v>
      </c>
      <c r="AL154" s="108">
        <f t="shared" si="1790"/>
        <v>12.555341937402481</v>
      </c>
      <c r="AM154" s="108">
        <f t="shared" si="1790"/>
        <v>13.022724742255004</v>
      </c>
      <c r="AN154" s="107">
        <f>+SUM(AJ154:AM154)</f>
        <v>49.308752282467282</v>
      </c>
      <c r="AO154" s="108">
        <f t="shared" ref="AO154:AR154" si="1791">+AO150*AO142/1000</f>
        <v>12.651217815728696</v>
      </c>
      <c r="AP154" s="108">
        <f t="shared" si="1791"/>
        <v>12.774499031896696</v>
      </c>
      <c r="AQ154" s="108">
        <f t="shared" si="1791"/>
        <v>14.197092355553766</v>
      </c>
      <c r="AR154" s="108">
        <f t="shared" si="1791"/>
        <v>15.378789390937577</v>
      </c>
      <c r="AS154" s="107">
        <f>+SUM(AO154:AR154)</f>
        <v>55.001598594116736</v>
      </c>
      <c r="AT154" s="108">
        <f t="shared" ref="AT154:AW154" si="1792">+AT150*AT142/1000</f>
        <v>14.083838272025828</v>
      </c>
      <c r="AU154" s="108">
        <f t="shared" si="1792"/>
        <v>14.223491529049365</v>
      </c>
      <c r="AV154" s="108">
        <f t="shared" si="1792"/>
        <v>15.799014596754633</v>
      </c>
      <c r="AW154" s="108">
        <f t="shared" si="1792"/>
        <v>17.116156909857843</v>
      </c>
      <c r="AX154" s="107">
        <f>+SUM(AT154:AW154)</f>
        <v>61.222501307687665</v>
      </c>
      <c r="AY154" s="108">
        <f t="shared" ref="AY154:BB154" si="1793">+AY150*AY142/1000</f>
        <v>15.38159360704611</v>
      </c>
      <c r="AZ154" s="108">
        <f t="shared" si="1793"/>
        <v>15.536499844712454</v>
      </c>
      <c r="BA154" s="108">
        <f t="shared" si="1793"/>
        <v>17.16698382447634</v>
      </c>
      <c r="BB154" s="108">
        <f t="shared" si="1793"/>
        <v>18.600258465244657</v>
      </c>
      <c r="BC154" s="107">
        <f>+SUM(AY154:BB154)</f>
        <v>66.685335741479562</v>
      </c>
      <c r="BD154" s="108">
        <f t="shared" ref="BD154:BG154" si="1794">+BD150*BD142/1000</f>
        <v>16.701867876669834</v>
      </c>
      <c r="BE154" s="108">
        <f t="shared" si="1794"/>
        <v>16.872239431638242</v>
      </c>
      <c r="BF154" s="108">
        <f t="shared" si="1794"/>
        <v>18.635372785433997</v>
      </c>
      <c r="BG154" s="108">
        <f t="shared" si="1794"/>
        <v>20.193136362628007</v>
      </c>
      <c r="BH154" s="107">
        <f>+SUM(BD154:BG154)</f>
        <v>72.402616456370083</v>
      </c>
      <c r="BI154" s="108">
        <f t="shared" ref="BI154:BL154" si="1795">+BI150*BI142/1000</f>
        <v>18.188396094522947</v>
      </c>
      <c r="BJ154" s="108">
        <f t="shared" si="1795"/>
        <v>18.374699189884304</v>
      </c>
      <c r="BK154" s="108">
        <f t="shared" si="1795"/>
        <v>20.292138912163814</v>
      </c>
      <c r="BL154" s="108">
        <f t="shared" si="1795"/>
        <v>21.989077234855046</v>
      </c>
      <c r="BM154" s="107">
        <f>+SUM(BI154:BL154)</f>
        <v>78.844311431426121</v>
      </c>
      <c r="BN154" s="108">
        <f t="shared" ref="BN154:BQ154" si="1796">+BN150*BN142/1000</f>
        <v>19.790306102271924</v>
      </c>
      <c r="BO154" s="108">
        <f t="shared" si="1796"/>
        <v>19.993616110915411</v>
      </c>
      <c r="BP154" s="108">
        <f t="shared" si="1796"/>
        <v>22.07791310010467</v>
      </c>
      <c r="BQ154" s="108">
        <f t="shared" si="1796"/>
        <v>23.924708492221942</v>
      </c>
      <c r="BR154" s="107">
        <f>+SUM(BN154:BQ154)</f>
        <v>85.786543805513944</v>
      </c>
      <c r="BS154" s="108">
        <f t="shared" ref="BS154:BV154" si="1797">+BS150*BS142/1000</f>
        <v>21.514906003647393</v>
      </c>
      <c r="BT154" s="108">
        <f t="shared" si="1797"/>
        <v>21.736320007208288</v>
      </c>
      <c r="BU154" s="108">
        <f t="shared" si="1797"/>
        <v>24.000950806801981</v>
      </c>
      <c r="BV154" s="108">
        <f t="shared" si="1797"/>
        <v>26.008942861343826</v>
      </c>
      <c r="BW154" s="107">
        <f>+SUM(BS154:BV154)</f>
        <v>93.261119679001496</v>
      </c>
      <c r="BX154" s="108">
        <f t="shared" ref="BX154:CA154" si="1798">+BX150*BX142/1000</f>
        <v>23.369765854091433</v>
      </c>
      <c r="BY154" s="108">
        <f t="shared" si="1798"/>
        <v>23.610398593161417</v>
      </c>
      <c r="BZ154" s="108">
        <f t="shared" si="1798"/>
        <v>26.069838269423656</v>
      </c>
      <c r="CA154" s="108">
        <f t="shared" si="1798"/>
        <v>28.251033591583251</v>
      </c>
      <c r="CB154" s="107">
        <f>+SUM(BX154:CA154)</f>
        <v>101.30103630825975</v>
      </c>
      <c r="CC154" s="108">
        <f t="shared" ref="CC154:CF154" si="1799">+CC150*CC142/1000</f>
        <v>25.362798539434383</v>
      </c>
      <c r="CD154" s="108">
        <f t="shared" si="1799"/>
        <v>25.623777697692571</v>
      </c>
      <c r="CE154" s="108">
        <f t="shared" si="1799"/>
        <v>28.29356706208393</v>
      </c>
      <c r="CF154" s="108">
        <f t="shared" si="1799"/>
        <v>30.660653135804754</v>
      </c>
      <c r="CG154" s="107">
        <f>+SUM(CC154:CF154)</f>
        <v>109.94079643501564</v>
      </c>
      <c r="CH154" s="108">
        <f t="shared" ref="CH154:CK154" si="1800">+CH150*CH142/1000</f>
        <v>27.502233821800164</v>
      </c>
      <c r="CI154" s="108">
        <f t="shared" si="1800"/>
        <v>27.784694576878724</v>
      </c>
      <c r="CJ154" s="108">
        <f t="shared" si="1800"/>
        <v>30.681476526132727</v>
      </c>
      <c r="CK154" s="108">
        <f t="shared" si="1800"/>
        <v>33.247874699044488</v>
      </c>
      <c r="CL154" s="107">
        <f>+SUM(CH154:CK154)</f>
        <v>119.2162796238561</v>
      </c>
      <c r="CM154" s="108">
        <f t="shared" ref="CM154:CP154" si="1801">+CM150*CM142/1000</f>
        <v>29.79663317017398</v>
      </c>
      <c r="CN154" s="108">
        <f t="shared" si="1801"/>
        <v>30.101711938506238</v>
      </c>
      <c r="CO154" s="108">
        <f t="shared" si="1801"/>
        <v>33.243352686394047</v>
      </c>
      <c r="CP154" s="108">
        <f t="shared" si="1801"/>
        <v>36.023215922978167</v>
      </c>
      <c r="CQ154" s="107">
        <f>+SUM(CM154:CP154)</f>
        <v>129.16491371805245</v>
      </c>
      <c r="CR154" s="108">
        <f t="shared" ref="CR154:CU154" si="1802">+CR150*CR142/1000</f>
        <v>31.791368777751273</v>
      </c>
      <c r="CS154" s="108">
        <f t="shared" si="1802"/>
        <v>32.116871044229541</v>
      </c>
      <c r="CT154" s="108">
        <f t="shared" si="1802"/>
        <v>35.468828931984689</v>
      </c>
      <c r="CU154" s="108">
        <f t="shared" si="1802"/>
        <v>38.434790112941933</v>
      </c>
      <c r="CV154" s="107">
        <f>+SUM(CR154:CU154)</f>
        <v>137.81185886690744</v>
      </c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</row>
    <row r="155" spans="1:115" s="15" customFormat="1">
      <c r="A155" s="146" t="s">
        <v>89</v>
      </c>
      <c r="B155" s="34"/>
      <c r="C155" s="34"/>
      <c r="D155" s="34"/>
      <c r="E155" s="100"/>
      <c r="F155" s="83"/>
      <c r="G155" s="83"/>
      <c r="H155" s="83"/>
      <c r="I155" s="83"/>
      <c r="J155" s="100"/>
      <c r="K155" s="83"/>
      <c r="L155" s="83"/>
      <c r="M155" s="83"/>
      <c r="N155" s="83"/>
      <c r="O155" s="100"/>
      <c r="P155" s="83"/>
      <c r="Q155" s="83"/>
      <c r="R155" s="83"/>
      <c r="S155" s="83"/>
      <c r="T155" s="100"/>
      <c r="U155" s="83"/>
      <c r="V155" s="83"/>
      <c r="W155" s="83"/>
      <c r="X155" s="83"/>
      <c r="Y155" s="111">
        <f t="shared" ref="Y155:AI155" si="1803">+Y154/T154-1</f>
        <v>5.10341548917983E-2</v>
      </c>
      <c r="Z155" s="110">
        <f t="shared" si="1803"/>
        <v>0.13924993755888759</v>
      </c>
      <c r="AA155" s="110">
        <f t="shared" si="1803"/>
        <v>9.0404110669003668E-2</v>
      </c>
      <c r="AB155" s="110">
        <f t="shared" si="1803"/>
        <v>7.6094324209296405E-2</v>
      </c>
      <c r="AC155" s="110">
        <f t="shared" si="1803"/>
        <v>0.12228862803464691</v>
      </c>
      <c r="AD155" s="111">
        <f t="shared" si="1803"/>
        <v>0.10633425487081261</v>
      </c>
      <c r="AE155" s="110">
        <f t="shared" si="1803"/>
        <v>3.7596466931665518E-2</v>
      </c>
      <c r="AF155" s="110">
        <f t="shared" si="1803"/>
        <v>2.297504640021919E-2</v>
      </c>
      <c r="AG155" s="110">
        <f t="shared" si="1803"/>
        <v>2.4961833856381732E-2</v>
      </c>
      <c r="AH155" s="110">
        <f t="shared" si="1803"/>
        <v>3.9500000000000313E-2</v>
      </c>
      <c r="AI155" s="111">
        <f t="shared" si="1803"/>
        <v>3.1443590326133641E-2</v>
      </c>
      <c r="AJ155" s="110">
        <f t="shared" ref="AJ155" si="1804">+AJ154/AE154-1</f>
        <v>0.14300246019930607</v>
      </c>
      <c r="AK155" s="110">
        <f t="shared" ref="AK155" si="1805">+AK154/AF154-1</f>
        <v>0.14300243252276523</v>
      </c>
      <c r="AL155" s="110">
        <f t="shared" ref="AL155" si="1806">+AL154/AG154-1</f>
        <v>0.10559515136164266</v>
      </c>
      <c r="AM155" s="110">
        <f t="shared" ref="AM155" si="1807">+AM154/AH154-1</f>
        <v>5.6617466398603877E-2</v>
      </c>
      <c r="AN155" s="111">
        <f t="shared" ref="AN155" si="1808">+AN154/AI154-1</f>
        <v>0.10948764614120909</v>
      </c>
      <c r="AO155" s="110">
        <f t="shared" ref="AO155" si="1809">+AO154/AJ154-1</f>
        <v>6.1393745580713199E-2</v>
      </c>
      <c r="AP155" s="110">
        <f t="shared" ref="AP155" si="1810">+AP154/AK154-1</f>
        <v>8.1553816305251603E-2</v>
      </c>
      <c r="AQ155" s="110">
        <f t="shared" ref="AQ155" si="1811">+AQ154/AL154-1</f>
        <v>0.13076110760954229</v>
      </c>
      <c r="AR155" s="110">
        <f t="shared" ref="AR155" si="1812">+AR154/AM154-1</f>
        <v>0.18091948461736429</v>
      </c>
      <c r="AS155" s="111">
        <f t="shared" ref="AS155" si="1813">+AS154/AN154-1</f>
        <v>0.11545305951036333</v>
      </c>
      <c r="AT155" s="110">
        <f t="shared" ref="AT155" si="1814">+AT154/AO154-1</f>
        <v>0.11323972736569421</v>
      </c>
      <c r="AU155" s="110">
        <f t="shared" ref="AU155" si="1815">+AU154/AP154-1</f>
        <v>0.11342851829529077</v>
      </c>
      <c r="AV155" s="110">
        <f t="shared" ref="AV155" si="1816">+AV154/AQ154-1</f>
        <v>0.1128345298517559</v>
      </c>
      <c r="AW155" s="110">
        <f t="shared" ref="AW155" si="1817">+AW154/AR154-1</f>
        <v>0.11297166992507623</v>
      </c>
      <c r="AX155" s="111">
        <f t="shared" ref="AX155" si="1818">+AX154/AS154-1</f>
        <v>0.11310403465684638</v>
      </c>
      <c r="AY155" s="110">
        <f t="shared" ref="AY155" si="1819">+AY154/AT154-1</f>
        <v>9.2145004078750592E-2</v>
      </c>
      <c r="AZ155" s="110">
        <f t="shared" ref="AZ155" si="1820">+AZ154/AU154-1</f>
        <v>9.2312658462337716E-2</v>
      </c>
      <c r="BA155" s="110">
        <f t="shared" ref="BA155" si="1821">+BA154/AV154-1</f>
        <v>8.6585730986203924E-2</v>
      </c>
      <c r="BB155" s="110">
        <f t="shared" ref="BB155" si="1822">+BB154/AW154-1</f>
        <v>8.6707639057227004E-2</v>
      </c>
      <c r="BC155" s="111">
        <f t="shared" ref="BC155" si="1823">+BC154/AX154-1</f>
        <v>8.9229193794895467E-2</v>
      </c>
      <c r="BD155" s="110">
        <f t="shared" ref="BD155" si="1824">+BD154/AY154-1</f>
        <v>8.5834686792070958E-2</v>
      </c>
      <c r="BE155" s="110">
        <f t="shared" ref="BE155" si="1825">+BE154/AZ154-1</f>
        <v>8.5974292812185826E-2</v>
      </c>
      <c r="BF155" s="110">
        <f t="shared" ref="BF155" si="1826">+BF154/BA154-1</f>
        <v>8.553564073754516E-2</v>
      </c>
      <c r="BG155" s="110">
        <f t="shared" ref="BG155" si="1827">+BG154/BB154-1</f>
        <v>8.5637406617747214E-2</v>
      </c>
      <c r="BH155" s="111">
        <f t="shared" ref="BH155" si="1828">+BH154/BC154-1</f>
        <v>8.5735201769918667E-2</v>
      </c>
      <c r="BI155" s="110">
        <f t="shared" ref="BI155" si="1829">+BI154/BD154-1</f>
        <v>8.9003710772349365E-2</v>
      </c>
      <c r="BJ155" s="110">
        <f t="shared" ref="BJ155" si="1830">+BJ154/BE154-1</f>
        <v>8.9049219834368865E-2</v>
      </c>
      <c r="BK155" s="110">
        <f t="shared" ref="BK155" si="1831">+BK154/BF154-1</f>
        <v>8.8904372657615971E-2</v>
      </c>
      <c r="BL155" s="110">
        <f t="shared" ref="BL155" si="1832">+BL154/BG154-1</f>
        <v>8.8938183745979948E-2</v>
      </c>
      <c r="BM155" s="111">
        <f t="shared" ref="BM155" si="1833">+BM154/BH154-1</f>
        <v>8.8970472205763595E-2</v>
      </c>
      <c r="BN155" s="110">
        <f t="shared" ref="BN155" si="1834">+BN154/BI154-1</f>
        <v>8.8073186850783358E-2</v>
      </c>
      <c r="BO155" s="110">
        <f t="shared" ref="BO155" si="1835">+BO154/BJ154-1</f>
        <v>8.8105764578848778E-2</v>
      </c>
      <c r="BP155" s="110">
        <f t="shared" ref="BP155" si="1836">+BP154/BK154-1</f>
        <v>8.8003250700713576E-2</v>
      </c>
      <c r="BQ155" s="110">
        <f t="shared" ref="BQ155" si="1837">+BQ154/BL154-1</f>
        <v>8.8026943408917369E-2</v>
      </c>
      <c r="BR155" s="111">
        <f t="shared" ref="BR155" si="1838">+BR154/BM154-1</f>
        <v>8.8049882712537109E-2</v>
      </c>
      <c r="BS155" s="110">
        <f t="shared" ref="BS155" si="1839">+BS154/BN154-1</f>
        <v>8.7143669858521511E-2</v>
      </c>
      <c r="BT155" s="110">
        <f t="shared" ref="BT155" si="1840">+BT154/BO154-1</f>
        <v>8.7163016766209633E-2</v>
      </c>
      <c r="BU155" s="110">
        <f t="shared" ref="BU155" si="1841">+BU154/BP154-1</f>
        <v>8.7102331546372147E-2</v>
      </c>
      <c r="BV155" s="110">
        <f t="shared" ref="BV155" si="1842">+BV154/BQ154-1</f>
        <v>8.711639557905082E-2</v>
      </c>
      <c r="BW155" s="111">
        <f t="shared" ref="BW155" si="1843">+BW154/BR154-1</f>
        <v>8.7129933692551065E-2</v>
      </c>
      <c r="BX155" s="110">
        <f t="shared" ref="BX155" si="1844">+BX154/BS154-1</f>
        <v>8.6212779648193072E-2</v>
      </c>
      <c r="BY155" s="110">
        <f t="shared" ref="BY155" si="1845">+BY154/BT154-1</f>
        <v>8.6218761286714463E-2</v>
      </c>
      <c r="BZ155" s="110">
        <f t="shared" ref="BZ155" si="1846">+BZ154/BU154-1</f>
        <v>8.6200229285722463E-2</v>
      </c>
      <c r="CA155" s="110">
        <f t="shared" ref="CA155" si="1847">+CA154/BV154-1</f>
        <v>8.6204608245411096E-2</v>
      </c>
      <c r="CB155" s="111">
        <f t="shared" ref="CB155" si="1848">+CB154/BW154-1</f>
        <v>8.6208665057111888E-2</v>
      </c>
      <c r="CC155" s="110">
        <f t="shared" ref="CC155" si="1849">+CC154/BX154-1</f>
        <v>8.5282526910470668E-2</v>
      </c>
      <c r="CD155" s="110">
        <f t="shared" ref="CD155" si="1850">+CD154/BY154-1</f>
        <v>8.527510014652262E-2</v>
      </c>
      <c r="CE155" s="110">
        <f t="shared" ref="CE155" si="1851">+CE154/BZ154-1</f>
        <v>8.5298910168859932E-2</v>
      </c>
      <c r="CF155" s="110">
        <f t="shared" ref="CF155" si="1852">+CF154/CA154-1</f>
        <v>8.5293146405071463E-2</v>
      </c>
      <c r="CG155" s="111">
        <f t="shared" ref="CG155" si="1853">+CG154/CB154-1</f>
        <v>8.5287973762331992E-2</v>
      </c>
      <c r="CH155" s="110">
        <f t="shared" ref="CH155" si="1854">+CH154/CC154-1</f>
        <v>8.4353281403050318E-2</v>
      </c>
      <c r="CI155" s="110">
        <f t="shared" ref="CI155" si="1855">+CI154/CD154-1</f>
        <v>8.433248620404421E-2</v>
      </c>
      <c r="CJ155" s="110">
        <f t="shared" ref="CJ155" si="1856">+CJ154/CE154-1</f>
        <v>8.4397610906007836E-2</v>
      </c>
      <c r="CK155" s="110">
        <f t="shared" ref="CK155" si="1857">+CK154/CF154-1</f>
        <v>8.4382467385159421E-2</v>
      </c>
      <c r="CL155" s="111">
        <f t="shared" ref="CL155" si="1858">+CL154/CG154-1</f>
        <v>8.4367982492495885E-2</v>
      </c>
      <c r="CM155" s="110">
        <f t="shared" ref="CM155" si="1859">+CM154/CH154-1</f>
        <v>8.3425926898894831E-2</v>
      </c>
      <c r="CN155" s="110">
        <f t="shared" ref="CN155" si="1860">+CN154/CI154-1</f>
        <v>8.3391860047856703E-2</v>
      </c>
      <c r="CO155" s="110">
        <f t="shared" ref="CO155" si="1861">+CO154/CJ154-1</f>
        <v>8.3499115763847387E-2</v>
      </c>
      <c r="CP155" s="110">
        <f t="shared" ref="CP155" si="1862">+CP154/CK154-1</f>
        <v>8.3474244566178024E-2</v>
      </c>
      <c r="CQ155" s="111">
        <f t="shared" ref="CQ155" si="1863">+CQ154/CL154-1</f>
        <v>8.345029827793371E-2</v>
      </c>
      <c r="CR155" s="110">
        <f t="shared" ref="CR155" si="1864">+CR154/CM154-1</f>
        <v>6.694499999999981E-2</v>
      </c>
      <c r="CS155" s="110">
        <f t="shared" ref="CS155" si="1865">+CS154/CN154-1</f>
        <v>6.6945000000000032E-2</v>
      </c>
      <c r="CT155" s="110">
        <f t="shared" ref="CT155" si="1866">+CT154/CO154-1</f>
        <v>6.694499999999981E-2</v>
      </c>
      <c r="CU155" s="110">
        <f t="shared" ref="CU155" si="1867">+CU154/CP154-1</f>
        <v>6.694499999999981E-2</v>
      </c>
      <c r="CV155" s="111">
        <f>+CV154/CQ154-1</f>
        <v>6.694499999999981E-2</v>
      </c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</row>
    <row r="156" spans="1:115" s="15" customFormat="1">
      <c r="A156" s="2"/>
      <c r="C156" s="18"/>
      <c r="D156" s="18"/>
      <c r="E156" s="100"/>
      <c r="F156" s="83"/>
      <c r="G156" s="83"/>
      <c r="H156" s="83"/>
      <c r="I156" s="83"/>
      <c r="J156" s="100"/>
      <c r="K156" s="83"/>
      <c r="L156" s="83"/>
      <c r="M156" s="83"/>
      <c r="N156" s="83"/>
      <c r="O156" s="100"/>
      <c r="P156" s="83"/>
      <c r="Q156" s="83"/>
      <c r="R156" s="83"/>
      <c r="S156" s="83"/>
      <c r="T156" s="100"/>
      <c r="U156" s="83"/>
      <c r="V156" s="83"/>
      <c r="W156" s="83"/>
      <c r="X156" s="83"/>
      <c r="Y156" s="100"/>
      <c r="Z156" s="83"/>
      <c r="AA156" s="83"/>
      <c r="AB156" s="83"/>
      <c r="AC156" s="83"/>
      <c r="AD156" s="100"/>
      <c r="AE156" s="83"/>
      <c r="AF156" s="83"/>
      <c r="AG156" s="83"/>
      <c r="AH156" s="83"/>
      <c r="AI156" s="100"/>
      <c r="AJ156" s="83"/>
      <c r="AK156" s="83"/>
      <c r="AL156" s="83"/>
      <c r="AM156" s="83"/>
      <c r="AN156" s="100"/>
      <c r="AO156" s="197"/>
      <c r="AP156" s="197"/>
      <c r="AQ156" s="197"/>
      <c r="AR156" s="197"/>
      <c r="AS156" s="100"/>
      <c r="AT156" s="83"/>
      <c r="AU156" s="83"/>
      <c r="AV156" s="83"/>
      <c r="AW156" s="83"/>
      <c r="AX156" s="100"/>
      <c r="AY156" s="83"/>
      <c r="AZ156" s="83"/>
      <c r="BA156" s="83"/>
      <c r="BB156" s="83"/>
      <c r="BC156" s="100"/>
      <c r="BD156" s="83"/>
      <c r="BE156" s="83"/>
      <c r="BF156" s="83"/>
      <c r="BG156" s="83"/>
      <c r="BH156" s="100"/>
      <c r="BI156" s="83"/>
      <c r="BJ156" s="83"/>
      <c r="BK156" s="83"/>
      <c r="BL156" s="83"/>
      <c r="BM156" s="100"/>
      <c r="BN156" s="83"/>
      <c r="BO156" s="83"/>
      <c r="BP156" s="83"/>
      <c r="BQ156" s="83"/>
      <c r="BR156" s="100"/>
      <c r="BS156" s="83"/>
      <c r="BT156" s="83"/>
      <c r="BU156" s="83"/>
      <c r="BV156" s="83"/>
      <c r="BW156" s="100"/>
      <c r="BX156" s="83"/>
      <c r="BY156" s="83"/>
      <c r="BZ156" s="83"/>
      <c r="CA156" s="83"/>
      <c r="CB156" s="100"/>
      <c r="CC156" s="83"/>
      <c r="CD156" s="83"/>
      <c r="CE156" s="83"/>
      <c r="CF156" s="83"/>
      <c r="CG156" s="100"/>
      <c r="CH156" s="83"/>
      <c r="CI156" s="83"/>
      <c r="CJ156" s="83"/>
      <c r="CK156" s="83"/>
      <c r="CL156" s="100"/>
      <c r="CM156" s="83"/>
      <c r="CN156" s="83"/>
      <c r="CO156" s="83"/>
      <c r="CP156" s="83"/>
      <c r="CQ156" s="100"/>
      <c r="CR156" s="83"/>
      <c r="CS156" s="83"/>
      <c r="CT156" s="83"/>
      <c r="CU156" s="83"/>
      <c r="CV156" s="100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</row>
    <row r="157" spans="1:115">
      <c r="A157" s="141" t="s">
        <v>85</v>
      </c>
      <c r="B157" s="9"/>
      <c r="C157" s="9"/>
      <c r="D157" s="9"/>
      <c r="E157" s="93"/>
      <c r="F157" s="94"/>
      <c r="G157" s="94"/>
      <c r="H157" s="94"/>
      <c r="I157" s="94"/>
      <c r="J157" s="93"/>
      <c r="K157" s="94"/>
      <c r="L157" s="94"/>
      <c r="M157" s="94"/>
      <c r="N157" s="94"/>
      <c r="O157" s="93"/>
      <c r="P157" s="94"/>
      <c r="Q157" s="94"/>
      <c r="R157" s="94"/>
      <c r="S157" s="94"/>
      <c r="T157" s="93"/>
      <c r="U157" s="131">
        <f>+U170/$U$35</f>
        <v>6.3401705462088037E-2</v>
      </c>
      <c r="V157" s="94"/>
      <c r="W157" s="94"/>
      <c r="X157" s="94"/>
      <c r="Y157" s="93"/>
      <c r="Z157" s="94"/>
      <c r="AA157" s="94"/>
      <c r="AB157" s="94"/>
      <c r="AC157" s="94"/>
      <c r="AD157" s="93"/>
      <c r="AE157" s="94"/>
      <c r="AF157" s="94"/>
      <c r="AG157" s="94"/>
      <c r="AH157" s="94"/>
      <c r="AI157" s="93"/>
      <c r="AJ157" s="94"/>
      <c r="AK157" s="94"/>
      <c r="AL157" s="94"/>
      <c r="AM157" s="94"/>
      <c r="AN157" s="93"/>
      <c r="AO157" s="94"/>
      <c r="AP157" s="94"/>
      <c r="AQ157" s="94"/>
      <c r="AR157" s="94"/>
      <c r="AS157" s="93"/>
      <c r="AT157" s="94"/>
      <c r="AU157" s="94"/>
      <c r="AV157" s="94"/>
      <c r="AW157" s="94"/>
      <c r="AX157" s="93"/>
      <c r="AY157" s="94"/>
      <c r="AZ157" s="94"/>
      <c r="BA157" s="94"/>
      <c r="BB157" s="94"/>
      <c r="BC157" s="93"/>
      <c r="BD157" s="94"/>
      <c r="BE157" s="94"/>
      <c r="BF157" s="94"/>
      <c r="BG157" s="94"/>
      <c r="BH157" s="93"/>
      <c r="BI157" s="131"/>
      <c r="BJ157" s="94"/>
      <c r="BK157" s="94"/>
      <c r="BL157" s="94"/>
      <c r="BM157" s="93"/>
      <c r="BN157" s="94"/>
      <c r="BO157" s="94"/>
      <c r="BP157" s="94"/>
      <c r="BQ157" s="94"/>
      <c r="BR157" s="93"/>
      <c r="BS157" s="94"/>
      <c r="BT157" s="94"/>
      <c r="BU157" s="94"/>
      <c r="BV157" s="94"/>
      <c r="BW157" s="93"/>
      <c r="BX157" s="94"/>
      <c r="BY157" s="94"/>
      <c r="BZ157" s="94"/>
      <c r="CA157" s="94"/>
      <c r="CB157" s="93"/>
      <c r="CC157" s="94"/>
      <c r="CD157" s="94"/>
      <c r="CE157" s="94"/>
      <c r="CF157" s="94"/>
      <c r="CG157" s="93"/>
      <c r="CH157" s="94"/>
      <c r="CI157" s="94"/>
      <c r="CJ157" s="94"/>
      <c r="CK157" s="94"/>
      <c r="CL157" s="93"/>
      <c r="CM157" s="94"/>
      <c r="CN157" s="94"/>
      <c r="CO157" s="94"/>
      <c r="CP157" s="94"/>
      <c r="CQ157" s="93"/>
      <c r="CR157" s="131"/>
      <c r="CS157" s="94"/>
      <c r="CT157" s="94"/>
      <c r="CU157" s="94"/>
      <c r="CV157" s="93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</row>
    <row r="158" spans="1:115" s="13" customFormat="1">
      <c r="A158" s="2" t="s">
        <v>69</v>
      </c>
      <c r="B158" s="7"/>
      <c r="C158" s="7"/>
      <c r="D158" s="7"/>
      <c r="E158" s="92"/>
      <c r="F158" s="84"/>
      <c r="G158" s="84"/>
      <c r="H158" s="84"/>
      <c r="I158" s="84"/>
      <c r="J158" s="92"/>
      <c r="K158" s="84"/>
      <c r="L158" s="84"/>
      <c r="M158" s="84"/>
      <c r="N158" s="84"/>
      <c r="O158" s="92"/>
      <c r="P158" s="84"/>
      <c r="Q158" s="84"/>
      <c r="R158" s="132">
        <v>2.5</v>
      </c>
      <c r="S158" s="132">
        <v>2.5</v>
      </c>
      <c r="T158" s="133">
        <v>2.5</v>
      </c>
      <c r="U158" s="132">
        <v>2.5</v>
      </c>
      <c r="V158" s="132">
        <f>+V162*V$11+V163*V$12</f>
        <v>2.5379640000000001</v>
      </c>
      <c r="W158" s="132">
        <f>+W162*W$11+W163*W$12</f>
        <v>2.5379640000000001</v>
      </c>
      <c r="X158" s="132">
        <f t="shared" ref="X158" si="1868">+X162*X$11+X163*X$12</f>
        <v>2.5379640000000001</v>
      </c>
      <c r="Y158" s="92">
        <f>+Y170*1000/Y166</f>
        <v>2.5296636650904039</v>
      </c>
      <c r="Z158" s="84">
        <f t="shared" ref="Z158:AC158" si="1869">+Z162*Z$11+Z163*Z$12</f>
        <v>2.5379640000000001</v>
      </c>
      <c r="AA158" s="192">
        <f t="shared" si="1869"/>
        <v>2.5379640000000001</v>
      </c>
      <c r="AB158" s="192">
        <f t="shared" si="1869"/>
        <v>2.7006474923999999</v>
      </c>
      <c r="AC158" s="84">
        <f t="shared" si="1869"/>
        <v>2.7006474923999999</v>
      </c>
      <c r="AD158" s="92">
        <f>+AD170*1000/AD166</f>
        <v>2.6200668952208725</v>
      </c>
      <c r="AE158" s="84">
        <f t="shared" ref="AE158:AH158" si="1870">+AE162*AE$11+AE163*AE$12</f>
        <v>2.7006474923999999</v>
      </c>
      <c r="AF158" s="84">
        <f t="shared" si="1870"/>
        <v>2.7006474923999999</v>
      </c>
      <c r="AG158" s="84">
        <f t="shared" si="1870"/>
        <v>2.9707122416400003</v>
      </c>
      <c r="AH158" s="84">
        <f t="shared" si="1870"/>
        <v>2.9707122416400003</v>
      </c>
      <c r="AI158" s="92">
        <f>+AI170*1000/AI166</f>
        <v>2.8403523189579039</v>
      </c>
      <c r="AJ158" s="84">
        <f t="shared" ref="AJ158:AM158" si="1871">+AJ162*AJ$11+AJ163*AJ$12</f>
        <v>2.9707122416400003</v>
      </c>
      <c r="AK158" s="84">
        <f t="shared" si="1871"/>
        <v>2.9707122416400003</v>
      </c>
      <c r="AL158" s="132">
        <f t="shared" si="1871"/>
        <v>3.1608378251049607</v>
      </c>
      <c r="AM158" s="132">
        <f t="shared" si="1871"/>
        <v>3.1608378251049607</v>
      </c>
      <c r="AN158" s="133">
        <f>+AN170*1000/AN166</f>
        <v>3.0679714748878077</v>
      </c>
      <c r="AO158" s="132">
        <f t="shared" ref="AO158:AR158" si="1872">+AO162*AO$11+AO163*AO$12</f>
        <v>3.1608378251049607</v>
      </c>
      <c r="AP158" s="132">
        <f t="shared" si="1872"/>
        <v>3.1608378251049607</v>
      </c>
      <c r="AQ158" s="132">
        <f t="shared" si="1872"/>
        <v>3.3188797163602088</v>
      </c>
      <c r="AR158" s="132">
        <f t="shared" si="1872"/>
        <v>3.3188797163602088</v>
      </c>
      <c r="AS158" s="92">
        <f>+AS170*1000/AS166</f>
        <v>3.2425250947108215</v>
      </c>
      <c r="AT158" s="84">
        <f t="shared" ref="AT158:AW158" si="1873">+AT162*AT$11+AT163*AT$12</f>
        <v>3.3188797163602088</v>
      </c>
      <c r="AU158" s="84">
        <f t="shared" si="1873"/>
        <v>4.4510668610650717</v>
      </c>
      <c r="AV158" s="84">
        <f t="shared" si="1873"/>
        <v>4.6736202041183255</v>
      </c>
      <c r="AW158" s="84">
        <f t="shared" si="1873"/>
        <v>4.6736202041183255</v>
      </c>
      <c r="AX158" s="92">
        <f>+AX170*1000/AX166</f>
        <v>4.2933628142120908</v>
      </c>
      <c r="AY158" s="84">
        <f t="shared" ref="AY158:BB158" si="1874">+AY162*AY$11+AY163*AY$12</f>
        <v>4.6736202041183255</v>
      </c>
      <c r="AZ158" s="84">
        <f t="shared" si="1874"/>
        <v>4.6736202041183255</v>
      </c>
      <c r="BA158" s="84">
        <f t="shared" si="1874"/>
        <v>4.8839331133036499</v>
      </c>
      <c r="BB158" s="84">
        <f t="shared" si="1874"/>
        <v>4.8839331133036499</v>
      </c>
      <c r="BC158" s="92">
        <f>+BC170*1000/BC166</f>
        <v>4.7823071928013441</v>
      </c>
      <c r="BD158" s="84">
        <f t="shared" ref="BD158:BG158" si="1875">+BD162*BD$11+BD163*BD$12</f>
        <v>4.8839331133036499</v>
      </c>
      <c r="BE158" s="84">
        <f t="shared" si="1875"/>
        <v>4.8839331133036499</v>
      </c>
      <c r="BF158" s="132">
        <f t="shared" si="1875"/>
        <v>5.1037101034023138</v>
      </c>
      <c r="BG158" s="132">
        <f t="shared" si="1875"/>
        <v>5.1037101034023138</v>
      </c>
      <c r="BH158" s="133">
        <f>+BH170*1000/BH166</f>
        <v>4.9975036802823229</v>
      </c>
      <c r="BI158" s="132">
        <f t="shared" ref="BI158:BL158" si="1876">+BI162*BI$11+BI163*BI$12</f>
        <v>5.1037101034023138</v>
      </c>
      <c r="BJ158" s="132">
        <f t="shared" si="1876"/>
        <v>5.1037101034023138</v>
      </c>
      <c r="BK158" s="132">
        <f t="shared" si="1876"/>
        <v>5.3333770580554178</v>
      </c>
      <c r="BL158" s="132">
        <f t="shared" si="1876"/>
        <v>5.3333770580554178</v>
      </c>
      <c r="BM158" s="92">
        <f>+BM170*1000/BM166</f>
        <v>5.2223228085296771</v>
      </c>
      <c r="BN158" s="84">
        <f t="shared" ref="BN158:BQ158" si="1877">+BN162*BN$11+BN163*BN$12</f>
        <v>5.3333770580554178</v>
      </c>
      <c r="BO158" s="84">
        <f t="shared" si="1877"/>
        <v>5.3333770580554178</v>
      </c>
      <c r="BP158" s="84">
        <f t="shared" si="1877"/>
        <v>5.5733790256679114</v>
      </c>
      <c r="BQ158" s="84">
        <f t="shared" si="1877"/>
        <v>5.5733790256679114</v>
      </c>
      <c r="BR158" s="92">
        <f>+BR170*1000/BR166</f>
        <v>5.4573944166263724</v>
      </c>
      <c r="BS158" s="84">
        <f t="shared" ref="BS158:BV158" si="1878">+BS162*BS$11+BS163*BS$12</f>
        <v>5.5733790256679114</v>
      </c>
      <c r="BT158" s="84">
        <f t="shared" si="1878"/>
        <v>5.5733790256679114</v>
      </c>
      <c r="BU158" s="84">
        <f t="shared" si="1878"/>
        <v>5.8241810818229673</v>
      </c>
      <c r="BV158" s="84">
        <f t="shared" si="1878"/>
        <v>5.8241810818229673</v>
      </c>
      <c r="BW158" s="92">
        <f>+BW170*1000/BW166</f>
        <v>5.7029760151910809</v>
      </c>
      <c r="BX158" s="84">
        <f t="shared" ref="BX158:CA158" si="1879">+BX162*BX$11+BX163*BX$12</f>
        <v>5.8241810818229673</v>
      </c>
      <c r="BY158" s="84">
        <f t="shared" si="1879"/>
        <v>5.8241810818229673</v>
      </c>
      <c r="BZ158" s="132">
        <f t="shared" si="1879"/>
        <v>6.0862692305049988</v>
      </c>
      <c r="CA158" s="132">
        <f t="shared" si="1879"/>
        <v>6.0862692305049988</v>
      </c>
      <c r="CB158" s="133">
        <f>+CB170*1000/CB166</f>
        <v>5.9596095692464655</v>
      </c>
      <c r="CC158" s="132">
        <f t="shared" ref="CC158:CF158" si="1880">+CC162*CC$11+CC163*CC$12</f>
        <v>6.0862692305049988</v>
      </c>
      <c r="CD158" s="132">
        <f t="shared" si="1880"/>
        <v>6.0862692305049988</v>
      </c>
      <c r="CE158" s="132">
        <f t="shared" si="1880"/>
        <v>6.3601513458777239</v>
      </c>
      <c r="CF158" s="132">
        <f t="shared" si="1880"/>
        <v>6.3601513458777239</v>
      </c>
      <c r="CG158" s="92">
        <f>+CG170*1000/CG166</f>
        <v>6.2277924901778503</v>
      </c>
      <c r="CH158" s="84">
        <f t="shared" ref="CH158:CK158" si="1881">+CH162*CH$11+CH163*CH$12</f>
        <v>6.3601513458777239</v>
      </c>
      <c r="CI158" s="84">
        <f t="shared" si="1881"/>
        <v>6.3601513458777239</v>
      </c>
      <c r="CJ158" s="84">
        <f t="shared" si="1881"/>
        <v>6.6463581564422212</v>
      </c>
      <c r="CK158" s="84">
        <f t="shared" si="1881"/>
        <v>6.6463581564422212</v>
      </c>
      <c r="CL158" s="92">
        <f>+CL170*1000/CL166</f>
        <v>6.5080445828452653</v>
      </c>
      <c r="CM158" s="84">
        <f t="shared" ref="CM158:CP158" si="1882">+CM162*CM$11+CM163*CM$12</f>
        <v>6.6463581564422212</v>
      </c>
      <c r="CN158" s="84">
        <f t="shared" si="1882"/>
        <v>6.6463581564422212</v>
      </c>
      <c r="CO158" s="132">
        <f t="shared" si="1882"/>
        <v>6.9454442734821207</v>
      </c>
      <c r="CP158" s="132">
        <f t="shared" si="1882"/>
        <v>6.9454442734821207</v>
      </c>
      <c r="CQ158" s="133">
        <f>+CQ170*1000/CQ166</f>
        <v>6.8009090416630738</v>
      </c>
      <c r="CR158" s="132">
        <f t="shared" ref="CR158:CU158" si="1883">+CR162*CR$11+CR163*CR$12</f>
        <v>6.9454442734821207</v>
      </c>
      <c r="CS158" s="132">
        <f t="shared" si="1883"/>
        <v>6.9454442734821207</v>
      </c>
      <c r="CT158" s="132">
        <f t="shared" si="1883"/>
        <v>7.2579892657888161</v>
      </c>
      <c r="CU158" s="132">
        <f t="shared" si="1883"/>
        <v>7.2579892657888161</v>
      </c>
      <c r="CV158" s="92">
        <f>+CV170*1000/CV166</f>
        <v>7.1069499485379106</v>
      </c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</row>
    <row r="159" spans="1:115" s="13" customFormat="1">
      <c r="A159" s="2" t="s">
        <v>70</v>
      </c>
      <c r="B159" s="34"/>
      <c r="C159" s="34"/>
      <c r="D159" s="34"/>
      <c r="E159" s="100"/>
      <c r="F159" s="83"/>
      <c r="G159" s="83"/>
      <c r="H159" s="83"/>
      <c r="I159" s="83"/>
      <c r="J159" s="100"/>
      <c r="K159" s="83"/>
      <c r="L159" s="83"/>
      <c r="M159" s="83"/>
      <c r="N159" s="83"/>
      <c r="O159" s="100"/>
      <c r="P159" s="83"/>
      <c r="Q159" s="83"/>
      <c r="R159" s="83"/>
      <c r="S159" s="83"/>
      <c r="T159" s="100"/>
      <c r="U159" s="83"/>
      <c r="V159" s="83"/>
      <c r="W159" s="83"/>
      <c r="X159" s="83"/>
      <c r="Y159" s="100"/>
      <c r="Z159" s="83"/>
      <c r="AA159" s="83"/>
      <c r="AB159" s="83"/>
      <c r="AC159" s="83"/>
      <c r="AD159" s="100"/>
      <c r="AE159" s="83"/>
      <c r="AF159" s="83"/>
      <c r="AG159" s="83"/>
      <c r="AH159" s="83"/>
      <c r="AI159" s="100"/>
      <c r="AJ159" s="83"/>
      <c r="AK159" s="83"/>
      <c r="AL159" s="83"/>
      <c r="AM159" s="83"/>
      <c r="AN159" s="100"/>
      <c r="AO159" s="83"/>
      <c r="AP159" s="83"/>
      <c r="AQ159" s="83"/>
      <c r="AR159" s="83"/>
      <c r="AS159" s="100"/>
      <c r="AT159" s="83"/>
      <c r="AU159" s="83"/>
      <c r="AV159" s="83"/>
      <c r="AW159" s="83"/>
      <c r="AX159" s="100"/>
      <c r="AY159" s="83"/>
      <c r="AZ159" s="83"/>
      <c r="BA159" s="83"/>
      <c r="BB159" s="83"/>
      <c r="BC159" s="100"/>
      <c r="BD159" s="83"/>
      <c r="BE159" s="83"/>
      <c r="BF159" s="83"/>
      <c r="BG159" s="83"/>
      <c r="BH159" s="100"/>
      <c r="BI159" s="83"/>
      <c r="BJ159" s="83"/>
      <c r="BK159" s="83"/>
      <c r="BL159" s="83"/>
      <c r="BM159" s="100"/>
      <c r="BN159" s="83"/>
      <c r="BO159" s="83"/>
      <c r="BP159" s="83"/>
      <c r="BQ159" s="83"/>
      <c r="BR159" s="100"/>
      <c r="BS159" s="83"/>
      <c r="BT159" s="83"/>
      <c r="BU159" s="83"/>
      <c r="BV159" s="83"/>
      <c r="BW159" s="100"/>
      <c r="BX159" s="83"/>
      <c r="BY159" s="83"/>
      <c r="BZ159" s="83"/>
      <c r="CA159" s="83"/>
      <c r="CB159" s="100"/>
      <c r="CC159" s="83"/>
      <c r="CD159" s="83"/>
      <c r="CE159" s="83"/>
      <c r="CF159" s="83"/>
      <c r="CG159" s="100"/>
      <c r="CH159" s="83"/>
      <c r="CI159" s="83"/>
      <c r="CJ159" s="83"/>
      <c r="CK159" s="83"/>
      <c r="CL159" s="100"/>
      <c r="CM159" s="83"/>
      <c r="CN159" s="83"/>
      <c r="CO159" s="83"/>
      <c r="CP159" s="83"/>
      <c r="CQ159" s="100"/>
      <c r="CR159" s="83"/>
      <c r="CS159" s="83"/>
      <c r="CT159" s="83"/>
      <c r="CU159" s="83"/>
      <c r="CV159" s="100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</row>
    <row r="160" spans="1:115" s="13" customFormat="1">
      <c r="A160" s="2"/>
      <c r="B160" s="34"/>
      <c r="C160" s="34"/>
      <c r="D160" s="34"/>
      <c r="E160" s="100"/>
      <c r="F160" s="83"/>
      <c r="G160" s="83"/>
      <c r="H160" s="83"/>
      <c r="I160" s="83"/>
      <c r="J160" s="100"/>
      <c r="K160" s="83"/>
      <c r="L160" s="83"/>
      <c r="M160" s="83"/>
      <c r="N160" s="83"/>
      <c r="O160" s="100"/>
      <c r="P160" s="83"/>
      <c r="Q160" s="83"/>
      <c r="R160" s="83"/>
      <c r="S160" s="83"/>
      <c r="T160" s="100"/>
      <c r="U160" s="83"/>
      <c r="V160" s="83"/>
      <c r="W160" s="83"/>
      <c r="X160" s="83"/>
      <c r="Y160" s="100"/>
      <c r="Z160" s="83"/>
      <c r="AA160" s="83"/>
      <c r="AB160" s="83"/>
      <c r="AC160" s="83"/>
      <c r="AD160" s="100"/>
      <c r="AE160" s="83"/>
      <c r="AF160" s="83"/>
      <c r="AG160" s="83"/>
      <c r="AH160" s="83"/>
      <c r="AI160" s="100"/>
      <c r="AJ160" s="83"/>
      <c r="AK160" s="83"/>
      <c r="AL160" s="83"/>
      <c r="AM160" s="83"/>
      <c r="AN160" s="100"/>
      <c r="AO160" s="83"/>
      <c r="AP160" s="83"/>
      <c r="AQ160" s="83"/>
      <c r="AR160" s="83"/>
      <c r="AS160" s="100"/>
      <c r="AT160" s="83"/>
      <c r="AU160" s="83"/>
      <c r="AV160" s="83"/>
      <c r="AW160" s="83"/>
      <c r="AX160" s="100"/>
      <c r="AY160" s="83"/>
      <c r="AZ160" s="83"/>
      <c r="BA160" s="83"/>
      <c r="BB160" s="83"/>
      <c r="BC160" s="100"/>
      <c r="BD160" s="83"/>
      <c r="BE160" s="83"/>
      <c r="BF160" s="83"/>
      <c r="BG160" s="83"/>
      <c r="BH160" s="100"/>
      <c r="BI160" s="83"/>
      <c r="BJ160" s="83"/>
      <c r="BK160" s="83"/>
      <c r="BL160" s="83"/>
      <c r="BM160" s="100"/>
      <c r="BN160" s="83"/>
      <c r="BO160" s="83"/>
      <c r="BP160" s="83"/>
      <c r="BQ160" s="83"/>
      <c r="BR160" s="100"/>
      <c r="BS160" s="83"/>
      <c r="BT160" s="83"/>
      <c r="BU160" s="83"/>
      <c r="BV160" s="83"/>
      <c r="BW160" s="100"/>
      <c r="BX160" s="83"/>
      <c r="BY160" s="83"/>
      <c r="BZ160" s="83"/>
      <c r="CA160" s="83"/>
      <c r="CB160" s="100"/>
      <c r="CC160" s="83"/>
      <c r="CD160" s="83"/>
      <c r="CE160" s="83"/>
      <c r="CF160" s="83"/>
      <c r="CG160" s="100"/>
      <c r="CH160" s="83"/>
      <c r="CI160" s="83"/>
      <c r="CJ160" s="83"/>
      <c r="CK160" s="83"/>
      <c r="CL160" s="100"/>
      <c r="CM160" s="83"/>
      <c r="CN160" s="83"/>
      <c r="CO160" s="83"/>
      <c r="CP160" s="83"/>
      <c r="CQ160" s="100"/>
      <c r="CR160" s="83"/>
      <c r="CS160" s="83"/>
      <c r="CT160" s="83"/>
      <c r="CU160" s="83"/>
      <c r="CV160" s="100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</row>
    <row r="161" spans="1:115" s="13" customFormat="1">
      <c r="A161" s="148" t="s">
        <v>71</v>
      </c>
      <c r="B161" s="70"/>
      <c r="C161" s="70"/>
      <c r="D161" s="70"/>
      <c r="E161" s="134"/>
      <c r="F161" s="135"/>
      <c r="G161" s="135"/>
      <c r="H161" s="135"/>
      <c r="I161" s="135"/>
      <c r="J161" s="134"/>
      <c r="K161" s="135"/>
      <c r="L161" s="135"/>
      <c r="M161" s="135"/>
      <c r="N161" s="135"/>
      <c r="O161" s="134"/>
      <c r="P161" s="135"/>
      <c r="Q161" s="135"/>
      <c r="R161" s="135"/>
      <c r="S161" s="135"/>
      <c r="T161" s="134"/>
      <c r="U161" s="135">
        <f>+U162+U163</f>
        <v>30.6</v>
      </c>
      <c r="V161" s="135">
        <f t="shared" ref="V161:W161" si="1884">+V162+V163</f>
        <v>30.6</v>
      </c>
      <c r="W161" s="135">
        <f t="shared" si="1884"/>
        <v>30.6</v>
      </c>
      <c r="X161" s="135">
        <f t="shared" ref="X161" si="1885">+X162+X163</f>
        <v>30.6</v>
      </c>
      <c r="Y161" s="134">
        <f t="shared" ref="Y161" si="1886">+Y162+Y163</f>
        <v>30.6</v>
      </c>
      <c r="Z161" s="135">
        <f t="shared" ref="Z161" si="1887">+Z162+Z163</f>
        <v>30.6</v>
      </c>
      <c r="AA161" s="135">
        <f t="shared" ref="AA161" si="1888">+AA162+AA163</f>
        <v>30.6</v>
      </c>
      <c r="AB161" s="135">
        <f t="shared" ref="AB161" si="1889">+AB162+AB163</f>
        <v>30.6</v>
      </c>
      <c r="AC161" s="135">
        <f t="shared" ref="AC161" si="1890">+AC162+AC163</f>
        <v>30.6</v>
      </c>
      <c r="AD161" s="134">
        <f t="shared" ref="AD161" si="1891">+AD162+AD163</f>
        <v>30.6</v>
      </c>
      <c r="AE161" s="135">
        <f t="shared" ref="AE161" si="1892">+AE162+AE163</f>
        <v>30.6</v>
      </c>
      <c r="AF161" s="135">
        <f t="shared" ref="AF161" si="1893">+AF162+AF163</f>
        <v>30.6</v>
      </c>
      <c r="AG161" s="135">
        <f t="shared" ref="AG161" si="1894">+AG162+AG163</f>
        <v>30.6</v>
      </c>
      <c r="AH161" s="135">
        <f t="shared" ref="AH161" si="1895">+AH162+AH163</f>
        <v>30.6</v>
      </c>
      <c r="AI161" s="134">
        <f t="shared" ref="AI161" si="1896">+AI162+AI163</f>
        <v>30.6</v>
      </c>
      <c r="AJ161" s="135">
        <f t="shared" ref="AJ161" si="1897">+AJ162+AJ163</f>
        <v>30.6</v>
      </c>
      <c r="AK161" s="135">
        <f t="shared" ref="AK161" si="1898">+AK162+AK163</f>
        <v>30.6</v>
      </c>
      <c r="AL161" s="135">
        <f t="shared" ref="AL161" si="1899">+AL162+AL163</f>
        <v>30.6</v>
      </c>
      <c r="AM161" s="135">
        <f t="shared" ref="AM161" si="1900">+AM162+AM163</f>
        <v>30.6</v>
      </c>
      <c r="AN161" s="134">
        <f t="shared" ref="AN161" si="1901">+AN162+AN163</f>
        <v>30.6</v>
      </c>
      <c r="AO161" s="135">
        <f t="shared" ref="AO161" si="1902">+AO162+AO163</f>
        <v>30.6</v>
      </c>
      <c r="AP161" s="135">
        <f t="shared" ref="AP161" si="1903">+AP162+AP163</f>
        <v>30.6</v>
      </c>
      <c r="AQ161" s="135">
        <f t="shared" ref="AQ161" si="1904">+AQ162+AQ163</f>
        <v>30.6</v>
      </c>
      <c r="AR161" s="135">
        <f t="shared" ref="AR161" si="1905">+AR162+AR163</f>
        <v>30.6</v>
      </c>
      <c r="AS161" s="134">
        <f t="shared" ref="AS161" si="1906">+AS162+AS163</f>
        <v>30.6</v>
      </c>
      <c r="AT161" s="135">
        <f t="shared" ref="AT161" si="1907">+AT162+AT163</f>
        <v>30.6</v>
      </c>
      <c r="AU161" s="135">
        <f t="shared" ref="AU161" si="1908">+AU162+AU163</f>
        <v>30.6</v>
      </c>
      <c r="AV161" s="135">
        <f t="shared" ref="AV161" si="1909">+AV162+AV163</f>
        <v>30.6</v>
      </c>
      <c r="AW161" s="135">
        <f t="shared" ref="AW161" si="1910">+AW162+AW163</f>
        <v>30.6</v>
      </c>
      <c r="AX161" s="134">
        <f t="shared" ref="AX161" si="1911">+AX162+AX163</f>
        <v>30.6</v>
      </c>
      <c r="AY161" s="135">
        <f t="shared" ref="AY161" si="1912">+AY162+AY163</f>
        <v>30.6</v>
      </c>
      <c r="AZ161" s="135">
        <f t="shared" ref="AZ161" si="1913">+AZ162+AZ163</f>
        <v>30.6</v>
      </c>
      <c r="BA161" s="135">
        <f t="shared" ref="BA161" si="1914">+BA162+BA163</f>
        <v>30.6</v>
      </c>
      <c r="BB161" s="135">
        <f t="shared" ref="BB161" si="1915">+BB162+BB163</f>
        <v>30.6</v>
      </c>
      <c r="BC161" s="134">
        <f t="shared" ref="BC161" si="1916">+BC162+BC163</f>
        <v>30.6</v>
      </c>
      <c r="BD161" s="135">
        <f t="shared" ref="BD161" si="1917">+BD162+BD163</f>
        <v>30.6</v>
      </c>
      <c r="BE161" s="135">
        <f t="shared" ref="BE161" si="1918">+BE162+BE163</f>
        <v>30.6</v>
      </c>
      <c r="BF161" s="135">
        <f t="shared" ref="BF161" si="1919">+BF162+BF163</f>
        <v>30.6</v>
      </c>
      <c r="BG161" s="135">
        <f t="shared" ref="BG161" si="1920">+BG162+BG163</f>
        <v>30.6</v>
      </c>
      <c r="BH161" s="134">
        <f t="shared" ref="BH161" si="1921">+BH162+BH163</f>
        <v>30.6</v>
      </c>
      <c r="BI161" s="135">
        <f t="shared" ref="BI161" si="1922">+BI162+BI163</f>
        <v>30.6</v>
      </c>
      <c r="BJ161" s="135">
        <f t="shared" ref="BJ161" si="1923">+BJ162+BJ163</f>
        <v>30.6</v>
      </c>
      <c r="BK161" s="135">
        <f t="shared" ref="BK161" si="1924">+BK162+BK163</f>
        <v>30.6</v>
      </c>
      <c r="BL161" s="135">
        <f t="shared" ref="BL161" si="1925">+BL162+BL163</f>
        <v>30.6</v>
      </c>
      <c r="BM161" s="134">
        <f t="shared" ref="BM161" si="1926">+BM162+BM163</f>
        <v>30.6</v>
      </c>
      <c r="BN161" s="135">
        <f t="shared" ref="BN161" si="1927">+BN162+BN163</f>
        <v>30.6</v>
      </c>
      <c r="BO161" s="135">
        <f t="shared" ref="BO161" si="1928">+BO162+BO163</f>
        <v>30.6</v>
      </c>
      <c r="BP161" s="135">
        <f t="shared" ref="BP161" si="1929">+BP162+BP163</f>
        <v>30.6</v>
      </c>
      <c r="BQ161" s="135">
        <f t="shared" ref="BQ161" si="1930">+BQ162+BQ163</f>
        <v>30.6</v>
      </c>
      <c r="BR161" s="134">
        <f t="shared" ref="BR161" si="1931">+BR162+BR163</f>
        <v>30.6</v>
      </c>
      <c r="BS161" s="135">
        <f t="shared" ref="BS161" si="1932">+BS162+BS163</f>
        <v>30.6</v>
      </c>
      <c r="BT161" s="135">
        <f t="shared" ref="BT161" si="1933">+BT162+BT163</f>
        <v>30.6</v>
      </c>
      <c r="BU161" s="135">
        <f t="shared" ref="BU161" si="1934">+BU162+BU163</f>
        <v>30.6</v>
      </c>
      <c r="BV161" s="135">
        <f t="shared" ref="BV161" si="1935">+BV162+BV163</f>
        <v>30.6</v>
      </c>
      <c r="BW161" s="134">
        <f t="shared" ref="BW161" si="1936">+BW162+BW163</f>
        <v>30.6</v>
      </c>
      <c r="BX161" s="135">
        <f t="shared" ref="BX161" si="1937">+BX162+BX163</f>
        <v>30.6</v>
      </c>
      <c r="BY161" s="135">
        <f t="shared" ref="BY161" si="1938">+BY162+BY163</f>
        <v>30.6</v>
      </c>
      <c r="BZ161" s="135">
        <f t="shared" ref="BZ161" si="1939">+BZ162+BZ163</f>
        <v>30.6</v>
      </c>
      <c r="CA161" s="135">
        <f t="shared" ref="CA161" si="1940">+CA162+CA163</f>
        <v>30.6</v>
      </c>
      <c r="CB161" s="134">
        <f t="shared" ref="CB161" si="1941">+CB162+CB163</f>
        <v>30.6</v>
      </c>
      <c r="CC161" s="135">
        <f t="shared" ref="CC161" si="1942">+CC162+CC163</f>
        <v>30.6</v>
      </c>
      <c r="CD161" s="135">
        <f t="shared" ref="CD161" si="1943">+CD162+CD163</f>
        <v>30.6</v>
      </c>
      <c r="CE161" s="135">
        <f t="shared" ref="CE161" si="1944">+CE162+CE163</f>
        <v>30.6</v>
      </c>
      <c r="CF161" s="135">
        <f t="shared" ref="CF161" si="1945">+CF162+CF163</f>
        <v>30.6</v>
      </c>
      <c r="CG161" s="134">
        <f t="shared" ref="CG161" si="1946">+CG162+CG163</f>
        <v>30.6</v>
      </c>
      <c r="CH161" s="135">
        <f t="shared" ref="CH161" si="1947">+CH162+CH163</f>
        <v>30.6</v>
      </c>
      <c r="CI161" s="135">
        <f t="shared" ref="CI161" si="1948">+CI162+CI163</f>
        <v>30.6</v>
      </c>
      <c r="CJ161" s="135">
        <f t="shared" ref="CJ161" si="1949">+CJ162+CJ163</f>
        <v>30.6</v>
      </c>
      <c r="CK161" s="135">
        <f t="shared" ref="CK161" si="1950">+CK162+CK163</f>
        <v>30.6</v>
      </c>
      <c r="CL161" s="134">
        <f t="shared" ref="CL161" si="1951">+CL162+CL163</f>
        <v>30.6</v>
      </c>
      <c r="CM161" s="135">
        <f t="shared" ref="CM161" si="1952">+CM162+CM163</f>
        <v>30.6</v>
      </c>
      <c r="CN161" s="135">
        <f t="shared" ref="CN161" si="1953">+CN162+CN163</f>
        <v>30.6</v>
      </c>
      <c r="CO161" s="135">
        <f t="shared" ref="CO161" si="1954">+CO162+CO163</f>
        <v>30.6</v>
      </c>
      <c r="CP161" s="135">
        <f t="shared" ref="CP161" si="1955">+CP162+CP163</f>
        <v>30.6</v>
      </c>
      <c r="CQ161" s="134">
        <f t="shared" ref="CQ161" si="1956">+CQ162+CQ163</f>
        <v>30.6</v>
      </c>
      <c r="CR161" s="135">
        <f t="shared" ref="CR161" si="1957">+CR162+CR163</f>
        <v>30.6</v>
      </c>
      <c r="CS161" s="135">
        <f t="shared" ref="CS161" si="1958">+CS162+CS163</f>
        <v>30.6</v>
      </c>
      <c r="CT161" s="135">
        <f t="shared" ref="CT161" si="1959">+CT162+CT163</f>
        <v>30.6</v>
      </c>
      <c r="CU161" s="135">
        <f t="shared" ref="CU161" si="1960">+CU162+CU163</f>
        <v>30.6</v>
      </c>
      <c r="CV161" s="134">
        <f t="shared" ref="CV161" si="1961">+CV162+CV163</f>
        <v>30.6</v>
      </c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</row>
    <row r="162" spans="1:115" s="26" customFormat="1">
      <c r="A162" s="148" t="s">
        <v>72</v>
      </c>
      <c r="B162" s="70"/>
      <c r="C162" s="70"/>
      <c r="D162" s="70"/>
      <c r="E162" s="134"/>
      <c r="F162" s="135"/>
      <c r="G162" s="135"/>
      <c r="H162" s="135"/>
      <c r="I162" s="135"/>
      <c r="J162" s="134"/>
      <c r="K162" s="135"/>
      <c r="L162" s="135"/>
      <c r="M162" s="135"/>
      <c r="N162" s="135"/>
      <c r="O162" s="134"/>
      <c r="P162" s="135"/>
      <c r="Q162" s="135"/>
      <c r="R162" s="135"/>
      <c r="S162" s="135"/>
      <c r="T162" s="134"/>
      <c r="U162" s="136">
        <v>30.6</v>
      </c>
      <c r="V162" s="136">
        <v>30.6</v>
      </c>
      <c r="W162" s="136">
        <v>30.6</v>
      </c>
      <c r="X162" s="136">
        <v>30.6</v>
      </c>
      <c r="Y162" s="134">
        <v>30.6</v>
      </c>
      <c r="Z162" s="135">
        <v>30.6</v>
      </c>
      <c r="AA162" s="135">
        <v>30.6</v>
      </c>
      <c r="AB162" s="135">
        <v>30.6</v>
      </c>
      <c r="AC162" s="135">
        <v>30.6</v>
      </c>
      <c r="AD162" s="134">
        <v>30.6</v>
      </c>
      <c r="AE162" s="135">
        <v>30.6</v>
      </c>
      <c r="AF162" s="135">
        <v>30.6</v>
      </c>
      <c r="AG162" s="135">
        <v>30.6</v>
      </c>
      <c r="AH162" s="135">
        <v>30.6</v>
      </c>
      <c r="AI162" s="134">
        <v>30.6</v>
      </c>
      <c r="AJ162" s="135">
        <v>30.6</v>
      </c>
      <c r="AK162" s="135">
        <v>30.6</v>
      </c>
      <c r="AL162" s="135">
        <v>30.6</v>
      </c>
      <c r="AM162" s="135">
        <v>30.6</v>
      </c>
      <c r="AN162" s="134">
        <v>30.6</v>
      </c>
      <c r="AO162" s="136">
        <v>30.6</v>
      </c>
      <c r="AP162" s="136">
        <v>30.6</v>
      </c>
      <c r="AQ162" s="136">
        <v>30.6</v>
      </c>
      <c r="AR162" s="136">
        <v>30.6</v>
      </c>
      <c r="AS162" s="134">
        <v>30.6</v>
      </c>
      <c r="AT162" s="136">
        <v>30.6</v>
      </c>
      <c r="AU162" s="135">
        <v>4.5</v>
      </c>
      <c r="AV162" s="135">
        <v>4.5</v>
      </c>
      <c r="AW162" s="135">
        <v>4.5</v>
      </c>
      <c r="AX162" s="134">
        <v>4.5</v>
      </c>
      <c r="AY162" s="135">
        <v>4.5</v>
      </c>
      <c r="AZ162" s="135">
        <v>4.5</v>
      </c>
      <c r="BA162" s="135">
        <v>4.5</v>
      </c>
      <c r="BB162" s="135">
        <v>4.5</v>
      </c>
      <c r="BC162" s="134">
        <v>4.5</v>
      </c>
      <c r="BD162" s="135">
        <v>4.5</v>
      </c>
      <c r="BE162" s="135">
        <v>4.5</v>
      </c>
      <c r="BF162" s="135">
        <v>4.5</v>
      </c>
      <c r="BG162" s="135">
        <v>4.5</v>
      </c>
      <c r="BH162" s="134">
        <v>4.5</v>
      </c>
      <c r="BI162" s="136">
        <v>4.5</v>
      </c>
      <c r="BJ162" s="136">
        <v>4.5</v>
      </c>
      <c r="BK162" s="136">
        <v>4.5</v>
      </c>
      <c r="BL162" s="136">
        <v>4.5</v>
      </c>
      <c r="BM162" s="134">
        <v>4.5</v>
      </c>
      <c r="BN162" s="135">
        <v>4.5</v>
      </c>
      <c r="BO162" s="135">
        <v>4.5</v>
      </c>
      <c r="BP162" s="135">
        <v>4.5</v>
      </c>
      <c r="BQ162" s="135">
        <v>4.5</v>
      </c>
      <c r="BR162" s="134">
        <v>4.5</v>
      </c>
      <c r="BS162" s="135">
        <v>4.5</v>
      </c>
      <c r="BT162" s="135">
        <v>4.5</v>
      </c>
      <c r="BU162" s="135">
        <v>4.5</v>
      </c>
      <c r="BV162" s="135">
        <v>4.5</v>
      </c>
      <c r="BW162" s="134">
        <v>4.5</v>
      </c>
      <c r="BX162" s="135">
        <v>4.5</v>
      </c>
      <c r="BY162" s="135">
        <v>4.5</v>
      </c>
      <c r="BZ162" s="135">
        <v>4.5</v>
      </c>
      <c r="CA162" s="135">
        <v>4.5</v>
      </c>
      <c r="CB162" s="134">
        <v>4.5</v>
      </c>
      <c r="CC162" s="136">
        <v>4.5</v>
      </c>
      <c r="CD162" s="136">
        <v>4.5</v>
      </c>
      <c r="CE162" s="136">
        <v>4.5</v>
      </c>
      <c r="CF162" s="136">
        <v>4.5</v>
      </c>
      <c r="CG162" s="134">
        <v>4.5</v>
      </c>
      <c r="CH162" s="135">
        <v>4.5</v>
      </c>
      <c r="CI162" s="135">
        <v>4.5</v>
      </c>
      <c r="CJ162" s="135">
        <v>4.5</v>
      </c>
      <c r="CK162" s="135">
        <v>4.5</v>
      </c>
      <c r="CL162" s="134">
        <v>4.5</v>
      </c>
      <c r="CM162" s="135">
        <v>4.5</v>
      </c>
      <c r="CN162" s="135">
        <v>4.5</v>
      </c>
      <c r="CO162" s="135">
        <v>4.5</v>
      </c>
      <c r="CP162" s="135">
        <v>4.5</v>
      </c>
      <c r="CQ162" s="134">
        <v>4.5</v>
      </c>
      <c r="CR162" s="136">
        <v>4.5</v>
      </c>
      <c r="CS162" s="136">
        <v>4.5</v>
      </c>
      <c r="CT162" s="136">
        <v>4.5</v>
      </c>
      <c r="CU162" s="136">
        <v>4.5</v>
      </c>
      <c r="CV162" s="134">
        <v>4.5</v>
      </c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</row>
    <row r="163" spans="1:115" s="26" customFormat="1">
      <c r="A163" s="148" t="s">
        <v>73</v>
      </c>
      <c r="B163" s="70"/>
      <c r="C163" s="70"/>
      <c r="D163" s="70"/>
      <c r="E163" s="134"/>
      <c r="F163" s="135"/>
      <c r="G163" s="135"/>
      <c r="H163" s="135"/>
      <c r="I163" s="135"/>
      <c r="J163" s="134"/>
      <c r="K163" s="135"/>
      <c r="L163" s="135"/>
      <c r="M163" s="135"/>
      <c r="N163" s="135"/>
      <c r="O163" s="134"/>
      <c r="P163" s="135"/>
      <c r="Q163" s="135"/>
      <c r="R163" s="135"/>
      <c r="S163" s="135"/>
      <c r="T163" s="134"/>
      <c r="U163" s="136">
        <v>0</v>
      </c>
      <c r="V163" s="136">
        <v>0</v>
      </c>
      <c r="W163" s="136">
        <v>0</v>
      </c>
      <c r="X163" s="136">
        <v>0</v>
      </c>
      <c r="Y163" s="134">
        <v>0</v>
      </c>
      <c r="Z163" s="135">
        <v>0</v>
      </c>
      <c r="AA163" s="135">
        <v>0</v>
      </c>
      <c r="AB163" s="135">
        <v>0</v>
      </c>
      <c r="AC163" s="135">
        <v>0</v>
      </c>
      <c r="AD163" s="134">
        <v>0</v>
      </c>
      <c r="AE163" s="135">
        <v>0</v>
      </c>
      <c r="AF163" s="135">
        <v>0</v>
      </c>
      <c r="AG163" s="135">
        <v>0</v>
      </c>
      <c r="AH163" s="135">
        <v>0</v>
      </c>
      <c r="AI163" s="134">
        <v>0</v>
      </c>
      <c r="AJ163" s="135">
        <v>0</v>
      </c>
      <c r="AK163" s="135">
        <v>0</v>
      </c>
      <c r="AL163" s="135">
        <v>0</v>
      </c>
      <c r="AM163" s="135">
        <v>0</v>
      </c>
      <c r="AN163" s="134">
        <v>0</v>
      </c>
      <c r="AO163" s="136">
        <v>0</v>
      </c>
      <c r="AP163" s="136">
        <v>0</v>
      </c>
      <c r="AQ163" s="136">
        <v>0</v>
      </c>
      <c r="AR163" s="136">
        <v>0</v>
      </c>
      <c r="AS163" s="134">
        <v>0</v>
      </c>
      <c r="AT163" s="136">
        <v>0</v>
      </c>
      <c r="AU163" s="135">
        <v>26.1</v>
      </c>
      <c r="AV163" s="135">
        <v>26.1</v>
      </c>
      <c r="AW163" s="135">
        <v>26.1</v>
      </c>
      <c r="AX163" s="134">
        <v>26.1</v>
      </c>
      <c r="AY163" s="135">
        <v>26.1</v>
      </c>
      <c r="AZ163" s="135">
        <v>26.1</v>
      </c>
      <c r="BA163" s="135">
        <v>26.1</v>
      </c>
      <c r="BB163" s="135">
        <v>26.1</v>
      </c>
      <c r="BC163" s="134">
        <v>26.1</v>
      </c>
      <c r="BD163" s="135">
        <v>26.1</v>
      </c>
      <c r="BE163" s="135">
        <v>26.1</v>
      </c>
      <c r="BF163" s="135">
        <v>26.1</v>
      </c>
      <c r="BG163" s="135">
        <v>26.1</v>
      </c>
      <c r="BH163" s="134">
        <v>26.1</v>
      </c>
      <c r="BI163" s="136">
        <v>26.1</v>
      </c>
      <c r="BJ163" s="136">
        <v>26.1</v>
      </c>
      <c r="BK163" s="136">
        <v>26.1</v>
      </c>
      <c r="BL163" s="136">
        <v>26.1</v>
      </c>
      <c r="BM163" s="134">
        <v>26.1</v>
      </c>
      <c r="BN163" s="135">
        <v>26.1</v>
      </c>
      <c r="BO163" s="135">
        <v>26.1</v>
      </c>
      <c r="BP163" s="135">
        <v>26.1</v>
      </c>
      <c r="BQ163" s="135">
        <v>26.1</v>
      </c>
      <c r="BR163" s="134">
        <v>26.1</v>
      </c>
      <c r="BS163" s="135">
        <v>26.1</v>
      </c>
      <c r="BT163" s="135">
        <v>26.1</v>
      </c>
      <c r="BU163" s="135">
        <v>26.1</v>
      </c>
      <c r="BV163" s="135">
        <v>26.1</v>
      </c>
      <c r="BW163" s="134">
        <v>26.1</v>
      </c>
      <c r="BX163" s="135">
        <v>26.1</v>
      </c>
      <c r="BY163" s="135">
        <v>26.1</v>
      </c>
      <c r="BZ163" s="135">
        <v>26.1</v>
      </c>
      <c r="CA163" s="135">
        <v>26.1</v>
      </c>
      <c r="CB163" s="134">
        <v>26.1</v>
      </c>
      <c r="CC163" s="136">
        <v>26.1</v>
      </c>
      <c r="CD163" s="136">
        <v>26.1</v>
      </c>
      <c r="CE163" s="136">
        <v>26.1</v>
      </c>
      <c r="CF163" s="136">
        <v>26.1</v>
      </c>
      <c r="CG163" s="134">
        <v>26.1</v>
      </c>
      <c r="CH163" s="135">
        <v>26.1</v>
      </c>
      <c r="CI163" s="135">
        <v>26.1</v>
      </c>
      <c r="CJ163" s="135">
        <v>26.1</v>
      </c>
      <c r="CK163" s="135">
        <v>26.1</v>
      </c>
      <c r="CL163" s="134">
        <v>26.1</v>
      </c>
      <c r="CM163" s="135">
        <v>26.1</v>
      </c>
      <c r="CN163" s="135">
        <v>26.1</v>
      </c>
      <c r="CO163" s="135">
        <v>26.1</v>
      </c>
      <c r="CP163" s="135">
        <v>26.1</v>
      </c>
      <c r="CQ163" s="134">
        <v>26.1</v>
      </c>
      <c r="CR163" s="136">
        <v>26.1</v>
      </c>
      <c r="CS163" s="136">
        <v>26.1</v>
      </c>
      <c r="CT163" s="136">
        <v>26.1</v>
      </c>
      <c r="CU163" s="136">
        <v>26.1</v>
      </c>
      <c r="CV163" s="134">
        <v>26.1</v>
      </c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</row>
    <row r="164" spans="1:115" s="13" customFormat="1">
      <c r="A164" s="149" t="s">
        <v>74</v>
      </c>
      <c r="B164" s="19"/>
      <c r="C164" s="19"/>
      <c r="D164" s="19"/>
      <c r="E164" s="112"/>
      <c r="F164" s="137"/>
      <c r="G164" s="137"/>
      <c r="H164" s="137"/>
      <c r="I164" s="137"/>
      <c r="J164" s="112"/>
      <c r="K164" s="137"/>
      <c r="L164" s="137"/>
      <c r="M164" s="137"/>
      <c r="N164" s="137"/>
      <c r="O164" s="112"/>
      <c r="P164" s="137"/>
      <c r="Q164" s="137"/>
      <c r="R164" s="137"/>
      <c r="S164" s="137"/>
      <c r="T164" s="112"/>
      <c r="U164" s="137">
        <f>+U163/U161</f>
        <v>0</v>
      </c>
      <c r="V164" s="137">
        <f t="shared" ref="V164:W164" si="1962">+V163/V161</f>
        <v>0</v>
      </c>
      <c r="W164" s="137">
        <f t="shared" si="1962"/>
        <v>0</v>
      </c>
      <c r="X164" s="137">
        <f t="shared" ref="X164" si="1963">+X163/X161</f>
        <v>0</v>
      </c>
      <c r="Y164" s="112">
        <f t="shared" ref="Y164" si="1964">+Y163/Y161</f>
        <v>0</v>
      </c>
      <c r="Z164" s="137">
        <f t="shared" ref="Z164" si="1965">+Z163/Z161</f>
        <v>0</v>
      </c>
      <c r="AA164" s="137">
        <f t="shared" ref="AA164" si="1966">+AA163/AA161</f>
        <v>0</v>
      </c>
      <c r="AB164" s="137">
        <f t="shared" ref="AB164" si="1967">+AB163/AB161</f>
        <v>0</v>
      </c>
      <c r="AC164" s="137">
        <f t="shared" ref="AC164" si="1968">+AC163/AC161</f>
        <v>0</v>
      </c>
      <c r="AD164" s="112">
        <f t="shared" ref="AD164" si="1969">+AD163/AD161</f>
        <v>0</v>
      </c>
      <c r="AE164" s="137">
        <f t="shared" ref="AE164" si="1970">+AE163/AE161</f>
        <v>0</v>
      </c>
      <c r="AF164" s="137">
        <f t="shared" ref="AF164" si="1971">+AF163/AF161</f>
        <v>0</v>
      </c>
      <c r="AG164" s="137">
        <f t="shared" ref="AG164" si="1972">+AG163/AG161</f>
        <v>0</v>
      </c>
      <c r="AH164" s="137">
        <f t="shared" ref="AH164" si="1973">+AH163/AH161</f>
        <v>0</v>
      </c>
      <c r="AI164" s="112">
        <f t="shared" ref="AI164" si="1974">+AI163/AI161</f>
        <v>0</v>
      </c>
      <c r="AJ164" s="137">
        <f t="shared" ref="AJ164" si="1975">+AJ163/AJ161</f>
        <v>0</v>
      </c>
      <c r="AK164" s="137">
        <f t="shared" ref="AK164" si="1976">+AK163/AK161</f>
        <v>0</v>
      </c>
      <c r="AL164" s="137">
        <f t="shared" ref="AL164" si="1977">+AL163/AL161</f>
        <v>0</v>
      </c>
      <c r="AM164" s="137">
        <f t="shared" ref="AM164" si="1978">+AM163/AM161</f>
        <v>0</v>
      </c>
      <c r="AN164" s="112">
        <f t="shared" ref="AN164" si="1979">+AN163/AN161</f>
        <v>0</v>
      </c>
      <c r="AO164" s="137">
        <f t="shared" ref="AO164" si="1980">+AO163/AO161</f>
        <v>0</v>
      </c>
      <c r="AP164" s="137">
        <f t="shared" ref="AP164" si="1981">+AP163/AP161</f>
        <v>0</v>
      </c>
      <c r="AQ164" s="137">
        <f t="shared" ref="AQ164" si="1982">+AQ163/AQ161</f>
        <v>0</v>
      </c>
      <c r="AR164" s="137">
        <f t="shared" ref="AR164" si="1983">+AR163/AR161</f>
        <v>0</v>
      </c>
      <c r="AS164" s="112">
        <f t="shared" ref="AS164" si="1984">+AS163/AS161</f>
        <v>0</v>
      </c>
      <c r="AT164" s="137">
        <f t="shared" ref="AT164" si="1985">+AT163/AT161</f>
        <v>0</v>
      </c>
      <c r="AU164" s="137">
        <f t="shared" ref="AU164" si="1986">+AU163/AU161</f>
        <v>0.8529411764705882</v>
      </c>
      <c r="AV164" s="137">
        <f t="shared" ref="AV164" si="1987">+AV163/AV161</f>
        <v>0.8529411764705882</v>
      </c>
      <c r="AW164" s="137">
        <f t="shared" ref="AW164" si="1988">+AW163/AW161</f>
        <v>0.8529411764705882</v>
      </c>
      <c r="AX164" s="112">
        <f t="shared" ref="AX164" si="1989">+AX163/AX161</f>
        <v>0.8529411764705882</v>
      </c>
      <c r="AY164" s="137">
        <f t="shared" ref="AY164" si="1990">+AY163/AY161</f>
        <v>0.8529411764705882</v>
      </c>
      <c r="AZ164" s="137">
        <f t="shared" ref="AZ164" si="1991">+AZ163/AZ161</f>
        <v>0.8529411764705882</v>
      </c>
      <c r="BA164" s="137">
        <f t="shared" ref="BA164" si="1992">+BA163/BA161</f>
        <v>0.8529411764705882</v>
      </c>
      <c r="BB164" s="137">
        <f t="shared" ref="BB164" si="1993">+BB163/BB161</f>
        <v>0.8529411764705882</v>
      </c>
      <c r="BC164" s="112">
        <f t="shared" ref="BC164" si="1994">+BC163/BC161</f>
        <v>0.8529411764705882</v>
      </c>
      <c r="BD164" s="137">
        <f t="shared" ref="BD164" si="1995">+BD163/BD161</f>
        <v>0.8529411764705882</v>
      </c>
      <c r="BE164" s="137">
        <f t="shared" ref="BE164" si="1996">+BE163/BE161</f>
        <v>0.8529411764705882</v>
      </c>
      <c r="BF164" s="137">
        <f t="shared" ref="BF164" si="1997">+BF163/BF161</f>
        <v>0.8529411764705882</v>
      </c>
      <c r="BG164" s="137">
        <f t="shared" ref="BG164" si="1998">+BG163/BG161</f>
        <v>0.8529411764705882</v>
      </c>
      <c r="BH164" s="112">
        <f t="shared" ref="BH164" si="1999">+BH163/BH161</f>
        <v>0.8529411764705882</v>
      </c>
      <c r="BI164" s="137">
        <f t="shared" ref="BI164" si="2000">+BI163/BI161</f>
        <v>0.8529411764705882</v>
      </c>
      <c r="BJ164" s="137">
        <f t="shared" ref="BJ164" si="2001">+BJ163/BJ161</f>
        <v>0.8529411764705882</v>
      </c>
      <c r="BK164" s="137">
        <f t="shared" ref="BK164" si="2002">+BK163/BK161</f>
        <v>0.8529411764705882</v>
      </c>
      <c r="BL164" s="137">
        <f t="shared" ref="BL164" si="2003">+BL163/BL161</f>
        <v>0.8529411764705882</v>
      </c>
      <c r="BM164" s="112">
        <f t="shared" ref="BM164" si="2004">+BM163/BM161</f>
        <v>0.8529411764705882</v>
      </c>
      <c r="BN164" s="137">
        <f t="shared" ref="BN164" si="2005">+BN163/BN161</f>
        <v>0.8529411764705882</v>
      </c>
      <c r="BO164" s="137">
        <f t="shared" ref="BO164" si="2006">+BO163/BO161</f>
        <v>0.8529411764705882</v>
      </c>
      <c r="BP164" s="137">
        <f t="shared" ref="BP164" si="2007">+BP163/BP161</f>
        <v>0.8529411764705882</v>
      </c>
      <c r="BQ164" s="137">
        <f t="shared" ref="BQ164" si="2008">+BQ163/BQ161</f>
        <v>0.8529411764705882</v>
      </c>
      <c r="BR164" s="112">
        <f t="shared" ref="BR164" si="2009">+BR163/BR161</f>
        <v>0.8529411764705882</v>
      </c>
      <c r="BS164" s="137">
        <f t="shared" ref="BS164" si="2010">+BS163/BS161</f>
        <v>0.8529411764705882</v>
      </c>
      <c r="BT164" s="137">
        <f t="shared" ref="BT164" si="2011">+BT163/BT161</f>
        <v>0.8529411764705882</v>
      </c>
      <c r="BU164" s="137">
        <f t="shared" ref="BU164" si="2012">+BU163/BU161</f>
        <v>0.8529411764705882</v>
      </c>
      <c r="BV164" s="137">
        <f t="shared" ref="BV164" si="2013">+BV163/BV161</f>
        <v>0.8529411764705882</v>
      </c>
      <c r="BW164" s="112">
        <f t="shared" ref="BW164" si="2014">+BW163/BW161</f>
        <v>0.8529411764705882</v>
      </c>
      <c r="BX164" s="137">
        <f t="shared" ref="BX164" si="2015">+BX163/BX161</f>
        <v>0.8529411764705882</v>
      </c>
      <c r="BY164" s="137">
        <f t="shared" ref="BY164" si="2016">+BY163/BY161</f>
        <v>0.8529411764705882</v>
      </c>
      <c r="BZ164" s="137">
        <f t="shared" ref="BZ164" si="2017">+BZ163/BZ161</f>
        <v>0.8529411764705882</v>
      </c>
      <c r="CA164" s="137">
        <f t="shared" ref="CA164" si="2018">+CA163/CA161</f>
        <v>0.8529411764705882</v>
      </c>
      <c r="CB164" s="112">
        <f t="shared" ref="CB164" si="2019">+CB163/CB161</f>
        <v>0.8529411764705882</v>
      </c>
      <c r="CC164" s="137">
        <f t="shared" ref="CC164" si="2020">+CC163/CC161</f>
        <v>0.8529411764705882</v>
      </c>
      <c r="CD164" s="137">
        <f t="shared" ref="CD164" si="2021">+CD163/CD161</f>
        <v>0.8529411764705882</v>
      </c>
      <c r="CE164" s="137">
        <f t="shared" ref="CE164" si="2022">+CE163/CE161</f>
        <v>0.8529411764705882</v>
      </c>
      <c r="CF164" s="137">
        <f t="shared" ref="CF164" si="2023">+CF163/CF161</f>
        <v>0.8529411764705882</v>
      </c>
      <c r="CG164" s="112">
        <f t="shared" ref="CG164" si="2024">+CG163/CG161</f>
        <v>0.8529411764705882</v>
      </c>
      <c r="CH164" s="137">
        <f t="shared" ref="CH164" si="2025">+CH163/CH161</f>
        <v>0.8529411764705882</v>
      </c>
      <c r="CI164" s="137">
        <f t="shared" ref="CI164" si="2026">+CI163/CI161</f>
        <v>0.8529411764705882</v>
      </c>
      <c r="CJ164" s="137">
        <f t="shared" ref="CJ164" si="2027">+CJ163/CJ161</f>
        <v>0.8529411764705882</v>
      </c>
      <c r="CK164" s="137">
        <f t="shared" ref="CK164" si="2028">+CK163/CK161</f>
        <v>0.8529411764705882</v>
      </c>
      <c r="CL164" s="112">
        <f t="shared" ref="CL164" si="2029">+CL163/CL161</f>
        <v>0.8529411764705882</v>
      </c>
      <c r="CM164" s="137">
        <f t="shared" ref="CM164" si="2030">+CM163/CM161</f>
        <v>0.8529411764705882</v>
      </c>
      <c r="CN164" s="137">
        <f t="shared" ref="CN164" si="2031">+CN163/CN161</f>
        <v>0.8529411764705882</v>
      </c>
      <c r="CO164" s="137">
        <f t="shared" ref="CO164" si="2032">+CO163/CO161</f>
        <v>0.8529411764705882</v>
      </c>
      <c r="CP164" s="137">
        <f t="shared" ref="CP164" si="2033">+CP163/CP161</f>
        <v>0.8529411764705882</v>
      </c>
      <c r="CQ164" s="112">
        <f t="shared" ref="CQ164" si="2034">+CQ163/CQ161</f>
        <v>0.8529411764705882</v>
      </c>
      <c r="CR164" s="137">
        <f t="shared" ref="CR164" si="2035">+CR163/CR161</f>
        <v>0.8529411764705882</v>
      </c>
      <c r="CS164" s="137">
        <f t="shared" ref="CS164" si="2036">+CS163/CS161</f>
        <v>0.8529411764705882</v>
      </c>
      <c r="CT164" s="137">
        <f t="shared" ref="CT164" si="2037">+CT163/CT161</f>
        <v>0.8529411764705882</v>
      </c>
      <c r="CU164" s="137">
        <f t="shared" ref="CU164" si="2038">+CU163/CU161</f>
        <v>0.8529411764705882</v>
      </c>
      <c r="CV164" s="112">
        <f t="shared" ref="CV164" si="2039">+CV163/CV161</f>
        <v>0.8529411764705882</v>
      </c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</row>
    <row r="165" spans="1:115" s="13" customFormat="1">
      <c r="A165" s="146"/>
      <c r="B165" s="34"/>
      <c r="C165" s="34"/>
      <c r="D165" s="34"/>
      <c r="E165" s="100"/>
      <c r="F165" s="83"/>
      <c r="G165" s="83"/>
      <c r="H165" s="83"/>
      <c r="I165" s="83"/>
      <c r="J165" s="100"/>
      <c r="K165" s="83"/>
      <c r="L165" s="83"/>
      <c r="M165" s="83"/>
      <c r="N165" s="83"/>
      <c r="O165" s="100"/>
      <c r="P165" s="83"/>
      <c r="Q165" s="83"/>
      <c r="R165" s="83"/>
      <c r="S165" s="83"/>
      <c r="T165" s="100"/>
      <c r="U165" s="83"/>
      <c r="V165" s="83"/>
      <c r="W165" s="83"/>
      <c r="X165" s="83"/>
      <c r="Y165" s="100"/>
      <c r="Z165" s="83"/>
      <c r="AA165" s="83"/>
      <c r="AB165" s="83"/>
      <c r="AC165" s="83"/>
      <c r="AD165" s="100"/>
      <c r="AE165" s="83"/>
      <c r="AF165" s="83"/>
      <c r="AG165" s="83"/>
      <c r="AH165" s="83"/>
      <c r="AI165" s="100"/>
      <c r="AJ165" s="83"/>
      <c r="AK165" s="83"/>
      <c r="AL165" s="83"/>
      <c r="AM165" s="83"/>
      <c r="AN165" s="100"/>
      <c r="AO165" s="83"/>
      <c r="AP165" s="83"/>
      <c r="AQ165" s="83"/>
      <c r="AR165" s="83"/>
      <c r="AS165" s="100"/>
      <c r="AT165" s="83"/>
      <c r="AU165" s="83"/>
      <c r="AV165" s="83"/>
      <c r="AW165" s="83"/>
      <c r="AX165" s="100"/>
      <c r="AY165" s="83"/>
      <c r="AZ165" s="83"/>
      <c r="BA165" s="83"/>
      <c r="BB165" s="83"/>
      <c r="BC165" s="100"/>
      <c r="BD165" s="83"/>
      <c r="BE165" s="83"/>
      <c r="BF165" s="83"/>
      <c r="BG165" s="83"/>
      <c r="BH165" s="100"/>
      <c r="BI165" s="83"/>
      <c r="BJ165" s="83"/>
      <c r="BK165" s="83"/>
      <c r="BL165" s="83"/>
      <c r="BM165" s="100"/>
      <c r="BN165" s="83"/>
      <c r="BO165" s="83"/>
      <c r="BP165" s="83"/>
      <c r="BQ165" s="83"/>
      <c r="BR165" s="100"/>
      <c r="BS165" s="83"/>
      <c r="BT165" s="83"/>
      <c r="BU165" s="83"/>
      <c r="BV165" s="83"/>
      <c r="BW165" s="100"/>
      <c r="BX165" s="83"/>
      <c r="BY165" s="83"/>
      <c r="BZ165" s="83"/>
      <c r="CA165" s="83"/>
      <c r="CB165" s="100"/>
      <c r="CC165" s="83"/>
      <c r="CD165" s="83"/>
      <c r="CE165" s="83"/>
      <c r="CF165" s="83"/>
      <c r="CG165" s="100"/>
      <c r="CH165" s="83"/>
      <c r="CI165" s="83"/>
      <c r="CJ165" s="83"/>
      <c r="CK165" s="83"/>
      <c r="CL165" s="100"/>
      <c r="CM165" s="83"/>
      <c r="CN165" s="83"/>
      <c r="CO165" s="83"/>
      <c r="CP165" s="83"/>
      <c r="CQ165" s="100"/>
      <c r="CR165" s="83"/>
      <c r="CS165" s="83"/>
      <c r="CT165" s="83"/>
      <c r="CU165" s="83"/>
      <c r="CV165" s="100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</row>
    <row r="166" spans="1:115" s="13" customFormat="1">
      <c r="A166" s="148" t="s">
        <v>75</v>
      </c>
      <c r="B166" s="71"/>
      <c r="C166" s="71"/>
      <c r="D166" s="71">
        <v>458.00549999999998</v>
      </c>
      <c r="E166" s="134">
        <v>458.00549999999998</v>
      </c>
      <c r="F166" s="136">
        <v>969.30399999999997</v>
      </c>
      <c r="G166" s="136">
        <v>1103.1400000000001</v>
      </c>
      <c r="H166" s="136">
        <v>1191.1310000000001</v>
      </c>
      <c r="I166" s="136">
        <v>1128.8415</v>
      </c>
      <c r="J166" s="134">
        <v>4392.4165000000003</v>
      </c>
      <c r="K166" s="136">
        <v>1034.059</v>
      </c>
      <c r="L166" s="136">
        <v>1145.3900000000001</v>
      </c>
      <c r="M166" s="136">
        <v>1210.508</v>
      </c>
      <c r="N166" s="136">
        <v>1112.067</v>
      </c>
      <c r="O166" s="134">
        <v>4502.0240000000003</v>
      </c>
      <c r="P166" s="136">
        <v>1060.6420000000001</v>
      </c>
      <c r="Q166" s="136">
        <v>1109.117</v>
      </c>
      <c r="R166" s="136">
        <v>1213.69</v>
      </c>
      <c r="S166" s="136">
        <v>1168.0595000000001</v>
      </c>
      <c r="T166" s="134">
        <v>4551.5084999999999</v>
      </c>
      <c r="U166" s="136">
        <v>1100.4000000000001</v>
      </c>
      <c r="V166" s="136">
        <v>1187.5999999999999</v>
      </c>
      <c r="W166" s="136">
        <v>1380</v>
      </c>
      <c r="X166" s="136">
        <v>1365</v>
      </c>
      <c r="Y166" s="134">
        <f>+SUM(U166:X166)</f>
        <v>5033</v>
      </c>
      <c r="Z166" s="136">
        <v>1398.492</v>
      </c>
      <c r="AA166" s="136">
        <v>1366.914</v>
      </c>
      <c r="AB166" s="136">
        <v>1424.2249999999999</v>
      </c>
      <c r="AC166" s="136">
        <v>1393.424</v>
      </c>
      <c r="AD166" s="134">
        <f>+SUM(Z166:AC166)</f>
        <v>5583.0549999999994</v>
      </c>
      <c r="AE166" s="302">
        <v>1328.2075</v>
      </c>
      <c r="AF166" s="302">
        <v>1397.152</v>
      </c>
      <c r="AG166" s="302">
        <v>1428.9179999999999</v>
      </c>
      <c r="AH166" s="300">
        <f>AC166*(1+AH167)</f>
        <v>1491.81</v>
      </c>
      <c r="AI166" s="301">
        <f>+SUM(AE166:AH166)</f>
        <v>5646.0874999999996</v>
      </c>
      <c r="AJ166" s="300">
        <f t="shared" ref="AJ166:AM166" si="2040">AE166*(1+AJ167)</f>
        <v>1421.5350000000001</v>
      </c>
      <c r="AK166" s="300">
        <f t="shared" si="2040"/>
        <v>1495.3240000000001</v>
      </c>
      <c r="AL166" s="300">
        <f t="shared" si="2040"/>
        <v>1529.3219999999999</v>
      </c>
      <c r="AM166" s="300">
        <f t="shared" si="2040"/>
        <v>1525.5139999999999</v>
      </c>
      <c r="AN166" s="301">
        <f>+SUM(AJ166:AM166)</f>
        <v>5971.6950000000006</v>
      </c>
      <c r="AO166" s="300">
        <f t="shared" ref="AO166" si="2041">AJ166*(1+AO167)</f>
        <v>1609.788</v>
      </c>
      <c r="AP166" s="300">
        <f t="shared" ref="AP166" si="2042">AK166*(1+AP167)</f>
        <v>1619.096</v>
      </c>
      <c r="AQ166" s="300">
        <f t="shared" ref="AQ166" si="2043">AL166*(1+AQ167)</f>
        <v>1734.17</v>
      </c>
      <c r="AR166" s="300">
        <f t="shared" ref="AR166" si="2044">AM166*(1+AR167)</f>
        <v>1720.2210000000002</v>
      </c>
      <c r="AS166" s="301">
        <f>+SUM(AO166:AR166)</f>
        <v>6683.2750000000005</v>
      </c>
      <c r="AT166" s="300">
        <f t="shared" ref="AT166" si="2045">AO166*(1+AT167)</f>
        <v>1845.8710000000001</v>
      </c>
      <c r="AU166" s="300">
        <f t="shared" ref="AU166" si="2046">AP166*(1+AU167)</f>
        <v>1856.6390000000001</v>
      </c>
      <c r="AV166" s="300">
        <f t="shared" ref="AV166" si="2047">AQ166*(1+AV167)</f>
        <v>1987.8889999999997</v>
      </c>
      <c r="AW166" s="300">
        <f t="shared" ref="AW166" si="2048">AR166*(1+AW167)</f>
        <v>1972.5090000000005</v>
      </c>
      <c r="AX166" s="301">
        <f>+SUM(AT166:AW166)</f>
        <v>7662.9079999999994</v>
      </c>
      <c r="AY166" s="300">
        <f t="shared" ref="AY166" si="2049">AT166*(1+AY167)</f>
        <v>2076.7379999999998</v>
      </c>
      <c r="AZ166" s="300">
        <f t="shared" ref="AZ166" si="2050">AU166*(1+AZ167)</f>
        <v>2088.9490000000001</v>
      </c>
      <c r="BA166" s="300">
        <f t="shared" ref="BA166" si="2051">AV166*(1+BA167)</f>
        <v>2235.8989999999999</v>
      </c>
      <c r="BB166" s="300">
        <f t="shared" ref="BB166" si="2052">AW166*(1+BB167)</f>
        <v>2219.2240000000006</v>
      </c>
      <c r="BC166" s="301">
        <f>+SUM(AY166:BB166)</f>
        <v>8620.81</v>
      </c>
      <c r="BD166" s="300">
        <f t="shared" ref="BD166" si="2053">AY166*(1+BD167)</f>
        <v>2334.569</v>
      </c>
      <c r="BE166" s="300">
        <f t="shared" ref="BE166" si="2054">AZ166*(1+BE167)</f>
        <v>2348.3879999999999</v>
      </c>
      <c r="BF166" s="300">
        <f t="shared" ref="BF166" si="2055">BA166*(1+BF167)</f>
        <v>2512.9090000000001</v>
      </c>
      <c r="BG166" s="300">
        <f t="shared" ref="BG166" si="2056">BB166*(1+BG167)</f>
        <v>2494.7550000000006</v>
      </c>
      <c r="BH166" s="301">
        <f>+SUM(BD166:BG166)</f>
        <v>9690.621000000001</v>
      </c>
      <c r="BI166" s="300">
        <f t="shared" ref="BI166" si="2057">BD166*(1+BI167)</f>
        <v>2432.0419999999999</v>
      </c>
      <c r="BJ166" s="300">
        <f t="shared" ref="BJ166" si="2058">BE166*(1+BJ167)</f>
        <v>2446.4690000000001</v>
      </c>
      <c r="BK166" s="300">
        <f t="shared" ref="BK166" si="2059">BF166*(1+BK167)</f>
        <v>2617.6280000000002</v>
      </c>
      <c r="BL166" s="300">
        <f t="shared" ref="BL166" si="2060">BG166*(1+BL167)</f>
        <v>2592.9190000000008</v>
      </c>
      <c r="BM166" s="301">
        <f>+SUM(BI166:BL166)</f>
        <v>10089.058000000001</v>
      </c>
      <c r="BN166" s="300">
        <f t="shared" ref="BN166" si="2061">BI166*(1+BN167)</f>
        <v>2531.6730000000002</v>
      </c>
      <c r="BO166" s="300">
        <f t="shared" ref="BO166" si="2062">BJ166*(1+BO167)</f>
        <v>2546.7139999999999</v>
      </c>
      <c r="BP166" s="300">
        <f t="shared" ref="BP166" si="2063">BK166*(1+BP167)</f>
        <v>2724.7130000000002</v>
      </c>
      <c r="BQ166" s="300">
        <f t="shared" ref="BQ166" si="2064">BL166*(1+BQ167)</f>
        <v>2705.3880000000008</v>
      </c>
      <c r="BR166" s="301">
        <f>+SUM(BN166:BQ166)</f>
        <v>10508.488000000001</v>
      </c>
      <c r="BS166" s="300">
        <f t="shared" ref="BS166" si="2065">BN166*(1+BS167)</f>
        <v>2633.3950000000004</v>
      </c>
      <c r="BT166" s="300">
        <f t="shared" ref="BT166" si="2066">BO166*(1+BT167)</f>
        <v>2649.0540000000001</v>
      </c>
      <c r="BU166" s="300">
        <f t="shared" ref="BU166" si="2067">BP166*(1+BU167)</f>
        <v>2834.1009999999997</v>
      </c>
      <c r="BV166" s="300">
        <f t="shared" ref="BV166" si="2068">BQ166*(1+BV167)</f>
        <v>2814.0910000000008</v>
      </c>
      <c r="BW166" s="301">
        <f>+SUM(BS166:BV166)</f>
        <v>10930.641000000001</v>
      </c>
      <c r="BX166" s="300">
        <f t="shared" ref="BX166" si="2069">BS166*(1+BX167)</f>
        <v>2737.1310000000003</v>
      </c>
      <c r="BY166" s="300">
        <f t="shared" ref="BY166" si="2070">BT166*(1+BY167)</f>
        <v>2753.4119999999998</v>
      </c>
      <c r="BZ166" s="300">
        <f t="shared" ref="BZ166" si="2071">BU166*(1+BZ167)</f>
        <v>2945.7149999999997</v>
      </c>
      <c r="CA166" s="300">
        <f t="shared" ref="CA166" si="2072">BV166*(1+CA167)</f>
        <v>2924.9460000000008</v>
      </c>
      <c r="CB166" s="301">
        <f>+SUM(BX166:CA166)</f>
        <v>11361.204000000002</v>
      </c>
      <c r="CC166" s="300">
        <f t="shared" ref="CC166" si="2073">BX166*(1+CC167)</f>
        <v>2842.8000000000006</v>
      </c>
      <c r="CD166" s="300">
        <f t="shared" ref="CD166" si="2074">BY166*(1+CD167)</f>
        <v>2859.703</v>
      </c>
      <c r="CE166" s="300">
        <f t="shared" ref="CE166" si="2075">BZ166*(1+CE167)</f>
        <v>3059.4739999999993</v>
      </c>
      <c r="CF166" s="300">
        <f t="shared" ref="CF166" si="2076">CA166*(1+CF167)</f>
        <v>3037.8650000000011</v>
      </c>
      <c r="CG166" s="301">
        <f>+SUM(CC166:CF166)</f>
        <v>11799.842000000001</v>
      </c>
      <c r="CH166" s="300">
        <f t="shared" ref="CH166" si="2077">CC166*(1+CH167)</f>
        <v>2950.3130000000006</v>
      </c>
      <c r="CI166" s="300">
        <f t="shared" ref="CI166" si="2078">CD166*(1+CI167)</f>
        <v>2967.8389999999999</v>
      </c>
      <c r="CJ166" s="300">
        <f t="shared" ref="CJ166" si="2079">CE166*(1+CJ167)</f>
        <v>3175.291999999999</v>
      </c>
      <c r="CK166" s="300">
        <f t="shared" ref="CK166" si="2080">CF166*(1+CK167)</f>
        <v>3152.7540000000013</v>
      </c>
      <c r="CL166" s="301">
        <f>+SUM(CH166:CK166)</f>
        <v>12246.198</v>
      </c>
      <c r="CM166" s="300">
        <f t="shared" ref="CM166" si="2081">CH166*(1+CM167)</f>
        <v>3059.5790000000006</v>
      </c>
      <c r="CN166" s="300">
        <f t="shared" ref="CN166" si="2082">CI166*(1+CN167)</f>
        <v>3077.7240000000006</v>
      </c>
      <c r="CO166" s="300">
        <f t="shared" ref="CO166" si="2083">CJ166*(1+CO167)</f>
        <v>3293.0769999999993</v>
      </c>
      <c r="CP166" s="300">
        <f t="shared" ref="CP166" si="2084">CK166*(1+CP167)</f>
        <v>3269.514000000001</v>
      </c>
      <c r="CQ166" s="301">
        <f>+SUM(CM166:CP166)</f>
        <v>12699.894000000002</v>
      </c>
      <c r="CR166" s="300">
        <f t="shared" ref="CR166" si="2085">CM166*(1+CR167)</f>
        <v>3123.8301590000005</v>
      </c>
      <c r="CS166" s="300">
        <f t="shared" ref="CS166" si="2086">CN166*(1+CS167)</f>
        <v>3142.3562040000002</v>
      </c>
      <c r="CT166" s="300">
        <f t="shared" ref="CT166" si="2087">CO166*(1+CT167)</f>
        <v>3362.231616999999</v>
      </c>
      <c r="CU166" s="300">
        <f t="shared" ref="CU166" si="2088">CP166*(1+CU167)</f>
        <v>3338.1737940000007</v>
      </c>
      <c r="CV166" s="301">
        <f>+SUM(CR166:CU166)</f>
        <v>12966.591774</v>
      </c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</row>
    <row r="167" spans="1:115" s="13" customFormat="1">
      <c r="A167" s="146" t="s">
        <v>70</v>
      </c>
      <c r="B167" s="34"/>
      <c r="C167" s="34"/>
      <c r="D167" s="34"/>
      <c r="E167" s="111"/>
      <c r="F167" s="83"/>
      <c r="G167" s="83"/>
      <c r="H167" s="83"/>
      <c r="I167" s="110">
        <f>+I166/D166-1</f>
        <v>1.4646898345107209</v>
      </c>
      <c r="J167" s="111">
        <f t="shared" ref="J167" si="2089">+J166/E166-1</f>
        <v>8.5903138717766492</v>
      </c>
      <c r="K167" s="110">
        <f t="shared" ref="K167" si="2090">+K166/F166-1</f>
        <v>6.6805666746448944E-2</v>
      </c>
      <c r="L167" s="110">
        <f t="shared" ref="L167" si="2091">+L166/G166-1</f>
        <v>3.8299762496147416E-2</v>
      </c>
      <c r="M167" s="110">
        <f t="shared" ref="M167" si="2092">+M166/H166-1</f>
        <v>1.6267732096637566E-2</v>
      </c>
      <c r="N167" s="110">
        <f t="shared" ref="N167" si="2093">+N166/I166-1</f>
        <v>-1.4859924976181271E-2</v>
      </c>
      <c r="O167" s="111">
        <f t="shared" ref="O167" si="2094">+O166/J166-1</f>
        <v>2.4953803902703742E-2</v>
      </c>
      <c r="P167" s="110">
        <f t="shared" ref="P167" si="2095">+P166/K166-1</f>
        <v>2.5707430620496519E-2</v>
      </c>
      <c r="Q167" s="110">
        <f t="shared" ref="Q167" si="2096">+Q166/L166-1</f>
        <v>-3.1668689267411176E-2</v>
      </c>
      <c r="R167" s="110">
        <f t="shared" ref="R167" si="2097">+R166/M166-1</f>
        <v>2.6286484682465083E-3</v>
      </c>
      <c r="S167" s="110">
        <f t="shared" ref="S167" si="2098">+S166/N166-1</f>
        <v>5.0349933951821413E-2</v>
      </c>
      <c r="T167" s="111">
        <f t="shared" ref="T167:X167" si="2099">+T166/O166-1</f>
        <v>1.0991611772838139E-2</v>
      </c>
      <c r="U167" s="110">
        <f t="shared" si="2099"/>
        <v>3.7484844084997526E-2</v>
      </c>
      <c r="V167" s="110">
        <f t="shared" si="2099"/>
        <v>7.0761696015839481E-2</v>
      </c>
      <c r="W167" s="110">
        <f t="shared" si="2099"/>
        <v>0.13702840099201596</v>
      </c>
      <c r="X167" s="110">
        <f t="shared" si="2099"/>
        <v>0.16860485274936754</v>
      </c>
      <c r="Y167" s="111">
        <f t="shared" ref="Y167" si="2100">+Y166/T166-1</f>
        <v>0.1057872351551139</v>
      </c>
      <c r="Z167" s="110">
        <f t="shared" ref="Z167" si="2101">+Z166/U166-1</f>
        <v>0.27089422028353316</v>
      </c>
      <c r="AA167" s="110">
        <f t="shared" ref="AA167" si="2102">+AA166/V166-1</f>
        <v>0.15098854833277198</v>
      </c>
      <c r="AB167" s="110">
        <f t="shared" ref="AB167" si="2103">+AB166/W166-1</f>
        <v>3.2047101449275361E-2</v>
      </c>
      <c r="AC167" s="110">
        <f t="shared" ref="AC167" si="2104">+AC166/X166-1</f>
        <v>2.0823443223443316E-2</v>
      </c>
      <c r="AD167" s="111">
        <f t="shared" ref="AD167:AI167" si="2105">+AD166/Y166-1</f>
        <v>0.10928968805881167</v>
      </c>
      <c r="AE167" s="110">
        <f t="shared" si="2105"/>
        <v>-5.0257348629809795E-2</v>
      </c>
      <c r="AF167" s="110">
        <f t="shared" si="2105"/>
        <v>2.2121362426604785E-2</v>
      </c>
      <c r="AG167" s="110">
        <f t="shared" si="2105"/>
        <v>3.2951254190876078E-3</v>
      </c>
      <c r="AH167" s="110">
        <v>7.0607367176107161E-2</v>
      </c>
      <c r="AI167" s="111">
        <f t="shared" si="2105"/>
        <v>1.1289965798294999E-2</v>
      </c>
      <c r="AJ167" s="110">
        <v>7.0265752903819756E-2</v>
      </c>
      <c r="AK167" s="110">
        <v>7.0265797851629674E-2</v>
      </c>
      <c r="AL167" s="110">
        <v>7.0265753528194086E-2</v>
      </c>
      <c r="AM167" s="110">
        <v>2.2592689417553213E-2</v>
      </c>
      <c r="AN167" s="111">
        <f t="shared" ref="AN167" si="2106">+AN166/AI166-1</f>
        <v>5.7669580926615227E-2</v>
      </c>
      <c r="AO167" s="110">
        <v>0.13242938091570022</v>
      </c>
      <c r="AP167" s="110">
        <v>8.2772696753345754E-2</v>
      </c>
      <c r="AQ167" s="110">
        <v>0.13394693857801054</v>
      </c>
      <c r="AR167" s="110">
        <v>0.12763370247667361</v>
      </c>
      <c r="AS167" s="111">
        <f t="shared" ref="AS167" si="2107">+AS166/AN166-1</f>
        <v>0.11915879829763565</v>
      </c>
      <c r="AT167" s="110">
        <v>0.14665471478231917</v>
      </c>
      <c r="AU167" s="110">
        <v>0.14671335115397732</v>
      </c>
      <c r="AV167" s="110">
        <v>0.14630572550557308</v>
      </c>
      <c r="AW167" s="110">
        <v>0.14666022563379943</v>
      </c>
      <c r="AX167" s="111">
        <f t="shared" ref="AX167" si="2108">+AX166/AS166-1</f>
        <v>0.14657978311531372</v>
      </c>
      <c r="AY167" s="110">
        <v>0.12507212042444982</v>
      </c>
      <c r="AZ167" s="110">
        <v>0.12512394708933727</v>
      </c>
      <c r="BA167" s="110">
        <v>0.12476048712981469</v>
      </c>
      <c r="BB167" s="110">
        <v>0.12507674236213884</v>
      </c>
      <c r="BC167" s="111">
        <f t="shared" ref="BC167" si="2109">+BC166/AX166-1</f>
        <v>0.1250050242023002</v>
      </c>
      <c r="BD167" s="110">
        <v>0.124151915166959</v>
      </c>
      <c r="BE167" s="110">
        <v>0.12419594734002604</v>
      </c>
      <c r="BF167" s="110">
        <v>0.12389200048839433</v>
      </c>
      <c r="BG167" s="110">
        <v>0.12415646189839324</v>
      </c>
      <c r="BH167" s="111">
        <f t="shared" ref="BH167" si="2110">+BH166/BC166-1</f>
        <v>0.12409634361504329</v>
      </c>
      <c r="BI167" s="110">
        <v>4.1752032173818732E-2</v>
      </c>
      <c r="BJ167" s="110">
        <v>4.1765244925455303E-2</v>
      </c>
      <c r="BK167" s="110">
        <v>4.1672420290587597E-2</v>
      </c>
      <c r="BL167" s="110">
        <v>3.9348152423785088E-2</v>
      </c>
      <c r="BM167" s="111">
        <f t="shared" ref="BM167" si="2111">+BM166/BH166-1</f>
        <v>4.111573448182515E-2</v>
      </c>
      <c r="BN167" s="110">
        <v>4.0965986607139238E-2</v>
      </c>
      <c r="BO167" s="110">
        <v>4.09753812535536E-2</v>
      </c>
      <c r="BP167" s="110">
        <v>4.0909174260055359E-2</v>
      </c>
      <c r="BQ167" s="110">
        <v>4.3375439032225849E-2</v>
      </c>
      <c r="BR167" s="111">
        <f t="shared" ref="BR167" si="2112">+BR166/BM166-1</f>
        <v>4.1572761302393069E-2</v>
      </c>
      <c r="BS167" s="110">
        <v>4.0179754652358346E-2</v>
      </c>
      <c r="BT167" s="110">
        <v>4.0185116978192381E-2</v>
      </c>
      <c r="BU167" s="110">
        <v>4.0146613606643955E-2</v>
      </c>
      <c r="BV167" s="110">
        <v>4.0180188571842468E-2</v>
      </c>
      <c r="BW167" s="111">
        <f t="shared" ref="BW167" si="2113">+BW166/BR166-1</f>
        <v>4.0172572876326251E-2</v>
      </c>
      <c r="BX167" s="110">
        <v>3.939249523903543E-2</v>
      </c>
      <c r="BY167" s="110">
        <v>3.939444043043272E-2</v>
      </c>
      <c r="BZ167" s="110">
        <v>3.9382506128045502E-2</v>
      </c>
      <c r="CA167" s="110">
        <v>3.9392827026560218E-2</v>
      </c>
      <c r="CB167" s="111">
        <f t="shared" ref="CB167" si="2114">+CB166/BW166-1</f>
        <v>3.939046209641317E-2</v>
      </c>
      <c r="CC167" s="110">
        <v>3.860575178900838E-2</v>
      </c>
      <c r="CD167" s="110">
        <v>3.8603376465272898E-2</v>
      </c>
      <c r="CE167" s="110">
        <v>3.8618467842272519E-2</v>
      </c>
      <c r="CF167" s="110">
        <v>3.8605499041691749E-2</v>
      </c>
      <c r="CG167" s="111">
        <f t="shared" ref="CG167" si="2115">+CG166/CB166-1</f>
        <v>3.8608408052526633E-2</v>
      </c>
      <c r="CH167" s="110">
        <v>3.7819403405093599E-2</v>
      </c>
      <c r="CI167" s="110">
        <v>3.7813717018865267E-2</v>
      </c>
      <c r="CJ167" s="110">
        <v>3.785552679970472E-2</v>
      </c>
      <c r="CK167" s="110">
        <v>3.7818994589950528E-2</v>
      </c>
      <c r="CL167" s="111">
        <f t="shared" ref="CL167" si="2116">+CL166/CG166-1</f>
        <v>3.7827286161967288E-2</v>
      </c>
      <c r="CM167" s="110">
        <v>3.7035392515980536E-2</v>
      </c>
      <c r="CN167" s="110">
        <v>3.7025256423950381E-2</v>
      </c>
      <c r="CO167" s="110">
        <v>3.7094226294778654E-2</v>
      </c>
      <c r="CP167" s="110">
        <v>3.7034288117626657E-2</v>
      </c>
      <c r="CQ167" s="111">
        <f t="shared" ref="CQ167" si="2117">+CQ166/CL166-1</f>
        <v>3.7047906623753901E-2</v>
      </c>
      <c r="CR167" s="110">
        <v>2.0999999999999998E-2</v>
      </c>
      <c r="CS167" s="110">
        <v>2.0999999999999998E-2</v>
      </c>
      <c r="CT167" s="110">
        <v>2.0999999999999998E-2</v>
      </c>
      <c r="CU167" s="110">
        <v>2.0999999999999998E-2</v>
      </c>
      <c r="CV167" s="111">
        <f t="shared" ref="CV167" si="2118">+CV166/CQ166-1</f>
        <v>2.0999999999999908E-2</v>
      </c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</row>
    <row r="168" spans="1:115" s="13" customFormat="1">
      <c r="A168" s="146" t="s">
        <v>76</v>
      </c>
      <c r="B168" s="34"/>
      <c r="C168" s="34"/>
      <c r="D168" s="34"/>
      <c r="E168" s="118"/>
      <c r="F168" s="119"/>
      <c r="G168" s="119"/>
      <c r="H168" s="119"/>
      <c r="I168" s="119"/>
      <c r="J168" s="118">
        <f>+J167/(J$4/100)</f>
        <v>114.02644487918413</v>
      </c>
      <c r="K168" s="119">
        <f t="shared" ref="K168" si="2119">+K167/(K$4/100)</f>
        <v>1.5772220128725987</v>
      </c>
      <c r="L168" s="119">
        <f t="shared" ref="L168" si="2120">+L167/(L$4/100)</f>
        <v>1.1555710783665833</v>
      </c>
      <c r="M168" s="119">
        <f t="shared" ref="M168" si="2121">+M167/(M$4/100)</f>
        <v>0.76663476478875292</v>
      </c>
      <c r="N168" s="119">
        <f t="shared" ref="N168" si="2122">+N167/(N$4/100)</f>
        <v>-1.0874763278023705</v>
      </c>
      <c r="O168" s="118">
        <f t="shared" ref="O168" si="2123">+O167/(O$4/100)</f>
        <v>0.91321937755196469</v>
      </c>
      <c r="P168" s="119">
        <f t="shared" ref="P168" si="2124">+P167/(P$4/100)</f>
        <v>3.4151668000584747</v>
      </c>
      <c r="Q168" s="119">
        <f t="shared" ref="Q168" si="2125">+Q167/(Q$4/100)</f>
        <v>-6.4659546311737319</v>
      </c>
      <c r="R168" s="119">
        <f t="shared" ref="R168" si="2126">+R167/(R$4/100)</f>
        <v>0.4381080780410847</v>
      </c>
      <c r="S168" s="119">
        <f t="shared" ref="S168" si="2127">+S167/(S$4/100)</f>
        <v>1.7067774220956411</v>
      </c>
      <c r="T168" s="118">
        <f t="shared" ref="T168" si="2128">+T167/(T$4/100)</f>
        <v>1.0991611772838139</v>
      </c>
      <c r="U168" s="119">
        <f t="shared" ref="U168:V168" si="2129">+U167/(U$4/100)</f>
        <v>1.3849083883770272</v>
      </c>
      <c r="V168" s="119">
        <f t="shared" si="2129"/>
        <v>2.1442938186618026</v>
      </c>
      <c r="W168" s="119">
        <f t="shared" ref="W168:X168" si="2130">+W167/(W$4/100)</f>
        <v>3.5696919500446573</v>
      </c>
      <c r="X168" s="119">
        <f t="shared" si="2130"/>
        <v>4.8565490705683398</v>
      </c>
      <c r="Y168" s="118">
        <f>(+Y167/(Y$4/100))</f>
        <v>3.2056737925792089</v>
      </c>
      <c r="Z168" s="119">
        <f t="shared" ref="Z168:AE168" si="2131">+Z167/(Z$4/100)</f>
        <v>13.544711014176658</v>
      </c>
      <c r="AA168" s="119">
        <f t="shared" si="2131"/>
        <v>7.5494274166385988</v>
      </c>
      <c r="AB168" s="119">
        <f t="shared" si="2131"/>
        <v>1.6023550724637681</v>
      </c>
      <c r="AC168" s="119">
        <f t="shared" si="2131"/>
        <v>1.0411721611721658</v>
      </c>
      <c r="AD168" s="118">
        <f>(+AD167/(AD$4/100))</f>
        <v>75.589119848984495</v>
      </c>
      <c r="AE168" s="119">
        <f t="shared" si="2131"/>
        <v>1.6212047945099934</v>
      </c>
      <c r="AF168" s="119">
        <f t="shared" ref="AF168:AG168" si="2132">+AF167/(AF$4/100)</f>
        <v>-0.71359233634208985</v>
      </c>
      <c r="AG168" s="119">
        <f t="shared" si="2132"/>
        <v>-0.10629436835766477</v>
      </c>
      <c r="AH168" s="119">
        <f t="shared" ref="AH168" si="2133">+AH167/(AH$4/100)</f>
        <v>-2.2776570056808763</v>
      </c>
      <c r="AI168" s="118">
        <f>(+AI167/(AI$4/100))</f>
        <v>-0.36419244510629029</v>
      </c>
      <c r="AJ168" s="119">
        <f t="shared" ref="AJ168:AM168" si="2134">+AJ167/(AJ$4/100)</f>
        <v>-3.5132876451909878</v>
      </c>
      <c r="AK168" s="119">
        <f t="shared" si="2134"/>
        <v>-3.5132898925814837</v>
      </c>
      <c r="AL168" s="119">
        <f t="shared" si="2134"/>
        <v>-3.5132876764097043</v>
      </c>
      <c r="AM168" s="119">
        <f t="shared" si="2134"/>
        <v>-1.1296344708776607</v>
      </c>
      <c r="AN168" s="118">
        <f>(+AN167/(AN$4/100))</f>
        <v>-2.8834790463307614</v>
      </c>
      <c r="AO168" s="119">
        <f t="shared" ref="AO168:AR168" si="2135">+AO167/(AO$4/100)</f>
        <v>13.242938091570021</v>
      </c>
      <c r="AP168" s="119">
        <f t="shared" si="2135"/>
        <v>8.2772696753345745</v>
      </c>
      <c r="AQ168" s="119">
        <f t="shared" si="2135"/>
        <v>13.394693857801053</v>
      </c>
      <c r="AR168" s="119">
        <f t="shared" si="2135"/>
        <v>12.763370247667361</v>
      </c>
      <c r="AS168" s="118">
        <f>(+AS167/(AS$4/100))</f>
        <v>11.915879829763565</v>
      </c>
      <c r="AT168" s="119">
        <f t="shared" ref="AT168:AW168" si="2136">+AT167/(AT$4/100)</f>
        <v>7.3327357391159582</v>
      </c>
      <c r="AU168" s="119">
        <f t="shared" si="2136"/>
        <v>7.3356675576988657</v>
      </c>
      <c r="AV168" s="119">
        <f t="shared" si="2136"/>
        <v>7.3152862752786536</v>
      </c>
      <c r="AW168" s="119">
        <f t="shared" si="2136"/>
        <v>7.3330112816899717</v>
      </c>
      <c r="AX168" s="118">
        <f>(+AX167/(AX$4/100))</f>
        <v>7.3289891557656857</v>
      </c>
      <c r="AY168" s="119">
        <f t="shared" ref="AY168:BB168" si="2137">+AY167/(AY$4/100)</f>
        <v>6.2536060212224909</v>
      </c>
      <c r="AZ168" s="119">
        <f t="shared" si="2137"/>
        <v>6.2561973544668632</v>
      </c>
      <c r="BA168" s="119">
        <f t="shared" si="2137"/>
        <v>6.2380243564907341</v>
      </c>
      <c r="BB168" s="119">
        <f t="shared" si="2137"/>
        <v>6.2538371181069419</v>
      </c>
      <c r="BC168" s="118">
        <f>(+BC167/(BC$4/100))</f>
        <v>6.2502512101150094</v>
      </c>
      <c r="BD168" s="119">
        <f t="shared" ref="BD168:BG168" si="2138">+BD167/(BD$4/100)</f>
        <v>6.2075957583479502</v>
      </c>
      <c r="BE168" s="119">
        <f t="shared" si="2138"/>
        <v>6.2097973670013014</v>
      </c>
      <c r="BF168" s="119">
        <f t="shared" si="2138"/>
        <v>6.1946000244197164</v>
      </c>
      <c r="BG168" s="119">
        <f t="shared" si="2138"/>
        <v>6.2078230949196618</v>
      </c>
      <c r="BH168" s="118">
        <f>(+BH167/(BH$4/100))</f>
        <v>6.2048171807521646</v>
      </c>
      <c r="BI168" s="119">
        <f t="shared" ref="BI168:BL168" si="2139">+BI167/(BI$4/100)</f>
        <v>2.0876016086909366</v>
      </c>
      <c r="BJ168" s="119">
        <f t="shared" si="2139"/>
        <v>2.0882622462727651</v>
      </c>
      <c r="BK168" s="119">
        <f t="shared" si="2139"/>
        <v>2.0836210145293799</v>
      </c>
      <c r="BL168" s="119">
        <f t="shared" si="2139"/>
        <v>1.9674076211892544</v>
      </c>
      <c r="BM168" s="118">
        <f>(+BM167/(BM$4/100))</f>
        <v>2.0557867240912575</v>
      </c>
      <c r="BN168" s="119">
        <f t="shared" ref="BN168:BQ168" si="2140">+BN167/(BN$4/100)</f>
        <v>2.0482993303569619</v>
      </c>
      <c r="BO168" s="119">
        <f t="shared" si="2140"/>
        <v>2.04876906267768</v>
      </c>
      <c r="BP168" s="119">
        <f t="shared" si="2140"/>
        <v>2.0454587130027679</v>
      </c>
      <c r="BQ168" s="119">
        <f t="shared" si="2140"/>
        <v>2.1687719516112924</v>
      </c>
      <c r="BR168" s="118">
        <f>(+BR167/(BR$4/100))</f>
        <v>2.0786380651196534</v>
      </c>
      <c r="BS168" s="119">
        <f t="shared" ref="BS168:BV168" si="2141">+BS167/(BS$4/100)</f>
        <v>2.0089877326179173</v>
      </c>
      <c r="BT168" s="119">
        <f t="shared" si="2141"/>
        <v>2.0092558489096191</v>
      </c>
      <c r="BU168" s="119">
        <f t="shared" si="2141"/>
        <v>2.0073306803321977</v>
      </c>
      <c r="BV168" s="119">
        <f t="shared" si="2141"/>
        <v>2.0090094285921234</v>
      </c>
      <c r="BW168" s="118">
        <f>(+BW167/(BW$4/100))</f>
        <v>2.0086286438163126</v>
      </c>
      <c r="BX168" s="119">
        <f t="shared" ref="BX168:CA168" si="2142">+BX167/(BX$4/100)</f>
        <v>1.9696247619517715</v>
      </c>
      <c r="BY168" s="119">
        <f t="shared" si="2142"/>
        <v>1.969722021521636</v>
      </c>
      <c r="BZ168" s="119">
        <f t="shared" si="2142"/>
        <v>1.9691253064022751</v>
      </c>
      <c r="CA168" s="119">
        <f t="shared" si="2142"/>
        <v>1.9696413513280109</v>
      </c>
      <c r="CB168" s="118">
        <f>(+CB167/(CB$4/100))</f>
        <v>1.9695231048206585</v>
      </c>
      <c r="CC168" s="119">
        <f t="shared" ref="CC168:CF168" si="2143">+CC167/(CC$4/100)</f>
        <v>1.930287589450419</v>
      </c>
      <c r="CD168" s="119">
        <f t="shared" si="2143"/>
        <v>1.9301688232636449</v>
      </c>
      <c r="CE168" s="119">
        <f t="shared" si="2143"/>
        <v>1.930923392113626</v>
      </c>
      <c r="CF168" s="119">
        <f t="shared" si="2143"/>
        <v>1.9302749520845874</v>
      </c>
      <c r="CG168" s="118">
        <f>(+CG167/(CG$4/100))</f>
        <v>1.9304204026263316</v>
      </c>
      <c r="CH168" s="119">
        <f t="shared" ref="CH168:CK168" si="2144">+CH167/(CH$4/100)</f>
        <v>1.8909701702546799</v>
      </c>
      <c r="CI168" s="119">
        <f t="shared" si="2144"/>
        <v>1.8906858509432634</v>
      </c>
      <c r="CJ168" s="119">
        <f t="shared" si="2144"/>
        <v>1.892776339985236</v>
      </c>
      <c r="CK168" s="119">
        <f t="shared" si="2144"/>
        <v>1.8909497294975264</v>
      </c>
      <c r="CL168" s="118">
        <f>(+CL167/(CL$4/100))</f>
        <v>1.8913643080983644</v>
      </c>
      <c r="CM168" s="119">
        <f t="shared" ref="CM168:CU168" si="2145">+CM167/(CM$4/100)</f>
        <v>1.8517696257990268</v>
      </c>
      <c r="CN168" s="119">
        <f t="shared" si="2145"/>
        <v>1.8512628211975191</v>
      </c>
      <c r="CO168" s="119">
        <f t="shared" si="2145"/>
        <v>1.8547113147389327</v>
      </c>
      <c r="CP168" s="119">
        <f t="shared" si="2145"/>
        <v>1.8517144058813328</v>
      </c>
      <c r="CQ168" s="118">
        <f>(+CQ167/(CQ$4/100))</f>
        <v>1.8523953311876951</v>
      </c>
      <c r="CR168" s="119">
        <f t="shared" si="2145"/>
        <v>1.0499999999999998</v>
      </c>
      <c r="CS168" s="119">
        <f t="shared" si="2145"/>
        <v>1.0499999999999998</v>
      </c>
      <c r="CT168" s="119">
        <f t="shared" si="2145"/>
        <v>1.0499999999999998</v>
      </c>
      <c r="CU168" s="119">
        <f t="shared" si="2145"/>
        <v>1.0499999999999998</v>
      </c>
      <c r="CV168" s="118">
        <f>(+CV167/(CV$4/100))</f>
        <v>1.0499999999999954</v>
      </c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</row>
    <row r="169" spans="1:115">
      <c r="A169" s="146"/>
      <c r="B169" s="34"/>
      <c r="C169" s="34"/>
      <c r="D169" s="34"/>
      <c r="E169" s="100"/>
      <c r="J169" s="100"/>
      <c r="O169" s="100"/>
      <c r="T169" s="100"/>
      <c r="Y169" s="100"/>
      <c r="AD169" s="100"/>
      <c r="AI169" s="100"/>
      <c r="AN169" s="100"/>
      <c r="AS169" s="100"/>
      <c r="AX169" s="100"/>
      <c r="BC169" s="100"/>
      <c r="BH169" s="100"/>
      <c r="BM169" s="100"/>
      <c r="BR169" s="100"/>
      <c r="BW169" s="100"/>
      <c r="CB169" s="100"/>
      <c r="CG169" s="100"/>
      <c r="CL169" s="100"/>
      <c r="CQ169" s="100"/>
      <c r="CV169" s="100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</row>
    <row r="170" spans="1:115" s="15" customFormat="1">
      <c r="A170" s="150" t="s">
        <v>88</v>
      </c>
      <c r="B170" s="28"/>
      <c r="C170" s="28"/>
      <c r="D170" s="28"/>
      <c r="E170" s="107"/>
      <c r="F170" s="108"/>
      <c r="G170" s="108"/>
      <c r="H170" s="108"/>
      <c r="I170" s="108"/>
      <c r="J170" s="107"/>
      <c r="K170" s="108"/>
      <c r="L170" s="108"/>
      <c r="M170" s="108"/>
      <c r="N170" s="108"/>
      <c r="O170" s="107"/>
      <c r="P170" s="108"/>
      <c r="Q170" s="108"/>
      <c r="R170" s="108">
        <f>+R166*R158/1000</f>
        <v>3.0342250000000002</v>
      </c>
      <c r="S170" s="108">
        <f>+S166*S158/1000</f>
        <v>2.9201487500000001</v>
      </c>
      <c r="T170" s="107">
        <f>+T166*T158/1000</f>
        <v>11.37877125</v>
      </c>
      <c r="U170" s="108">
        <f>+U166*U158/1000</f>
        <v>2.7509999999999999</v>
      </c>
      <c r="V170" s="108">
        <f t="shared" ref="V170:X170" si="2146">+V166*V158/1000</f>
        <v>3.0140860463999997</v>
      </c>
      <c r="W170" s="108">
        <f t="shared" ref="W170" si="2147">+W166*W158/1000</f>
        <v>3.5023903199999999</v>
      </c>
      <c r="X170" s="108">
        <f t="shared" si="2146"/>
        <v>3.4643208600000004</v>
      </c>
      <c r="Y170" s="107">
        <f>+SUM(U170:X170)</f>
        <v>12.731797226400001</v>
      </c>
      <c r="Z170" s="108">
        <f t="shared" ref="Z170:AC170" si="2148">+Z166*Z158/1000</f>
        <v>3.549322350288</v>
      </c>
      <c r="AA170" s="108">
        <f t="shared" si="2148"/>
        <v>3.4691785230959997</v>
      </c>
      <c r="AB170" s="108">
        <f t="shared" si="2148"/>
        <v>3.8463296748633899</v>
      </c>
      <c r="AC170" s="108">
        <f t="shared" si="2148"/>
        <v>3.7631470314499773</v>
      </c>
      <c r="AD170" s="107">
        <f>+SUM(Z170:AC170)</f>
        <v>14.627977579697367</v>
      </c>
      <c r="AE170" s="108">
        <f t="shared" ref="AE170:AH170" si="2149">+AE166*AE158/1000</f>
        <v>3.5870202542618728</v>
      </c>
      <c r="AF170" s="108">
        <f t="shared" si="2149"/>
        <v>3.7732150453016446</v>
      </c>
      <c r="AG170" s="108">
        <f t="shared" si="2149"/>
        <v>4.2449041948997452</v>
      </c>
      <c r="AH170" s="108">
        <f t="shared" si="2149"/>
        <v>4.4317382292009686</v>
      </c>
      <c r="AI170" s="107">
        <f>+SUM(AE170:AH170)</f>
        <v>16.036877723664233</v>
      </c>
      <c r="AJ170" s="108">
        <f t="shared" ref="AJ170:AM170" si="2150">+AJ166*AJ158/1000</f>
        <v>4.2229714264197185</v>
      </c>
      <c r="AK170" s="108">
        <f t="shared" si="2150"/>
        <v>4.4421773120180923</v>
      </c>
      <c r="AL170" s="108">
        <f t="shared" si="2150"/>
        <v>4.833938824365168</v>
      </c>
      <c r="AM170" s="108">
        <f t="shared" si="2150"/>
        <v>4.8219023539271681</v>
      </c>
      <c r="AN170" s="107">
        <f>+SUM(AJ170:AM170)</f>
        <v>18.320989916730149</v>
      </c>
      <c r="AO170" s="108">
        <f t="shared" ref="AO170:AR170" si="2151">+AO166*AO158/1000</f>
        <v>5.0882788008000643</v>
      </c>
      <c r="AP170" s="108">
        <f t="shared" si="2151"/>
        <v>5.1176998792761417</v>
      </c>
      <c r="AQ170" s="108">
        <f t="shared" si="2151"/>
        <v>5.7555016377203838</v>
      </c>
      <c r="AR170" s="108">
        <f t="shared" si="2151"/>
        <v>5.7092065845568758</v>
      </c>
      <c r="AS170" s="107">
        <f>+SUM(AO170:AR170)</f>
        <v>21.670686902353467</v>
      </c>
      <c r="AT170" s="108">
        <f t="shared" ref="AT170:AW170" si="2152">+AT166*AT158/1000</f>
        <v>6.1262238209175361</v>
      </c>
      <c r="AU170" s="108">
        <f t="shared" si="2152"/>
        <v>8.2640243258609942</v>
      </c>
      <c r="AV170" s="108">
        <f t="shared" si="2152"/>
        <v>9.2906381939445719</v>
      </c>
      <c r="AW170" s="108">
        <f t="shared" si="2152"/>
        <v>9.2187579152052361</v>
      </c>
      <c r="AX170" s="107">
        <f>+SUM(AT170:AW170)</f>
        <v>32.899644255928337</v>
      </c>
      <c r="AY170" s="108">
        <f t="shared" ref="AY170:BB170" si="2153">+AY166*AY158/1000</f>
        <v>9.7058846754602826</v>
      </c>
      <c r="AZ170" s="108">
        <f t="shared" si="2153"/>
        <v>9.7629542517727721</v>
      </c>
      <c r="BA170" s="108">
        <f t="shared" si="2153"/>
        <v>10.919981164102516</v>
      </c>
      <c r="BB170" s="108">
        <f t="shared" si="2153"/>
        <v>10.838541579438182</v>
      </c>
      <c r="BC170" s="107">
        <f>+SUM(AY170:BB170)</f>
        <v>41.227361670773753</v>
      </c>
      <c r="BD170" s="108">
        <f t="shared" ref="BD170:BG170" si="2154">+BD166*BD158/1000</f>
        <v>11.401878844392188</v>
      </c>
      <c r="BE170" s="108">
        <f t="shared" si="2154"/>
        <v>11.469369916084933</v>
      </c>
      <c r="BF170" s="108">
        <f t="shared" si="2154"/>
        <v>12.825159052230605</v>
      </c>
      <c r="BG170" s="108">
        <f t="shared" si="2154"/>
        <v>12.732506299013442</v>
      </c>
      <c r="BH170" s="107">
        <f>+SUM(BD170:BG170)</f>
        <v>48.42891411172117</v>
      </c>
      <c r="BI170" s="108">
        <f t="shared" ref="BI170:BL170" si="2155">+BI166*BI158/1000</f>
        <v>12.41243732729877</v>
      </c>
      <c r="BJ170" s="108">
        <f t="shared" si="2155"/>
        <v>12.486068552960557</v>
      </c>
      <c r="BK170" s="108">
        <f t="shared" si="2155"/>
        <v>13.960797121723488</v>
      </c>
      <c r="BL170" s="108">
        <f t="shared" si="2155"/>
        <v>13.829014707996</v>
      </c>
      <c r="BM170" s="107">
        <f>+SUM(BI170:BL170)</f>
        <v>52.688317709978818</v>
      </c>
      <c r="BN170" s="108">
        <f t="shared" ref="BN170:BQ170" si="2156">+BN166*BN158/1000</f>
        <v>13.502366696698335</v>
      </c>
      <c r="BO170" s="108">
        <f t="shared" si="2156"/>
        <v>13.582586021028545</v>
      </c>
      <c r="BP170" s="108">
        <f t="shared" si="2156"/>
        <v>15.185858285164693</v>
      </c>
      <c r="BQ170" s="108">
        <f t="shared" si="2156"/>
        <v>15.078152735493664</v>
      </c>
      <c r="BR170" s="107">
        <f>+SUM(BN170:BQ170)</f>
        <v>57.348963738385237</v>
      </c>
      <c r="BS170" s="108">
        <f t="shared" ref="BS170:BV170" si="2157">+BS166*BS158/1000</f>
        <v>14.676908459298753</v>
      </c>
      <c r="BT170" s="108">
        <f t="shared" si="2157"/>
        <v>14.764182001461684</v>
      </c>
      <c r="BU170" s="108">
        <f t="shared" si="2157"/>
        <v>16.506317428175553</v>
      </c>
      <c r="BV170" s="108">
        <f t="shared" si="2157"/>
        <v>16.389775564728279</v>
      </c>
      <c r="BW170" s="107">
        <f>+SUM(BS170:BV170)</f>
        <v>62.337183453664267</v>
      </c>
      <c r="BX170" s="108">
        <f t="shared" ref="BX170:CA170" si="2158">+BX166*BX158/1000</f>
        <v>15.941546588671184</v>
      </c>
      <c r="BY170" s="108">
        <f t="shared" si="2158"/>
        <v>16.036370080864337</v>
      </c>
      <c r="BZ170" s="108">
        <f t="shared" si="2158"/>
        <v>17.928414566337029</v>
      </c>
      <c r="CA170" s="108">
        <f t="shared" si="2158"/>
        <v>17.802008840688679</v>
      </c>
      <c r="CB170" s="107">
        <f>+SUM(BX170:CA170)</f>
        <v>67.708340076561228</v>
      </c>
      <c r="CC170" s="108">
        <f t="shared" ref="CC170:CF170" si="2159">+CC166*CC158/1000</f>
        <v>17.302046168479613</v>
      </c>
      <c r="CD170" s="108">
        <f t="shared" si="2159"/>
        <v>17.404922377282837</v>
      </c>
      <c r="CE170" s="108">
        <f t="shared" si="2159"/>
        <v>19.458717678777898</v>
      </c>
      <c r="CF170" s="108">
        <f t="shared" si="2159"/>
        <v>19.321281168344839</v>
      </c>
      <c r="CG170" s="107">
        <f>+SUM(CC170:CF170)</f>
        <v>73.486967392885191</v>
      </c>
      <c r="CH170" s="108">
        <f t="shared" ref="CH170:CK170" si="2160">+CH166*CH158/1000</f>
        <v>18.764437197710546</v>
      </c>
      <c r="CI170" s="108">
        <f t="shared" si="2160"/>
        <v>18.875905210198397</v>
      </c>
      <c r="CJ170" s="108">
        <f t="shared" si="2160"/>
        <v>21.104127883285727</v>
      </c>
      <c r="CK170" s="108">
        <f t="shared" si="2160"/>
        <v>20.954332263155848</v>
      </c>
      <c r="CL170" s="107">
        <f>+SUM(CH170:CK170)</f>
        <v>79.698802554350522</v>
      </c>
      <c r="CM170" s="108">
        <f t="shared" ref="CM170:CP170" si="2161">+CM166*CM158/1000</f>
        <v>20.335057841929338</v>
      </c>
      <c r="CN170" s="108">
        <f t="shared" si="2161"/>
        <v>20.455656010677984</v>
      </c>
      <c r="CO170" s="108">
        <f t="shared" si="2161"/>
        <v>22.871882791785676</v>
      </c>
      <c r="CP170" s="108">
        <f t="shared" si="2161"/>
        <v>22.708227288369628</v>
      </c>
      <c r="CQ170" s="107">
        <f>+SUM(CM170:CP170)</f>
        <v>86.370823932762633</v>
      </c>
      <c r="CR170" s="108">
        <f t="shared" ref="CR170:CU170" si="2162">+CR166*CR158/1000</f>
        <v>21.696388289157298</v>
      </c>
      <c r="CS170" s="108">
        <f t="shared" si="2162"/>
        <v>21.825059902312816</v>
      </c>
      <c r="CT170" s="108">
        <f t="shared" si="2162"/>
        <v>24.40304098528177</v>
      </c>
      <c r="CU170" s="108">
        <f t="shared" si="2162"/>
        <v>24.228429564189533</v>
      </c>
      <c r="CV170" s="107">
        <f>+SUM(CR170:CU170)</f>
        <v>92.152918740941402</v>
      </c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</row>
    <row r="171" spans="1:115" s="15" customFormat="1">
      <c r="A171" s="146" t="s">
        <v>89</v>
      </c>
      <c r="B171" s="34"/>
      <c r="C171" s="34"/>
      <c r="D171" s="34"/>
      <c r="E171" s="100"/>
      <c r="F171" s="83"/>
      <c r="G171" s="83"/>
      <c r="H171" s="83"/>
      <c r="I171" s="83"/>
      <c r="J171" s="100"/>
      <c r="K171" s="83"/>
      <c r="L171" s="83"/>
      <c r="M171" s="83"/>
      <c r="N171" s="83"/>
      <c r="O171" s="100"/>
      <c r="P171" s="83"/>
      <c r="Q171" s="83"/>
      <c r="R171" s="83"/>
      <c r="S171" s="83"/>
      <c r="T171" s="100"/>
      <c r="U171" s="83"/>
      <c r="V171" s="83"/>
      <c r="W171" s="83"/>
      <c r="X171" s="83"/>
      <c r="Y171" s="111">
        <f t="shared" ref="Y171:AI171" si="2163">+Y170/T170-1</f>
        <v>0.11890791603706785</v>
      </c>
      <c r="Z171" s="110">
        <f t="shared" si="2163"/>
        <v>0.29019351155507089</v>
      </c>
      <c r="AA171" s="110">
        <f t="shared" si="2163"/>
        <v>0.15098854833277198</v>
      </c>
      <c r="AB171" s="110">
        <f t="shared" si="2163"/>
        <v>9.8201320652173907E-2</v>
      </c>
      <c r="AC171" s="110">
        <f t="shared" si="2163"/>
        <v>8.6258225934065624E-2</v>
      </c>
      <c r="AD171" s="111">
        <f t="shared" si="2163"/>
        <v>0.14893265417120705</v>
      </c>
      <c r="AE171" s="110">
        <f t="shared" si="2163"/>
        <v>1.0621155323019327E-2</v>
      </c>
      <c r="AF171" s="110">
        <f t="shared" si="2163"/>
        <v>8.7639341758150247E-2</v>
      </c>
      <c r="AG171" s="110">
        <f t="shared" si="2163"/>
        <v>0.10362463796099619</v>
      </c>
      <c r="AH171" s="110">
        <f t="shared" si="2163"/>
        <v>0.17766810389371801</v>
      </c>
      <c r="AI171" s="111">
        <f t="shared" si="2163"/>
        <v>9.6315443217681818E-2</v>
      </c>
      <c r="AJ171" s="110">
        <f t="shared" ref="AJ171" si="2164">+AJ170/AE170-1</f>
        <v>0.17729232819420204</v>
      </c>
      <c r="AK171" s="110">
        <f t="shared" ref="AK171" si="2165">+AK170/AF170-1</f>
        <v>0.17729237763679295</v>
      </c>
      <c r="AL171" s="110">
        <f t="shared" ref="AL171" si="2166">+AL170/AG170-1</f>
        <v>0.1387627617539986</v>
      </c>
      <c r="AM171" s="110">
        <f t="shared" ref="AM171" si="2167">+AM170/AH170-1</f>
        <v>8.803862154027664E-2</v>
      </c>
      <c r="AN171" s="111">
        <f t="shared" ref="AN171" si="2168">+AN170/AI170-1</f>
        <v>0.14242873409800016</v>
      </c>
      <c r="AO171" s="110">
        <f t="shared" ref="AO171" si="2169">+AO170/AJ170-1</f>
        <v>0.20490486129430496</v>
      </c>
      <c r="AP171" s="110">
        <f t="shared" ref="AP171" si="2170">+AP170/AK170-1</f>
        <v>0.15207014934555985</v>
      </c>
      <c r="AQ171" s="110">
        <f t="shared" ref="AQ171" si="2171">+AQ170/AL170-1</f>
        <v>0.19064428550691126</v>
      </c>
      <c r="AR171" s="110">
        <f t="shared" ref="AR171" si="2172">+AR170/AM170-1</f>
        <v>0.18401538760050751</v>
      </c>
      <c r="AS171" s="111">
        <f t="shared" ref="AS171" si="2173">+AS170/AN170-1</f>
        <v>0.18283384254059776</v>
      </c>
      <c r="AT171" s="110">
        <f t="shared" ref="AT171" si="2174">+AT170/AO170-1</f>
        <v>0.20398745052143541</v>
      </c>
      <c r="AU171" s="110">
        <f t="shared" ref="AU171" si="2175">+AU170/AP170-1</f>
        <v>0.61479268437090839</v>
      </c>
      <c r="AV171" s="110">
        <f t="shared" ref="AV171" si="2176">+AV170/AQ170-1</f>
        <v>0.61421866915224621</v>
      </c>
      <c r="AW171" s="110">
        <f t="shared" ref="AW171" si="2177">+AW170/AR170-1</f>
        <v>0.61471787343297835</v>
      </c>
      <c r="AX171" s="111">
        <f t="shared" ref="AX171" si="2178">+AX170/AS170-1</f>
        <v>0.51816342528373616</v>
      </c>
      <c r="AY171" s="110">
        <f t="shared" ref="AY171" si="2179">+AY170/AT170-1</f>
        <v>0.58431767417968961</v>
      </c>
      <c r="AZ171" s="110">
        <f t="shared" ref="AZ171" si="2180">+AZ170/AU170-1</f>
        <v>0.18138014444380413</v>
      </c>
      <c r="BA171" s="110">
        <f t="shared" ref="BA171" si="2181">+BA170/AV170-1</f>
        <v>0.17537470905065633</v>
      </c>
      <c r="BB171" s="110">
        <f t="shared" ref="BB171" si="2182">+BB170/AW170-1</f>
        <v>0.17570519576843502</v>
      </c>
      <c r="BC171" s="111">
        <f t="shared" ref="BC171" si="2183">+BC170/AX170-1</f>
        <v>0.25312484688477466</v>
      </c>
      <c r="BD171" s="110">
        <f t="shared" ref="BD171" si="2184">+BD170/AY170-1</f>
        <v>0.17473875134947203</v>
      </c>
      <c r="BE171" s="110">
        <f t="shared" ref="BE171" si="2185">+BE170/AZ170-1</f>
        <v>0.17478476497032713</v>
      </c>
      <c r="BF171" s="110">
        <f t="shared" ref="BF171" si="2186">+BF170/BA170-1</f>
        <v>0.17446714051037193</v>
      </c>
      <c r="BG171" s="110">
        <f t="shared" ref="BG171" si="2187">+BG170/BB170-1</f>
        <v>0.17474350268382088</v>
      </c>
      <c r="BH171" s="111">
        <f t="shared" ref="BH171" si="2188">+BH170/BC170-1</f>
        <v>0.17467895468199779</v>
      </c>
      <c r="BI171" s="110">
        <f t="shared" ref="BI171" si="2189">+BI170/BD170-1</f>
        <v>8.8630873621640571E-2</v>
      </c>
      <c r="BJ171" s="110">
        <f t="shared" ref="BJ171" si="2190">+BJ170/BE170-1</f>
        <v>8.8644680947100651E-2</v>
      </c>
      <c r="BK171" s="110">
        <f t="shared" ref="BK171" si="2191">+BK170/BF170-1</f>
        <v>8.8547679203663909E-2</v>
      </c>
      <c r="BL171" s="110">
        <f t="shared" ref="BL171" si="2192">+BL170/BG170-1</f>
        <v>8.6118819282855474E-2</v>
      </c>
      <c r="BM171" s="111">
        <f t="shared" ref="BM171" si="2193">+BM170/BH170-1</f>
        <v>8.795166433902657E-2</v>
      </c>
      <c r="BN171" s="110">
        <f t="shared" ref="BN171" si="2194">+BN170/BI170-1</f>
        <v>8.780945600446044E-2</v>
      </c>
      <c r="BO171" s="110">
        <f t="shared" ref="BO171" si="2195">+BO170/BJ170-1</f>
        <v>8.7819273409963428E-2</v>
      </c>
      <c r="BP171" s="110">
        <f t="shared" ref="BP171" si="2196">+BP170/BK170-1</f>
        <v>8.7750087101757801E-2</v>
      </c>
      <c r="BQ171" s="110">
        <f t="shared" ref="BQ171" si="2197">+BQ170/BL170-1</f>
        <v>9.0327333788675856E-2</v>
      </c>
      <c r="BR171" s="111">
        <f t="shared" ref="BR171" si="2198">+BR170/BM170-1</f>
        <v>8.8456914757855776E-2</v>
      </c>
      <c r="BS171" s="110">
        <f t="shared" ref="BS171" si="2199">+BS170/BN170-1</f>
        <v>8.6987843611714633E-2</v>
      </c>
      <c r="BT171" s="110">
        <f t="shared" ref="BT171" si="2200">+BT170/BO170-1</f>
        <v>8.699344724221092E-2</v>
      </c>
      <c r="BU171" s="110">
        <f t="shared" ref="BU171" si="2201">+BU170/BP170-1</f>
        <v>8.6953211218942839E-2</v>
      </c>
      <c r="BV171" s="110">
        <f t="shared" ref="BV171" si="2202">+BV170/BQ170-1</f>
        <v>8.698829705757527E-2</v>
      </c>
      <c r="BW171" s="111">
        <f t="shared" ref="BW171" si="2203">+BW170/BR170-1</f>
        <v>8.6980119432223946E-2</v>
      </c>
      <c r="BX171" s="110">
        <f t="shared" ref="BX171" si="2204">+BX170/BS170-1</f>
        <v>8.6165157524792146E-2</v>
      </c>
      <c r="BY171" s="110">
        <f t="shared" ref="BY171" si="2205">+BY170/BT170-1</f>
        <v>8.6167190249802017E-2</v>
      </c>
      <c r="BZ171" s="110">
        <f t="shared" ref="BZ171" si="2206">+BZ170/BU170-1</f>
        <v>8.6154718903806993E-2</v>
      </c>
      <c r="CA171" s="110">
        <f t="shared" ref="CA171" si="2207">+CA170/BV170-1</f>
        <v>8.6165504242755153E-2</v>
      </c>
      <c r="CB171" s="111">
        <f t="shared" ref="CB171" si="2208">+CB170/BW170-1</f>
        <v>8.6162966071275715E-2</v>
      </c>
      <c r="CC171" s="110">
        <f t="shared" ref="CC171" si="2209">+CC170/BX170-1</f>
        <v>8.5343010619513215E-2</v>
      </c>
      <c r="CD171" s="110">
        <f t="shared" ref="CD171" si="2210">+CD170/BY170-1</f>
        <v>8.5340528406210092E-2</v>
      </c>
      <c r="CE171" s="110">
        <f t="shared" ref="CE171" si="2211">+CE170/BZ170-1</f>
        <v>8.535629889517482E-2</v>
      </c>
      <c r="CF171" s="110">
        <f t="shared" ref="CF171" si="2212">+CF170/CA170-1</f>
        <v>8.5342746498568101E-2</v>
      </c>
      <c r="CG171" s="111">
        <f t="shared" ref="CG171" si="2213">+CG170/CB170-1</f>
        <v>8.5345871864378475E-2</v>
      </c>
      <c r="CH171" s="110">
        <f t="shared" ref="CH171" si="2214">+CH170/CC170-1</f>
        <v>8.4521276558322755E-2</v>
      </c>
      <c r="CI171" s="110">
        <f t="shared" ref="CI171" si="2215">+CI170/CD170-1</f>
        <v>8.4515334284714028E-2</v>
      </c>
      <c r="CJ171" s="110">
        <f t="shared" ref="CJ171" si="2216">+CJ170/CE170-1</f>
        <v>8.4559025505691388E-2</v>
      </c>
      <c r="CK171" s="110">
        <f t="shared" ref="CK171" si="2217">+CK170/CF170-1</f>
        <v>8.4520849346498395E-2</v>
      </c>
      <c r="CL171" s="111">
        <f t="shared" ref="CL171" si="2218">+CL170/CG170-1</f>
        <v>8.4529752442427553E-2</v>
      </c>
      <c r="CM171" s="110">
        <f t="shared" ref="CM171" si="2219">+CM170/CH170-1</f>
        <v>8.37019851791998E-2</v>
      </c>
      <c r="CN171" s="110">
        <f t="shared" ref="CN171" si="2220">+CN170/CI170-1</f>
        <v>8.3691392963028299E-2</v>
      </c>
      <c r="CO171" s="110">
        <f t="shared" ref="CO171" si="2221">+CO170/CJ170-1</f>
        <v>8.3763466478043558E-2</v>
      </c>
      <c r="CP171" s="110">
        <f t="shared" ref="CP171" si="2222">+CP170/CK170-1</f>
        <v>8.370083108291948E-2</v>
      </c>
      <c r="CQ171" s="111">
        <f t="shared" ref="CQ171" si="2223">+CQ170/CL170-1</f>
        <v>8.3715453238612181E-2</v>
      </c>
      <c r="CR171" s="110">
        <f t="shared" ref="CR171" si="2224">+CR170/CM170-1</f>
        <v>6.6945000000000032E-2</v>
      </c>
      <c r="CS171" s="110">
        <f t="shared" ref="CS171" si="2225">+CS170/CN170-1</f>
        <v>6.694499999999981E-2</v>
      </c>
      <c r="CT171" s="110">
        <f t="shared" ref="CT171" si="2226">+CT170/CO170-1</f>
        <v>6.6945000000000032E-2</v>
      </c>
      <c r="CU171" s="110">
        <f t="shared" ref="CU171" si="2227">+CU170/CP170-1</f>
        <v>6.6945000000000032E-2</v>
      </c>
      <c r="CV171" s="111">
        <f>+CV170/CQ170-1</f>
        <v>6.694499999999981E-2</v>
      </c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</row>
    <row r="172" spans="1:115" s="15" customFormat="1">
      <c r="A172" s="2"/>
      <c r="C172" s="18"/>
      <c r="D172" s="18"/>
      <c r="E172" s="100"/>
      <c r="F172" s="83"/>
      <c r="G172" s="83"/>
      <c r="H172" s="83"/>
      <c r="I172" s="83"/>
      <c r="J172" s="100"/>
      <c r="K172" s="83"/>
      <c r="L172" s="83"/>
      <c r="M172" s="83"/>
      <c r="N172" s="83"/>
      <c r="O172" s="100"/>
      <c r="P172" s="83"/>
      <c r="Q172" s="83"/>
      <c r="R172" s="83"/>
      <c r="S172" s="83"/>
      <c r="T172" s="100"/>
      <c r="U172" s="83"/>
      <c r="V172" s="83"/>
      <c r="W172" s="83"/>
      <c r="X172" s="83"/>
      <c r="Y172" s="100"/>
      <c r="Z172" s="83"/>
      <c r="AA172" s="83"/>
      <c r="AB172" s="83"/>
      <c r="AC172" s="83"/>
      <c r="AD172" s="100"/>
      <c r="AE172" s="83"/>
      <c r="AF172" s="83"/>
      <c r="AG172" s="83"/>
      <c r="AH172" s="83"/>
      <c r="AI172" s="100"/>
      <c r="AJ172" s="83"/>
      <c r="AK172" s="83"/>
      <c r="AL172" s="83"/>
      <c r="AM172" s="83"/>
      <c r="AN172" s="100"/>
      <c r="AO172" s="197"/>
      <c r="AP172" s="197"/>
      <c r="AQ172" s="197"/>
      <c r="AR172" s="197"/>
      <c r="AS172" s="100"/>
      <c r="AT172" s="83"/>
      <c r="AU172" s="83"/>
      <c r="AV172" s="83"/>
      <c r="AW172" s="83"/>
      <c r="AX172" s="100"/>
      <c r="AY172" s="83"/>
      <c r="AZ172" s="83"/>
      <c r="BA172" s="83"/>
      <c r="BB172" s="83"/>
      <c r="BC172" s="100"/>
      <c r="BD172" s="83"/>
      <c r="BE172" s="83"/>
      <c r="BF172" s="83"/>
      <c r="BG172" s="83"/>
      <c r="BH172" s="100"/>
      <c r="BI172" s="83"/>
      <c r="BJ172" s="83"/>
      <c r="BK172" s="83"/>
      <c r="BL172" s="83"/>
      <c r="BM172" s="100"/>
      <c r="BN172" s="83"/>
      <c r="BO172" s="83"/>
      <c r="BP172" s="83"/>
      <c r="BQ172" s="83"/>
      <c r="BR172" s="100"/>
      <c r="BS172" s="83"/>
      <c r="BT172" s="83"/>
      <c r="BU172" s="83"/>
      <c r="BV172" s="83"/>
      <c r="BW172" s="100"/>
      <c r="BX172" s="83"/>
      <c r="BY172" s="83"/>
      <c r="BZ172" s="83"/>
      <c r="CA172" s="83"/>
      <c r="CB172" s="100"/>
      <c r="CC172" s="83"/>
      <c r="CD172" s="83"/>
      <c r="CE172" s="83"/>
      <c r="CF172" s="83"/>
      <c r="CG172" s="100"/>
      <c r="CH172" s="83"/>
      <c r="CI172" s="83"/>
      <c r="CJ172" s="83"/>
      <c r="CK172" s="83"/>
      <c r="CL172" s="100"/>
      <c r="CM172" s="83"/>
      <c r="CN172" s="83"/>
      <c r="CO172" s="83"/>
      <c r="CP172" s="83"/>
      <c r="CQ172" s="100"/>
      <c r="CR172" s="83"/>
      <c r="CS172" s="83"/>
      <c r="CT172" s="83"/>
      <c r="CU172" s="83"/>
      <c r="CV172" s="100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</row>
    <row r="173" spans="1:115">
      <c r="A173" s="141" t="s">
        <v>86</v>
      </c>
      <c r="B173" s="9"/>
      <c r="C173" s="9"/>
      <c r="D173" s="9"/>
      <c r="E173" s="93"/>
      <c r="F173" s="94"/>
      <c r="G173" s="94"/>
      <c r="H173" s="94"/>
      <c r="I173" s="94"/>
      <c r="J173" s="93"/>
      <c r="K173" s="94"/>
      <c r="L173" s="94"/>
      <c r="M173" s="94"/>
      <c r="N173" s="94"/>
      <c r="O173" s="93"/>
      <c r="P173" s="94"/>
      <c r="Q173" s="94"/>
      <c r="R173" s="94"/>
      <c r="S173" s="94"/>
      <c r="T173" s="93"/>
      <c r="U173" s="131">
        <f>+U186/$U$35</f>
        <v>7.2426826457709148E-2</v>
      </c>
      <c r="V173" s="94"/>
      <c r="W173" s="94"/>
      <c r="X173" s="94"/>
      <c r="Y173" s="93"/>
      <c r="Z173" s="94"/>
      <c r="AA173" s="94"/>
      <c r="AB173" s="94"/>
      <c r="AC173" s="94"/>
      <c r="AD173" s="93"/>
      <c r="AE173" s="94"/>
      <c r="AF173" s="94"/>
      <c r="AG173" s="94"/>
      <c r="AH173" s="94"/>
      <c r="AI173" s="93"/>
      <c r="AJ173" s="94"/>
      <c r="AK173" s="94"/>
      <c r="AL173" s="94"/>
      <c r="AM173" s="94"/>
      <c r="AN173" s="93"/>
      <c r="AO173" s="94"/>
      <c r="AP173" s="94"/>
      <c r="AQ173" s="94"/>
      <c r="AR173" s="94"/>
      <c r="AS173" s="93"/>
      <c r="AT173" s="94"/>
      <c r="AU173" s="94"/>
      <c r="AV173" s="94"/>
      <c r="AW173" s="94"/>
      <c r="AX173" s="93"/>
      <c r="AY173" s="94"/>
      <c r="AZ173" s="94"/>
      <c r="BA173" s="94"/>
      <c r="BB173" s="94"/>
      <c r="BC173" s="93"/>
      <c r="BD173" s="94"/>
      <c r="BE173" s="94"/>
      <c r="BF173" s="94"/>
      <c r="BG173" s="94"/>
      <c r="BH173" s="93"/>
      <c r="BI173" s="131"/>
      <c r="BJ173" s="94"/>
      <c r="BK173" s="94"/>
      <c r="BL173" s="94"/>
      <c r="BM173" s="93"/>
      <c r="BN173" s="94"/>
      <c r="BO173" s="94"/>
      <c r="BP173" s="94"/>
      <c r="BQ173" s="94"/>
      <c r="BR173" s="93"/>
      <c r="BS173" s="94"/>
      <c r="BT173" s="94"/>
      <c r="BU173" s="94"/>
      <c r="BV173" s="94"/>
      <c r="BW173" s="93"/>
      <c r="BX173" s="94"/>
      <c r="BY173" s="94"/>
      <c r="BZ173" s="94"/>
      <c r="CA173" s="94"/>
      <c r="CB173" s="93"/>
      <c r="CC173" s="94"/>
      <c r="CD173" s="94"/>
      <c r="CE173" s="94"/>
      <c r="CF173" s="94"/>
      <c r="CG173" s="93"/>
      <c r="CH173" s="94"/>
      <c r="CI173" s="94"/>
      <c r="CJ173" s="94"/>
      <c r="CK173" s="94"/>
      <c r="CL173" s="93"/>
      <c r="CM173" s="94"/>
      <c r="CN173" s="94"/>
      <c r="CO173" s="94"/>
      <c r="CP173" s="94"/>
      <c r="CQ173" s="93"/>
      <c r="CR173" s="131"/>
      <c r="CS173" s="94"/>
      <c r="CT173" s="94"/>
      <c r="CU173" s="94"/>
      <c r="CV173" s="93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</row>
    <row r="174" spans="1:115" s="15" customFormat="1">
      <c r="A174" s="2" t="s">
        <v>69</v>
      </c>
      <c r="B174" s="7"/>
      <c r="C174" s="7"/>
      <c r="D174" s="7"/>
      <c r="E174" s="92"/>
      <c r="F174" s="84"/>
      <c r="G174" s="84"/>
      <c r="H174" s="84"/>
      <c r="I174" s="84"/>
      <c r="J174" s="92"/>
      <c r="K174" s="84"/>
      <c r="L174" s="84"/>
      <c r="M174" s="84"/>
      <c r="N174" s="84"/>
      <c r="O174" s="92"/>
      <c r="P174" s="84"/>
      <c r="Q174" s="84"/>
      <c r="R174" s="132">
        <v>3.8</v>
      </c>
      <c r="S174" s="132">
        <v>3.8</v>
      </c>
      <c r="T174" s="133">
        <v>3.8</v>
      </c>
      <c r="U174" s="132">
        <v>3.8</v>
      </c>
      <c r="V174" s="132">
        <f>+V178*V$11+V179*V$12</f>
        <v>3.7828594</v>
      </c>
      <c r="W174" s="132">
        <f>+W178*W$11+W179*W$12</f>
        <v>3.7828594</v>
      </c>
      <c r="X174" s="132">
        <f t="shared" ref="X174" si="2228">+X178*X$11+X179*X$12</f>
        <v>3.7828594</v>
      </c>
      <c r="Y174" s="133">
        <f>+Y186*1000/Y182</f>
        <v>3.7868443533903071</v>
      </c>
      <c r="Z174" s="132">
        <f t="shared" ref="Z174:AC174" si="2229">+Z178*Z$11+Z179*Z$12</f>
        <v>3.7828594</v>
      </c>
      <c r="AA174" s="192">
        <f t="shared" si="2229"/>
        <v>3.7828594</v>
      </c>
      <c r="AB174" s="192">
        <f t="shared" si="2229"/>
        <v>4.02534068754</v>
      </c>
      <c r="AC174" s="132">
        <f t="shared" si="2229"/>
        <v>4.02534068754</v>
      </c>
      <c r="AD174" s="133">
        <f>+AD186*1000/AD182</f>
        <v>3.9051338808491529</v>
      </c>
      <c r="AE174" s="132">
        <f t="shared" ref="AE174:AH174" si="2230">+AE178*AE$11+AE179*AE$12</f>
        <v>4.02534068754</v>
      </c>
      <c r="AF174" s="132">
        <f t="shared" si="2230"/>
        <v>4.02534068754</v>
      </c>
      <c r="AG174" s="132">
        <f t="shared" si="2230"/>
        <v>4.4278747562940008</v>
      </c>
      <c r="AH174" s="132">
        <f t="shared" si="2230"/>
        <v>4.4278747562940008</v>
      </c>
      <c r="AI174" s="133">
        <f>+AI186*1000/AI182</f>
        <v>4.2292906480122365</v>
      </c>
      <c r="AJ174" s="132">
        <f t="shared" ref="AJ174:AM174" si="2231">+AJ178*AJ$11+AJ179*AJ$12</f>
        <v>5.4077034334092007</v>
      </c>
      <c r="AK174" s="132">
        <f t="shared" si="2231"/>
        <v>6.6132274140636005</v>
      </c>
      <c r="AL174" s="132">
        <f t="shared" si="2231"/>
        <v>7.036473968563671</v>
      </c>
      <c r="AM174" s="132">
        <f t="shared" si="2231"/>
        <v>7.036473968563671</v>
      </c>
      <c r="AN174" s="133">
        <f>+AN186*1000/AN182</f>
        <v>6.5217195539966708</v>
      </c>
      <c r="AO174" s="132">
        <f t="shared" ref="AO174:AR174" si="2232">+AO178*AO$11+AO179*AO$12</f>
        <v>7.036473968563671</v>
      </c>
      <c r="AP174" s="132">
        <f t="shared" si="2232"/>
        <v>7.036473968563671</v>
      </c>
      <c r="AQ174" s="132">
        <f t="shared" si="2232"/>
        <v>7.3882976669918552</v>
      </c>
      <c r="AR174" s="132">
        <f t="shared" si="2232"/>
        <v>7.3882976669918552</v>
      </c>
      <c r="AS174" s="133">
        <f>+AS186*1000/AS182</f>
        <v>7.2178768864465939</v>
      </c>
      <c r="AT174" s="132">
        <f t="shared" ref="AT174:AW174" si="2233">+AT178*AT$11+AT179*AT$12</f>
        <v>7.3882976669918552</v>
      </c>
      <c r="AU174" s="132">
        <f t="shared" si="2233"/>
        <v>7.3882976669918552</v>
      </c>
      <c r="AV174" s="132">
        <f t="shared" si="2233"/>
        <v>7.7577125503414477</v>
      </c>
      <c r="AW174" s="132">
        <f t="shared" si="2233"/>
        <v>7.7577125503414477</v>
      </c>
      <c r="AX174" s="133">
        <f>+AX186*1000/AX182</f>
        <v>7.5787589620590037</v>
      </c>
      <c r="AY174" s="132">
        <f t="shared" ref="AY174:BB174" si="2234">+AY178*AY$11+AY179*AY$12</f>
        <v>7.7577125503414477</v>
      </c>
      <c r="AZ174" s="132">
        <f t="shared" si="2234"/>
        <v>7.7577125503414477</v>
      </c>
      <c r="BA174" s="132">
        <f t="shared" si="2234"/>
        <v>8.1068096151068136</v>
      </c>
      <c r="BB174" s="132">
        <f t="shared" si="2234"/>
        <v>8.1068096151068136</v>
      </c>
      <c r="BC174" s="133">
        <f>+BC186*1000/BC182</f>
        <v>7.9376884400917147</v>
      </c>
      <c r="BD174" s="132">
        <f t="shared" ref="BD174:BG174" si="2235">+BD178*BD$11+BD179*BD$12</f>
        <v>8.1068096151068136</v>
      </c>
      <c r="BE174" s="132">
        <f t="shared" si="2235"/>
        <v>8.1068096151068136</v>
      </c>
      <c r="BF174" s="132">
        <f t="shared" si="2235"/>
        <v>8.47161604778662</v>
      </c>
      <c r="BG174" s="132">
        <f t="shared" si="2235"/>
        <v>8.47161604778662</v>
      </c>
      <c r="BH174" s="133">
        <f>+BH186*1000/BH182</f>
        <v>8.2948756672850585</v>
      </c>
      <c r="BI174" s="132">
        <f t="shared" ref="BI174:BL174" si="2236">+BI178*BI$11+BI179*BI$12</f>
        <v>8.47161604778662</v>
      </c>
      <c r="BJ174" s="132">
        <f t="shared" si="2236"/>
        <v>8.47161604778662</v>
      </c>
      <c r="BK174" s="132">
        <f t="shared" si="2236"/>
        <v>8.8528387699370157</v>
      </c>
      <c r="BL174" s="132">
        <f t="shared" si="2236"/>
        <v>8.8528387699370157</v>
      </c>
      <c r="BM174" s="133">
        <f>+BM186*1000/BM182</f>
        <v>8.6681420936130085</v>
      </c>
      <c r="BN174" s="132">
        <f t="shared" ref="BN174:BQ174" si="2237">+BN178*BN$11+BN179*BN$12</f>
        <v>8.8528387699370157</v>
      </c>
      <c r="BO174" s="132">
        <f t="shared" si="2237"/>
        <v>8.8528387699370157</v>
      </c>
      <c r="BP174" s="132">
        <f t="shared" si="2237"/>
        <v>9.2512165145841809</v>
      </c>
      <c r="BQ174" s="132">
        <f t="shared" si="2237"/>
        <v>9.2512165145841809</v>
      </c>
      <c r="BR174" s="133">
        <f>+BR186*1000/BR182</f>
        <v>9.0582062422909289</v>
      </c>
      <c r="BS174" s="132">
        <f t="shared" ref="BS174:BV174" si="2238">+BS178*BS$11+BS179*BS$12</f>
        <v>9.2512165145841809</v>
      </c>
      <c r="BT174" s="132">
        <f t="shared" si="2238"/>
        <v>9.2512165145841809</v>
      </c>
      <c r="BU174" s="132">
        <f t="shared" si="2238"/>
        <v>9.6675212577404697</v>
      </c>
      <c r="BV174" s="132">
        <f t="shared" si="2238"/>
        <v>9.6675212577404697</v>
      </c>
      <c r="BW174" s="133">
        <f>+BW186*1000/BW182</f>
        <v>9.4658241450240652</v>
      </c>
      <c r="BX174" s="132">
        <f t="shared" ref="BX174:CA174" si="2239">+BX178*BX$11+BX179*BX$12</f>
        <v>9.6675212577404697</v>
      </c>
      <c r="BY174" s="132">
        <f t="shared" si="2239"/>
        <v>9.6675212577404697</v>
      </c>
      <c r="BZ174" s="132">
        <f t="shared" si="2239"/>
        <v>10.10255971433879</v>
      </c>
      <c r="CA174" s="132">
        <f t="shared" si="2239"/>
        <v>10.10255971433879</v>
      </c>
      <c r="CB174" s="133">
        <f>+CB186*1000/CB182</f>
        <v>9.8917857719626898</v>
      </c>
      <c r="CC174" s="132">
        <f t="shared" ref="CC174:CF174" si="2240">+CC178*CC$11+CC179*CC$12</f>
        <v>10.10255971433879</v>
      </c>
      <c r="CD174" s="132">
        <f t="shared" si="2240"/>
        <v>10.10255971433879</v>
      </c>
      <c r="CE174" s="132">
        <f t="shared" si="2240"/>
        <v>10.557174901484034</v>
      </c>
      <c r="CF174" s="132">
        <f t="shared" si="2240"/>
        <v>10.557174901484034</v>
      </c>
      <c r="CG174" s="133">
        <f>+CG186*1000/CG182</f>
        <v>10.336916715804858</v>
      </c>
      <c r="CH174" s="132">
        <f t="shared" ref="CH174:CK174" si="2241">+CH178*CH$11+CH179*CH$12</f>
        <v>10.557174901484034</v>
      </c>
      <c r="CI174" s="132">
        <f t="shared" si="2241"/>
        <v>10.557174901484034</v>
      </c>
      <c r="CJ174" s="132">
        <f t="shared" si="2241"/>
        <v>11.032247772050814</v>
      </c>
      <c r="CK174" s="132">
        <f t="shared" si="2241"/>
        <v>11.032247772050814</v>
      </c>
      <c r="CL174" s="133">
        <f>+CL186*1000/CL182</f>
        <v>10.802079654948741</v>
      </c>
      <c r="CM174" s="132">
        <f t="shared" ref="CM174:CP174" si="2242">+CM178*CM$11+CM179*CM$12</f>
        <v>11.032247772050814</v>
      </c>
      <c r="CN174" s="132">
        <f t="shared" si="2242"/>
        <v>11.032247772050814</v>
      </c>
      <c r="CO174" s="132">
        <f t="shared" si="2242"/>
        <v>11.528698921793101</v>
      </c>
      <c r="CP174" s="132">
        <f t="shared" si="2242"/>
        <v>11.528698921793101</v>
      </c>
      <c r="CQ174" s="133">
        <f>+CQ186*1000/CQ182</f>
        <v>11.288176161027931</v>
      </c>
      <c r="CR174" s="132">
        <f t="shared" ref="CR174:CU174" si="2243">+CR178*CR$11+CR179*CR$12</f>
        <v>11.528698921793101</v>
      </c>
      <c r="CS174" s="132">
        <f t="shared" si="2243"/>
        <v>11.528698921793101</v>
      </c>
      <c r="CT174" s="132">
        <f t="shared" si="2243"/>
        <v>12.04749037327379</v>
      </c>
      <c r="CU174" s="132">
        <f t="shared" si="2243"/>
        <v>12.04749037327379</v>
      </c>
      <c r="CV174" s="133">
        <f>+CV186*1000/CV182</f>
        <v>11.796144088274186</v>
      </c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</row>
    <row r="175" spans="1:115" s="15" customFormat="1">
      <c r="A175" s="2" t="s">
        <v>70</v>
      </c>
      <c r="B175" s="34"/>
      <c r="C175" s="34"/>
      <c r="D175" s="34"/>
      <c r="E175" s="100"/>
      <c r="F175" s="83"/>
      <c r="G175" s="83"/>
      <c r="H175" s="83"/>
      <c r="I175" s="83"/>
      <c r="J175" s="100"/>
      <c r="K175" s="83"/>
      <c r="L175" s="83"/>
      <c r="M175" s="83"/>
      <c r="N175" s="83"/>
      <c r="O175" s="100"/>
      <c r="P175" s="83"/>
      <c r="Q175" s="83"/>
      <c r="R175" s="83"/>
      <c r="S175" s="83"/>
      <c r="T175" s="100"/>
      <c r="U175" s="83"/>
      <c r="V175" s="83"/>
      <c r="W175" s="83"/>
      <c r="X175" s="83"/>
      <c r="Y175" s="100"/>
      <c r="Z175" s="83"/>
      <c r="AA175" s="83"/>
      <c r="AB175" s="83"/>
      <c r="AC175" s="83"/>
      <c r="AD175" s="100"/>
      <c r="AE175" s="83"/>
      <c r="AF175" s="83"/>
      <c r="AG175" s="83"/>
      <c r="AH175" s="83"/>
      <c r="AI175" s="100"/>
      <c r="AJ175" s="83"/>
      <c r="AK175" s="83"/>
      <c r="AL175" s="83"/>
      <c r="AM175" s="83"/>
      <c r="AN175" s="100"/>
      <c r="AO175" s="83"/>
      <c r="AP175" s="83"/>
      <c r="AQ175" s="83"/>
      <c r="AR175" s="83"/>
      <c r="AS175" s="100"/>
      <c r="AT175" s="83"/>
      <c r="AU175" s="83"/>
      <c r="AV175" s="83"/>
      <c r="AW175" s="83"/>
      <c r="AX175" s="100"/>
      <c r="AY175" s="83"/>
      <c r="AZ175" s="83"/>
      <c r="BA175" s="83"/>
      <c r="BB175" s="83"/>
      <c r="BC175" s="100"/>
      <c r="BD175" s="83"/>
      <c r="BE175" s="83"/>
      <c r="BF175" s="83"/>
      <c r="BG175" s="83"/>
      <c r="BH175" s="100"/>
      <c r="BI175" s="83"/>
      <c r="BJ175" s="83"/>
      <c r="BK175" s="83"/>
      <c r="BL175" s="83"/>
      <c r="BM175" s="100"/>
      <c r="BN175" s="83"/>
      <c r="BO175" s="83"/>
      <c r="BP175" s="83"/>
      <c r="BQ175" s="83"/>
      <c r="BR175" s="100"/>
      <c r="BS175" s="83"/>
      <c r="BT175" s="83"/>
      <c r="BU175" s="83"/>
      <c r="BV175" s="83"/>
      <c r="BW175" s="100"/>
      <c r="BX175" s="83"/>
      <c r="BY175" s="83"/>
      <c r="BZ175" s="83"/>
      <c r="CA175" s="83"/>
      <c r="CB175" s="100"/>
      <c r="CC175" s="83"/>
      <c r="CD175" s="83"/>
      <c r="CE175" s="83"/>
      <c r="CF175" s="83"/>
      <c r="CG175" s="100"/>
      <c r="CH175" s="83"/>
      <c r="CI175" s="83"/>
      <c r="CJ175" s="83"/>
      <c r="CK175" s="83"/>
      <c r="CL175" s="100"/>
      <c r="CM175" s="83"/>
      <c r="CN175" s="83"/>
      <c r="CO175" s="83"/>
      <c r="CP175" s="83"/>
      <c r="CQ175" s="100"/>
      <c r="CR175" s="83"/>
      <c r="CS175" s="83"/>
      <c r="CT175" s="83"/>
      <c r="CU175" s="83"/>
      <c r="CV175" s="100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</row>
    <row r="176" spans="1:115" s="15" customFormat="1">
      <c r="A176" s="2"/>
      <c r="B176" s="34"/>
      <c r="C176" s="34"/>
      <c r="D176" s="34"/>
      <c r="E176" s="100"/>
      <c r="F176" s="83"/>
      <c r="G176" s="83"/>
      <c r="H176" s="83"/>
      <c r="I176" s="83"/>
      <c r="J176" s="100"/>
      <c r="K176" s="83"/>
      <c r="L176" s="83"/>
      <c r="M176" s="83"/>
      <c r="N176" s="83"/>
      <c r="O176" s="100"/>
      <c r="P176" s="83"/>
      <c r="Q176" s="83"/>
      <c r="R176" s="83"/>
      <c r="S176" s="83"/>
      <c r="T176" s="100"/>
      <c r="U176" s="83"/>
      <c r="V176" s="83"/>
      <c r="W176" s="83"/>
      <c r="X176" s="83"/>
      <c r="Y176" s="100"/>
      <c r="Z176" s="83"/>
      <c r="AA176" s="83"/>
      <c r="AB176" s="83"/>
      <c r="AC176" s="83"/>
      <c r="AD176" s="100"/>
      <c r="AE176" s="83"/>
      <c r="AF176" s="83"/>
      <c r="AG176" s="83"/>
      <c r="AH176" s="83"/>
      <c r="AI176" s="100"/>
      <c r="AJ176" s="83"/>
      <c r="AK176" s="83"/>
      <c r="AL176" s="83"/>
      <c r="AM176" s="83"/>
      <c r="AN176" s="100"/>
      <c r="AO176" s="83"/>
      <c r="AP176" s="83"/>
      <c r="AQ176" s="83"/>
      <c r="AR176" s="83"/>
      <c r="AS176" s="100"/>
      <c r="AT176" s="83"/>
      <c r="AU176" s="83"/>
      <c r="AV176" s="83"/>
      <c r="AW176" s="83"/>
      <c r="AX176" s="100"/>
      <c r="AY176" s="83"/>
      <c r="AZ176" s="83"/>
      <c r="BA176" s="83"/>
      <c r="BB176" s="83"/>
      <c r="BC176" s="100"/>
      <c r="BD176" s="83"/>
      <c r="BE176" s="83"/>
      <c r="BF176" s="83"/>
      <c r="BG176" s="83"/>
      <c r="BH176" s="100"/>
      <c r="BI176" s="83"/>
      <c r="BJ176" s="83"/>
      <c r="BK176" s="83"/>
      <c r="BL176" s="83"/>
      <c r="BM176" s="100"/>
      <c r="BN176" s="83"/>
      <c r="BO176" s="83"/>
      <c r="BP176" s="83"/>
      <c r="BQ176" s="83"/>
      <c r="BR176" s="100"/>
      <c r="BS176" s="83"/>
      <c r="BT176" s="83"/>
      <c r="BU176" s="83"/>
      <c r="BV176" s="83"/>
      <c r="BW176" s="100"/>
      <c r="BX176" s="83"/>
      <c r="BY176" s="83"/>
      <c r="BZ176" s="83"/>
      <c r="CA176" s="83"/>
      <c r="CB176" s="100"/>
      <c r="CC176" s="83"/>
      <c r="CD176" s="83"/>
      <c r="CE176" s="83"/>
      <c r="CF176" s="83"/>
      <c r="CG176" s="100"/>
      <c r="CH176" s="83"/>
      <c r="CI176" s="83"/>
      <c r="CJ176" s="83"/>
      <c r="CK176" s="83"/>
      <c r="CL176" s="100"/>
      <c r="CM176" s="83"/>
      <c r="CN176" s="83"/>
      <c r="CO176" s="83"/>
      <c r="CP176" s="83"/>
      <c r="CQ176" s="100"/>
      <c r="CR176" s="83"/>
      <c r="CS176" s="83"/>
      <c r="CT176" s="83"/>
      <c r="CU176" s="83"/>
      <c r="CV176" s="100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</row>
    <row r="177" spans="1:115" s="15" customFormat="1">
      <c r="A177" s="148" t="s">
        <v>71</v>
      </c>
      <c r="B177" s="70"/>
      <c r="C177" s="70"/>
      <c r="D177" s="70"/>
      <c r="E177" s="134"/>
      <c r="F177" s="135"/>
      <c r="G177" s="135"/>
      <c r="H177" s="135"/>
      <c r="I177" s="135"/>
      <c r="J177" s="134"/>
      <c r="K177" s="135"/>
      <c r="L177" s="135"/>
      <c r="M177" s="135"/>
      <c r="N177" s="135"/>
      <c r="O177" s="134"/>
      <c r="P177" s="135"/>
      <c r="Q177" s="135"/>
      <c r="R177" s="135"/>
      <c r="S177" s="135"/>
      <c r="T177" s="134"/>
      <c r="U177" s="135">
        <v>42.21</v>
      </c>
      <c r="V177" s="135">
        <f t="shared" ref="V177:W177" si="2244">+V178+V179</f>
        <v>42.21</v>
      </c>
      <c r="W177" s="135">
        <f t="shared" si="2244"/>
        <v>42.21</v>
      </c>
      <c r="X177" s="135">
        <f t="shared" ref="X177" si="2245">+X178+X179</f>
        <v>42.21</v>
      </c>
      <c r="Y177" s="134">
        <f t="shared" ref="Y177" si="2246">+Y178+Y179</f>
        <v>42.21</v>
      </c>
      <c r="Z177" s="135">
        <f t="shared" ref="Z177" si="2247">+Z178+Z179</f>
        <v>42.21</v>
      </c>
      <c r="AA177" s="135">
        <f t="shared" ref="AA177" si="2248">+AA178+AA179</f>
        <v>42.21</v>
      </c>
      <c r="AB177" s="135">
        <f t="shared" ref="AB177" si="2249">+AB178+AB179</f>
        <v>42.21</v>
      </c>
      <c r="AC177" s="135">
        <f t="shared" ref="AC177" si="2250">+AC178+AC179</f>
        <v>42.21</v>
      </c>
      <c r="AD177" s="134">
        <f t="shared" ref="AD177" si="2251">+AD178+AD179</f>
        <v>42.21</v>
      </c>
      <c r="AE177" s="135">
        <f t="shared" ref="AE177" si="2252">+AE178+AE179</f>
        <v>42.21</v>
      </c>
      <c r="AF177" s="135">
        <f t="shared" ref="AF177" si="2253">+AF178+AF179</f>
        <v>42.21</v>
      </c>
      <c r="AG177" s="135">
        <f t="shared" ref="AG177" si="2254">+AG178+AG179</f>
        <v>42.21</v>
      </c>
      <c r="AH177" s="135">
        <f t="shared" ref="AH177" si="2255">+AH178+AH179</f>
        <v>42.21</v>
      </c>
      <c r="AI177" s="134">
        <f t="shared" ref="AI177" si="2256">+AI178+AI179</f>
        <v>42.21</v>
      </c>
      <c r="AJ177" s="135">
        <f t="shared" ref="AJ177" si="2257">+AJ178+AJ179</f>
        <v>42.22</v>
      </c>
      <c r="AK177" s="135">
        <f t="shared" ref="AK177" si="2258">+AK178+AK179</f>
        <v>51.089999999999996</v>
      </c>
      <c r="AL177" s="135">
        <f t="shared" ref="AL177" si="2259">+AL178+AL179</f>
        <v>51.089999999999996</v>
      </c>
      <c r="AM177" s="135">
        <f t="shared" ref="AM177" si="2260">+AM178+AM179</f>
        <v>51.089999999999996</v>
      </c>
      <c r="AN177" s="134">
        <f t="shared" ref="AN177" si="2261">+AN178+AN179</f>
        <v>51.089999999999996</v>
      </c>
      <c r="AO177" s="135">
        <f t="shared" ref="AO177" si="2262">+AO178+AO179</f>
        <v>51.089999999999996</v>
      </c>
      <c r="AP177" s="135">
        <f t="shared" ref="AP177" si="2263">+AP178+AP179</f>
        <v>51.089999999999996</v>
      </c>
      <c r="AQ177" s="135">
        <f t="shared" ref="AQ177" si="2264">+AQ178+AQ179</f>
        <v>51.089999999999996</v>
      </c>
      <c r="AR177" s="135">
        <f t="shared" ref="AR177" si="2265">+AR178+AR179</f>
        <v>51.089999999999996</v>
      </c>
      <c r="AS177" s="134">
        <f t="shared" ref="AS177" si="2266">+AS178+AS179</f>
        <v>51.089999999999996</v>
      </c>
      <c r="AT177" s="135">
        <f t="shared" ref="AT177" si="2267">+AT178+AT179</f>
        <v>51.089999999999996</v>
      </c>
      <c r="AU177" s="135">
        <f t="shared" ref="AU177" si="2268">+AU178+AU179</f>
        <v>51.089999999999996</v>
      </c>
      <c r="AV177" s="135">
        <f t="shared" ref="AV177" si="2269">+AV178+AV179</f>
        <v>51.089999999999996</v>
      </c>
      <c r="AW177" s="135">
        <f t="shared" ref="AW177" si="2270">+AW178+AW179</f>
        <v>51.089999999999996</v>
      </c>
      <c r="AX177" s="134">
        <f t="shared" ref="AX177" si="2271">+AX178+AX179</f>
        <v>51.089999999999996</v>
      </c>
      <c r="AY177" s="135">
        <f t="shared" ref="AY177" si="2272">+AY178+AY179</f>
        <v>51.089999999999996</v>
      </c>
      <c r="AZ177" s="135">
        <f t="shared" ref="AZ177" si="2273">+AZ178+AZ179</f>
        <v>51.089999999999996</v>
      </c>
      <c r="BA177" s="135">
        <f t="shared" ref="BA177" si="2274">+BA178+BA179</f>
        <v>51.089999999999996</v>
      </c>
      <c r="BB177" s="135">
        <f t="shared" ref="BB177" si="2275">+BB178+BB179</f>
        <v>51.089999999999996</v>
      </c>
      <c r="BC177" s="134">
        <f t="shared" ref="BC177" si="2276">+BC178+BC179</f>
        <v>51.089999999999996</v>
      </c>
      <c r="BD177" s="135">
        <f t="shared" ref="BD177" si="2277">+BD178+BD179</f>
        <v>51.089999999999996</v>
      </c>
      <c r="BE177" s="135">
        <f t="shared" ref="BE177" si="2278">+BE178+BE179</f>
        <v>51.089999999999996</v>
      </c>
      <c r="BF177" s="135">
        <f t="shared" ref="BF177" si="2279">+BF178+BF179</f>
        <v>51.089999999999996</v>
      </c>
      <c r="BG177" s="135">
        <f t="shared" ref="BG177" si="2280">+BG178+BG179</f>
        <v>51.089999999999996</v>
      </c>
      <c r="BH177" s="134">
        <f t="shared" ref="BH177" si="2281">+BH178+BH179</f>
        <v>51.089999999999996</v>
      </c>
      <c r="BI177" s="135">
        <f t="shared" ref="BI177" si="2282">+BI178+BI179</f>
        <v>51.089999999999996</v>
      </c>
      <c r="BJ177" s="135">
        <f t="shared" ref="BJ177" si="2283">+BJ178+BJ179</f>
        <v>51.089999999999996</v>
      </c>
      <c r="BK177" s="135">
        <f t="shared" ref="BK177" si="2284">+BK178+BK179</f>
        <v>51.089999999999996</v>
      </c>
      <c r="BL177" s="135">
        <f t="shared" ref="BL177" si="2285">+BL178+BL179</f>
        <v>51.089999999999996</v>
      </c>
      <c r="BM177" s="134">
        <f t="shared" ref="BM177" si="2286">+BM178+BM179</f>
        <v>51.089999999999996</v>
      </c>
      <c r="BN177" s="135">
        <f t="shared" ref="BN177" si="2287">+BN178+BN179</f>
        <v>51.089999999999996</v>
      </c>
      <c r="BO177" s="135">
        <f t="shared" ref="BO177" si="2288">+BO178+BO179</f>
        <v>51.089999999999996</v>
      </c>
      <c r="BP177" s="135">
        <f t="shared" ref="BP177" si="2289">+BP178+BP179</f>
        <v>51.089999999999996</v>
      </c>
      <c r="BQ177" s="135">
        <f t="shared" ref="BQ177" si="2290">+BQ178+BQ179</f>
        <v>51.089999999999996</v>
      </c>
      <c r="BR177" s="134">
        <f t="shared" ref="BR177" si="2291">+BR178+BR179</f>
        <v>51.089999999999996</v>
      </c>
      <c r="BS177" s="135">
        <f t="shared" ref="BS177" si="2292">+BS178+BS179</f>
        <v>51.089999999999996</v>
      </c>
      <c r="BT177" s="135">
        <f t="shared" ref="BT177" si="2293">+BT178+BT179</f>
        <v>51.089999999999996</v>
      </c>
      <c r="BU177" s="135">
        <f t="shared" ref="BU177" si="2294">+BU178+BU179</f>
        <v>51.089999999999996</v>
      </c>
      <c r="BV177" s="135">
        <f t="shared" ref="BV177" si="2295">+BV178+BV179</f>
        <v>51.089999999999996</v>
      </c>
      <c r="BW177" s="134">
        <f t="shared" ref="BW177" si="2296">+BW178+BW179</f>
        <v>51.089999999999996</v>
      </c>
      <c r="BX177" s="135">
        <f t="shared" ref="BX177" si="2297">+BX178+BX179</f>
        <v>51.089999999999996</v>
      </c>
      <c r="BY177" s="135">
        <f t="shared" ref="BY177" si="2298">+BY178+BY179</f>
        <v>51.089999999999996</v>
      </c>
      <c r="BZ177" s="135">
        <f t="shared" ref="BZ177" si="2299">+BZ178+BZ179</f>
        <v>51.089999999999996</v>
      </c>
      <c r="CA177" s="135">
        <f t="shared" ref="CA177" si="2300">+CA178+CA179</f>
        <v>51.089999999999996</v>
      </c>
      <c r="CB177" s="134">
        <f t="shared" ref="CB177" si="2301">+CB178+CB179</f>
        <v>51.089999999999996</v>
      </c>
      <c r="CC177" s="135">
        <f t="shared" ref="CC177" si="2302">+CC178+CC179</f>
        <v>51.089999999999996</v>
      </c>
      <c r="CD177" s="135">
        <f t="shared" ref="CD177" si="2303">+CD178+CD179</f>
        <v>51.089999999999996</v>
      </c>
      <c r="CE177" s="135">
        <f t="shared" ref="CE177" si="2304">+CE178+CE179</f>
        <v>51.089999999999996</v>
      </c>
      <c r="CF177" s="135">
        <f t="shared" ref="CF177" si="2305">+CF178+CF179</f>
        <v>51.089999999999996</v>
      </c>
      <c r="CG177" s="134">
        <f t="shared" ref="CG177" si="2306">+CG178+CG179</f>
        <v>51.089999999999996</v>
      </c>
      <c r="CH177" s="135">
        <f t="shared" ref="CH177" si="2307">+CH178+CH179</f>
        <v>51.089999999999996</v>
      </c>
      <c r="CI177" s="135">
        <f t="shared" ref="CI177" si="2308">+CI178+CI179</f>
        <v>51.089999999999996</v>
      </c>
      <c r="CJ177" s="135">
        <f t="shared" ref="CJ177" si="2309">+CJ178+CJ179</f>
        <v>51.089999999999996</v>
      </c>
      <c r="CK177" s="135">
        <f t="shared" ref="CK177" si="2310">+CK178+CK179</f>
        <v>51.089999999999996</v>
      </c>
      <c r="CL177" s="134">
        <f t="shared" ref="CL177" si="2311">+CL178+CL179</f>
        <v>51.089999999999996</v>
      </c>
      <c r="CM177" s="135">
        <f t="shared" ref="CM177" si="2312">+CM178+CM179</f>
        <v>51.089999999999996</v>
      </c>
      <c r="CN177" s="135">
        <f t="shared" ref="CN177" si="2313">+CN178+CN179</f>
        <v>51.089999999999996</v>
      </c>
      <c r="CO177" s="135">
        <f t="shared" ref="CO177" si="2314">+CO178+CO179</f>
        <v>51.089999999999996</v>
      </c>
      <c r="CP177" s="135">
        <f t="shared" ref="CP177" si="2315">+CP178+CP179</f>
        <v>51.089999999999996</v>
      </c>
      <c r="CQ177" s="134">
        <f t="shared" ref="CQ177" si="2316">+CQ178+CQ179</f>
        <v>51.089999999999996</v>
      </c>
      <c r="CR177" s="135">
        <f t="shared" ref="CR177" si="2317">+CR178+CR179</f>
        <v>51.089999999999996</v>
      </c>
      <c r="CS177" s="135">
        <f t="shared" ref="CS177" si="2318">+CS178+CS179</f>
        <v>51.089999999999996</v>
      </c>
      <c r="CT177" s="135">
        <f t="shared" ref="CT177" si="2319">+CT178+CT179</f>
        <v>51.089999999999996</v>
      </c>
      <c r="CU177" s="135">
        <f t="shared" ref="CU177" si="2320">+CU178+CU179</f>
        <v>51.089999999999996</v>
      </c>
      <c r="CV177" s="134">
        <f t="shared" ref="CV177" si="2321">+CV178+CV179</f>
        <v>51.089999999999996</v>
      </c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</row>
    <row r="178" spans="1:115" s="27" customFormat="1">
      <c r="A178" s="148" t="s">
        <v>72</v>
      </c>
      <c r="B178" s="70"/>
      <c r="C178" s="70"/>
      <c r="D178" s="70"/>
      <c r="E178" s="134"/>
      <c r="F178" s="135"/>
      <c r="G178" s="135"/>
      <c r="H178" s="135"/>
      <c r="I178" s="135"/>
      <c r="J178" s="134"/>
      <c r="K178" s="135"/>
      <c r="L178" s="135"/>
      <c r="M178" s="135"/>
      <c r="N178" s="135"/>
      <c r="O178" s="134"/>
      <c r="P178" s="135"/>
      <c r="Q178" s="135"/>
      <c r="R178" s="135"/>
      <c r="S178" s="135"/>
      <c r="T178" s="134"/>
      <c r="U178" s="136">
        <v>33.71</v>
      </c>
      <c r="V178" s="136">
        <v>33.71</v>
      </c>
      <c r="W178" s="136">
        <v>33.71</v>
      </c>
      <c r="X178" s="136">
        <v>33.71</v>
      </c>
      <c r="Y178" s="134">
        <v>33.71</v>
      </c>
      <c r="Z178" s="136">
        <v>33.71</v>
      </c>
      <c r="AA178" s="136">
        <v>33.71</v>
      </c>
      <c r="AB178" s="136">
        <v>33.71</v>
      </c>
      <c r="AC178" s="136">
        <v>33.71</v>
      </c>
      <c r="AD178" s="134">
        <f>+AC178</f>
        <v>33.71</v>
      </c>
      <c r="AE178" s="136">
        <v>33.71</v>
      </c>
      <c r="AF178" s="136">
        <v>33.71</v>
      </c>
      <c r="AG178" s="136">
        <v>33.71</v>
      </c>
      <c r="AH178" s="136">
        <v>33.71</v>
      </c>
      <c r="AI178" s="134">
        <v>33.71</v>
      </c>
      <c r="AJ178" s="135">
        <v>8.51</v>
      </c>
      <c r="AK178" s="135">
        <v>8.51</v>
      </c>
      <c r="AL178" s="135">
        <v>8.51</v>
      </c>
      <c r="AM178" s="135">
        <v>8.51</v>
      </c>
      <c r="AN178" s="134">
        <v>8.51</v>
      </c>
      <c r="AO178" s="136">
        <v>8.51</v>
      </c>
      <c r="AP178" s="136">
        <v>8.51</v>
      </c>
      <c r="AQ178" s="136">
        <v>8.51</v>
      </c>
      <c r="AR178" s="136">
        <v>8.51</v>
      </c>
      <c r="AS178" s="134">
        <v>8.51</v>
      </c>
      <c r="AT178" s="135">
        <v>8.51</v>
      </c>
      <c r="AU178" s="135">
        <v>8.51</v>
      </c>
      <c r="AV178" s="135">
        <v>8.51</v>
      </c>
      <c r="AW178" s="135">
        <v>8.51</v>
      </c>
      <c r="AX178" s="134">
        <v>8.51</v>
      </c>
      <c r="AY178" s="135">
        <v>8.51</v>
      </c>
      <c r="AZ178" s="135">
        <v>8.51</v>
      </c>
      <c r="BA178" s="135">
        <v>8.51</v>
      </c>
      <c r="BB178" s="135">
        <v>8.51</v>
      </c>
      <c r="BC178" s="134">
        <v>8.51</v>
      </c>
      <c r="BD178" s="135">
        <v>8.51</v>
      </c>
      <c r="BE178" s="135">
        <v>8.51</v>
      </c>
      <c r="BF178" s="135">
        <v>8.51</v>
      </c>
      <c r="BG178" s="135">
        <v>8.51</v>
      </c>
      <c r="BH178" s="134">
        <v>8.51</v>
      </c>
      <c r="BI178" s="136">
        <v>8.51</v>
      </c>
      <c r="BJ178" s="136">
        <v>8.51</v>
      </c>
      <c r="BK178" s="136">
        <v>8.51</v>
      </c>
      <c r="BL178" s="136">
        <v>8.51</v>
      </c>
      <c r="BM178" s="134">
        <v>8.51</v>
      </c>
      <c r="BN178" s="135">
        <v>8.51</v>
      </c>
      <c r="BO178" s="135">
        <v>8.51</v>
      </c>
      <c r="BP178" s="135">
        <v>8.51</v>
      </c>
      <c r="BQ178" s="135">
        <v>8.51</v>
      </c>
      <c r="BR178" s="134">
        <v>8.51</v>
      </c>
      <c r="BS178" s="135">
        <v>8.51</v>
      </c>
      <c r="BT178" s="135">
        <v>8.51</v>
      </c>
      <c r="BU178" s="135">
        <v>8.51</v>
      </c>
      <c r="BV178" s="135">
        <v>8.51</v>
      </c>
      <c r="BW178" s="134">
        <v>8.51</v>
      </c>
      <c r="BX178" s="135">
        <v>8.51</v>
      </c>
      <c r="BY178" s="135">
        <v>8.51</v>
      </c>
      <c r="BZ178" s="135">
        <v>8.51</v>
      </c>
      <c r="CA178" s="135">
        <v>8.51</v>
      </c>
      <c r="CB178" s="134">
        <v>8.51</v>
      </c>
      <c r="CC178" s="136">
        <v>8.51</v>
      </c>
      <c r="CD178" s="136">
        <v>8.51</v>
      </c>
      <c r="CE178" s="136">
        <v>8.51</v>
      </c>
      <c r="CF178" s="136">
        <v>8.51</v>
      </c>
      <c r="CG178" s="134">
        <v>8.51</v>
      </c>
      <c r="CH178" s="135">
        <v>8.51</v>
      </c>
      <c r="CI178" s="135">
        <v>8.51</v>
      </c>
      <c r="CJ178" s="135">
        <v>8.51</v>
      </c>
      <c r="CK178" s="135">
        <v>8.51</v>
      </c>
      <c r="CL178" s="134">
        <v>8.51</v>
      </c>
      <c r="CM178" s="135">
        <v>8.51</v>
      </c>
      <c r="CN178" s="135">
        <v>8.51</v>
      </c>
      <c r="CO178" s="135">
        <v>8.51</v>
      </c>
      <c r="CP178" s="135">
        <v>8.51</v>
      </c>
      <c r="CQ178" s="134">
        <v>8.51</v>
      </c>
      <c r="CR178" s="136">
        <v>8.51</v>
      </c>
      <c r="CS178" s="136">
        <v>8.51</v>
      </c>
      <c r="CT178" s="136">
        <v>8.51</v>
      </c>
      <c r="CU178" s="136">
        <v>8.51</v>
      </c>
      <c r="CV178" s="134">
        <v>8.51</v>
      </c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</row>
    <row r="179" spans="1:115" s="27" customFormat="1">
      <c r="A179" s="148" t="s">
        <v>73</v>
      </c>
      <c r="B179" s="70"/>
      <c r="C179" s="70"/>
      <c r="D179" s="70"/>
      <c r="E179" s="134"/>
      <c r="F179" s="135"/>
      <c r="G179" s="135"/>
      <c r="H179" s="135"/>
      <c r="I179" s="135"/>
      <c r="J179" s="134"/>
      <c r="K179" s="135"/>
      <c r="L179" s="135"/>
      <c r="M179" s="135"/>
      <c r="N179" s="135"/>
      <c r="O179" s="134"/>
      <c r="P179" s="135"/>
      <c r="Q179" s="135"/>
      <c r="R179" s="135"/>
      <c r="S179" s="135"/>
      <c r="T179" s="134"/>
      <c r="U179" s="136">
        <v>8.5</v>
      </c>
      <c r="V179" s="136">
        <v>8.5</v>
      </c>
      <c r="W179" s="136">
        <v>8.5</v>
      </c>
      <c r="X179" s="136">
        <v>8.5</v>
      </c>
      <c r="Y179" s="134">
        <v>8.5</v>
      </c>
      <c r="Z179" s="136">
        <v>8.5</v>
      </c>
      <c r="AA179" s="136">
        <v>8.5</v>
      </c>
      <c r="AB179" s="136">
        <v>8.5</v>
      </c>
      <c r="AC179" s="136">
        <v>8.5</v>
      </c>
      <c r="AD179" s="134">
        <f>+AC179</f>
        <v>8.5</v>
      </c>
      <c r="AE179" s="136">
        <v>8.5</v>
      </c>
      <c r="AF179" s="136">
        <v>8.5</v>
      </c>
      <c r="AG179" s="136">
        <v>8.5</v>
      </c>
      <c r="AH179" s="136">
        <v>8.5</v>
      </c>
      <c r="AI179" s="134">
        <v>8.5</v>
      </c>
      <c r="AJ179" s="135">
        <v>33.71</v>
      </c>
      <c r="AK179" s="135">
        <v>42.58</v>
      </c>
      <c r="AL179" s="135">
        <v>42.58</v>
      </c>
      <c r="AM179" s="135">
        <v>42.58</v>
      </c>
      <c r="AN179" s="134">
        <v>42.58</v>
      </c>
      <c r="AO179" s="136">
        <v>42.58</v>
      </c>
      <c r="AP179" s="136">
        <v>42.58</v>
      </c>
      <c r="AQ179" s="136">
        <v>42.58</v>
      </c>
      <c r="AR179" s="136">
        <v>42.58</v>
      </c>
      <c r="AS179" s="134">
        <v>42.58</v>
      </c>
      <c r="AT179" s="135">
        <v>42.58</v>
      </c>
      <c r="AU179" s="135">
        <v>42.58</v>
      </c>
      <c r="AV179" s="135">
        <v>42.58</v>
      </c>
      <c r="AW179" s="135">
        <v>42.58</v>
      </c>
      <c r="AX179" s="134">
        <v>42.58</v>
      </c>
      <c r="AY179" s="135">
        <v>42.58</v>
      </c>
      <c r="AZ179" s="135">
        <v>42.58</v>
      </c>
      <c r="BA179" s="135">
        <v>42.58</v>
      </c>
      <c r="BB179" s="135">
        <v>42.58</v>
      </c>
      <c r="BC179" s="134">
        <v>42.58</v>
      </c>
      <c r="BD179" s="135">
        <v>42.58</v>
      </c>
      <c r="BE179" s="135">
        <v>42.58</v>
      </c>
      <c r="BF179" s="135">
        <v>42.58</v>
      </c>
      <c r="BG179" s="135">
        <v>42.58</v>
      </c>
      <c r="BH179" s="134">
        <v>42.58</v>
      </c>
      <c r="BI179" s="136">
        <v>42.58</v>
      </c>
      <c r="BJ179" s="136">
        <v>42.58</v>
      </c>
      <c r="BK179" s="136">
        <v>42.58</v>
      </c>
      <c r="BL179" s="136">
        <v>42.58</v>
      </c>
      <c r="BM179" s="134">
        <v>42.58</v>
      </c>
      <c r="BN179" s="135">
        <v>42.58</v>
      </c>
      <c r="BO179" s="135">
        <v>42.58</v>
      </c>
      <c r="BP179" s="135">
        <v>42.58</v>
      </c>
      <c r="BQ179" s="135">
        <v>42.58</v>
      </c>
      <c r="BR179" s="134">
        <v>42.58</v>
      </c>
      <c r="BS179" s="135">
        <v>42.58</v>
      </c>
      <c r="BT179" s="135">
        <v>42.58</v>
      </c>
      <c r="BU179" s="135">
        <v>42.58</v>
      </c>
      <c r="BV179" s="135">
        <v>42.58</v>
      </c>
      <c r="BW179" s="134">
        <v>42.58</v>
      </c>
      <c r="BX179" s="135">
        <v>42.58</v>
      </c>
      <c r="BY179" s="135">
        <v>42.58</v>
      </c>
      <c r="BZ179" s="135">
        <v>42.58</v>
      </c>
      <c r="CA179" s="135">
        <v>42.58</v>
      </c>
      <c r="CB179" s="134">
        <v>42.58</v>
      </c>
      <c r="CC179" s="136">
        <v>42.58</v>
      </c>
      <c r="CD179" s="136">
        <v>42.58</v>
      </c>
      <c r="CE179" s="136">
        <v>42.58</v>
      </c>
      <c r="CF179" s="136">
        <v>42.58</v>
      </c>
      <c r="CG179" s="134">
        <v>42.58</v>
      </c>
      <c r="CH179" s="135">
        <v>42.58</v>
      </c>
      <c r="CI179" s="135">
        <v>42.58</v>
      </c>
      <c r="CJ179" s="135">
        <v>42.58</v>
      </c>
      <c r="CK179" s="135">
        <v>42.58</v>
      </c>
      <c r="CL179" s="134">
        <v>42.58</v>
      </c>
      <c r="CM179" s="135">
        <v>42.58</v>
      </c>
      <c r="CN179" s="135">
        <v>42.58</v>
      </c>
      <c r="CO179" s="135">
        <v>42.58</v>
      </c>
      <c r="CP179" s="135">
        <v>42.58</v>
      </c>
      <c r="CQ179" s="134">
        <v>42.58</v>
      </c>
      <c r="CR179" s="136">
        <v>42.58</v>
      </c>
      <c r="CS179" s="136">
        <v>42.58</v>
      </c>
      <c r="CT179" s="136">
        <v>42.58</v>
      </c>
      <c r="CU179" s="136">
        <v>42.58</v>
      </c>
      <c r="CV179" s="134">
        <v>42.58</v>
      </c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</row>
    <row r="180" spans="1:115" s="15" customFormat="1">
      <c r="A180" s="149" t="s">
        <v>74</v>
      </c>
      <c r="B180" s="19"/>
      <c r="C180" s="19"/>
      <c r="D180" s="19"/>
      <c r="E180" s="112"/>
      <c r="F180" s="137"/>
      <c r="G180" s="137"/>
      <c r="H180" s="137"/>
      <c r="I180" s="137"/>
      <c r="J180" s="112"/>
      <c r="K180" s="137"/>
      <c r="L180" s="137"/>
      <c r="M180" s="137"/>
      <c r="N180" s="137"/>
      <c r="O180" s="112"/>
      <c r="P180" s="137"/>
      <c r="Q180" s="137"/>
      <c r="R180" s="137"/>
      <c r="S180" s="137"/>
      <c r="T180" s="112"/>
      <c r="U180" s="137">
        <v>0.20137408197109688</v>
      </c>
      <c r="V180" s="137">
        <f t="shared" ref="V180:W180" si="2322">+V179/V177</f>
        <v>0.20137408197109688</v>
      </c>
      <c r="W180" s="137">
        <f t="shared" si="2322"/>
        <v>0.20137408197109688</v>
      </c>
      <c r="X180" s="137">
        <f t="shared" ref="X180" si="2323">+X179/X177</f>
        <v>0.20137408197109688</v>
      </c>
      <c r="Y180" s="112">
        <f t="shared" ref="Y180" si="2324">+Y179/Y177</f>
        <v>0.20137408197109688</v>
      </c>
      <c r="Z180" s="137">
        <f t="shared" ref="Z180" si="2325">+Z179/Z177</f>
        <v>0.20137408197109688</v>
      </c>
      <c r="AA180" s="137">
        <f t="shared" ref="AA180" si="2326">+AA179/AA177</f>
        <v>0.20137408197109688</v>
      </c>
      <c r="AB180" s="137">
        <f t="shared" ref="AB180" si="2327">+AB179/AB177</f>
        <v>0.20137408197109688</v>
      </c>
      <c r="AC180" s="137">
        <f t="shared" ref="AC180" si="2328">+AC179/AC177</f>
        <v>0.20137408197109688</v>
      </c>
      <c r="AD180" s="112">
        <f t="shared" ref="AD180" si="2329">+AD179/AD177</f>
        <v>0.20137408197109688</v>
      </c>
      <c r="AE180" s="137">
        <f t="shared" ref="AE180" si="2330">+AE179/AE177</f>
        <v>0.20137408197109688</v>
      </c>
      <c r="AF180" s="137">
        <f t="shared" ref="AF180" si="2331">+AF179/AF177</f>
        <v>0.20137408197109688</v>
      </c>
      <c r="AG180" s="137">
        <f t="shared" ref="AG180" si="2332">+AG179/AG177</f>
        <v>0.20137408197109688</v>
      </c>
      <c r="AH180" s="137">
        <f t="shared" ref="AH180" si="2333">+AH179/AH177</f>
        <v>0.20137408197109688</v>
      </c>
      <c r="AI180" s="112">
        <f t="shared" ref="AI180" si="2334">+AI179/AI177</f>
        <v>0.20137408197109688</v>
      </c>
      <c r="AJ180" s="137">
        <f t="shared" ref="AJ180" si="2335">+AJ179/AJ177</f>
        <v>0.79843675982946472</v>
      </c>
      <c r="AK180" s="137">
        <f t="shared" ref="AK180" si="2336">+AK179/AK177</f>
        <v>0.83343119984341363</v>
      </c>
      <c r="AL180" s="137">
        <f t="shared" ref="AL180" si="2337">+AL179/AL177</f>
        <v>0.83343119984341363</v>
      </c>
      <c r="AM180" s="137">
        <f t="shared" ref="AM180" si="2338">+AM179/AM177</f>
        <v>0.83343119984341363</v>
      </c>
      <c r="AN180" s="112">
        <f t="shared" ref="AN180" si="2339">+AN179/AN177</f>
        <v>0.83343119984341363</v>
      </c>
      <c r="AO180" s="137">
        <f t="shared" ref="AO180" si="2340">+AO179/AO177</f>
        <v>0.83343119984341363</v>
      </c>
      <c r="AP180" s="137">
        <f t="shared" ref="AP180" si="2341">+AP179/AP177</f>
        <v>0.83343119984341363</v>
      </c>
      <c r="AQ180" s="137">
        <f t="shared" ref="AQ180" si="2342">+AQ179/AQ177</f>
        <v>0.83343119984341363</v>
      </c>
      <c r="AR180" s="137">
        <f t="shared" ref="AR180" si="2343">+AR179/AR177</f>
        <v>0.83343119984341363</v>
      </c>
      <c r="AS180" s="112">
        <f t="shared" ref="AS180" si="2344">+AS179/AS177</f>
        <v>0.83343119984341363</v>
      </c>
      <c r="AT180" s="137">
        <f t="shared" ref="AT180" si="2345">+AT179/AT177</f>
        <v>0.83343119984341363</v>
      </c>
      <c r="AU180" s="137">
        <f t="shared" ref="AU180" si="2346">+AU179/AU177</f>
        <v>0.83343119984341363</v>
      </c>
      <c r="AV180" s="137">
        <f t="shared" ref="AV180" si="2347">+AV179/AV177</f>
        <v>0.83343119984341363</v>
      </c>
      <c r="AW180" s="137">
        <f t="shared" ref="AW180" si="2348">+AW179/AW177</f>
        <v>0.83343119984341363</v>
      </c>
      <c r="AX180" s="112">
        <f t="shared" ref="AX180" si="2349">+AX179/AX177</f>
        <v>0.83343119984341363</v>
      </c>
      <c r="AY180" s="137">
        <f t="shared" ref="AY180" si="2350">+AY179/AY177</f>
        <v>0.83343119984341363</v>
      </c>
      <c r="AZ180" s="137">
        <f t="shared" ref="AZ180" si="2351">+AZ179/AZ177</f>
        <v>0.83343119984341363</v>
      </c>
      <c r="BA180" s="137">
        <f t="shared" ref="BA180" si="2352">+BA179/BA177</f>
        <v>0.83343119984341363</v>
      </c>
      <c r="BB180" s="137">
        <f t="shared" ref="BB180" si="2353">+BB179/BB177</f>
        <v>0.83343119984341363</v>
      </c>
      <c r="BC180" s="112">
        <f t="shared" ref="BC180" si="2354">+BC179/BC177</f>
        <v>0.83343119984341363</v>
      </c>
      <c r="BD180" s="137">
        <f t="shared" ref="BD180" si="2355">+BD179/BD177</f>
        <v>0.83343119984341363</v>
      </c>
      <c r="BE180" s="137">
        <f t="shared" ref="BE180" si="2356">+BE179/BE177</f>
        <v>0.83343119984341363</v>
      </c>
      <c r="BF180" s="137">
        <f t="shared" ref="BF180" si="2357">+BF179/BF177</f>
        <v>0.83343119984341363</v>
      </c>
      <c r="BG180" s="137">
        <f t="shared" ref="BG180" si="2358">+BG179/BG177</f>
        <v>0.83343119984341363</v>
      </c>
      <c r="BH180" s="112">
        <f t="shared" ref="BH180" si="2359">+BH179/BH177</f>
        <v>0.83343119984341363</v>
      </c>
      <c r="BI180" s="137">
        <f t="shared" ref="BI180" si="2360">+BI179/BI177</f>
        <v>0.83343119984341363</v>
      </c>
      <c r="BJ180" s="137">
        <f t="shared" ref="BJ180" si="2361">+BJ179/BJ177</f>
        <v>0.83343119984341363</v>
      </c>
      <c r="BK180" s="137">
        <f t="shared" ref="BK180" si="2362">+BK179/BK177</f>
        <v>0.83343119984341363</v>
      </c>
      <c r="BL180" s="137">
        <f t="shared" ref="BL180" si="2363">+BL179/BL177</f>
        <v>0.83343119984341363</v>
      </c>
      <c r="BM180" s="112">
        <f t="shared" ref="BM180" si="2364">+BM179/BM177</f>
        <v>0.83343119984341363</v>
      </c>
      <c r="BN180" s="137">
        <f t="shared" ref="BN180" si="2365">+BN179/BN177</f>
        <v>0.83343119984341363</v>
      </c>
      <c r="BO180" s="137">
        <f t="shared" ref="BO180" si="2366">+BO179/BO177</f>
        <v>0.83343119984341363</v>
      </c>
      <c r="BP180" s="137">
        <f t="shared" ref="BP180" si="2367">+BP179/BP177</f>
        <v>0.83343119984341363</v>
      </c>
      <c r="BQ180" s="137">
        <f t="shared" ref="BQ180" si="2368">+BQ179/BQ177</f>
        <v>0.83343119984341363</v>
      </c>
      <c r="BR180" s="112">
        <f t="shared" ref="BR180" si="2369">+BR179/BR177</f>
        <v>0.83343119984341363</v>
      </c>
      <c r="BS180" s="137">
        <f t="shared" ref="BS180" si="2370">+BS179/BS177</f>
        <v>0.83343119984341363</v>
      </c>
      <c r="BT180" s="137">
        <f t="shared" ref="BT180" si="2371">+BT179/BT177</f>
        <v>0.83343119984341363</v>
      </c>
      <c r="BU180" s="137">
        <f t="shared" ref="BU180" si="2372">+BU179/BU177</f>
        <v>0.83343119984341363</v>
      </c>
      <c r="BV180" s="137">
        <f t="shared" ref="BV180" si="2373">+BV179/BV177</f>
        <v>0.83343119984341363</v>
      </c>
      <c r="BW180" s="112">
        <f t="shared" ref="BW180" si="2374">+BW179/BW177</f>
        <v>0.83343119984341363</v>
      </c>
      <c r="BX180" s="137">
        <f t="shared" ref="BX180" si="2375">+BX179/BX177</f>
        <v>0.83343119984341363</v>
      </c>
      <c r="BY180" s="137">
        <f t="shared" ref="BY180" si="2376">+BY179/BY177</f>
        <v>0.83343119984341363</v>
      </c>
      <c r="BZ180" s="137">
        <f t="shared" ref="BZ180" si="2377">+BZ179/BZ177</f>
        <v>0.83343119984341363</v>
      </c>
      <c r="CA180" s="137">
        <f t="shared" ref="CA180" si="2378">+CA179/CA177</f>
        <v>0.83343119984341363</v>
      </c>
      <c r="CB180" s="112">
        <f t="shared" ref="CB180" si="2379">+CB179/CB177</f>
        <v>0.83343119984341363</v>
      </c>
      <c r="CC180" s="137">
        <f t="shared" ref="CC180" si="2380">+CC179/CC177</f>
        <v>0.83343119984341363</v>
      </c>
      <c r="CD180" s="137">
        <f t="shared" ref="CD180" si="2381">+CD179/CD177</f>
        <v>0.83343119984341363</v>
      </c>
      <c r="CE180" s="137">
        <f t="shared" ref="CE180" si="2382">+CE179/CE177</f>
        <v>0.83343119984341363</v>
      </c>
      <c r="CF180" s="137">
        <f t="shared" ref="CF180" si="2383">+CF179/CF177</f>
        <v>0.83343119984341363</v>
      </c>
      <c r="CG180" s="112">
        <f t="shared" ref="CG180" si="2384">+CG179/CG177</f>
        <v>0.83343119984341363</v>
      </c>
      <c r="CH180" s="137">
        <f t="shared" ref="CH180" si="2385">+CH179/CH177</f>
        <v>0.83343119984341363</v>
      </c>
      <c r="CI180" s="137">
        <f t="shared" ref="CI180" si="2386">+CI179/CI177</f>
        <v>0.83343119984341363</v>
      </c>
      <c r="CJ180" s="137">
        <f t="shared" ref="CJ180" si="2387">+CJ179/CJ177</f>
        <v>0.83343119984341363</v>
      </c>
      <c r="CK180" s="137">
        <f t="shared" ref="CK180" si="2388">+CK179/CK177</f>
        <v>0.83343119984341363</v>
      </c>
      <c r="CL180" s="112">
        <f t="shared" ref="CL180" si="2389">+CL179/CL177</f>
        <v>0.83343119984341363</v>
      </c>
      <c r="CM180" s="137">
        <f t="shared" ref="CM180" si="2390">+CM179/CM177</f>
        <v>0.83343119984341363</v>
      </c>
      <c r="CN180" s="137">
        <f t="shared" ref="CN180" si="2391">+CN179/CN177</f>
        <v>0.83343119984341363</v>
      </c>
      <c r="CO180" s="137">
        <f t="shared" ref="CO180" si="2392">+CO179/CO177</f>
        <v>0.83343119984341363</v>
      </c>
      <c r="CP180" s="137">
        <f t="shared" ref="CP180" si="2393">+CP179/CP177</f>
        <v>0.83343119984341363</v>
      </c>
      <c r="CQ180" s="112">
        <f t="shared" ref="CQ180" si="2394">+CQ179/CQ177</f>
        <v>0.83343119984341363</v>
      </c>
      <c r="CR180" s="137">
        <f t="shared" ref="CR180" si="2395">+CR179/CR177</f>
        <v>0.83343119984341363</v>
      </c>
      <c r="CS180" s="137">
        <f t="shared" ref="CS180" si="2396">+CS179/CS177</f>
        <v>0.83343119984341363</v>
      </c>
      <c r="CT180" s="137">
        <f t="shared" ref="CT180" si="2397">+CT179/CT177</f>
        <v>0.83343119984341363</v>
      </c>
      <c r="CU180" s="137">
        <f t="shared" ref="CU180" si="2398">+CU179/CU177</f>
        <v>0.83343119984341363</v>
      </c>
      <c r="CV180" s="112">
        <f t="shared" ref="CV180" si="2399">+CV179/CV177</f>
        <v>0.83343119984341363</v>
      </c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</row>
    <row r="181" spans="1:115" s="15" customFormat="1">
      <c r="A181" s="146"/>
      <c r="B181" s="34"/>
      <c r="C181" s="34"/>
      <c r="D181" s="34"/>
      <c r="E181" s="100"/>
      <c r="F181" s="83"/>
      <c r="G181" s="83"/>
      <c r="H181" s="83"/>
      <c r="I181" s="83"/>
      <c r="J181" s="100"/>
      <c r="K181" s="83"/>
      <c r="L181" s="83"/>
      <c r="M181" s="83"/>
      <c r="N181" s="83"/>
      <c r="O181" s="100"/>
      <c r="P181" s="83"/>
      <c r="Q181" s="83"/>
      <c r="R181" s="83"/>
      <c r="S181" s="83"/>
      <c r="T181" s="100"/>
      <c r="U181" s="83"/>
      <c r="V181" s="83"/>
      <c r="W181" s="83"/>
      <c r="X181" s="83"/>
      <c r="Y181" s="100"/>
      <c r="Z181" s="83"/>
      <c r="AA181" s="83"/>
      <c r="AB181" s="83"/>
      <c r="AC181" s="83"/>
      <c r="AD181" s="100"/>
      <c r="AE181" s="83"/>
      <c r="AF181" s="83"/>
      <c r="AG181" s="83"/>
      <c r="AH181" s="83"/>
      <c r="AI181" s="100"/>
      <c r="AJ181" s="83"/>
      <c r="AK181" s="83"/>
      <c r="AL181" s="83"/>
      <c r="AM181" s="83"/>
      <c r="AN181" s="100"/>
      <c r="AO181" s="83"/>
      <c r="AP181" s="83"/>
      <c r="AQ181" s="83"/>
      <c r="AR181" s="83"/>
      <c r="AS181" s="100"/>
      <c r="AT181" s="83"/>
      <c r="AU181" s="83"/>
      <c r="AV181" s="83"/>
      <c r="AW181" s="83"/>
      <c r="AX181" s="100"/>
      <c r="AY181" s="83"/>
      <c r="AZ181" s="83"/>
      <c r="BA181" s="83"/>
      <c r="BB181" s="83"/>
      <c r="BC181" s="100"/>
      <c r="BD181" s="83"/>
      <c r="BE181" s="83"/>
      <c r="BF181" s="83"/>
      <c r="BG181" s="83"/>
      <c r="BH181" s="100"/>
      <c r="BI181" s="83"/>
      <c r="BJ181" s="83"/>
      <c r="BK181" s="83"/>
      <c r="BL181" s="83"/>
      <c r="BM181" s="100"/>
      <c r="BN181" s="83"/>
      <c r="BO181" s="83"/>
      <c r="BP181" s="83"/>
      <c r="BQ181" s="83"/>
      <c r="BR181" s="100"/>
      <c r="BS181" s="83"/>
      <c r="BT181" s="83"/>
      <c r="BU181" s="83"/>
      <c r="BV181" s="83"/>
      <c r="BW181" s="100"/>
      <c r="BX181" s="83"/>
      <c r="BY181" s="83"/>
      <c r="BZ181" s="83"/>
      <c r="CA181" s="83"/>
      <c r="CB181" s="100"/>
      <c r="CC181" s="83"/>
      <c r="CD181" s="83"/>
      <c r="CE181" s="83"/>
      <c r="CF181" s="83"/>
      <c r="CG181" s="100"/>
      <c r="CH181" s="83"/>
      <c r="CI181" s="83"/>
      <c r="CJ181" s="83"/>
      <c r="CK181" s="83"/>
      <c r="CL181" s="100"/>
      <c r="CM181" s="83"/>
      <c r="CN181" s="83"/>
      <c r="CO181" s="83"/>
      <c r="CP181" s="83"/>
      <c r="CQ181" s="100"/>
      <c r="CR181" s="83"/>
      <c r="CS181" s="83"/>
      <c r="CT181" s="83"/>
      <c r="CU181" s="83"/>
      <c r="CV181" s="100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</row>
    <row r="182" spans="1:115" s="15" customFormat="1">
      <c r="A182" s="148" t="s">
        <v>75</v>
      </c>
      <c r="B182" s="71"/>
      <c r="C182" s="71"/>
      <c r="D182" s="71">
        <v>328.64449999999999</v>
      </c>
      <c r="E182" s="134">
        <v>328.64449999999999</v>
      </c>
      <c r="F182" s="136">
        <v>679.40449999999998</v>
      </c>
      <c r="G182" s="136">
        <v>751.827</v>
      </c>
      <c r="H182" s="136">
        <v>815.14499999999998</v>
      </c>
      <c r="I182" s="136">
        <v>790.55</v>
      </c>
      <c r="J182" s="134">
        <v>3036.9265</v>
      </c>
      <c r="K182" s="136">
        <v>735.22850000000005</v>
      </c>
      <c r="L182" s="136">
        <v>776.45249999999999</v>
      </c>
      <c r="M182" s="136">
        <v>833.40800000000002</v>
      </c>
      <c r="N182" s="136">
        <v>761.5915</v>
      </c>
      <c r="O182" s="134">
        <v>3106.6804999999999</v>
      </c>
      <c r="P182" s="136">
        <v>752.40700000000004</v>
      </c>
      <c r="Q182" s="136">
        <v>790.29600000000005</v>
      </c>
      <c r="R182" s="136">
        <v>879.99800000000005</v>
      </c>
      <c r="S182" s="136">
        <v>861.05449999999996</v>
      </c>
      <c r="T182" s="134">
        <v>3283.7555000000002</v>
      </c>
      <c r="U182" s="136">
        <v>827</v>
      </c>
      <c r="V182" s="136">
        <v>855.2</v>
      </c>
      <c r="W182" s="136">
        <v>946.8</v>
      </c>
      <c r="X182" s="136">
        <v>928.2</v>
      </c>
      <c r="Y182" s="134">
        <f>+SUM(U182:X182)</f>
        <v>3557.2</v>
      </c>
      <c r="Z182" s="136">
        <v>911.99</v>
      </c>
      <c r="AA182" s="136">
        <v>879.76900000000001</v>
      </c>
      <c r="AB182" s="136">
        <v>911.13900000000001</v>
      </c>
      <c r="AC182" s="136">
        <v>911.44</v>
      </c>
      <c r="AD182" s="134">
        <f>+SUM(Z182:AC182)</f>
        <v>3614.3380000000002</v>
      </c>
      <c r="AE182" s="302">
        <v>873.68799999999999</v>
      </c>
      <c r="AF182" s="302">
        <v>858.49350000000004</v>
      </c>
      <c r="AG182" s="302">
        <v>867.08</v>
      </c>
      <c r="AH182" s="300">
        <f>AC182*(1+AH183)</f>
        <v>911.90599999999984</v>
      </c>
      <c r="AI182" s="301">
        <f>+SUM(AE182:AH182)</f>
        <v>3511.1675</v>
      </c>
      <c r="AJ182" s="300">
        <f t="shared" ref="AJ182:AM182" si="2400">AE182*(1+AJ183)</f>
        <v>935.07799999999986</v>
      </c>
      <c r="AK182" s="300">
        <f t="shared" si="2400"/>
        <v>918.81600000000003</v>
      </c>
      <c r="AL182" s="300">
        <f t="shared" si="2400"/>
        <v>928.00599999999997</v>
      </c>
      <c r="AM182" s="300">
        <f t="shared" si="2400"/>
        <v>932.32399999999984</v>
      </c>
      <c r="AN182" s="301">
        <f>+SUM(AJ182:AM182)</f>
        <v>3714.2239999999993</v>
      </c>
      <c r="AO182" s="300">
        <f t="shared" ref="AO182" si="2401">AJ182*(1+AO183)</f>
        <v>1062.7449999999999</v>
      </c>
      <c r="AP182" s="300">
        <f t="shared" ref="AP182" si="2402">AK182*(1+AP183)</f>
        <v>1046.694</v>
      </c>
      <c r="AQ182" s="300">
        <f t="shared" ref="AQ182" si="2403">AL182*(1+AQ183)</f>
        <v>1115.6210000000001</v>
      </c>
      <c r="AR182" s="300">
        <f t="shared" ref="AR182" si="2404">AM182*(1+AR183)</f>
        <v>1129.7529999999999</v>
      </c>
      <c r="AS182" s="301">
        <f>+SUM(AO182:AR182)</f>
        <v>4354.8130000000001</v>
      </c>
      <c r="AT182" s="300">
        <f t="shared" ref="AT182" si="2405">AO182*(1+AT183)</f>
        <v>1220.5540000000001</v>
      </c>
      <c r="AU182" s="300">
        <f t="shared" ref="AU182" si="2406">AP182*(1+AU183)</f>
        <v>1202.5809999999999</v>
      </c>
      <c r="AV182" s="300">
        <f t="shared" ref="AV182" si="2407">AQ182*(1+AV183)</f>
        <v>1281.2059999999999</v>
      </c>
      <c r="AW182" s="300">
        <f t="shared" ref="AW182" si="2408">AR182*(1+AW183)</f>
        <v>1297.75</v>
      </c>
      <c r="AX182" s="301">
        <f>+SUM(AT182:AW182)</f>
        <v>5002.0910000000003</v>
      </c>
      <c r="AY182" s="300">
        <f t="shared" ref="AY182" si="2409">AT182*(1+AY183)</f>
        <v>1375.204</v>
      </c>
      <c r="AZ182" s="300">
        <f t="shared" ref="AZ182" si="2410">AU182*(1+AZ183)</f>
        <v>1355.423</v>
      </c>
      <c r="BA182" s="300">
        <f t="shared" ref="BA182" si="2411">AV182*(1+BA183)</f>
        <v>1443.4639999999999</v>
      </c>
      <c r="BB182" s="300">
        <f t="shared" ref="BB182" si="2412">AW182*(1+BB183)</f>
        <v>1462.423</v>
      </c>
      <c r="BC182" s="301">
        <f>+SUM(AY182:BB182)</f>
        <v>5636.5140000000001</v>
      </c>
      <c r="BD182" s="300">
        <f t="shared" ref="BD182" si="2413">AY182*(1+BD183)</f>
        <v>1547.8140000000001</v>
      </c>
      <c r="BE182" s="300">
        <f t="shared" ref="BE182" si="2414">AZ182*(1+BE183)</f>
        <v>1525.9909999999998</v>
      </c>
      <c r="BF182" s="300">
        <f t="shared" ref="BF182" si="2415">BA182*(1+BF183)</f>
        <v>1624.5689999999997</v>
      </c>
      <c r="BG182" s="300">
        <f t="shared" ref="BG182" si="2416">BB182*(1+BG183)</f>
        <v>1646.2079999999999</v>
      </c>
      <c r="BH182" s="301">
        <f>+SUM(BD182:BG182)</f>
        <v>6344.5819999999994</v>
      </c>
      <c r="BI182" s="300">
        <f t="shared" ref="BI182" si="2417">BD182*(1+BI183)</f>
        <v>1613.0819999999999</v>
      </c>
      <c r="BJ182" s="300">
        <f t="shared" ref="BJ182" si="2418">BE182*(1+BJ183)</f>
        <v>1590.4909999999998</v>
      </c>
      <c r="BK182" s="300">
        <f t="shared" ref="BK182" si="2419">BF182*(1+BK183)</f>
        <v>1693.05</v>
      </c>
      <c r="BL182" s="300">
        <f t="shared" ref="BL182" si="2420">BG182*(1+BL183)</f>
        <v>1715.7039999999997</v>
      </c>
      <c r="BM182" s="301">
        <f>+SUM(BI182:BL182)</f>
        <v>6612.3269999999993</v>
      </c>
      <c r="BN182" s="300">
        <f t="shared" ref="BN182" si="2421">BI182*(1+BN183)</f>
        <v>1679.6389999999997</v>
      </c>
      <c r="BO182" s="300">
        <f t="shared" ref="BO182" si="2422">BJ182*(1+BO183)</f>
        <v>1656.2279999999998</v>
      </c>
      <c r="BP182" s="300">
        <f t="shared" ref="BP182" si="2423">BK182*(1+BP183)</f>
        <v>1762.8879999999997</v>
      </c>
      <c r="BQ182" s="300">
        <f t="shared" ref="BQ182" si="2424">BL182*(1+BQ183)</f>
        <v>1786.5529999999999</v>
      </c>
      <c r="BR182" s="301">
        <f>+SUM(BN182:BQ182)</f>
        <v>6885.3079999999991</v>
      </c>
      <c r="BS182" s="300">
        <f t="shared" ref="BS182" si="2425">BN182*(1+BS183)</f>
        <v>1747.4189999999999</v>
      </c>
      <c r="BT182" s="300">
        <f t="shared" ref="BT182" si="2426">BO182*(1+BT183)</f>
        <v>1723.1319999999998</v>
      </c>
      <c r="BU182" s="300">
        <f t="shared" ref="BU182" si="2427">BP182*(1+BU183)</f>
        <v>1834.0159999999998</v>
      </c>
      <c r="BV182" s="300">
        <f t="shared" ref="BV182" si="2428">BQ182*(1+BV183)</f>
        <v>1858.6829999999995</v>
      </c>
      <c r="BW182" s="301">
        <f>+SUM(BS182:BV182)</f>
        <v>7163.2499999999982</v>
      </c>
      <c r="BX182" s="300">
        <f t="shared" ref="BX182" si="2429">BS182*(1+BX183)</f>
        <v>1816.3479999999997</v>
      </c>
      <c r="BY182" s="300">
        <f t="shared" ref="BY182" si="2430">BT182*(1+BY183)</f>
        <v>1791.1239999999996</v>
      </c>
      <c r="BZ182" s="300">
        <f t="shared" ref="BZ182" si="2431">BU182*(1+BZ183)</f>
        <v>1906.3569999999997</v>
      </c>
      <c r="CA182" s="300">
        <f t="shared" ref="CA182" si="2432">BV182*(1+CA183)</f>
        <v>1932.0109999999995</v>
      </c>
      <c r="CB182" s="301">
        <f>+SUM(BX182:CA182)</f>
        <v>7445.8399999999983</v>
      </c>
      <c r="CC182" s="300">
        <f t="shared" ref="CC182" si="2433">BX182*(1+CC183)</f>
        <v>1886.3469999999998</v>
      </c>
      <c r="CD182" s="300">
        <f t="shared" ref="CD182" si="2434">BY182*(1+CD183)</f>
        <v>1860.1219999999994</v>
      </c>
      <c r="CE182" s="300">
        <f t="shared" ref="CE182" si="2435">BZ182*(1+CE183)</f>
        <v>1979.8289999999997</v>
      </c>
      <c r="CF182" s="300">
        <f t="shared" ref="CF182" si="2436">CA182*(1+CF183)</f>
        <v>2006.4529999999997</v>
      </c>
      <c r="CG182" s="301">
        <f>+SUM(CC182:CF182)</f>
        <v>7732.7509999999984</v>
      </c>
      <c r="CH182" s="300">
        <f t="shared" ref="CH182" si="2437">CC182*(1+CH183)</f>
        <v>1957.3329999999999</v>
      </c>
      <c r="CI182" s="300">
        <f t="shared" ref="CI182" si="2438">CD182*(1+CI183)</f>
        <v>1930.0379999999993</v>
      </c>
      <c r="CJ182" s="300">
        <f t="shared" ref="CJ182" si="2439">CE182*(1+CJ183)</f>
        <v>2054.3470000000002</v>
      </c>
      <c r="CK182" s="300">
        <f t="shared" ref="CK182" si="2440">CF182*(1+CK183)</f>
        <v>2081.915</v>
      </c>
      <c r="CL182" s="301">
        <f>+SUM(CH182:CK182)</f>
        <v>8023.6329999999989</v>
      </c>
      <c r="CM182" s="300">
        <f t="shared" ref="CM182" si="2441">CH182*(1+CM183)</f>
        <v>2029.2199999999998</v>
      </c>
      <c r="CN182" s="300">
        <f t="shared" ref="CN182" si="2442">CI182*(1+CN183)</f>
        <v>2000.780999999999</v>
      </c>
      <c r="CO182" s="300">
        <f t="shared" ref="CO182" si="2443">CJ182*(1+CO183)</f>
        <v>2129.8200000000002</v>
      </c>
      <c r="CP182" s="300">
        <f t="shared" ref="CP182" si="2444">CK182*(1+CP183)</f>
        <v>2158.3049999999998</v>
      </c>
      <c r="CQ182" s="301">
        <f>+SUM(CM182:CP182)</f>
        <v>8318.1259999999984</v>
      </c>
      <c r="CR182" s="300">
        <f t="shared" ref="CR182" si="2445">CM182*(1+CR183)</f>
        <v>2071.8336199999994</v>
      </c>
      <c r="CS182" s="300">
        <f t="shared" ref="CS182" si="2446">CN182*(1+CS183)</f>
        <v>2042.7974009999989</v>
      </c>
      <c r="CT182" s="300">
        <f t="shared" ref="CT182" si="2447">CO182*(1+CT183)</f>
        <v>2174.5462200000002</v>
      </c>
      <c r="CU182" s="300">
        <f t="shared" ref="CU182" si="2448">CP182*(1+CU183)</f>
        <v>2203.6294049999997</v>
      </c>
      <c r="CV182" s="301">
        <f>+SUM(CR182:CU182)</f>
        <v>8492.8066459999973</v>
      </c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</row>
    <row r="183" spans="1:115" s="15" customFormat="1">
      <c r="A183" s="146" t="s">
        <v>70</v>
      </c>
      <c r="B183" s="34"/>
      <c r="C183" s="34"/>
      <c r="D183" s="34"/>
      <c r="E183" s="111"/>
      <c r="F183" s="83"/>
      <c r="G183" s="83"/>
      <c r="H183" s="83"/>
      <c r="I183" s="110">
        <f>+I182/D182-1</f>
        <v>1.4054867797878861</v>
      </c>
      <c r="J183" s="111">
        <f t="shared" ref="J183" si="2449">+J182/E182-1</f>
        <v>8.2407647168901352</v>
      </c>
      <c r="K183" s="110">
        <f t="shared" ref="K183" si="2450">+K182/F182-1</f>
        <v>8.2166073377494708E-2</v>
      </c>
      <c r="L183" s="110">
        <f t="shared" ref="L183" si="2451">+L182/G182-1</f>
        <v>3.2754210742630852E-2</v>
      </c>
      <c r="M183" s="110">
        <f t="shared" ref="M183" si="2452">+M182/H182-1</f>
        <v>2.2404602862067469E-2</v>
      </c>
      <c r="N183" s="110">
        <f t="shared" ref="N183" si="2453">+N182/I182-1</f>
        <v>-3.6630826639681202E-2</v>
      </c>
      <c r="O183" s="111">
        <f t="shared" ref="O183" si="2454">+O182/J182-1</f>
        <v>2.2968616461412461E-2</v>
      </c>
      <c r="P183" s="110">
        <f t="shared" ref="P183" si="2455">+P182/K182-1</f>
        <v>2.3364845078774898E-2</v>
      </c>
      <c r="Q183" s="110">
        <f t="shared" ref="Q183" si="2456">+Q182/L182-1</f>
        <v>1.7829165338510755E-2</v>
      </c>
      <c r="R183" s="110">
        <f t="shared" ref="R183" si="2457">+R182/M182-1</f>
        <v>5.5902991091998144E-2</v>
      </c>
      <c r="S183" s="110">
        <f t="shared" ref="S183" si="2458">+S182/N182-1</f>
        <v>0.13059888404741904</v>
      </c>
      <c r="T183" s="111">
        <f t="shared" ref="T183:X183" si="2459">+T182/O182-1</f>
        <v>5.699813675722365E-2</v>
      </c>
      <c r="U183" s="110">
        <f t="shared" si="2459"/>
        <v>9.9139162713797191E-2</v>
      </c>
      <c r="V183" s="110">
        <f t="shared" si="2459"/>
        <v>8.2126190693107448E-2</v>
      </c>
      <c r="W183" s="110">
        <f t="shared" si="2459"/>
        <v>7.5911536162582172E-2</v>
      </c>
      <c r="X183" s="110">
        <f t="shared" si="2459"/>
        <v>7.7980545946859436E-2</v>
      </c>
      <c r="Y183" s="111">
        <f t="shared" ref="Y183" si="2460">+Y182/T182-1</f>
        <v>8.3271881843821616E-2</v>
      </c>
      <c r="Z183" s="110">
        <f t="shared" ref="Z183" si="2461">+Z182/U182-1</f>
        <v>0.10276904474002424</v>
      </c>
      <c r="AA183" s="110">
        <f t="shared" ref="AA183" si="2462">+AA182/V182-1</f>
        <v>2.8728952291861454E-2</v>
      </c>
      <c r="AB183" s="110">
        <f t="shared" ref="AB183" si="2463">+AB182/W182-1</f>
        <v>-3.7664765525982191E-2</v>
      </c>
      <c r="AC183" s="110">
        <f t="shared" ref="AC183" si="2464">+AC182/X182-1</f>
        <v>-1.8056453350570933E-2</v>
      </c>
      <c r="AD183" s="111">
        <f t="shared" ref="AD183:AI183" si="2465">+AD182/Y182-1</f>
        <v>1.6062633531991555E-2</v>
      </c>
      <c r="AE183" s="110">
        <f t="shared" si="2465"/>
        <v>-4.1998267524863242E-2</v>
      </c>
      <c r="AF183" s="110">
        <f t="shared" si="2465"/>
        <v>-2.4183052596761123E-2</v>
      </c>
      <c r="AG183" s="110">
        <f t="shared" si="2465"/>
        <v>-4.8355958860283654E-2</v>
      </c>
      <c r="AH183" s="110">
        <v>5.1127885543733598E-4</v>
      </c>
      <c r="AI183" s="111">
        <f t="shared" si="2465"/>
        <v>-2.8544784688095071E-2</v>
      </c>
      <c r="AJ183" s="110">
        <v>7.0265357885194613E-2</v>
      </c>
      <c r="AK183" s="110">
        <v>7.0265529092532475E-2</v>
      </c>
      <c r="AL183" s="110">
        <v>7.026571942611981E-2</v>
      </c>
      <c r="AM183" s="110">
        <v>2.2390465683963079E-2</v>
      </c>
      <c r="AN183" s="111">
        <f t="shared" ref="AN183" si="2466">+AN182/AI182-1</f>
        <v>5.7831618685237673E-2</v>
      </c>
      <c r="AO183" s="110">
        <v>0.13653085624942518</v>
      </c>
      <c r="AP183" s="110">
        <v>0.13917694075854126</v>
      </c>
      <c r="AQ183" s="110">
        <v>0.20217002907308812</v>
      </c>
      <c r="AR183" s="110">
        <v>0.21176007482377379</v>
      </c>
      <c r="AS183" s="111">
        <f t="shared" ref="AS183" si="2467">+AS182/AN182-1</f>
        <v>0.17246913487177973</v>
      </c>
      <c r="AT183" s="110">
        <v>0.14849187716714751</v>
      </c>
      <c r="AU183" s="110">
        <v>0.14893273487762415</v>
      </c>
      <c r="AV183" s="110">
        <v>0.14842406157646715</v>
      </c>
      <c r="AW183" s="110">
        <v>0.14870241548373864</v>
      </c>
      <c r="AX183" s="111">
        <f t="shared" ref="AX183" si="2468">+AX182/AS182-1</f>
        <v>0.14863508490490873</v>
      </c>
      <c r="AY183" s="110">
        <v>0.12670475865877284</v>
      </c>
      <c r="AZ183" s="110">
        <v>0.12709497322841457</v>
      </c>
      <c r="BA183" s="110">
        <v>0.12664473940958754</v>
      </c>
      <c r="BB183" s="110">
        <v>0.1268911577730687</v>
      </c>
      <c r="BC183" s="111">
        <f t="shared" ref="BC183" si="2469">+BC182/AX182-1</f>
        <v>0.1268315590420086</v>
      </c>
      <c r="BD183" s="110">
        <v>0.12551592345572016</v>
      </c>
      <c r="BE183" s="110">
        <v>0.12584115807390006</v>
      </c>
      <c r="BF183" s="110">
        <v>0.12546554676805233</v>
      </c>
      <c r="BG183" s="110">
        <v>0.12567157381961302</v>
      </c>
      <c r="BH183" s="111">
        <f t="shared" ref="BH183" si="2470">+BH182/BC182-1</f>
        <v>0.12562161648139236</v>
      </c>
      <c r="BI183" s="110">
        <v>4.2167857378212048E-2</v>
      </c>
      <c r="BJ183" s="110">
        <v>4.2267614946615018E-2</v>
      </c>
      <c r="BK183" s="110">
        <v>4.2153334207411408E-2</v>
      </c>
      <c r="BL183" s="110">
        <v>4.2215807479978107E-2</v>
      </c>
      <c r="BM183" s="111">
        <f t="shared" ref="BM183" si="2471">+BM182/BH182-1</f>
        <v>4.2200573654812779E-2</v>
      </c>
      <c r="BN183" s="110">
        <v>4.1260766656623593E-2</v>
      </c>
      <c r="BO183" s="110">
        <v>4.1331261855615642E-2</v>
      </c>
      <c r="BP183" s="110">
        <v>4.1249815421871672E-2</v>
      </c>
      <c r="BQ183" s="110">
        <v>4.12944190839446E-2</v>
      </c>
      <c r="BR183" s="111">
        <f t="shared" ref="BR183" si="2472">+BR182/BM182-1</f>
        <v>4.1283650974913932E-2</v>
      </c>
      <c r="BS183" s="110">
        <v>4.0353909381718456E-2</v>
      </c>
      <c r="BT183" s="110">
        <v>4.0395404497448384E-2</v>
      </c>
      <c r="BU183" s="110">
        <v>4.0347429899120213E-2</v>
      </c>
      <c r="BV183" s="110">
        <v>4.0373837216136188E-2</v>
      </c>
      <c r="BW183" s="111">
        <f t="shared" ref="BW183" si="2473">+BW182/BR182-1</f>
        <v>4.0367402591140245E-2</v>
      </c>
      <c r="BX183" s="110">
        <v>3.9446177476609723E-2</v>
      </c>
      <c r="BY183" s="110">
        <v>3.9458381598159509E-2</v>
      </c>
      <c r="BZ183" s="110">
        <v>3.9444039746654225E-2</v>
      </c>
      <c r="CA183" s="110">
        <v>3.9451590185093366E-2</v>
      </c>
      <c r="CB183" s="111">
        <f t="shared" ref="CB183" si="2474">+CB182/BW182-1</f>
        <v>3.944997033469444E-2</v>
      </c>
      <c r="CC183" s="110">
        <v>3.8538319749299221E-2</v>
      </c>
      <c r="CD183" s="110">
        <v>3.8522179368932541E-2</v>
      </c>
      <c r="CE183" s="110">
        <v>3.8540525200683851E-2</v>
      </c>
      <c r="CF183" s="110">
        <v>3.853083652215239E-2</v>
      </c>
      <c r="CG183" s="111">
        <f t="shared" ref="CG183" si="2475">+CG182/CB182-1</f>
        <v>3.853306007112689E-2</v>
      </c>
      <c r="CH183" s="110">
        <v>3.7631464412433147E-2</v>
      </c>
      <c r="CI183" s="110">
        <v>3.7586781942259728E-2</v>
      </c>
      <c r="CJ183" s="110">
        <v>3.7638604142075094E-2</v>
      </c>
      <c r="CK183" s="110">
        <v>3.7609652456349618E-2</v>
      </c>
      <c r="CL183" s="111">
        <f t="shared" ref="CL183" si="2476">+CL182/CG182-1</f>
        <v>3.7616884340385459E-2</v>
      </c>
      <c r="CM183" s="110">
        <v>3.6727015791385487E-2</v>
      </c>
      <c r="CN183" s="110">
        <v>3.6653682466355475E-2</v>
      </c>
      <c r="CO183" s="110">
        <v>3.6738194667210511E-2</v>
      </c>
      <c r="CP183" s="110">
        <v>3.6692180036168601E-2</v>
      </c>
      <c r="CQ183" s="111">
        <f t="shared" ref="CQ183" si="2477">+CQ182/CL182-1</f>
        <v>3.6703199161776112E-2</v>
      </c>
      <c r="CR183" s="318">
        <v>2.0999999999999998E-2</v>
      </c>
      <c r="CS183" s="318">
        <v>2.0999999999999998E-2</v>
      </c>
      <c r="CT183" s="318">
        <v>2.0999999999999998E-2</v>
      </c>
      <c r="CU183" s="318">
        <v>2.0999999999999998E-2</v>
      </c>
      <c r="CV183" s="111">
        <f t="shared" ref="CV183" si="2478">+CV182/CQ182-1</f>
        <v>2.0999999999999908E-2</v>
      </c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</row>
    <row r="184" spans="1:115" s="15" customFormat="1">
      <c r="A184" s="146" t="s">
        <v>76</v>
      </c>
      <c r="B184" s="34"/>
      <c r="C184" s="34"/>
      <c r="D184" s="34"/>
      <c r="E184" s="118"/>
      <c r="F184" s="119"/>
      <c r="G184" s="119"/>
      <c r="H184" s="119"/>
      <c r="I184" s="119"/>
      <c r="J184" s="118">
        <f>+J183/(J$4/100)</f>
        <v>109.38658561010843</v>
      </c>
      <c r="K184" s="119">
        <f t="shared" ref="K184" si="2479">+K183/(K$4/100)</f>
        <v>1.9398674686407262</v>
      </c>
      <c r="L184" s="119">
        <f t="shared" ref="L184" si="2480">+L183/(L$4/100)</f>
        <v>0.9882520454980781</v>
      </c>
      <c r="M184" s="119">
        <f t="shared" ref="M184" si="2481">+M183/(M$4/100)</f>
        <v>1.0558415483678092</v>
      </c>
      <c r="N184" s="119">
        <f t="shared" ref="N184" si="2482">+N183/(N$4/100)</f>
        <v>-2.6807104949948859</v>
      </c>
      <c r="O184" s="118">
        <f t="shared" ref="O184" si="2483">+O183/(O$4/100)</f>
        <v>0.84056866479776327</v>
      </c>
      <c r="P184" s="119">
        <f t="shared" ref="P184" si="2484">+P183/(P$4/100)</f>
        <v>3.1039602665667134</v>
      </c>
      <c r="Q184" s="119">
        <f t="shared" ref="Q184" si="2485">+Q183/(Q$4/100)</f>
        <v>3.6402698329904641</v>
      </c>
      <c r="R184" s="119">
        <f t="shared" ref="R184" si="2486">+R183/(R$4/100)</f>
        <v>9.317165181999691</v>
      </c>
      <c r="S184" s="119">
        <f t="shared" ref="S184" si="2487">+S183/(S$4/100)</f>
        <v>4.4270808151667476</v>
      </c>
      <c r="T184" s="118">
        <f t="shared" ref="T184" si="2488">+T183/(T$4/100)</f>
        <v>5.699813675722365</v>
      </c>
      <c r="U184" s="119">
        <f t="shared" ref="U184:V184" si="2489">+U183/(U$4/100)</f>
        <v>3.6627778882495998</v>
      </c>
      <c r="V184" s="119">
        <f t="shared" si="2489"/>
        <v>2.4886724452456801</v>
      </c>
      <c r="W184" s="119">
        <f t="shared" ref="W184:X184" si="2490">+W183/(W$4/100)</f>
        <v>1.9775520811257392</v>
      </c>
      <c r="X184" s="119">
        <f t="shared" si="2490"/>
        <v>2.2461770332529918</v>
      </c>
      <c r="Y184" s="118">
        <f>(+Y183/(Y$4/100))</f>
        <v>2.523390358903685</v>
      </c>
      <c r="Z184" s="119">
        <f t="shared" ref="Z184:AE184" si="2491">+Z183/(Z$4/100)</f>
        <v>5.1384522370012116</v>
      </c>
      <c r="AA184" s="119">
        <f t="shared" si="2491"/>
        <v>1.4364476145930727</v>
      </c>
      <c r="AB184" s="119">
        <f t="shared" si="2491"/>
        <v>-1.8832382762991096</v>
      </c>
      <c r="AC184" s="119">
        <f t="shared" si="2491"/>
        <v>-0.90282266752854667</v>
      </c>
      <c r="AD184" s="118">
        <f>(+AD183/(AD$4/100))</f>
        <v>11.109559856064873</v>
      </c>
      <c r="AE184" s="119">
        <f t="shared" si="2491"/>
        <v>1.3547828233826853</v>
      </c>
      <c r="AF184" s="119">
        <f t="shared" ref="AF184:AG184" si="2492">+AF183/(AF$4/100)</f>
        <v>0.78009847086326201</v>
      </c>
      <c r="AG184" s="119">
        <f t="shared" si="2492"/>
        <v>1.5598696406543116</v>
      </c>
      <c r="AH184" s="119">
        <f t="shared" ref="AH184" si="2493">+AH183/(AH$4/100)</f>
        <v>-1.6492866304430191E-2</v>
      </c>
      <c r="AI184" s="118">
        <f>(+AI183/(AI$4/100))</f>
        <v>0.92079950606758298</v>
      </c>
      <c r="AJ184" s="119">
        <f t="shared" ref="AJ184:AM184" si="2494">+AJ183/(AJ$4/100)</f>
        <v>-3.5132678942597306</v>
      </c>
      <c r="AK184" s="119">
        <f t="shared" si="2494"/>
        <v>-3.5132764546266237</v>
      </c>
      <c r="AL184" s="119">
        <f t="shared" si="2494"/>
        <v>-3.5132859713059905</v>
      </c>
      <c r="AM184" s="119">
        <f t="shared" si="2494"/>
        <v>-1.1195232841981539</v>
      </c>
      <c r="AN184" s="118">
        <f>(+AN183/(AN$4/100))</f>
        <v>-2.8915809342618837</v>
      </c>
      <c r="AO184" s="119">
        <f t="shared" ref="AO184:AR184" si="2495">+AO183/(AO$4/100)</f>
        <v>13.653085624942518</v>
      </c>
      <c r="AP184" s="119">
        <f t="shared" si="2495"/>
        <v>13.917694075854126</v>
      </c>
      <c r="AQ184" s="119">
        <f t="shared" si="2495"/>
        <v>20.21700290730881</v>
      </c>
      <c r="AR184" s="119">
        <f t="shared" si="2495"/>
        <v>21.176007482377379</v>
      </c>
      <c r="AS184" s="118">
        <f>(+AS183/(AS$4/100))</f>
        <v>17.246913487177974</v>
      </c>
      <c r="AT184" s="119">
        <f t="shared" ref="AT184:AW184" si="2496">+AT183/(AT$4/100)</f>
        <v>7.4245938583573752</v>
      </c>
      <c r="AU184" s="119">
        <f t="shared" si="2496"/>
        <v>7.4466367438812071</v>
      </c>
      <c r="AV184" s="119">
        <f t="shared" si="2496"/>
        <v>7.4212030788233569</v>
      </c>
      <c r="AW184" s="119">
        <f t="shared" si="2496"/>
        <v>7.4351207741869318</v>
      </c>
      <c r="AX184" s="118">
        <f>(+AX183/(AX$4/100))</f>
        <v>7.4317542452454362</v>
      </c>
      <c r="AY184" s="119">
        <f t="shared" ref="AY184:BB184" si="2497">+AY183/(AY$4/100)</f>
        <v>6.3352379329386421</v>
      </c>
      <c r="AZ184" s="119">
        <f t="shared" si="2497"/>
        <v>6.3547486614207278</v>
      </c>
      <c r="BA184" s="119">
        <f t="shared" si="2497"/>
        <v>6.3322369704793768</v>
      </c>
      <c r="BB184" s="119">
        <f t="shared" si="2497"/>
        <v>6.3445578886534344</v>
      </c>
      <c r="BC184" s="118">
        <f>(+BC183/(BC$4/100))</f>
        <v>6.3415779521004296</v>
      </c>
      <c r="BD184" s="119">
        <f t="shared" ref="BD184:BG184" si="2498">+BD183/(BD$4/100)</f>
        <v>6.2757961727860074</v>
      </c>
      <c r="BE184" s="119">
        <f t="shared" si="2498"/>
        <v>6.2920579036950031</v>
      </c>
      <c r="BF184" s="119">
        <f t="shared" si="2498"/>
        <v>6.2732773384026164</v>
      </c>
      <c r="BG184" s="119">
        <f t="shared" si="2498"/>
        <v>6.2835786909806508</v>
      </c>
      <c r="BH184" s="118">
        <f>(+BH183/(BH$4/100))</f>
        <v>6.2810808240696181</v>
      </c>
      <c r="BI184" s="119">
        <f t="shared" ref="BI184:BL184" si="2499">+BI183/(BI$4/100)</f>
        <v>2.1083928689106024</v>
      </c>
      <c r="BJ184" s="119">
        <f t="shared" si="2499"/>
        <v>2.1133807473307509</v>
      </c>
      <c r="BK184" s="119">
        <f t="shared" si="2499"/>
        <v>2.1076667103705704</v>
      </c>
      <c r="BL184" s="119">
        <f t="shared" si="2499"/>
        <v>2.1107903739989053</v>
      </c>
      <c r="BM184" s="118">
        <f>(+BM183/(BM$4/100))</f>
        <v>2.1100286827406389</v>
      </c>
      <c r="BN184" s="119">
        <f t="shared" ref="BN184:BQ184" si="2500">+BN183/(BN$4/100)</f>
        <v>2.0630383328311797</v>
      </c>
      <c r="BO184" s="119">
        <f t="shared" si="2500"/>
        <v>2.0665630927807821</v>
      </c>
      <c r="BP184" s="119">
        <f t="shared" si="2500"/>
        <v>2.0624907710935836</v>
      </c>
      <c r="BQ184" s="119">
        <f t="shared" si="2500"/>
        <v>2.06472095419723</v>
      </c>
      <c r="BR184" s="118">
        <f>(+BR183/(BR$4/100))</f>
        <v>2.0641825487456966</v>
      </c>
      <c r="BS184" s="119">
        <f t="shared" ref="BS184:BV184" si="2501">+BS183/(BS$4/100)</f>
        <v>2.0176954690859228</v>
      </c>
      <c r="BT184" s="119">
        <f t="shared" si="2501"/>
        <v>2.0197702248724192</v>
      </c>
      <c r="BU184" s="119">
        <f t="shared" si="2501"/>
        <v>2.0173714949560106</v>
      </c>
      <c r="BV184" s="119">
        <f t="shared" si="2501"/>
        <v>2.0186918608068094</v>
      </c>
      <c r="BW184" s="118">
        <f>(+BW183/(BW$4/100))</f>
        <v>2.0183701295570122</v>
      </c>
      <c r="BX184" s="119">
        <f t="shared" ref="BX184:CA184" si="2502">+BX183/(BX$4/100)</f>
        <v>1.9723088738304861</v>
      </c>
      <c r="BY184" s="119">
        <f t="shared" si="2502"/>
        <v>1.9729190799079754</v>
      </c>
      <c r="BZ184" s="119">
        <f t="shared" si="2502"/>
        <v>1.9722019873327112</v>
      </c>
      <c r="CA184" s="119">
        <f t="shared" si="2502"/>
        <v>1.9725795092546683</v>
      </c>
      <c r="CB184" s="118">
        <f>(+CB183/(CB$4/100))</f>
        <v>1.972498516734722</v>
      </c>
      <c r="CC184" s="119">
        <f t="shared" ref="CC184:CF184" si="2503">+CC183/(CC$4/100)</f>
        <v>1.9269159874649611</v>
      </c>
      <c r="CD184" s="119">
        <f t="shared" si="2503"/>
        <v>1.926108968446627</v>
      </c>
      <c r="CE184" s="119">
        <f t="shared" si="2503"/>
        <v>1.9270262600341925</v>
      </c>
      <c r="CF184" s="119">
        <f t="shared" si="2503"/>
        <v>1.9265418261076195</v>
      </c>
      <c r="CG184" s="118">
        <f>(+CG183/(CG$4/100))</f>
        <v>1.9266530035563445</v>
      </c>
      <c r="CH184" s="119">
        <f t="shared" ref="CH184:CK184" si="2504">+CH183/(CH$4/100)</f>
        <v>1.8815732206216573</v>
      </c>
      <c r="CI184" s="119">
        <f t="shared" si="2504"/>
        <v>1.8793390971129864</v>
      </c>
      <c r="CJ184" s="119">
        <f t="shared" si="2504"/>
        <v>1.8819302071037547</v>
      </c>
      <c r="CK184" s="119">
        <f t="shared" si="2504"/>
        <v>1.8804826228174809</v>
      </c>
      <c r="CL184" s="118">
        <f>(+CL183/(CL$4/100))</f>
        <v>1.880844217019273</v>
      </c>
      <c r="CM184" s="119">
        <f t="shared" ref="CM184:CU184" si="2505">+CM183/(CM$4/100)</f>
        <v>1.8363507895692743</v>
      </c>
      <c r="CN184" s="119">
        <f t="shared" si="2505"/>
        <v>1.8326841233177738</v>
      </c>
      <c r="CO184" s="119">
        <f t="shared" si="2505"/>
        <v>1.8369097333605255</v>
      </c>
      <c r="CP184" s="119">
        <f t="shared" si="2505"/>
        <v>1.83460900180843</v>
      </c>
      <c r="CQ184" s="118">
        <f>(+CQ183/(CQ$4/100))</f>
        <v>1.8351599580888056</v>
      </c>
      <c r="CR184" s="119">
        <f t="shared" si="2505"/>
        <v>1.0499999999999998</v>
      </c>
      <c r="CS184" s="119">
        <f t="shared" si="2505"/>
        <v>1.0499999999999998</v>
      </c>
      <c r="CT184" s="119">
        <f t="shared" si="2505"/>
        <v>1.0499999999999998</v>
      </c>
      <c r="CU184" s="119">
        <f t="shared" si="2505"/>
        <v>1.0499999999999998</v>
      </c>
      <c r="CV184" s="118">
        <f>(+CV183/(CV$4/100))</f>
        <v>1.0499999999999954</v>
      </c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</row>
    <row r="185" spans="1:115" s="15" customFormat="1">
      <c r="A185" s="146"/>
      <c r="B185" s="34"/>
      <c r="C185" s="34"/>
      <c r="D185" s="34"/>
      <c r="E185" s="100"/>
      <c r="F185" s="83"/>
      <c r="G185" s="83"/>
      <c r="H185" s="83"/>
      <c r="I185" s="83"/>
      <c r="J185" s="100"/>
      <c r="K185" s="83"/>
      <c r="L185" s="83"/>
      <c r="M185" s="83"/>
      <c r="N185" s="83"/>
      <c r="O185" s="100"/>
      <c r="P185" s="83"/>
      <c r="Q185" s="83"/>
      <c r="R185" s="83"/>
      <c r="S185" s="83"/>
      <c r="T185" s="100"/>
      <c r="U185" s="83"/>
      <c r="V185" s="83"/>
      <c r="W185" s="83"/>
      <c r="X185" s="83"/>
      <c r="Y185" s="100"/>
      <c r="Z185" s="83"/>
      <c r="AA185" s="83"/>
      <c r="AB185" s="83"/>
      <c r="AC185" s="83"/>
      <c r="AD185" s="100"/>
      <c r="AE185" s="83"/>
      <c r="AF185" s="83"/>
      <c r="AG185" s="83"/>
      <c r="AH185" s="83"/>
      <c r="AI185" s="100"/>
      <c r="AJ185" s="83"/>
      <c r="AK185" s="83"/>
      <c r="AL185" s="83"/>
      <c r="AM185" s="83"/>
      <c r="AN185" s="100"/>
      <c r="AO185" s="83"/>
      <c r="AP185" s="83"/>
      <c r="AQ185" s="83"/>
      <c r="AR185" s="83"/>
      <c r="AS185" s="100"/>
      <c r="AT185" s="83"/>
      <c r="AU185" s="83"/>
      <c r="AV185" s="83"/>
      <c r="AW185" s="83"/>
      <c r="AX185" s="100"/>
      <c r="AY185" s="83"/>
      <c r="AZ185" s="83"/>
      <c r="BA185" s="83"/>
      <c r="BB185" s="83"/>
      <c r="BC185" s="100"/>
      <c r="BD185" s="83"/>
      <c r="BE185" s="83"/>
      <c r="BF185" s="83"/>
      <c r="BG185" s="83"/>
      <c r="BH185" s="100"/>
      <c r="BI185" s="83"/>
      <c r="BJ185" s="83"/>
      <c r="BK185" s="83"/>
      <c r="BL185" s="83"/>
      <c r="BM185" s="100"/>
      <c r="BN185" s="83"/>
      <c r="BO185" s="83"/>
      <c r="BP185" s="83"/>
      <c r="BQ185" s="83"/>
      <c r="BR185" s="100"/>
      <c r="BS185" s="83"/>
      <c r="BT185" s="83"/>
      <c r="BU185" s="83"/>
      <c r="BV185" s="83"/>
      <c r="BW185" s="100"/>
      <c r="BX185" s="83"/>
      <c r="BY185" s="83"/>
      <c r="BZ185" s="83"/>
      <c r="CA185" s="83"/>
      <c r="CB185" s="100"/>
      <c r="CC185" s="83"/>
      <c r="CD185" s="83"/>
      <c r="CE185" s="83"/>
      <c r="CF185" s="83"/>
      <c r="CG185" s="100"/>
      <c r="CH185" s="83"/>
      <c r="CI185" s="83"/>
      <c r="CJ185" s="83"/>
      <c r="CK185" s="83"/>
      <c r="CL185" s="100"/>
      <c r="CM185" s="83"/>
      <c r="CN185" s="83"/>
      <c r="CO185" s="83"/>
      <c r="CP185" s="83"/>
      <c r="CQ185" s="100"/>
      <c r="CR185" s="83"/>
      <c r="CS185" s="83"/>
      <c r="CT185" s="83"/>
      <c r="CU185" s="83"/>
      <c r="CV185" s="100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</row>
    <row r="186" spans="1:115" s="15" customFormat="1">
      <c r="A186" s="150" t="s">
        <v>88</v>
      </c>
      <c r="B186" s="28"/>
      <c r="C186" s="28"/>
      <c r="D186" s="28"/>
      <c r="E186" s="107"/>
      <c r="F186" s="108"/>
      <c r="G186" s="108"/>
      <c r="H186" s="108"/>
      <c r="I186" s="108"/>
      <c r="J186" s="107"/>
      <c r="K186" s="108"/>
      <c r="L186" s="108"/>
      <c r="M186" s="108"/>
      <c r="N186" s="108"/>
      <c r="O186" s="107"/>
      <c r="P186" s="108"/>
      <c r="Q186" s="108"/>
      <c r="R186" s="108">
        <f>+R182*R174/1000</f>
        <v>3.3439924000000003</v>
      </c>
      <c r="S186" s="108">
        <f>+S182*S174/1000</f>
        <v>3.2720070999999997</v>
      </c>
      <c r="T186" s="107">
        <f>+T182*T174/1000</f>
        <v>12.4782709</v>
      </c>
      <c r="U186" s="108">
        <f>+U182*U174/1000</f>
        <v>3.1425999999999998</v>
      </c>
      <c r="V186" s="108">
        <f t="shared" ref="V186:X186" si="2506">+V182*V174/1000</f>
        <v>3.2351013588800002</v>
      </c>
      <c r="W186" s="108">
        <f t="shared" ref="W186" si="2507">+W182*W174/1000</f>
        <v>3.5816112799200002</v>
      </c>
      <c r="X186" s="108">
        <f t="shared" si="2506"/>
        <v>3.5112500950799999</v>
      </c>
      <c r="Y186" s="107">
        <f>+SUM(U186:X186)</f>
        <v>13.47056273388</v>
      </c>
      <c r="Z186" s="108">
        <f t="shared" ref="Z186:AC186" si="2508">+Z182*Z174/1000</f>
        <v>3.4499299442060001</v>
      </c>
      <c r="AA186" s="108">
        <f t="shared" si="2508"/>
        <v>3.3280424314785999</v>
      </c>
      <c r="AB186" s="108">
        <f t="shared" si="2508"/>
        <v>3.6676448887045079</v>
      </c>
      <c r="AC186" s="108">
        <f t="shared" si="2508"/>
        <v>3.6688565162514579</v>
      </c>
      <c r="AD186" s="107">
        <f>+SUM(Z186:AC186)</f>
        <v>14.114473780640566</v>
      </c>
      <c r="AE186" s="108">
        <f t="shared" ref="AE186:AH186" si="2509">+AE182*AE174/1000</f>
        <v>3.5168918546154475</v>
      </c>
      <c r="AF186" s="108">
        <f t="shared" si="2509"/>
        <v>3.4557288155386208</v>
      </c>
      <c r="AG186" s="108">
        <f t="shared" si="2509"/>
        <v>3.839321643687402</v>
      </c>
      <c r="AH186" s="108">
        <f t="shared" si="2509"/>
        <v>4.0378055575130363</v>
      </c>
      <c r="AI186" s="107">
        <f>+SUM(AE186:AH186)</f>
        <v>14.849747871354506</v>
      </c>
      <c r="AJ186" s="108">
        <f t="shared" ref="AJ186:AM186" si="2510">+AJ182*AJ174/1000</f>
        <v>5.056624511105408</v>
      </c>
      <c r="AK186" s="108">
        <f t="shared" si="2510"/>
        <v>6.0763391596802609</v>
      </c>
      <c r="AL186" s="108">
        <f t="shared" si="2510"/>
        <v>6.5298900616708977</v>
      </c>
      <c r="AM186" s="108">
        <f t="shared" si="2510"/>
        <v>6.5602735562671555</v>
      </c>
      <c r="AN186" s="107">
        <f>+SUM(AJ186:AM186)</f>
        <v>24.223127288723724</v>
      </c>
      <c r="AO186" s="108">
        <f t="shared" ref="AO186:AR186" si="2511">+AO182*AO174/1000</f>
        <v>7.4779775277211975</v>
      </c>
      <c r="AP186" s="108">
        <f t="shared" si="2511"/>
        <v>7.3650350840517831</v>
      </c>
      <c r="AQ186" s="108">
        <f t="shared" si="2511"/>
        <v>8.2425400315471222</v>
      </c>
      <c r="AR186" s="108">
        <f t="shared" si="2511"/>
        <v>8.3469514541770486</v>
      </c>
      <c r="AS186" s="107">
        <f>+SUM(AO186:AR186)</f>
        <v>31.432504097497151</v>
      </c>
      <c r="AT186" s="108">
        <f t="shared" ref="AT186:AW186" si="2512">+AT182*AT174/1000</f>
        <v>9.0178162706375762</v>
      </c>
      <c r="AU186" s="108">
        <f t="shared" si="2512"/>
        <v>8.8850263966687315</v>
      </c>
      <c r="AV186" s="108">
        <f t="shared" si="2512"/>
        <v>9.9392278657727644</v>
      </c>
      <c r="AW186" s="108">
        <f t="shared" si="2512"/>
        <v>10.067571462205613</v>
      </c>
      <c r="AX186" s="107">
        <f>+SUM(AT186:AW186)</f>
        <v>37.909641995284687</v>
      </c>
      <c r="AY186" s="108">
        <f t="shared" ref="AY186:BB186" si="2513">+AY182*AY174/1000</f>
        <v>10.66843733007976</v>
      </c>
      <c r="AZ186" s="108">
        <f t="shared" si="2513"/>
        <v>10.514982018121456</v>
      </c>
      <c r="BA186" s="108">
        <f t="shared" si="2513"/>
        <v>11.701887834260541</v>
      </c>
      <c r="BB186" s="108">
        <f t="shared" si="2513"/>
        <v>11.855584837753351</v>
      </c>
      <c r="BC186" s="107">
        <f>+SUM(AY186:BB186)</f>
        <v>44.740892020215114</v>
      </c>
      <c r="BD186" s="108">
        <f t="shared" ref="BD186:BG186" si="2514">+BD182*BD174/1000</f>
        <v>12.547833417596937</v>
      </c>
      <c r="BE186" s="108">
        <f t="shared" si="2514"/>
        <v>12.370918511366458</v>
      </c>
      <c r="BF186" s="108">
        <f t="shared" si="2514"/>
        <v>13.762724811136659</v>
      </c>
      <c r="BG186" s="108">
        <f t="shared" si="2514"/>
        <v>13.946042110794714</v>
      </c>
      <c r="BH186" s="107">
        <f>+SUM(BD186:BG186)</f>
        <v>52.627518850894766</v>
      </c>
      <c r="BI186" s="108">
        <f t="shared" ref="BI186:BL186" si="2515">+BI182*BI174/1000</f>
        <v>13.665411357595737</v>
      </c>
      <c r="BJ186" s="108">
        <f t="shared" si="2515"/>
        <v>13.474029079460188</v>
      </c>
      <c r="BK186" s="108">
        <f t="shared" si="2515"/>
        <v>14.988298679441865</v>
      </c>
      <c r="BL186" s="108">
        <f t="shared" si="2515"/>
        <v>15.188850888936015</v>
      </c>
      <c r="BM186" s="107">
        <f>+SUM(BI186:BL186)</f>
        <v>57.31659000543381</v>
      </c>
      <c r="BN186" s="108">
        <f t="shared" ref="BN186:BQ186" si="2516">+BN182*BN174/1000</f>
        <v>14.869573258698235</v>
      </c>
      <c r="BO186" s="108">
        <f t="shared" si="2516"/>
        <v>14.662319450255241</v>
      </c>
      <c r="BP186" s="108">
        <f t="shared" si="2516"/>
        <v>16.308858578962273</v>
      </c>
      <c r="BQ186" s="108">
        <f t="shared" si="2516"/>
        <v>16.527788617779912</v>
      </c>
      <c r="BR186" s="107">
        <f>+SUM(BN186:BQ186)</f>
        <v>62.368539905695663</v>
      </c>
      <c r="BS186" s="108">
        <f t="shared" ref="BS186:BV186" si="2517">+BS182*BS174/1000</f>
        <v>16.165751510698172</v>
      </c>
      <c r="BT186" s="108">
        <f t="shared" si="2517"/>
        <v>15.941067215208468</v>
      </c>
      <c r="BU186" s="108">
        <f t="shared" si="2517"/>
        <v>17.730388667036141</v>
      </c>
      <c r="BV186" s="108">
        <f t="shared" si="2517"/>
        <v>17.968857413900825</v>
      </c>
      <c r="BW186" s="107">
        <f>+SUM(BS186:BV186)</f>
        <v>67.806064806843608</v>
      </c>
      <c r="BX186" s="108">
        <f t="shared" ref="BX186:CA186" si="2518">+BX182*BX174/1000</f>
        <v>17.559582901454384</v>
      </c>
      <c r="BY186" s="108">
        <f t="shared" si="2518"/>
        <v>17.315729345249135</v>
      </c>
      <c r="BZ186" s="108">
        <f t="shared" si="2518"/>
        <v>19.259085429347749</v>
      </c>
      <c r="CA186" s="108">
        <f t="shared" si="2518"/>
        <v>19.518256496259397</v>
      </c>
      <c r="CB186" s="107">
        <f>+SUM(BX186:CA186)</f>
        <v>73.652654172310662</v>
      </c>
      <c r="CC186" s="108">
        <f t="shared" ref="CC186:CF186" si="2519">+CC182*CC174/1000</f>
        <v>19.056933209463832</v>
      </c>
      <c r="CD186" s="108">
        <f t="shared" si="2519"/>
        <v>18.791993580955292</v>
      </c>
      <c r="CE186" s="108">
        <f t="shared" si="2519"/>
        <v>20.901401028030232</v>
      </c>
      <c r="CF186" s="108">
        <f t="shared" si="2519"/>
        <v>21.182475252607343</v>
      </c>
      <c r="CG186" s="107">
        <f>+SUM(CC186:CF186)</f>
        <v>79.932803071056711</v>
      </c>
      <c r="CH186" s="108">
        <f t="shared" ref="CH186:CK186" si="2520">+CH182*CH174/1000</f>
        <v>20.663906821446446</v>
      </c>
      <c r="CI186" s="108">
        <f t="shared" si="2520"/>
        <v>20.375748732510434</v>
      </c>
      <c r="CJ186" s="108">
        <f t="shared" si="2520"/>
        <v>22.664065113769276</v>
      </c>
      <c r="CK186" s="108">
        <f t="shared" si="2520"/>
        <v>22.968202120349172</v>
      </c>
      <c r="CL186" s="107">
        <f>+SUM(CH186:CK186)</f>
        <v>86.671922788075321</v>
      </c>
      <c r="CM186" s="108">
        <f t="shared" ref="CM186:CP186" si="2521">+CM182*CM174/1000</f>
        <v>22.386857824000952</v>
      </c>
      <c r="CN186" s="108">
        <f t="shared" si="2521"/>
        <v>22.07311172961159</v>
      </c>
      <c r="CO186" s="108">
        <f t="shared" si="2521"/>
        <v>24.554053537613385</v>
      </c>
      <c r="CP186" s="108">
        <f t="shared" si="2521"/>
        <v>24.882448526400658</v>
      </c>
      <c r="CQ186" s="107">
        <f>+SUM(CM186:CP186)</f>
        <v>93.896471617626588</v>
      </c>
      <c r="CR186" s="108">
        <f t="shared" ref="CR186:CU186" si="2522">+CR182*CR174/1000</f>
        <v>23.885546021028691</v>
      </c>
      <c r="CS186" s="108">
        <f t="shared" si="2522"/>
        <v>23.550796194350433</v>
      </c>
      <c r="CT186" s="108">
        <f t="shared" si="2522"/>
        <v>26.197824651688912</v>
      </c>
      <c r="CU186" s="108">
        <f t="shared" si="2522"/>
        <v>26.548204043000545</v>
      </c>
      <c r="CV186" s="107">
        <f>+SUM(CR186:CU186)</f>
        <v>100.18237091006858</v>
      </c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</row>
    <row r="187" spans="1:115" s="15" customFormat="1">
      <c r="A187" s="303" t="s">
        <v>89</v>
      </c>
      <c r="B187" s="31"/>
      <c r="C187" s="31"/>
      <c r="D187" s="31"/>
      <c r="E187" s="304"/>
      <c r="F187" s="290"/>
      <c r="G187" s="290"/>
      <c r="H187" s="290"/>
      <c r="I187" s="290"/>
      <c r="J187" s="305"/>
      <c r="K187" s="160"/>
      <c r="L187" s="160"/>
      <c r="M187" s="160"/>
      <c r="N187" s="160"/>
      <c r="O187" s="305"/>
      <c r="P187" s="160"/>
      <c r="Q187" s="160"/>
      <c r="R187" s="160"/>
      <c r="S187" s="160"/>
      <c r="T187" s="305"/>
      <c r="U187" s="160" t="e">
        <f t="shared" ref="U187:BU187" si="2523">+U186/P186-1</f>
        <v>#DIV/0!</v>
      </c>
      <c r="V187" s="160" t="e">
        <f t="shared" si="2523"/>
        <v>#DIV/0!</v>
      </c>
      <c r="W187" s="160">
        <f t="shared" si="2523"/>
        <v>7.105843898449038E-2</v>
      </c>
      <c r="X187" s="160">
        <f t="shared" si="2523"/>
        <v>7.311811611900243E-2</v>
      </c>
      <c r="Y187" s="305">
        <f t="shared" si="2523"/>
        <v>7.9521581301781108E-2</v>
      </c>
      <c r="Z187" s="160">
        <f t="shared" si="2523"/>
        <v>9.7794801822058242E-2</v>
      </c>
      <c r="AA187" s="160">
        <f t="shared" si="2523"/>
        <v>2.8728952291861454E-2</v>
      </c>
      <c r="AB187" s="160">
        <f t="shared" si="2523"/>
        <v>2.4020923003802208E-2</v>
      </c>
      <c r="AC187" s="160">
        <f t="shared" si="2523"/>
        <v>4.488612798965752E-2</v>
      </c>
      <c r="AD187" s="305">
        <f t="shared" si="2523"/>
        <v>4.7801347240012282E-2</v>
      </c>
      <c r="AE187" s="160">
        <f t="shared" si="2523"/>
        <v>1.9409643526792975E-2</v>
      </c>
      <c r="AF187" s="160">
        <f t="shared" si="2523"/>
        <v>3.8366813731786298E-2</v>
      </c>
      <c r="AG187" s="160">
        <f t="shared" si="2523"/>
        <v>4.6808445253688102E-2</v>
      </c>
      <c r="AH187" s="160">
        <f t="shared" si="2523"/>
        <v>0.10056240674098116</v>
      </c>
      <c r="AI187" s="305">
        <f t="shared" si="2523"/>
        <v>5.2093624044450282E-2</v>
      </c>
      <c r="AJ187" s="160">
        <f t="shared" si="2523"/>
        <v>0.4378106351121569</v>
      </c>
      <c r="AK187" s="160">
        <f t="shared" si="2523"/>
        <v>0.75833796111492147</v>
      </c>
      <c r="AL187" s="160">
        <f t="shared" si="2523"/>
        <v>0.70079265757984044</v>
      </c>
      <c r="AM187" s="160">
        <f t="shared" si="2523"/>
        <v>0.62471259767836784</v>
      </c>
      <c r="AN187" s="305">
        <f t="shared" si="2523"/>
        <v>0.63121471816034513</v>
      </c>
      <c r="AO187" s="160">
        <f t="shared" si="2523"/>
        <v>0.47884769994251908</v>
      </c>
      <c r="AP187" s="160">
        <f t="shared" si="2523"/>
        <v>0.21208426496708821</v>
      </c>
      <c r="AQ187" s="160">
        <f t="shared" si="2523"/>
        <v>0.26227853052674277</v>
      </c>
      <c r="AR187" s="160">
        <f t="shared" si="2523"/>
        <v>0.27234807856496257</v>
      </c>
      <c r="AS187" s="305">
        <f t="shared" si="2523"/>
        <v>0.2976237016320149</v>
      </c>
      <c r="AT187" s="160">
        <f t="shared" si="2523"/>
        <v>0.20591647102550481</v>
      </c>
      <c r="AU187" s="160">
        <f t="shared" si="2523"/>
        <v>0.20637937162150544</v>
      </c>
      <c r="AV187" s="160">
        <f t="shared" si="2523"/>
        <v>0.20584526465529018</v>
      </c>
      <c r="AW187" s="160">
        <f t="shared" si="2523"/>
        <v>0.20613753625792541</v>
      </c>
      <c r="AX187" s="305">
        <f t="shared" si="2523"/>
        <v>0.2060649663067502</v>
      </c>
      <c r="AY187" s="160">
        <f t="shared" si="2523"/>
        <v>0.18303999659171155</v>
      </c>
      <c r="AZ187" s="160">
        <f t="shared" si="2523"/>
        <v>0.18344972188983544</v>
      </c>
      <c r="BA187" s="160">
        <f t="shared" si="2523"/>
        <v>0.17734375268301905</v>
      </c>
      <c r="BB187" s="160">
        <f t="shared" si="2523"/>
        <v>0.17760125987285691</v>
      </c>
      <c r="BC187" s="305">
        <f t="shared" si="2523"/>
        <v>0.18019822043637657</v>
      </c>
      <c r="BD187" s="160">
        <f t="shared" si="2523"/>
        <v>0.17616414001122749</v>
      </c>
      <c r="BE187" s="160">
        <f t="shared" si="2523"/>
        <v>0.1765040101872255</v>
      </c>
      <c r="BF187" s="160">
        <f t="shared" si="2523"/>
        <v>0.17611149637261447</v>
      </c>
      <c r="BG187" s="160">
        <f t="shared" si="2523"/>
        <v>0.17632679464149548</v>
      </c>
      <c r="BH187" s="305">
        <f t="shared" si="2523"/>
        <v>0.17627334803955774</v>
      </c>
      <c r="BI187" s="160">
        <f t="shared" si="2523"/>
        <v>8.9065410960231572E-2</v>
      </c>
      <c r="BJ187" s="160">
        <f t="shared" si="2523"/>
        <v>8.9169657619212916E-2</v>
      </c>
      <c r="BK187" s="160">
        <f t="shared" si="2523"/>
        <v>8.9050234246744742E-2</v>
      </c>
      <c r="BL187" s="160">
        <f t="shared" si="2523"/>
        <v>8.9115518816576866E-2</v>
      </c>
      <c r="BM187" s="305">
        <f t="shared" si="2523"/>
        <v>8.9099225213793654E-2</v>
      </c>
      <c r="BN187" s="160">
        <f t="shared" si="2523"/>
        <v>8.811750115617123E-2</v>
      </c>
      <c r="BO187" s="160">
        <f t="shared" si="2523"/>
        <v>8.8191168639118134E-2</v>
      </c>
      <c r="BP187" s="160">
        <f t="shared" si="2523"/>
        <v>8.8106057115855618E-2</v>
      </c>
      <c r="BQ187" s="160">
        <f t="shared" si="2523"/>
        <v>8.8152667942722251E-2</v>
      </c>
      <c r="BR187" s="305">
        <f t="shared" si="2523"/>
        <v>8.8141145517954156E-2</v>
      </c>
      <c r="BS187" s="160">
        <f t="shared" si="2523"/>
        <v>8.716983530389566E-2</v>
      </c>
      <c r="BT187" s="160">
        <f t="shared" si="2523"/>
        <v>8.72131976998336E-2</v>
      </c>
      <c r="BU187" s="160">
        <f t="shared" si="2523"/>
        <v>8.7163064244580646E-2</v>
      </c>
      <c r="BV187" s="160">
        <f t="shared" ref="BV187:CU187" si="2524">+BV186/BQ186-1</f>
        <v>8.7190659890862277E-2</v>
      </c>
      <c r="BW187" s="305">
        <f t="shared" si="2524"/>
        <v>8.7183777419990172E-2</v>
      </c>
      <c r="BX187" s="160">
        <f t="shared" si="2524"/>
        <v>8.6221255463057256E-2</v>
      </c>
      <c r="BY187" s="160">
        <f t="shared" si="2524"/>
        <v>8.6234008770076587E-2</v>
      </c>
      <c r="BZ187" s="160">
        <f t="shared" si="2524"/>
        <v>8.6219021535253626E-2</v>
      </c>
      <c r="CA187" s="160">
        <f t="shared" si="2524"/>
        <v>8.6226911743422674E-2</v>
      </c>
      <c r="CB187" s="305">
        <f t="shared" si="2524"/>
        <v>8.6225168532077401E-2</v>
      </c>
      <c r="CC187" s="160">
        <f t="shared" si="2524"/>
        <v>8.5272544138017548E-2</v>
      </c>
      <c r="CD187" s="160">
        <f t="shared" si="2524"/>
        <v>8.5255677440534416E-2</v>
      </c>
      <c r="CE187" s="160">
        <f t="shared" si="2524"/>
        <v>8.5274848834714589E-2</v>
      </c>
      <c r="CF187" s="160">
        <f t="shared" si="2524"/>
        <v>8.5264724165649008E-2</v>
      </c>
      <c r="CG187" s="305">
        <f t="shared" si="2524"/>
        <v>8.5267109099063987E-2</v>
      </c>
      <c r="CH187" s="160">
        <f t="shared" si="2524"/>
        <v>8.4324880310992389E-2</v>
      </c>
      <c r="CI187" s="160">
        <f t="shared" si="2524"/>
        <v>8.4278187129661175E-2</v>
      </c>
      <c r="CJ187" s="160">
        <f t="shared" si="2524"/>
        <v>8.433234132846823E-2</v>
      </c>
      <c r="CK187" s="160">
        <f t="shared" si="2524"/>
        <v>8.4302086816885335E-2</v>
      </c>
      <c r="CL187" s="305">
        <f t="shared" si="2524"/>
        <v>8.4309813469544359E-2</v>
      </c>
      <c r="CM187" s="160">
        <f t="shared" si="2524"/>
        <v>8.3379731501997734E-2</v>
      </c>
      <c r="CN187" s="160">
        <f t="shared" si="2524"/>
        <v>8.3303098177341273E-2</v>
      </c>
      <c r="CO187" s="160">
        <f t="shared" si="2524"/>
        <v>8.3391413427235106E-2</v>
      </c>
      <c r="CP187" s="160">
        <f t="shared" si="2524"/>
        <v>8.3343328137796213E-2</v>
      </c>
      <c r="CQ187" s="305">
        <f t="shared" si="2524"/>
        <v>8.335512351810026E-2</v>
      </c>
      <c r="CR187" s="160">
        <f t="shared" si="2524"/>
        <v>6.694499999999981E-2</v>
      </c>
      <c r="CS187" s="160">
        <f t="shared" si="2524"/>
        <v>6.694499999999981E-2</v>
      </c>
      <c r="CT187" s="160">
        <f t="shared" si="2524"/>
        <v>6.6945000000000032E-2</v>
      </c>
      <c r="CU187" s="160">
        <f t="shared" si="2524"/>
        <v>6.694499999999981E-2</v>
      </c>
      <c r="CV187" s="305">
        <f>+CV186/CQ186-1</f>
        <v>6.694499999999981E-2</v>
      </c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</row>
    <row r="188" spans="1:115" s="6" customFormat="1">
      <c r="A188" s="220"/>
      <c r="E188" s="255"/>
      <c r="F188" s="255"/>
      <c r="G188" s="255"/>
      <c r="H188" s="255"/>
      <c r="I188" s="255"/>
      <c r="J188" s="255"/>
      <c r="K188" s="255"/>
      <c r="L188" s="255"/>
      <c r="M188" s="255"/>
      <c r="N188" s="255"/>
      <c r="O188" s="255"/>
      <c r="P188" s="255"/>
      <c r="Q188" s="255"/>
      <c r="R188" s="255"/>
      <c r="S188" s="255"/>
      <c r="T188" s="255"/>
      <c r="U188" s="255"/>
      <c r="V188" s="255"/>
      <c r="W188" s="255"/>
      <c r="X188" s="255"/>
      <c r="Y188" s="255"/>
      <c r="Z188" s="255"/>
      <c r="AA188" s="255"/>
      <c r="AB188" s="255"/>
      <c r="AC188" s="255"/>
      <c r="AD188" s="255"/>
      <c r="AE188" s="255"/>
      <c r="AF188" s="255"/>
      <c r="AG188" s="255"/>
      <c r="AH188" s="255"/>
      <c r="AI188" s="255"/>
      <c r="AJ188" s="255"/>
      <c r="AK188" s="255"/>
      <c r="AL188" s="255"/>
      <c r="AM188" s="255"/>
      <c r="AN188" s="255"/>
      <c r="AO188" s="197"/>
      <c r="AP188" s="197"/>
      <c r="AQ188" s="197"/>
      <c r="AR188" s="197"/>
      <c r="AS188" s="255"/>
      <c r="AT188" s="255"/>
      <c r="AU188" s="255"/>
      <c r="AV188" s="255"/>
      <c r="AW188" s="255"/>
      <c r="AX188" s="255"/>
      <c r="AY188" s="255"/>
      <c r="AZ188" s="255"/>
      <c r="BA188" s="255"/>
      <c r="BB188" s="255"/>
      <c r="BC188" s="255"/>
      <c r="BD188" s="255"/>
      <c r="BE188" s="255"/>
      <c r="BF188" s="255"/>
      <c r="BG188" s="255"/>
      <c r="BH188" s="255"/>
      <c r="BI188" s="255"/>
      <c r="BJ188" s="255"/>
      <c r="BK188" s="255"/>
      <c r="BL188" s="255"/>
      <c r="BM188" s="255"/>
      <c r="BN188" s="255"/>
      <c r="BO188" s="255"/>
      <c r="BP188" s="255"/>
      <c r="BQ188" s="255"/>
      <c r="BR188" s="255"/>
      <c r="BS188" s="255"/>
      <c r="BT188" s="255"/>
      <c r="BU188" s="255"/>
      <c r="BV188" s="255"/>
      <c r="BW188" s="255"/>
      <c r="BX188" s="255"/>
      <c r="BY188" s="255"/>
      <c r="BZ188" s="255"/>
      <c r="CA188" s="255"/>
      <c r="CB188" s="255"/>
      <c r="CC188" s="255"/>
      <c r="CD188" s="255"/>
      <c r="CE188" s="255"/>
      <c r="CF188" s="255"/>
      <c r="CG188" s="255"/>
      <c r="CH188" s="255"/>
      <c r="CI188" s="255"/>
      <c r="CJ188" s="255"/>
      <c r="CK188" s="255"/>
      <c r="CL188" s="255"/>
      <c r="CM188" s="255"/>
      <c r="CN188" s="255"/>
      <c r="CO188" s="255"/>
      <c r="CP188" s="255"/>
      <c r="CQ188" s="255"/>
      <c r="CR188" s="255"/>
      <c r="CS188" s="255"/>
      <c r="CT188" s="255"/>
      <c r="CU188" s="255"/>
      <c r="CV188" s="255"/>
    </row>
    <row r="191" spans="1:115">
      <c r="AN191" s="201" t="s">
        <v>319</v>
      </c>
      <c r="AO191" s="202">
        <v>0.7</v>
      </c>
    </row>
  </sheetData>
  <mergeCells count="1">
    <mergeCell ref="V34:W34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6"/>
  <sheetViews>
    <sheetView showGridLines="0" zoomScale="85" zoomScaleNormal="85" workbookViewId="0">
      <pane xSplit="1" topLeftCell="O1" activePane="topRight" state="frozen"/>
      <selection activeCell="A115" sqref="A115"/>
      <selection pane="topRight" activeCell="R22" sqref="R22"/>
    </sheetView>
  </sheetViews>
  <sheetFormatPr defaultRowHeight="15" outlineLevelCol="1"/>
  <cols>
    <col min="1" max="1" width="45.7109375" style="30" bestFit="1" customWidth="1"/>
    <col min="2" max="4" width="9.140625" style="30"/>
    <col min="5" max="8" width="9.140625" style="30" customWidth="1" outlineLevel="1"/>
    <col min="9" max="9" width="9.140625" style="30"/>
    <col min="10" max="13" width="9.140625" style="34" customWidth="1" outlineLevel="1"/>
    <col min="14" max="14" width="9.140625" style="30" customWidth="1"/>
    <col min="15" max="18" width="9.140625" style="34" customWidth="1"/>
    <col min="19" max="16384" width="9.140625" style="30"/>
  </cols>
  <sheetData>
    <row r="1" spans="1:32" s="2" customFormat="1" ht="27" customHeight="1" thickBot="1">
      <c r="A1" s="3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</row>
    <row r="2" spans="1:32" ht="15.95" customHeight="1">
      <c r="A2" s="139"/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</row>
    <row r="3" spans="1:32" ht="15.95" customHeight="1">
      <c r="A3" s="138" t="s">
        <v>173</v>
      </c>
      <c r="B3" s="155">
        <v>2010</v>
      </c>
      <c r="C3" s="155">
        <v>2011</v>
      </c>
      <c r="D3" s="155">
        <v>2012</v>
      </c>
      <c r="E3" s="86" t="str">
        <f>Tráfego!U10</f>
        <v>1T13</v>
      </c>
      <c r="F3" s="86" t="str">
        <f>Tráfego!V10</f>
        <v>2T13</v>
      </c>
      <c r="G3" s="86" t="str">
        <f>Tráfego!W10</f>
        <v>3T13</v>
      </c>
      <c r="H3" s="86" t="str">
        <f>Tráfego!X10</f>
        <v>4T13</v>
      </c>
      <c r="I3" s="155">
        <f>Tráfego!Y10</f>
        <v>2013</v>
      </c>
      <c r="J3" s="86" t="str">
        <f>Tráfego!Z10</f>
        <v>1T14</v>
      </c>
      <c r="K3" s="86" t="str">
        <f>Tráfego!AA10</f>
        <v>2T14</v>
      </c>
      <c r="L3" s="86" t="str">
        <f>Tráfego!AB10</f>
        <v>3T14</v>
      </c>
      <c r="M3" s="86" t="str">
        <f>Tráfego!AC10</f>
        <v>4T14</v>
      </c>
      <c r="N3" s="155">
        <f>Tráfego!AD10</f>
        <v>2014</v>
      </c>
      <c r="O3" s="86" t="str">
        <f>Tráfego!AE10</f>
        <v>1T15</v>
      </c>
      <c r="P3" s="86" t="str">
        <f>Tráfego!AF10</f>
        <v>2T15</v>
      </c>
      <c r="Q3" s="86" t="str">
        <f>Tráfego!AG10</f>
        <v>3T15</v>
      </c>
      <c r="R3" s="86" t="str">
        <f>Tráfego!AH10</f>
        <v>4T15E</v>
      </c>
      <c r="S3" s="155" t="str">
        <f>Tráfego!AI10</f>
        <v>2015E</v>
      </c>
      <c r="T3" s="155" t="s">
        <v>107</v>
      </c>
      <c r="U3" s="155" t="s">
        <v>112</v>
      </c>
      <c r="V3" s="155" t="s">
        <v>117</v>
      </c>
      <c r="W3" s="155" t="s">
        <v>122</v>
      </c>
      <c r="X3" s="155" t="s">
        <v>127</v>
      </c>
      <c r="Y3" s="155" t="s">
        <v>132</v>
      </c>
      <c r="Z3" s="155" t="s">
        <v>137</v>
      </c>
      <c r="AA3" s="155" t="s">
        <v>142</v>
      </c>
      <c r="AB3" s="155" t="s">
        <v>147</v>
      </c>
      <c r="AC3" s="155" t="s">
        <v>152</v>
      </c>
      <c r="AD3" s="155" t="s">
        <v>157</v>
      </c>
      <c r="AE3" s="155" t="s">
        <v>162</v>
      </c>
      <c r="AF3" s="155" t="s">
        <v>167</v>
      </c>
    </row>
    <row r="4" spans="1:32" ht="15.95" customHeight="1">
      <c r="A4" s="74" t="s">
        <v>168</v>
      </c>
      <c r="B4" s="75">
        <v>7.5336154528701238</v>
      </c>
      <c r="C4" s="75">
        <v>2.7325092432441078</v>
      </c>
      <c r="D4" s="75">
        <v>1</v>
      </c>
      <c r="E4" s="75">
        <f>+I4</f>
        <v>2.7437348663784902</v>
      </c>
      <c r="F4" s="75">
        <f>+I4</f>
        <v>2.7437348663784902</v>
      </c>
      <c r="G4" s="75">
        <f>+I4</f>
        <v>2.7437348663784902</v>
      </c>
      <c r="H4" s="75">
        <f>+I4</f>
        <v>2.7437348663784902</v>
      </c>
      <c r="I4" s="75">
        <v>2.7437348663784902</v>
      </c>
      <c r="J4" s="75">
        <v>2.71</v>
      </c>
      <c r="K4" s="75">
        <v>-1.2</v>
      </c>
      <c r="L4" s="75">
        <v>-0.56000000000000005</v>
      </c>
      <c r="M4" s="75">
        <v>-0.25</v>
      </c>
      <c r="N4" s="75">
        <v>0.14458388757159199</v>
      </c>
      <c r="O4" s="75">
        <v>-1.56</v>
      </c>
      <c r="P4" s="75">
        <v>-2.58</v>
      </c>
      <c r="Q4" s="75">
        <v>-3.5</v>
      </c>
      <c r="R4" s="75">
        <v>-2.8</v>
      </c>
      <c r="S4" s="75">
        <v>-3.1</v>
      </c>
      <c r="T4" s="75">
        <v>-2</v>
      </c>
      <c r="U4" s="75">
        <v>1</v>
      </c>
      <c r="V4" s="75">
        <v>2</v>
      </c>
      <c r="W4" s="153">
        <v>2</v>
      </c>
      <c r="X4" s="153">
        <f t="shared" ref="X4:AF4" si="0">W4</f>
        <v>2</v>
      </c>
      <c r="Y4" s="153">
        <f t="shared" si="0"/>
        <v>2</v>
      </c>
      <c r="Z4" s="153">
        <f t="shared" si="0"/>
        <v>2</v>
      </c>
      <c r="AA4" s="153">
        <f t="shared" si="0"/>
        <v>2</v>
      </c>
      <c r="AB4" s="153">
        <f t="shared" si="0"/>
        <v>2</v>
      </c>
      <c r="AC4" s="153">
        <f t="shared" si="0"/>
        <v>2</v>
      </c>
      <c r="AD4" s="153">
        <f t="shared" si="0"/>
        <v>2</v>
      </c>
      <c r="AE4" s="153">
        <f t="shared" si="0"/>
        <v>2</v>
      </c>
      <c r="AF4" s="153">
        <f t="shared" si="0"/>
        <v>2</v>
      </c>
    </row>
    <row r="5" spans="1:32" ht="15.95" customHeight="1">
      <c r="A5" s="74" t="s">
        <v>169</v>
      </c>
      <c r="B5" s="75">
        <v>5.9086887217945305</v>
      </c>
      <c r="C5" s="75">
        <v>6.5033527436801686</v>
      </c>
      <c r="D5" s="75">
        <v>5.84</v>
      </c>
      <c r="E5" s="75">
        <f>+I5/4</f>
        <v>1.4775</v>
      </c>
      <c r="F5" s="75">
        <f>+I5/4</f>
        <v>1.4775</v>
      </c>
      <c r="G5" s="75">
        <f>+I5/4</f>
        <v>1.4775</v>
      </c>
      <c r="H5" s="75">
        <f>+I5/4</f>
        <v>1.4775</v>
      </c>
      <c r="I5" s="75">
        <v>5.91</v>
      </c>
      <c r="J5" s="75">
        <v>2.1800000000000002</v>
      </c>
      <c r="K5" s="75">
        <v>1.54</v>
      </c>
      <c r="L5" s="75">
        <v>0.83</v>
      </c>
      <c r="M5" s="75">
        <v>1.72</v>
      </c>
      <c r="N5" s="75">
        <v>6.41</v>
      </c>
      <c r="O5" s="75">
        <v>3.83</v>
      </c>
      <c r="P5" s="75">
        <v>2.2599999999999998</v>
      </c>
      <c r="Q5" s="75">
        <v>1.37</v>
      </c>
      <c r="R5" s="75">
        <f>+S5-O5-P5-Q5</f>
        <v>2.54</v>
      </c>
      <c r="S5" s="75">
        <v>10</v>
      </c>
      <c r="T5" s="75">
        <v>6.4</v>
      </c>
      <c r="U5" s="75">
        <v>5</v>
      </c>
      <c r="V5" s="75">
        <v>5</v>
      </c>
      <c r="W5" s="153">
        <v>4.5</v>
      </c>
      <c r="X5" s="153">
        <f t="shared" ref="X5:AF5" si="1">W5</f>
        <v>4.5</v>
      </c>
      <c r="Y5" s="153">
        <f t="shared" si="1"/>
        <v>4.5</v>
      </c>
      <c r="Z5" s="153">
        <f t="shared" si="1"/>
        <v>4.5</v>
      </c>
      <c r="AA5" s="153">
        <f t="shared" si="1"/>
        <v>4.5</v>
      </c>
      <c r="AB5" s="153">
        <f t="shared" si="1"/>
        <v>4.5</v>
      </c>
      <c r="AC5" s="153">
        <f t="shared" si="1"/>
        <v>4.5</v>
      </c>
      <c r="AD5" s="153">
        <f t="shared" si="1"/>
        <v>4.5</v>
      </c>
      <c r="AE5" s="153">
        <f t="shared" si="1"/>
        <v>4.5</v>
      </c>
      <c r="AF5" s="153">
        <f t="shared" si="1"/>
        <v>4.5</v>
      </c>
    </row>
    <row r="6" spans="1:32" ht="15.95" customHeight="1">
      <c r="A6" s="74" t="s">
        <v>170</v>
      </c>
      <c r="B6" s="75">
        <v>11.323142949673537</v>
      </c>
      <c r="C6" s="75">
        <v>5.0968130206239914</v>
      </c>
      <c r="D6" s="75">
        <v>7.82</v>
      </c>
      <c r="E6" s="75">
        <f>+I6/4</f>
        <v>1.3774999999999999</v>
      </c>
      <c r="F6" s="75">
        <f>+I6/4</f>
        <v>1.3774999999999999</v>
      </c>
      <c r="G6" s="75">
        <f>+I6/4</f>
        <v>1.3774999999999999</v>
      </c>
      <c r="H6" s="75">
        <f>+I6/4</f>
        <v>1.3774999999999999</v>
      </c>
      <c r="I6" s="75">
        <v>5.51</v>
      </c>
      <c r="J6" s="75">
        <v>2.5499999999999998</v>
      </c>
      <c r="K6" s="75">
        <v>-0.1</v>
      </c>
      <c r="L6" s="75">
        <v>-0.68</v>
      </c>
      <c r="M6" s="75">
        <v>1.89</v>
      </c>
      <c r="N6" s="75">
        <v>3.69</v>
      </c>
      <c r="O6" s="75">
        <v>2.02</v>
      </c>
      <c r="P6" s="75">
        <v>2.27</v>
      </c>
      <c r="Q6" s="75">
        <v>1.93</v>
      </c>
      <c r="R6" s="75">
        <v>2.81</v>
      </c>
      <c r="S6" s="75">
        <v>9.9</v>
      </c>
      <c r="T6" s="75">
        <v>6.5</v>
      </c>
      <c r="U6" s="75">
        <v>5.5</v>
      </c>
      <c r="V6" s="75">
        <v>5.5</v>
      </c>
      <c r="W6" s="153">
        <f t="shared" ref="W6:AF6" si="2">V6</f>
        <v>5.5</v>
      </c>
      <c r="X6" s="153">
        <f t="shared" si="2"/>
        <v>5.5</v>
      </c>
      <c r="Y6" s="153">
        <f t="shared" si="2"/>
        <v>5.5</v>
      </c>
      <c r="Z6" s="153">
        <f t="shared" si="2"/>
        <v>5.5</v>
      </c>
      <c r="AA6" s="153">
        <f t="shared" si="2"/>
        <v>5.5</v>
      </c>
      <c r="AB6" s="153">
        <f t="shared" si="2"/>
        <v>5.5</v>
      </c>
      <c r="AC6" s="153">
        <f t="shared" si="2"/>
        <v>5.5</v>
      </c>
      <c r="AD6" s="153">
        <f t="shared" si="2"/>
        <v>5.5</v>
      </c>
      <c r="AE6" s="153">
        <f t="shared" si="2"/>
        <v>5.5</v>
      </c>
      <c r="AF6" s="153">
        <f t="shared" si="2"/>
        <v>5.5</v>
      </c>
    </row>
    <row r="7" spans="1:32" ht="15.95" customHeight="1">
      <c r="A7" s="74" t="s">
        <v>171</v>
      </c>
      <c r="B7" s="75">
        <v>10.75</v>
      </c>
      <c r="C7" s="75">
        <v>11</v>
      </c>
      <c r="D7" s="75">
        <v>7.25</v>
      </c>
      <c r="E7" s="75">
        <f>+I7</f>
        <v>10</v>
      </c>
      <c r="F7" s="75">
        <f>+I7</f>
        <v>10</v>
      </c>
      <c r="G7" s="75">
        <f>+I7</f>
        <v>10</v>
      </c>
      <c r="H7" s="75">
        <f>+I7</f>
        <v>10</v>
      </c>
      <c r="I7" s="75">
        <v>10</v>
      </c>
      <c r="J7" s="75">
        <v>10.75</v>
      </c>
      <c r="K7" s="75">
        <v>11</v>
      </c>
      <c r="L7" s="75">
        <v>11</v>
      </c>
      <c r="M7" s="75">
        <v>11.75</v>
      </c>
      <c r="N7" s="75">
        <v>11.75</v>
      </c>
      <c r="O7" s="75">
        <v>12.75</v>
      </c>
      <c r="P7" s="75">
        <v>13.75</v>
      </c>
      <c r="Q7" s="75">
        <v>14.25</v>
      </c>
      <c r="R7" s="75">
        <v>14.25</v>
      </c>
      <c r="S7" s="75">
        <v>14.25</v>
      </c>
      <c r="T7" s="75">
        <v>12.75</v>
      </c>
      <c r="U7" s="75">
        <v>12.75</v>
      </c>
      <c r="V7" s="75">
        <v>12.75</v>
      </c>
      <c r="W7" s="153">
        <f t="shared" ref="W7:AF7" si="3">V7</f>
        <v>12.75</v>
      </c>
      <c r="X7" s="153">
        <f t="shared" si="3"/>
        <v>12.75</v>
      </c>
      <c r="Y7" s="153">
        <f t="shared" si="3"/>
        <v>12.75</v>
      </c>
      <c r="Z7" s="153">
        <f t="shared" si="3"/>
        <v>12.75</v>
      </c>
      <c r="AA7" s="153">
        <f t="shared" si="3"/>
        <v>12.75</v>
      </c>
      <c r="AB7" s="153">
        <f t="shared" si="3"/>
        <v>12.75</v>
      </c>
      <c r="AC7" s="153">
        <f t="shared" si="3"/>
        <v>12.75</v>
      </c>
      <c r="AD7" s="153">
        <f t="shared" si="3"/>
        <v>12.75</v>
      </c>
      <c r="AE7" s="153">
        <f t="shared" si="3"/>
        <v>12.75</v>
      </c>
      <c r="AF7" s="153">
        <f t="shared" si="3"/>
        <v>12.75</v>
      </c>
    </row>
    <row r="8" spans="1:32" ht="15.95" customHeight="1">
      <c r="A8" s="77" t="s">
        <v>172</v>
      </c>
      <c r="B8" s="78">
        <v>10</v>
      </c>
      <c r="C8" s="78">
        <v>11.708333333333334</v>
      </c>
      <c r="D8" s="78">
        <v>8.4583333333333339</v>
      </c>
      <c r="E8" s="78">
        <f>+AVERAGE(D7:E7)</f>
        <v>8.625</v>
      </c>
      <c r="F8" s="78">
        <f>+AVERAGE(E7:F7)</f>
        <v>10</v>
      </c>
      <c r="G8" s="78">
        <f>+AVERAGE(F7:G7)</f>
        <v>10</v>
      </c>
      <c r="H8" s="78">
        <f>+AVERAGE(G7:H7)</f>
        <v>10</v>
      </c>
      <c r="I8" s="78">
        <v>8.4375</v>
      </c>
      <c r="J8" s="78">
        <v>10.67</v>
      </c>
      <c r="K8" s="78">
        <v>11</v>
      </c>
      <c r="L8" s="78">
        <v>11</v>
      </c>
      <c r="M8" s="78">
        <v>11.42</v>
      </c>
      <c r="N8" s="78">
        <v>11.0208333333333</v>
      </c>
      <c r="O8" s="78">
        <v>12.42</v>
      </c>
      <c r="P8" s="78">
        <v>13.42</v>
      </c>
      <c r="Q8" s="78">
        <v>14.25</v>
      </c>
      <c r="R8" s="78">
        <v>14.25</v>
      </c>
      <c r="S8" s="78">
        <v>13.58</v>
      </c>
      <c r="T8" s="78">
        <v>13.5</v>
      </c>
      <c r="U8" s="78">
        <v>12.75</v>
      </c>
      <c r="V8" s="78">
        <v>12.75</v>
      </c>
      <c r="W8" s="154">
        <f t="shared" ref="W8:AF8" si="4">V8</f>
        <v>12.75</v>
      </c>
      <c r="X8" s="154">
        <f t="shared" si="4"/>
        <v>12.75</v>
      </c>
      <c r="Y8" s="154">
        <f t="shared" si="4"/>
        <v>12.75</v>
      </c>
      <c r="Z8" s="154">
        <f t="shared" si="4"/>
        <v>12.75</v>
      </c>
      <c r="AA8" s="154">
        <f t="shared" si="4"/>
        <v>12.75</v>
      </c>
      <c r="AB8" s="154">
        <f t="shared" si="4"/>
        <v>12.75</v>
      </c>
      <c r="AC8" s="154">
        <f t="shared" si="4"/>
        <v>12.75</v>
      </c>
      <c r="AD8" s="154">
        <f t="shared" si="4"/>
        <v>12.75</v>
      </c>
      <c r="AE8" s="154">
        <f t="shared" si="4"/>
        <v>12.75</v>
      </c>
      <c r="AF8" s="154">
        <f t="shared" si="4"/>
        <v>12.75</v>
      </c>
    </row>
    <row r="9" spans="1:32" ht="3" customHeight="1">
      <c r="A9" s="139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</row>
    <row r="10" spans="1:32" s="34" customFormat="1" ht="15.95" customHeight="1">
      <c r="A10" s="74" t="s">
        <v>256</v>
      </c>
      <c r="B10" s="139"/>
      <c r="C10" s="139"/>
      <c r="D10" s="139"/>
      <c r="E10" s="139"/>
      <c r="F10" s="156">
        <v>1</v>
      </c>
      <c r="G10" s="156">
        <f>+F10*(1+G5/100)</f>
        <v>1.014775</v>
      </c>
      <c r="H10" s="156">
        <f>+G10*(1+H5/100)</f>
        <v>1.029768300625</v>
      </c>
      <c r="I10" s="156">
        <f>+H10</f>
        <v>1.029768300625</v>
      </c>
      <c r="J10" s="139"/>
      <c r="K10" s="156"/>
      <c r="L10" s="156"/>
      <c r="M10" s="156"/>
      <c r="N10" s="156">
        <v>1</v>
      </c>
      <c r="O10" s="139"/>
      <c r="P10" s="156"/>
      <c r="Q10" s="156">
        <v>1</v>
      </c>
      <c r="R10" s="156"/>
      <c r="S10" s="156">
        <f>+N10*(1+S5/100)</f>
        <v>1.1000000000000001</v>
      </c>
      <c r="T10" s="156">
        <f>+S10*(1+T5/100)</f>
        <v>1.1704000000000001</v>
      </c>
      <c r="U10" s="156">
        <f>+T10*(1+U5/100)</f>
        <v>1.2289200000000002</v>
      </c>
      <c r="V10" s="156">
        <f t="shared" ref="V10:AF10" si="5">+U10*(1+V5/100)</f>
        <v>1.2903660000000003</v>
      </c>
      <c r="W10" s="156">
        <f t="shared" si="5"/>
        <v>1.3484324700000003</v>
      </c>
      <c r="X10" s="156">
        <f t="shared" si="5"/>
        <v>1.4091119311500002</v>
      </c>
      <c r="Y10" s="156">
        <f t="shared" si="5"/>
        <v>1.4725219680517501</v>
      </c>
      <c r="Z10" s="156">
        <f t="shared" si="5"/>
        <v>1.5387854566140786</v>
      </c>
      <c r="AA10" s="156">
        <f t="shared" si="5"/>
        <v>1.608030802161712</v>
      </c>
      <c r="AB10" s="156">
        <f t="shared" si="5"/>
        <v>1.680392188258989</v>
      </c>
      <c r="AC10" s="156">
        <f t="shared" si="5"/>
        <v>1.7560098367306434</v>
      </c>
      <c r="AD10" s="156">
        <f t="shared" si="5"/>
        <v>1.8350302793835223</v>
      </c>
      <c r="AE10" s="156">
        <f t="shared" si="5"/>
        <v>1.9176066419557807</v>
      </c>
      <c r="AF10" s="156">
        <f t="shared" si="5"/>
        <v>2.0038989408437908</v>
      </c>
    </row>
    <row r="11" spans="1:32" s="34" customFormat="1" ht="15.95" customHeight="1">
      <c r="A11" s="139"/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</row>
    <row r="12" spans="1:32" s="1" customFormat="1" ht="15.95" customHeight="1">
      <c r="A12" s="138" t="s">
        <v>39</v>
      </c>
      <c r="B12" s="319">
        <v>2010</v>
      </c>
      <c r="C12" s="319">
        <v>2011</v>
      </c>
      <c r="D12" s="319">
        <v>2012</v>
      </c>
      <c r="E12" s="320" t="str">
        <f t="shared" ref="E12:S12" si="6">E3</f>
        <v>1T13</v>
      </c>
      <c r="F12" s="320" t="str">
        <f t="shared" si="6"/>
        <v>2T13</v>
      </c>
      <c r="G12" s="320" t="str">
        <f t="shared" si="6"/>
        <v>3T13</v>
      </c>
      <c r="H12" s="320" t="str">
        <f t="shared" si="6"/>
        <v>4T13</v>
      </c>
      <c r="I12" s="319">
        <f t="shared" si="6"/>
        <v>2013</v>
      </c>
      <c r="J12" s="320" t="str">
        <f t="shared" si="6"/>
        <v>1T14</v>
      </c>
      <c r="K12" s="320" t="str">
        <f t="shared" si="6"/>
        <v>2T14</v>
      </c>
      <c r="L12" s="320" t="str">
        <f t="shared" si="6"/>
        <v>3T14</v>
      </c>
      <c r="M12" s="320" t="str">
        <f t="shared" si="6"/>
        <v>4T14</v>
      </c>
      <c r="N12" s="319">
        <f t="shared" si="6"/>
        <v>2014</v>
      </c>
      <c r="O12" s="320" t="str">
        <f t="shared" si="6"/>
        <v>1T15</v>
      </c>
      <c r="P12" s="320" t="str">
        <f t="shared" si="6"/>
        <v>2T15</v>
      </c>
      <c r="Q12" s="320" t="str">
        <f t="shared" si="6"/>
        <v>3T15</v>
      </c>
      <c r="R12" s="320" t="str">
        <f t="shared" si="6"/>
        <v>4T15E</v>
      </c>
      <c r="S12" s="319" t="str">
        <f t="shared" si="6"/>
        <v>2015E</v>
      </c>
      <c r="T12" s="319" t="s">
        <v>107</v>
      </c>
      <c r="U12" s="319" t="s">
        <v>112</v>
      </c>
      <c r="V12" s="319" t="s">
        <v>117</v>
      </c>
      <c r="W12" s="319" t="s">
        <v>122</v>
      </c>
      <c r="X12" s="319" t="s">
        <v>127</v>
      </c>
      <c r="Y12" s="319" t="s">
        <v>132</v>
      </c>
      <c r="Z12" s="319" t="s">
        <v>137</v>
      </c>
      <c r="AA12" s="319" t="s">
        <v>142</v>
      </c>
      <c r="AB12" s="319" t="s">
        <v>147</v>
      </c>
      <c r="AC12" s="319" t="s">
        <v>152</v>
      </c>
      <c r="AD12" s="319" t="s">
        <v>157</v>
      </c>
      <c r="AE12" s="319" t="s">
        <v>162</v>
      </c>
      <c r="AF12" s="319" t="s">
        <v>167</v>
      </c>
    </row>
    <row r="13" spans="1:32" s="1" customFormat="1" ht="15.95" customHeight="1">
      <c r="A13" s="157" t="s">
        <v>40</v>
      </c>
      <c r="B13" s="312">
        <f>HLOOKUP(B12,'Dados Financeiros'!$B$38:$AN$42,2,0)</f>
        <v>185.09</v>
      </c>
      <c r="C13" s="312">
        <f>HLOOKUP(C12,'Dados Financeiros'!$B$38:$AN$42,2,0)</f>
        <v>256.61</v>
      </c>
      <c r="D13" s="312">
        <f>HLOOKUP(D12,'Dados Financeiros'!$B$38:$AN$42,2,0)</f>
        <v>290.67</v>
      </c>
      <c r="E13" s="312">
        <f>HLOOKUP(E12,'Dados Financeiros'!$B$38:$AN$42,2,0)</f>
        <v>74.47</v>
      </c>
      <c r="F13" s="312">
        <f>HLOOKUP(F12,'Dados Financeiros'!$B$38:$AN$42,2,0)</f>
        <v>91.800000000000011</v>
      </c>
      <c r="G13" s="312">
        <f>HLOOKUP(G12,'Dados Financeiros'!$B$38:$AN$42,2,0)</f>
        <v>81.490000000000009</v>
      </c>
      <c r="H13" s="312">
        <f>HLOOKUP(H12,'Dados Financeiros'!$B$38:$AN$42,2,0)</f>
        <v>85.939999999999969</v>
      </c>
      <c r="I13" s="312">
        <f>HLOOKUP(I12,'Dados Financeiros'!$B$38:$AN$42,2,0)</f>
        <v>333.70000000000005</v>
      </c>
      <c r="J13" s="312">
        <f>HLOOKUP(J12,'Dados Financeiros'!$B$38:$AN$42,2,0)</f>
        <v>80.400000000000006</v>
      </c>
      <c r="K13" s="312">
        <f>HLOOKUP(K12,'Dados Financeiros'!$B$38:$AN$42,2,0)</f>
        <v>88.336000000000013</v>
      </c>
      <c r="L13" s="312">
        <f>HLOOKUP(L12,'Dados Financeiros'!$B$38:$AN$42,2,0)</f>
        <v>98.343000000000004</v>
      </c>
      <c r="M13" s="312">
        <f>HLOOKUP(M12,'Dados Financeiros'!$B$38:$AN$42,2,0)</f>
        <v>90.447000000000003</v>
      </c>
      <c r="N13" s="312">
        <f>HLOOKUP(N12,'Dados Financeiros'!$B$38:$AN$42,2,0)</f>
        <v>357.52600000000001</v>
      </c>
      <c r="O13" s="312">
        <f>HLOOKUP(O12,'Dados Financeiros'!$B$38:$AN$42,2,0)</f>
        <v>61.32</v>
      </c>
      <c r="P13" s="312">
        <f>HLOOKUP(P12,'Dados Financeiros'!$B$38:$AN$42,2,0)</f>
        <v>66.561999999999998</v>
      </c>
      <c r="Q13" s="312">
        <f>HLOOKUP(Q12,'Dados Financeiros'!$B$38:$AN$42,2,0)</f>
        <v>75.042999999999992</v>
      </c>
      <c r="R13" s="312">
        <f>HLOOKUP(R12,'Dados Financeiros'!$B$38:$AN$42,2,0)</f>
        <v>104.53336872157567</v>
      </c>
      <c r="S13" s="312">
        <f>HLOOKUP(S12,'Dados Financeiros'!$B$38:$AN$42,2,0)</f>
        <v>307.5093687215757</v>
      </c>
      <c r="T13" s="312">
        <f>HLOOKUP(T12,'Dados Financeiros'!$B$38:$AN$42,2,0)</f>
        <v>359.35124536264442</v>
      </c>
      <c r="U13" s="312">
        <f>HLOOKUP(U12,'Dados Financeiros'!$B$38:$AN$42,2,0)</f>
        <v>396.78375304716076</v>
      </c>
      <c r="V13" s="312">
        <f>HLOOKUP(V12,'Dados Financeiros'!$B$38:$AN$42,2,0)</f>
        <v>400.16745949027586</v>
      </c>
      <c r="W13" s="312">
        <f>HLOOKUP(W12,'Dados Financeiros'!$B$38:$AN$42,2,0)</f>
        <v>437.67713286254502</v>
      </c>
      <c r="X13" s="312">
        <f>HLOOKUP(X12,'Dados Financeiros'!$B$38:$AN$42,2,0)</f>
        <v>477.36690242058023</v>
      </c>
      <c r="Y13" s="312">
        <f>HLOOKUP(Y12,'Dados Financeiros'!$B$38:$AN$42,2,0)</f>
        <v>541.1959078800262</v>
      </c>
      <c r="Z13" s="312">
        <f>HLOOKUP(Z12,'Dados Financeiros'!$B$38:$AN$42,2,0)</f>
        <v>556.26690449394152</v>
      </c>
      <c r="AA13" s="312">
        <f>HLOOKUP(AA12,'Dados Financeiros'!$B$38:$AN$42,2,0)</f>
        <v>593.57988832554383</v>
      </c>
      <c r="AB13" s="312">
        <f>HLOOKUP(AB12,'Dados Financeiros'!$B$38:$AN$42,2,0)</f>
        <v>631.95698707649274</v>
      </c>
      <c r="AC13" s="312">
        <f>HLOOKUP(AC12,'Dados Financeiros'!$B$38:$AN$42,2,0)</f>
        <v>669.98177410433914</v>
      </c>
      <c r="AD13" s="312">
        <f>HLOOKUP(AD12,'Dados Financeiros'!$B$38:$AN$42,2,0)</f>
        <v>739.25717886580014</v>
      </c>
      <c r="AE13" s="312">
        <f>HLOOKUP(AE12,'Dados Financeiros'!$B$38:$AN$42,2,0)</f>
        <v>838.82394668937081</v>
      </c>
      <c r="AF13" s="312">
        <f>HLOOKUP(AF12,'Dados Financeiros'!$B$38:$AN$42,2,0)</f>
        <v>883.50402350546221</v>
      </c>
    </row>
    <row r="14" spans="1:32" s="1" customFormat="1" ht="15.95" customHeight="1">
      <c r="A14" s="310" t="s">
        <v>41</v>
      </c>
      <c r="B14" s="311">
        <f>HLOOKUP(B12,'Dados Financeiros'!$B$38:$AN$42,3,0)</f>
        <v>147.1</v>
      </c>
      <c r="C14" s="311">
        <f>HLOOKUP(C12,'Dados Financeiros'!$B$38:$AN$42,3,0)</f>
        <v>158.68</v>
      </c>
      <c r="D14" s="311">
        <f>HLOOKUP(D12,'Dados Financeiros'!$B$38:$AN$42,3,0)</f>
        <v>172.4</v>
      </c>
      <c r="E14" s="311">
        <f>HLOOKUP(E12,'Dados Financeiros'!$B$38:$AN$42,3,0)</f>
        <v>43.39</v>
      </c>
      <c r="F14" s="311">
        <f>HLOOKUP(F12,'Dados Financeiros'!$B$38:$AN$42,3,0)</f>
        <v>44.1</v>
      </c>
      <c r="G14" s="311">
        <f>HLOOKUP(G12,'Dados Financeiros'!$B$38:$AN$42,3,0)</f>
        <v>51.470000000000013</v>
      </c>
      <c r="H14" s="311">
        <f>HLOOKUP(H12,'Dados Financeiros'!$B$38:$AN$42,3,0)</f>
        <v>47.14</v>
      </c>
      <c r="I14" s="311">
        <f>HLOOKUP(I12,'Dados Financeiros'!$B$38:$AN$42,3,0)</f>
        <v>186.10000000000002</v>
      </c>
      <c r="J14" s="311">
        <f>HLOOKUP(J12,'Dados Financeiros'!$B$38:$AN$42,3,0)</f>
        <v>48.4</v>
      </c>
      <c r="K14" s="311">
        <f>HLOOKUP(K12,'Dados Financeiros'!$B$38:$AN$42,3,0)</f>
        <v>48.838000000000001</v>
      </c>
      <c r="L14" s="311">
        <f>HLOOKUP(L12,'Dados Financeiros'!$B$38:$AN$42,3,0)</f>
        <v>52.820999999999998</v>
      </c>
      <c r="M14" s="311">
        <f>HLOOKUP(M12,'Dados Financeiros'!$B$38:$AN$42,3,0)</f>
        <v>53.393000000000001</v>
      </c>
      <c r="N14" s="311">
        <f>HLOOKUP(N12,'Dados Financeiros'!$B$38:$AN$42,3,0)</f>
        <v>203.452</v>
      </c>
      <c r="O14" s="311">
        <f>HLOOKUP(O12,'Dados Financeiros'!$B$38:$AN$42,3,0)</f>
        <v>48.390999999999998</v>
      </c>
      <c r="P14" s="311">
        <f>HLOOKUP(P12,'Dados Financeiros'!$B$38:$AN$42,3,0)</f>
        <v>49.24</v>
      </c>
      <c r="Q14" s="311">
        <f>HLOOKUP(Q12,'Dados Financeiros'!$B$38:$AN$42,3,0)</f>
        <v>54.327999999999996</v>
      </c>
      <c r="R14" s="311">
        <f>HLOOKUP(R12,'Dados Financeiros'!$B$38:$AN$42,3,0)</f>
        <v>59.378381271575677</v>
      </c>
      <c r="S14" s="311">
        <f>HLOOKUP(S12,'Dados Financeiros'!$B$38:$AN$42,3,0)</f>
        <v>211.33738127157568</v>
      </c>
      <c r="T14" s="311">
        <f>HLOOKUP(T12,'Dados Financeiros'!$B$38:$AN$42,3,0)</f>
        <v>248.1903691626444</v>
      </c>
      <c r="U14" s="311">
        <f>HLOOKUP(U12,'Dados Financeiros'!$B$38:$AN$42,3,0)</f>
        <v>280.91898268216079</v>
      </c>
      <c r="V14" s="311">
        <f>HLOOKUP(V12,'Dados Financeiros'!$B$38:$AN$42,3,0)</f>
        <v>325.0264594902759</v>
      </c>
      <c r="W14" s="311">
        <f>HLOOKUP(W12,'Dados Financeiros'!$B$38:$AN$42,3,0)</f>
        <v>362.68458761232</v>
      </c>
      <c r="X14" s="311">
        <f>HLOOKUP(X12,'Dados Financeiros'!$B$38:$AN$42,3,0)</f>
        <v>401.75518226932667</v>
      </c>
      <c r="Y14" s="311">
        <f>HLOOKUP(Y12,'Dados Financeiros'!$B$38:$AN$42,3,0)</f>
        <v>437.46643183537242</v>
      </c>
      <c r="Z14" s="311">
        <f>HLOOKUP(Z12,'Dados Financeiros'!$B$38:$AN$42,3,0)</f>
        <v>476.01931326453445</v>
      </c>
      <c r="AA14" s="311">
        <f>HLOOKUP(AA12,'Dados Financeiros'!$B$38:$AN$42,3,0)</f>
        <v>517.97107567795683</v>
      </c>
      <c r="AB14" s="311">
        <f>HLOOKUP(AB12,'Dados Financeiros'!$B$38:$AN$42,3,0)</f>
        <v>562.77874529601434</v>
      </c>
      <c r="AC14" s="311">
        <f>HLOOKUP(AC12,'Dados Financeiros'!$B$38:$AN$42,3,0)</f>
        <v>610.7775184534305</v>
      </c>
      <c r="AD14" s="311">
        <f>HLOOKUP(AD12,'Dados Financeiros'!$B$38:$AN$42,3,0)</f>
        <v>662.30837501731548</v>
      </c>
      <c r="AE14" s="311">
        <f>HLOOKUP(AE12,'Dados Financeiros'!$B$38:$AN$42,3,0)</f>
        <v>717.57960648878384</v>
      </c>
      <c r="AF14" s="311">
        <f>HLOOKUP(AF12,'Dados Financeiros'!$B$38:$AN$42,3,0)</f>
        <v>765.00711554914005</v>
      </c>
    </row>
    <row r="15" spans="1:32" s="1" customFormat="1" ht="15.95" customHeight="1">
      <c r="A15" s="310" t="s">
        <v>43</v>
      </c>
      <c r="B15" s="311">
        <f>HLOOKUP(B12,'Dados Financeiros'!$B$38:$AN$42,4,0)</f>
        <v>0.52</v>
      </c>
      <c r="C15" s="311">
        <f>HLOOKUP(C12,'Dados Financeiros'!$B$38:$AN$42,4,0)</f>
        <v>0.57999999999999996</v>
      </c>
      <c r="D15" s="311">
        <f>HLOOKUP(D12,'Dados Financeiros'!$B$38:$AN$42,4,0)</f>
        <v>4.8</v>
      </c>
      <c r="E15" s="311">
        <f>HLOOKUP(E12,'Dados Financeiros'!$B$38:$AN$42,4,0)</f>
        <v>0.68</v>
      </c>
      <c r="F15" s="311">
        <f>HLOOKUP(F12,'Dados Financeiros'!$B$38:$AN$42,4,0)</f>
        <v>1.1000000000000001</v>
      </c>
      <c r="G15" s="311">
        <f>HLOOKUP(G12,'Dados Financeiros'!$B$38:$AN$42,4,0)</f>
        <v>-0.18000000000000005</v>
      </c>
      <c r="H15" s="311">
        <f>HLOOKUP(H12,'Dados Financeiros'!$B$38:$AN$42,4,0)</f>
        <v>3.8000000000000003</v>
      </c>
      <c r="I15" s="311">
        <f>HLOOKUP(I12,'Dados Financeiros'!$B$38:$AN$42,4,0)</f>
        <v>5.4</v>
      </c>
      <c r="J15" s="311">
        <f>HLOOKUP(J12,'Dados Financeiros'!$B$38:$AN$42,4,0)</f>
        <v>0.4</v>
      </c>
      <c r="K15" s="311">
        <f>HLOOKUP(K12,'Dados Financeiros'!$B$38:$AN$42,4,0)</f>
        <v>2.722</v>
      </c>
      <c r="L15" s="311">
        <f>HLOOKUP(L12,'Dados Financeiros'!$B$38:$AN$42,4,0)</f>
        <v>1.56</v>
      </c>
      <c r="M15" s="311">
        <f>HLOOKUP(M12,'Dados Financeiros'!$B$38:$AN$42,4,0)</f>
        <v>1.5579999999999998</v>
      </c>
      <c r="N15" s="311">
        <f>HLOOKUP(N12,'Dados Financeiros'!$B$38:$AN$42,4,0)</f>
        <v>6.24</v>
      </c>
      <c r="O15" s="311">
        <f>HLOOKUP(O12,'Dados Financeiros'!$B$38:$AN$42,4,0)</f>
        <v>0.39200000000000002</v>
      </c>
      <c r="P15" s="311">
        <f>HLOOKUP(P12,'Dados Financeiros'!$B$38:$AN$42,4,0)</f>
        <v>2.8919999999999999</v>
      </c>
      <c r="Q15" s="311">
        <f>HLOOKUP(Q12,'Dados Financeiros'!$B$38:$AN$42,4,0)</f>
        <v>1.7330000000000005</v>
      </c>
      <c r="R15" s="311">
        <f>HLOOKUP(R12,'Dados Financeiros'!$B$38:$AN$42,4,0)</f>
        <v>1.5969499999999996</v>
      </c>
      <c r="S15" s="311">
        <f>HLOOKUP(S12,'Dados Financeiros'!$B$38:$AN$42,4,0)</f>
        <v>6.61395</v>
      </c>
      <c r="T15" s="311">
        <f>HLOOKUP(T12,'Dados Financeiros'!$B$38:$AN$42,4,0)</f>
        <v>6.7197731999999997</v>
      </c>
      <c r="U15" s="311">
        <f>HLOOKUP(U12,'Dados Financeiros'!$B$38:$AN$42,4,0)</f>
        <v>12.803770365</v>
      </c>
      <c r="V15" s="311">
        <f>HLOOKUP(V12,'Dados Financeiros'!$B$38:$AN$42,4,0)</f>
        <v>12</v>
      </c>
      <c r="W15" s="311">
        <f>HLOOKUP(W12,'Dados Financeiros'!$B$38:$AN$42,4,0)</f>
        <v>12.135</v>
      </c>
      <c r="X15" s="311">
        <f>HLOOKUP(X12,'Dados Financeiros'!$B$38:$AN$42,4,0)</f>
        <v>12.27151875</v>
      </c>
      <c r="Y15" s="311">
        <f>HLOOKUP(Y12,'Dados Financeiros'!$B$38:$AN$42,4,0)</f>
        <v>12.4095733359375</v>
      </c>
      <c r="Z15" s="311">
        <f>HLOOKUP(Z12,'Dados Financeiros'!$B$38:$AN$42,4,0)</f>
        <v>12.549181035966797</v>
      </c>
      <c r="AA15" s="311">
        <f>HLOOKUP(AA12,'Dados Financeiros'!$B$38:$AN$42,4,0)</f>
        <v>12.690359322621422</v>
      </c>
      <c r="AB15" s="311">
        <f>HLOOKUP(AB12,'Dados Financeiros'!$B$38:$AN$42,4,0)</f>
        <v>12.833125865000913</v>
      </c>
      <c r="AC15" s="311">
        <f>HLOOKUP(AC12,'Dados Financeiros'!$B$38:$AN$42,4,0)</f>
        <v>12.977498530982173</v>
      </c>
      <c r="AD15" s="311">
        <f>HLOOKUP(AD12,'Dados Financeiros'!$B$38:$AN$42,4,0)</f>
        <v>13.123495389455721</v>
      </c>
      <c r="AE15" s="311">
        <f>HLOOKUP(AE12,'Dados Financeiros'!$B$38:$AN$42,4,0)</f>
        <v>13.271134712587099</v>
      </c>
      <c r="AF15" s="311">
        <f>HLOOKUP(AF12,'Dados Financeiros'!$B$38:$AN$42,4,0)</f>
        <v>13.420434978103703</v>
      </c>
    </row>
    <row r="16" spans="1:32" s="1" customFormat="1" ht="15.95" customHeight="1">
      <c r="A16" s="310" t="s">
        <v>42</v>
      </c>
      <c r="B16" s="311">
        <f>HLOOKUP(B12,'Dados Financeiros'!$B$38:$AN$42,5,0)</f>
        <v>37.47</v>
      </c>
      <c r="C16" s="311">
        <f>HLOOKUP(C12,'Dados Financeiros'!$B$38:$AN$42,5,0)</f>
        <v>97.35</v>
      </c>
      <c r="D16" s="311">
        <f>HLOOKUP(D12,'Dados Financeiros'!$B$38:$AN$42,5,0)</f>
        <v>113.47</v>
      </c>
      <c r="E16" s="311">
        <f>HLOOKUP(E12,'Dados Financeiros'!$B$38:$AN$42,5,0)</f>
        <v>30.4</v>
      </c>
      <c r="F16" s="311">
        <f>HLOOKUP(F12,'Dados Financeiros'!$B$38:$AN$42,5,0)</f>
        <v>46.6</v>
      </c>
      <c r="G16" s="311">
        <f>HLOOKUP(G12,'Dados Financeiros'!$B$38:$AN$42,5,0)</f>
        <v>30.200000000000003</v>
      </c>
      <c r="H16" s="311">
        <f>HLOOKUP(H12,'Dados Financeiros'!$B$38:$AN$42,5,0)</f>
        <v>34.999999999999979</v>
      </c>
      <c r="I16" s="311">
        <f>HLOOKUP(I12,'Dados Financeiros'!$B$38:$AN$42,5,0)</f>
        <v>142.19999999999999</v>
      </c>
      <c r="J16" s="311">
        <f>HLOOKUP(J12,'Dados Financeiros'!$B$38:$AN$42,5,0)</f>
        <v>31.6</v>
      </c>
      <c r="K16" s="311">
        <f>HLOOKUP(K12,'Dados Financeiros'!$B$38:$AN$42,5,0)</f>
        <v>36.776000000000003</v>
      </c>
      <c r="L16" s="311">
        <f>HLOOKUP(L12,'Dados Financeiros'!$B$38:$AN$42,5,0)</f>
        <v>43.962000000000003</v>
      </c>
      <c r="M16" s="311">
        <f>HLOOKUP(M12,'Dados Financeiros'!$B$38:$AN$42,5,0)</f>
        <v>35.495999999999995</v>
      </c>
      <c r="N16" s="311">
        <f>HLOOKUP(N12,'Dados Financeiros'!$B$38:$AN$42,5,0)</f>
        <v>147.834</v>
      </c>
      <c r="O16" s="311">
        <f>HLOOKUP(O12,'Dados Financeiros'!$B$38:$AN$42,5,0)</f>
        <v>12.537000000000001</v>
      </c>
      <c r="P16" s="311">
        <f>HLOOKUP(P12,'Dados Financeiros'!$B$38:$AN$42,5,0)</f>
        <v>14.429999999999998</v>
      </c>
      <c r="Q16" s="311">
        <f>HLOOKUP(Q12,'Dados Financeiros'!$B$38:$AN$42,5,0)</f>
        <v>18.981999999999999</v>
      </c>
      <c r="R16" s="311">
        <f>HLOOKUP(R12,'Dados Financeiros'!$B$38:$AN$42,5,0)</f>
        <v>43.55803745</v>
      </c>
      <c r="S16" s="311">
        <f>HLOOKUP(S12,'Dados Financeiros'!$B$38:$AN$42,5,0)</f>
        <v>89.55803745</v>
      </c>
      <c r="T16" s="311">
        <f>HLOOKUP(T12,'Dados Financeiros'!$B$38:$AN$42,5,0)</f>
        <v>104.44110300000001</v>
      </c>
      <c r="U16" s="311">
        <f>HLOOKUP(U12,'Dados Financeiros'!$B$38:$AN$42,5,0)</f>
        <v>103.06099999999999</v>
      </c>
      <c r="V16" s="311">
        <f>HLOOKUP(V12,'Dados Financeiros'!$B$38:$AN$42,5,0)</f>
        <v>63.140999999999991</v>
      </c>
      <c r="W16" s="311">
        <f>HLOOKUP(W12,'Dados Financeiros'!$B$38:$AN$42,5,0)</f>
        <v>62.857545250225051</v>
      </c>
      <c r="X16" s="311">
        <f>HLOOKUP(X12,'Dados Financeiros'!$B$38:$AN$42,5,0)</f>
        <v>63.340201401253559</v>
      </c>
      <c r="Y16" s="311">
        <f>HLOOKUP(Y12,'Dados Financeiros'!$B$38:$AN$42,5,0)</f>
        <v>91.319902708716242</v>
      </c>
      <c r="Z16" s="311">
        <f>HLOOKUP(Z12,'Dados Financeiros'!$B$38:$AN$42,5,0)</f>
        <v>67.69841019344031</v>
      </c>
      <c r="AA16" s="311">
        <f>HLOOKUP(AA12,'Dados Financeiros'!$B$38:$AN$42,5,0)</f>
        <v>62.918453324965505</v>
      </c>
      <c r="AB16" s="311">
        <f>HLOOKUP(AB12,'Dados Financeiros'!$B$38:$AN$42,5,0)</f>
        <v>56.345115915477457</v>
      </c>
      <c r="AC16" s="311">
        <f>HLOOKUP(AC12,'Dados Financeiros'!$B$38:$AN$42,5,0)</f>
        <v>46.226757119926425</v>
      </c>
      <c r="AD16" s="311">
        <f>HLOOKUP(AD12,'Dados Financeiros'!$B$38:$AN$42,5,0)</f>
        <v>63.825308459028953</v>
      </c>
      <c r="AE16" s="311">
        <f>HLOOKUP(AE12,'Dados Financeiros'!$B$38:$AN$42,5,0)</f>
        <v>107.97320548799986</v>
      </c>
      <c r="AF16" s="311">
        <f>HLOOKUP(AF12,'Dados Financeiros'!$B$38:$AN$42,5,0)</f>
        <v>105.07647297821849</v>
      </c>
    </row>
    <row r="17" spans="1:32" s="1" customFormat="1" ht="15.95" customHeight="1">
      <c r="A17" s="310"/>
      <c r="B17" s="311"/>
      <c r="C17" s="311"/>
      <c r="D17" s="311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1"/>
      <c r="Q17" s="311"/>
      <c r="R17" s="311"/>
      <c r="S17" s="311"/>
      <c r="T17" s="311"/>
      <c r="U17" s="311"/>
      <c r="V17" s="311"/>
      <c r="W17" s="311"/>
      <c r="X17" s="311"/>
      <c r="Y17" s="311"/>
      <c r="Z17" s="311"/>
      <c r="AA17" s="311"/>
      <c r="AB17" s="311"/>
      <c r="AC17" s="311"/>
      <c r="AD17" s="311"/>
      <c r="AE17" s="311"/>
      <c r="AF17" s="311"/>
    </row>
    <row r="18" spans="1:32" s="1" customFormat="1" ht="15.95" customHeight="1">
      <c r="A18" s="157" t="s">
        <v>46</v>
      </c>
      <c r="B18" s="167"/>
      <c r="C18" s="167"/>
      <c r="D18" s="167">
        <f t="shared" ref="D18:AF18" si="7">+D21+D30+D33+D36+D39+D42+D45</f>
        <v>-68.686999999999998</v>
      </c>
      <c r="E18" s="167">
        <f t="shared" si="7"/>
        <v>-18.736999999999998</v>
      </c>
      <c r="F18" s="167">
        <f t="shared" si="7"/>
        <v>-15.97</v>
      </c>
      <c r="G18" s="167">
        <f t="shared" si="7"/>
        <v>-22.299999999999997</v>
      </c>
      <c r="H18" s="167">
        <f t="shared" si="7"/>
        <v>-18.808</v>
      </c>
      <c r="I18" s="167">
        <f t="shared" si="7"/>
        <v>-75.815000000000012</v>
      </c>
      <c r="J18" s="167">
        <f t="shared" si="7"/>
        <v>-16.3</v>
      </c>
      <c r="K18" s="167">
        <f t="shared" si="7"/>
        <v>-16.538000000000004</v>
      </c>
      <c r="L18" s="167">
        <f t="shared" si="7"/>
        <v>-20.535</v>
      </c>
      <c r="M18" s="167">
        <f t="shared" si="7"/>
        <v>-20.84</v>
      </c>
      <c r="N18" s="167">
        <f t="shared" si="7"/>
        <v>-74.212999999999994</v>
      </c>
      <c r="O18" s="167">
        <f t="shared" si="7"/>
        <v>-22.085000000000001</v>
      </c>
      <c r="P18" s="167">
        <f t="shared" si="7"/>
        <v>-18.309999999999999</v>
      </c>
      <c r="Q18" s="167">
        <f t="shared" si="7"/>
        <v>-20.861000000000004</v>
      </c>
      <c r="R18" s="167">
        <f t="shared" si="7"/>
        <v>-19.64881963883769</v>
      </c>
      <c r="S18" s="167">
        <f t="shared" si="7"/>
        <v>-80.904819638837694</v>
      </c>
      <c r="T18" s="167">
        <f t="shared" si="7"/>
        <v>-68.811953430080607</v>
      </c>
      <c r="U18" s="167">
        <f t="shared" si="7"/>
        <v>-70.100669013081784</v>
      </c>
      <c r="V18" s="167">
        <f t="shared" si="7"/>
        <v>-74.236089643362519</v>
      </c>
      <c r="W18" s="167">
        <f t="shared" si="7"/>
        <v>-77.717955362029684</v>
      </c>
      <c r="X18" s="167">
        <f t="shared" si="7"/>
        <v>-81.389993882003793</v>
      </c>
      <c r="Y18" s="167">
        <f t="shared" si="7"/>
        <v>-85.775466527614952</v>
      </c>
      <c r="Z18" s="167">
        <f t="shared" si="7"/>
        <v>-90.408905093217001</v>
      </c>
      <c r="AA18" s="167">
        <f t="shared" si="7"/>
        <v>-95.319072448389008</v>
      </c>
      <c r="AB18" s="167">
        <f t="shared" si="7"/>
        <v>-100.48988852828103</v>
      </c>
      <c r="AC18" s="167">
        <f t="shared" si="7"/>
        <v>-105.94155642643659</v>
      </c>
      <c r="AD18" s="167">
        <f t="shared" si="7"/>
        <v>-111.69480706319892</v>
      </c>
      <c r="AE18" s="167">
        <f t="shared" si="7"/>
        <v>-117.76523491946614</v>
      </c>
      <c r="AF18" s="167">
        <f t="shared" si="7"/>
        <v>-123.68526398834491</v>
      </c>
    </row>
    <row r="19" spans="1:32" s="1" customFormat="1" ht="15.95" customHeight="1">
      <c r="A19" s="173" t="s">
        <v>313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72">
        <f>+S18/N18-1</f>
        <v>9.0170450444500228E-2</v>
      </c>
      <c r="T19" s="172">
        <f t="shared" ref="T19:AF19" si="8">+T18/S18-1</f>
        <v>-0.14947028202695611</v>
      </c>
      <c r="U19" s="172">
        <f t="shared" si="8"/>
        <v>1.872807729998005E-2</v>
      </c>
      <c r="V19" s="172">
        <f t="shared" si="8"/>
        <v>5.8992598622832126E-2</v>
      </c>
      <c r="W19" s="172">
        <f t="shared" si="8"/>
        <v>4.6902601354602558E-2</v>
      </c>
      <c r="X19" s="172">
        <f t="shared" si="8"/>
        <v>4.7248264611039259E-2</v>
      </c>
      <c r="Y19" s="172">
        <f t="shared" si="8"/>
        <v>5.3882208812658927E-2</v>
      </c>
      <c r="Z19" s="172">
        <f t="shared" si="8"/>
        <v>5.4018226343430564E-2</v>
      </c>
      <c r="AA19" s="172">
        <f t="shared" si="8"/>
        <v>5.4310660549525824E-2</v>
      </c>
      <c r="AB19" s="172">
        <f t="shared" si="8"/>
        <v>5.4247444368405784E-2</v>
      </c>
      <c r="AC19" s="172">
        <f t="shared" si="8"/>
        <v>5.4250909996992336E-2</v>
      </c>
      <c r="AD19" s="172">
        <f t="shared" si="8"/>
        <v>5.430589119914675E-2</v>
      </c>
      <c r="AE19" s="172">
        <f t="shared" si="8"/>
        <v>5.4348344528071468E-2</v>
      </c>
      <c r="AF19" s="172">
        <f t="shared" si="8"/>
        <v>5.0269751280394459E-2</v>
      </c>
    </row>
    <row r="20" spans="1:32" s="72" customFormat="1" ht="15.95" customHeight="1">
      <c r="A20" s="177"/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</row>
    <row r="21" spans="1:32" ht="15.95" customHeight="1">
      <c r="A21" s="176" t="s">
        <v>317</v>
      </c>
      <c r="B21" s="180">
        <v>-14.933</v>
      </c>
      <c r="C21" s="180">
        <v>-18.036000000000001</v>
      </c>
      <c r="D21" s="180">
        <v>-19.294</v>
      </c>
      <c r="E21" s="180">
        <v>-4.657</v>
      </c>
      <c r="F21" s="180">
        <f>+'Dados Financeiros'!N49</f>
        <v>-5.9</v>
      </c>
      <c r="G21" s="180">
        <f>+'Dados Financeiros'!O49</f>
        <v>-5.7</v>
      </c>
      <c r="H21" s="180">
        <f>+'Dados Financeiros'!P49</f>
        <v>-3.8430000000000017</v>
      </c>
      <c r="I21" s="180">
        <f>+'Dados Financeiros'!Q49</f>
        <v>-20.100000000000001</v>
      </c>
      <c r="J21" s="180">
        <f>+'Dados Financeiros'!R49</f>
        <v>-3.9</v>
      </c>
      <c r="K21" s="180">
        <f>+'Dados Financeiros'!S49</f>
        <v>-4.452</v>
      </c>
      <c r="L21" s="180">
        <f>+'Dados Financeiros'!T49</f>
        <v>-4.3919999999999995</v>
      </c>
      <c r="M21" s="180">
        <f>+'Dados Financeiros'!U49</f>
        <v>-4.6610000000000014</v>
      </c>
      <c r="N21" s="180">
        <f>+'Dados Financeiros'!V49</f>
        <v>-17.405000000000001</v>
      </c>
      <c r="O21" s="180">
        <f>+'Dados Financeiros'!W49</f>
        <v>-4.6449999999999996</v>
      </c>
      <c r="P21" s="180">
        <f>+'Dados Financeiros'!X49</f>
        <v>-2.8090000000000002</v>
      </c>
      <c r="Q21" s="180">
        <f>+'Dados Financeiros'!Y49</f>
        <v>-4.7590000000000003</v>
      </c>
      <c r="R21" s="180">
        <f>(-R22*R27*3)/1000</f>
        <v>-4.7590000000000003</v>
      </c>
      <c r="S21" s="180">
        <f>SUM(O21:R21)</f>
        <v>-16.972000000000001</v>
      </c>
      <c r="T21" s="180">
        <f>(-T22*T27*12)/1000</f>
        <v>-18.058208</v>
      </c>
      <c r="U21" s="180">
        <f t="shared" ref="U21:AF21" si="9">(-U22*U27*12)/1000</f>
        <v>-18.961118400000004</v>
      </c>
      <c r="V21" s="180">
        <f t="shared" si="9"/>
        <v>-19.909174320000005</v>
      </c>
      <c r="W21" s="180">
        <f t="shared" si="9"/>
        <v>-20.805087164400003</v>
      </c>
      <c r="X21" s="180">
        <f t="shared" si="9"/>
        <v>-21.741316086798001</v>
      </c>
      <c r="Y21" s="180">
        <f t="shared" si="9"/>
        <v>-22.719675310703909</v>
      </c>
      <c r="Z21" s="180">
        <f t="shared" si="9"/>
        <v>-23.742060699685585</v>
      </c>
      <c r="AA21" s="180">
        <f t="shared" si="9"/>
        <v>-24.810453431171435</v>
      </c>
      <c r="AB21" s="180">
        <f t="shared" si="9"/>
        <v>-25.926923835574147</v>
      </c>
      <c r="AC21" s="180">
        <f t="shared" si="9"/>
        <v>-27.093635408174979</v>
      </c>
      <c r="AD21" s="180">
        <f t="shared" si="9"/>
        <v>-28.312849001542848</v>
      </c>
      <c r="AE21" s="180">
        <f t="shared" si="9"/>
        <v>-29.586927206612273</v>
      </c>
      <c r="AF21" s="180">
        <f t="shared" si="9"/>
        <v>-30.918338930909826</v>
      </c>
    </row>
    <row r="22" spans="1:32" ht="15.95" customHeight="1">
      <c r="A22" s="186" t="s">
        <v>178</v>
      </c>
      <c r="B22" s="183">
        <v>384</v>
      </c>
      <c r="C22" s="183">
        <v>394</v>
      </c>
      <c r="D22" s="183">
        <v>406</v>
      </c>
      <c r="E22" s="115">
        <v>406</v>
      </c>
      <c r="F22" s="163">
        <f>+E22</f>
        <v>406</v>
      </c>
      <c r="G22" s="163">
        <f>+F22</f>
        <v>406</v>
      </c>
      <c r="H22" s="163">
        <f>+G22</f>
        <v>406</v>
      </c>
      <c r="I22" s="184">
        <v>417</v>
      </c>
      <c r="J22" s="163">
        <v>417</v>
      </c>
      <c r="K22" s="163">
        <v>417</v>
      </c>
      <c r="L22" s="163">
        <v>417</v>
      </c>
      <c r="M22" s="163">
        <v>417</v>
      </c>
      <c r="N22" s="184">
        <v>380</v>
      </c>
      <c r="O22" s="163">
        <f>N22</f>
        <v>380</v>
      </c>
      <c r="P22" s="163">
        <f>O22</f>
        <v>380</v>
      </c>
      <c r="Q22" s="163">
        <f t="shared" ref="Q22:AF22" si="10">P22</f>
        <v>380</v>
      </c>
      <c r="R22" s="163">
        <f t="shared" si="10"/>
        <v>380</v>
      </c>
      <c r="S22" s="163">
        <f>R22</f>
        <v>380</v>
      </c>
      <c r="T22" s="163">
        <f t="shared" si="10"/>
        <v>380</v>
      </c>
      <c r="U22" s="163">
        <f t="shared" si="10"/>
        <v>380</v>
      </c>
      <c r="V22" s="163">
        <f t="shared" si="10"/>
        <v>380</v>
      </c>
      <c r="W22" s="163">
        <f t="shared" si="10"/>
        <v>380</v>
      </c>
      <c r="X22" s="163">
        <f t="shared" si="10"/>
        <v>380</v>
      </c>
      <c r="Y22" s="163">
        <f t="shared" si="10"/>
        <v>380</v>
      </c>
      <c r="Z22" s="163">
        <f t="shared" si="10"/>
        <v>380</v>
      </c>
      <c r="AA22" s="163">
        <f t="shared" si="10"/>
        <v>380</v>
      </c>
      <c r="AB22" s="163">
        <f t="shared" si="10"/>
        <v>380</v>
      </c>
      <c r="AC22" s="163">
        <f t="shared" si="10"/>
        <v>380</v>
      </c>
      <c r="AD22" s="163">
        <f t="shared" si="10"/>
        <v>380</v>
      </c>
      <c r="AE22" s="163">
        <f t="shared" si="10"/>
        <v>380</v>
      </c>
      <c r="AF22" s="163">
        <f t="shared" si="10"/>
        <v>380</v>
      </c>
    </row>
    <row r="23" spans="1:32" ht="15.95" customHeight="1">
      <c r="A23" s="185" t="s">
        <v>179</v>
      </c>
      <c r="B23" s="170">
        <f t="shared" ref="B23:I23" si="11">+B21-B24</f>
        <v>-13.641999999999999</v>
      </c>
      <c r="C23" s="170">
        <f t="shared" si="11"/>
        <v>-16.011000000000003</v>
      </c>
      <c r="D23" s="170">
        <f t="shared" si="11"/>
        <v>-18.134</v>
      </c>
      <c r="E23" s="170">
        <f t="shared" si="11"/>
        <v>-4.359</v>
      </c>
      <c r="F23" s="170">
        <f t="shared" si="11"/>
        <v>-5.8090000000000002</v>
      </c>
      <c r="G23" s="170">
        <f t="shared" si="11"/>
        <v>-5.3639999999999999</v>
      </c>
      <c r="H23" s="170">
        <f t="shared" si="11"/>
        <v>-3.3480000000000016</v>
      </c>
      <c r="I23" s="170">
        <f t="shared" si="11"/>
        <v>-18.880000000000003</v>
      </c>
      <c r="J23" s="168"/>
      <c r="K23" s="168"/>
      <c r="L23" s="168"/>
      <c r="M23" s="168"/>
      <c r="N23" s="169"/>
      <c r="O23" s="169"/>
      <c r="P23" s="169"/>
      <c r="Q23" s="169"/>
      <c r="R23" s="169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</row>
    <row r="24" spans="1:32" ht="15.95" customHeight="1">
      <c r="A24" s="185" t="s">
        <v>180</v>
      </c>
      <c r="B24" s="170">
        <v>-1.2909999999999999</v>
      </c>
      <c r="C24" s="170">
        <v>-2.0249999999999999</v>
      </c>
      <c r="D24" s="170">
        <v>-1.1599999999999999</v>
      </c>
      <c r="E24" s="170">
        <v>-0.29799999999999999</v>
      </c>
      <c r="F24" s="170">
        <v>-9.0999999999999998E-2</v>
      </c>
      <c r="G24" s="170">
        <f>-0.725-F24-E24</f>
        <v>-0.33600000000000002</v>
      </c>
      <c r="H24" s="170">
        <f>+I24-G24-F24-E24</f>
        <v>-0.49499999999999994</v>
      </c>
      <c r="I24" s="171">
        <v>-1.22</v>
      </c>
      <c r="J24" s="168"/>
      <c r="K24" s="168"/>
      <c r="L24" s="168"/>
      <c r="M24" s="168"/>
      <c r="N24" s="168"/>
      <c r="O24" s="168"/>
      <c r="P24" s="168"/>
      <c r="Q24" s="168"/>
      <c r="R24" s="168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</row>
    <row r="25" spans="1:32" ht="5.0999999999999996" customHeight="1">
      <c r="A25" s="139"/>
      <c r="B25" s="139"/>
      <c r="C25" s="139"/>
      <c r="D25" s="139"/>
      <c r="E25" s="139"/>
      <c r="F25" s="88"/>
      <c r="G25" s="88"/>
      <c r="H25" s="88"/>
      <c r="I25" s="88"/>
      <c r="J25" s="139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</row>
    <row r="26" spans="1:32" ht="15.95" customHeight="1">
      <c r="A26" s="139" t="s">
        <v>181</v>
      </c>
      <c r="B26" s="139"/>
      <c r="C26" s="139"/>
      <c r="D26" s="139"/>
      <c r="E26" s="158">
        <f>+E22/Tráfego!U19</f>
        <v>0.99916326229266139</v>
      </c>
      <c r="F26" s="158">
        <f>+F22/Tráfego!V19</f>
        <v>0.99934771639201014</v>
      </c>
      <c r="G26" s="158">
        <f>+G22/Tráfego!W19</f>
        <v>0.99934771639201014</v>
      </c>
      <c r="H26" s="158">
        <f>+H22/Tráfego!X19</f>
        <v>0.99934771639201014</v>
      </c>
      <c r="I26" s="235">
        <f>+I22/Tráfego!Y19</f>
        <v>1.0264236397425326</v>
      </c>
      <c r="J26" s="158">
        <f>+J22/Tráfego!Z19</f>
        <v>1.0264236397425326</v>
      </c>
      <c r="K26" s="158">
        <f>+K22/Tráfego!AA19</f>
        <v>1.0264236397425326</v>
      </c>
      <c r="L26" s="158">
        <f>+L22/Tráfego!AB19</f>
        <v>1.0264236397425326</v>
      </c>
      <c r="M26" s="158">
        <f>+M22/Tráfego!AC19</f>
        <v>1.0264236397425326</v>
      </c>
      <c r="N26" s="235">
        <f>+N22/Tráfego!AD19</f>
        <v>0.93535007938168435</v>
      </c>
      <c r="O26" s="235">
        <f>+O22/Tráfego!AE19</f>
        <v>0.93535007938168435</v>
      </c>
      <c r="P26" s="235">
        <f>+P22/Tráfego!AF19</f>
        <v>0.93535007938168457</v>
      </c>
      <c r="Q26" s="235">
        <f>+Q22/Tráfego!AG19</f>
        <v>0.93535007938168457</v>
      </c>
      <c r="R26" s="315">
        <f>+R22/Tráfego!AH19</f>
        <v>0.93535007938168457</v>
      </c>
      <c r="S26" s="315">
        <f>+S22/Tráfego!AI19</f>
        <v>0.93535007938168457</v>
      </c>
      <c r="T26" s="315">
        <f>+T22/Tráfego!AJ19</f>
        <v>0.93532705679650485</v>
      </c>
      <c r="U26" s="315">
        <f>+U22/Tráfego!AK19</f>
        <v>0.91534283202254652</v>
      </c>
      <c r="V26" s="315">
        <f>+V22/Tráfego!AL19</f>
        <v>0.91534283202254652</v>
      </c>
      <c r="W26" s="315">
        <f>+W22/Tráfego!AM19</f>
        <v>0.91534283202254652</v>
      </c>
      <c r="X26" s="315">
        <f>+X22/Tráfego!AN19</f>
        <v>0.91534283202254652</v>
      </c>
      <c r="Y26" s="315">
        <f>+Y22/Tráfego!AO19</f>
        <v>0.91534283202254652</v>
      </c>
      <c r="Z26" s="315">
        <f>+Z22/Tráfego!AP19</f>
        <v>0.9153428320225464</v>
      </c>
      <c r="AA26" s="315">
        <f>+AA22/Tráfego!AQ19</f>
        <v>0.9153428320225464</v>
      </c>
      <c r="AB26" s="315">
        <f>+AB22/Tráfego!AR19</f>
        <v>0.9153428320225464</v>
      </c>
      <c r="AC26" s="315">
        <f>+AC22/Tráfego!AS19</f>
        <v>0.9153428320225464</v>
      </c>
      <c r="AD26" s="315">
        <f>+AD22/Tráfego!AT19</f>
        <v>0.9153428320225464</v>
      </c>
      <c r="AE26" s="315">
        <f>+AE22/Tráfego!AU19</f>
        <v>0.9153428320225464</v>
      </c>
      <c r="AF26" s="315">
        <f>+AF22/Tráfego!AV19</f>
        <v>0.9153428320225464</v>
      </c>
    </row>
    <row r="27" spans="1:32" ht="15" customHeight="1">
      <c r="A27" s="139" t="s">
        <v>314</v>
      </c>
      <c r="B27" s="115"/>
      <c r="C27" s="115"/>
      <c r="D27" s="115"/>
      <c r="E27" s="115"/>
      <c r="F27" s="115"/>
      <c r="G27" s="115"/>
      <c r="H27" s="115"/>
      <c r="I27" s="115"/>
      <c r="J27" s="181">
        <f>-(J21*1000/J22)/3</f>
        <v>3.1175059952038371</v>
      </c>
      <c r="K27" s="181">
        <f>-(K21*1000/K22)/3</f>
        <v>3.5587529976019181</v>
      </c>
      <c r="L27" s="181">
        <f>-(L21*1000/L22)/3</f>
        <v>3.5107913669064743</v>
      </c>
      <c r="M27" s="181">
        <f>-(M21*1000/M22)/3</f>
        <v>3.7258193445243819</v>
      </c>
      <c r="N27" s="115">
        <f>-(N21*1000/N22)/12</f>
        <v>3.8168859649122808</v>
      </c>
      <c r="O27" s="115">
        <f>-(O21*1000/O22)/3</f>
        <v>4.0745614035087714</v>
      </c>
      <c r="P27" s="115">
        <f>-(P21*1000/P22)/3</f>
        <v>2.464035087719298</v>
      </c>
      <c r="Q27" s="115">
        <f>-(Q21*1000/Q22)/3</f>
        <v>4.1745614035087719</v>
      </c>
      <c r="R27" s="115">
        <f>Q27</f>
        <v>4.1745614035087719</v>
      </c>
      <c r="S27" s="115">
        <f>-(S21*1000/S22)/12</f>
        <v>3.7219298245614034</v>
      </c>
      <c r="T27" s="206">
        <f t="shared" ref="T27:AF27" si="12">+S27*(1+(T$5/100))</f>
        <v>3.9601333333333333</v>
      </c>
      <c r="U27" s="206">
        <f t="shared" si="12"/>
        <v>4.1581400000000004</v>
      </c>
      <c r="V27" s="206">
        <f t="shared" si="12"/>
        <v>4.3660470000000009</v>
      </c>
      <c r="W27" s="206">
        <f t="shared" si="12"/>
        <v>4.5625191150000006</v>
      </c>
      <c r="X27" s="206">
        <f t="shared" si="12"/>
        <v>4.7678324751750001</v>
      </c>
      <c r="Y27" s="206">
        <f t="shared" si="12"/>
        <v>4.9823849365578745</v>
      </c>
      <c r="Z27" s="206">
        <f t="shared" si="12"/>
        <v>5.2065922587029787</v>
      </c>
      <c r="AA27" s="206">
        <f t="shared" si="12"/>
        <v>5.4408889103446123</v>
      </c>
      <c r="AB27" s="206">
        <f t="shared" si="12"/>
        <v>5.685728911310119</v>
      </c>
      <c r="AC27" s="206">
        <f t="shared" si="12"/>
        <v>5.941586712319074</v>
      </c>
      <c r="AD27" s="206">
        <f t="shared" si="12"/>
        <v>6.2089581143734316</v>
      </c>
      <c r="AE27" s="206">
        <f t="shared" si="12"/>
        <v>6.488361229520236</v>
      </c>
      <c r="AF27" s="206">
        <f t="shared" si="12"/>
        <v>6.780337484848646</v>
      </c>
    </row>
    <row r="28" spans="1:32" ht="15" customHeight="1">
      <c r="A28" s="159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4"/>
      <c r="M28" s="160"/>
      <c r="N28" s="161"/>
      <c r="O28" s="160"/>
      <c r="P28" s="160"/>
      <c r="Q28" s="164"/>
      <c r="R28" s="160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</row>
    <row r="29" spans="1:32" ht="15" customHeight="1">
      <c r="A29" s="139"/>
      <c r="B29" s="139"/>
      <c r="C29" s="139"/>
      <c r="D29" s="139"/>
      <c r="E29" s="139"/>
      <c r="F29" s="88"/>
      <c r="G29" s="88"/>
      <c r="H29" s="88"/>
      <c r="I29" s="88"/>
      <c r="J29" s="139"/>
      <c r="K29" s="88"/>
      <c r="L29" s="88"/>
      <c r="M29" s="88"/>
      <c r="N29" s="88"/>
      <c r="O29" s="139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</row>
    <row r="30" spans="1:32" ht="15" customHeight="1">
      <c r="A30" s="174" t="s">
        <v>48</v>
      </c>
      <c r="B30" s="175">
        <v>-22.762</v>
      </c>
      <c r="C30" s="175">
        <v>-22.927</v>
      </c>
      <c r="D30" s="175">
        <v>-24.783000000000001</v>
      </c>
      <c r="E30" s="175">
        <v>-3.6</v>
      </c>
      <c r="F30" s="175">
        <f>+'Dados Financeiros'!N50</f>
        <v>-0.3</v>
      </c>
      <c r="G30" s="175">
        <f>+'Dados Financeiros'!O50</f>
        <v>-4.5</v>
      </c>
      <c r="H30" s="175">
        <f>+'Dados Financeiros'!P50</f>
        <v>-19.610999999999997</v>
      </c>
      <c r="I30" s="175">
        <f>+'Dados Financeiros'!Q50</f>
        <v>-28.010999999999996</v>
      </c>
      <c r="J30" s="175">
        <f>+'Dados Financeiros'!R50</f>
        <v>-2.2999999999999998</v>
      </c>
      <c r="K30" s="175">
        <f>+'Dados Financeiros'!S50</f>
        <v>-1.9220000000000006</v>
      </c>
      <c r="L30" s="175">
        <f>+'Dados Financeiros'!T50</f>
        <v>-2.0729999999999995</v>
      </c>
      <c r="M30" s="175">
        <f>+'Dados Financeiros'!U50</f>
        <v>-2.0169999999999995</v>
      </c>
      <c r="N30" s="175">
        <f>+'Dados Financeiros'!V50</f>
        <v>-8.3119999999999994</v>
      </c>
      <c r="O30" s="175">
        <f>+'Dados Financeiros'!W50</f>
        <v>-2.2959999999999998</v>
      </c>
      <c r="P30" s="175">
        <f>+'Dados Financeiros'!X50</f>
        <v>-1.8300000000000005</v>
      </c>
      <c r="Q30" s="175">
        <f>+'Dados Financeiros'!Y50</f>
        <v>-2.8009999999999997</v>
      </c>
      <c r="R30" s="175">
        <f>-R31*R14</f>
        <v>-2.375135250863027</v>
      </c>
      <c r="S30" s="306">
        <f>SUM(O30:R30)</f>
        <v>-9.3021352508630262</v>
      </c>
      <c r="T30" s="175">
        <f t="shared" ref="T30:AF30" si="13">-T31*T14</f>
        <v>-4.467426644927599</v>
      </c>
      <c r="U30" s="175">
        <f t="shared" si="13"/>
        <v>-3.0901088095037683</v>
      </c>
      <c r="V30" s="175">
        <f t="shared" si="13"/>
        <v>-3.2502645949027587</v>
      </c>
      <c r="W30" s="175">
        <f t="shared" si="13"/>
        <v>-3.2641612885108793</v>
      </c>
      <c r="X30" s="175">
        <f t="shared" si="13"/>
        <v>-3.214041458154612</v>
      </c>
      <c r="Y30" s="175">
        <f t="shared" si="13"/>
        <v>-3.4997314546829781</v>
      </c>
      <c r="Z30" s="175">
        <f t="shared" si="13"/>
        <v>-3.8081545061162738</v>
      </c>
      <c r="AA30" s="175">
        <f t="shared" si="13"/>
        <v>-4.1437686054236531</v>
      </c>
      <c r="AB30" s="175">
        <f t="shared" si="13"/>
        <v>-4.502229962368113</v>
      </c>
      <c r="AC30" s="175">
        <f t="shared" si="13"/>
        <v>-4.8862201476274416</v>
      </c>
      <c r="AD30" s="175">
        <f t="shared" si="13"/>
        <v>-5.2984670001385217</v>
      </c>
      <c r="AE30" s="175">
        <f t="shared" si="13"/>
        <v>-5.740636851910268</v>
      </c>
      <c r="AF30" s="175">
        <f t="shared" si="13"/>
        <v>-6.1200569243931175</v>
      </c>
    </row>
    <row r="31" spans="1:32" ht="15.95" customHeight="1">
      <c r="A31" s="187" t="s">
        <v>182</v>
      </c>
      <c r="B31" s="160">
        <f>-B30/B14</f>
        <v>0.15473827328348064</v>
      </c>
      <c r="C31" s="160">
        <f t="shared" ref="C31:Q31" si="14">-C30/C14</f>
        <v>0.14448575749936979</v>
      </c>
      <c r="D31" s="160">
        <f t="shared" si="14"/>
        <v>0.14375290023201856</v>
      </c>
      <c r="E31" s="160">
        <f t="shared" si="14"/>
        <v>8.2968425904586307E-2</v>
      </c>
      <c r="F31" s="160">
        <f t="shared" si="14"/>
        <v>6.8027210884353739E-3</v>
      </c>
      <c r="G31" s="160">
        <f t="shared" si="14"/>
        <v>8.7429570623664243E-2</v>
      </c>
      <c r="H31" s="160">
        <f t="shared" si="14"/>
        <v>0.41601612218922351</v>
      </c>
      <c r="I31" s="160">
        <f t="shared" si="14"/>
        <v>0.15051585169263831</v>
      </c>
      <c r="J31" s="160">
        <f t="shared" si="14"/>
        <v>4.7520661157024788E-2</v>
      </c>
      <c r="K31" s="160">
        <f t="shared" si="14"/>
        <v>3.935460092550884E-2</v>
      </c>
      <c r="L31" s="160">
        <f t="shared" si="14"/>
        <v>3.9245754529448507E-2</v>
      </c>
      <c r="M31" s="160">
        <f t="shared" si="14"/>
        <v>3.7776487554548335E-2</v>
      </c>
      <c r="N31" s="160">
        <f t="shared" si="14"/>
        <v>4.0854845368932226E-2</v>
      </c>
      <c r="O31" s="160">
        <f t="shared" si="14"/>
        <v>4.7446839288297411E-2</v>
      </c>
      <c r="P31" s="160">
        <f t="shared" si="14"/>
        <v>3.7164906580016255E-2</v>
      </c>
      <c r="Q31" s="160">
        <f t="shared" si="14"/>
        <v>5.155720806950375E-2</v>
      </c>
      <c r="R31" s="161">
        <v>0.04</v>
      </c>
      <c r="S31" s="160">
        <f>-S30/S14</f>
        <v>4.401556977234173E-2</v>
      </c>
      <c r="T31" s="161">
        <v>1.7999999999999999E-2</v>
      </c>
      <c r="U31" s="161">
        <f>+T31-0.7%</f>
        <v>1.0999999999999999E-2</v>
      </c>
      <c r="V31" s="161">
        <f t="shared" ref="V31:X31" si="15">+U31-0.1%</f>
        <v>9.9999999999999985E-3</v>
      </c>
      <c r="W31" s="161">
        <f t="shared" si="15"/>
        <v>8.9999999999999976E-3</v>
      </c>
      <c r="X31" s="161">
        <f t="shared" si="15"/>
        <v>7.9999999999999967E-3</v>
      </c>
      <c r="Y31" s="161">
        <f>+X31</f>
        <v>7.9999999999999967E-3</v>
      </c>
      <c r="Z31" s="161">
        <f t="shared" ref="Z31:AF31" si="16">+Y31</f>
        <v>7.9999999999999967E-3</v>
      </c>
      <c r="AA31" s="161">
        <f t="shared" si="16"/>
        <v>7.9999999999999967E-3</v>
      </c>
      <c r="AB31" s="161">
        <f t="shared" si="16"/>
        <v>7.9999999999999967E-3</v>
      </c>
      <c r="AC31" s="161">
        <f t="shared" si="16"/>
        <v>7.9999999999999967E-3</v>
      </c>
      <c r="AD31" s="161">
        <f t="shared" si="16"/>
        <v>7.9999999999999967E-3</v>
      </c>
      <c r="AE31" s="161">
        <f t="shared" si="16"/>
        <v>7.9999999999999967E-3</v>
      </c>
      <c r="AF31" s="161">
        <f t="shared" si="16"/>
        <v>7.9999999999999967E-3</v>
      </c>
    </row>
    <row r="32" spans="1:32" ht="15.95" customHeight="1">
      <c r="A32" s="139"/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139"/>
      <c r="AD32" s="139"/>
      <c r="AE32" s="139"/>
      <c r="AF32" s="139"/>
    </row>
    <row r="33" spans="1:32" ht="15.95" customHeight="1">
      <c r="A33" s="176" t="s">
        <v>53</v>
      </c>
      <c r="B33" s="175">
        <v>-4.4000000000000004</v>
      </c>
      <c r="C33" s="175">
        <v>-4.8</v>
      </c>
      <c r="D33" s="175">
        <v>-5.31</v>
      </c>
      <c r="E33" s="175">
        <v>-1.3</v>
      </c>
      <c r="F33" s="175">
        <f>+'Dados Financeiros'!N52</f>
        <v>-1.37</v>
      </c>
      <c r="G33" s="175">
        <f>+'Dados Financeiros'!O52</f>
        <v>-0.7</v>
      </c>
      <c r="H33" s="175">
        <f>+'Dados Financeiros'!P52</f>
        <v>-1.1089999999999998</v>
      </c>
      <c r="I33" s="175">
        <f>+'Dados Financeiros'!Q52</f>
        <v>-4.4790000000000001</v>
      </c>
      <c r="J33" s="175">
        <f>+'Dados Financeiros'!R52</f>
        <v>-0.8</v>
      </c>
      <c r="K33" s="175">
        <f>+'Dados Financeiros'!S52</f>
        <v>-0.72599999999999998</v>
      </c>
      <c r="L33" s="175">
        <f>+'Dados Financeiros'!T52</f>
        <v>-0.79799999999999982</v>
      </c>
      <c r="M33" s="175">
        <f>+'Dados Financeiros'!U52</f>
        <v>-0.81400000000000006</v>
      </c>
      <c r="N33" s="175">
        <f>+'Dados Financeiros'!V52</f>
        <v>-3.1379999999999999</v>
      </c>
      <c r="O33" s="175">
        <f>+'Dados Financeiros'!W52</f>
        <v>-0.79900000000000004</v>
      </c>
      <c r="P33" s="175">
        <f>+'Dados Financeiros'!X52</f>
        <v>-0.74399999999999988</v>
      </c>
      <c r="Q33" s="175">
        <f>+'Dados Financeiros'!Y52</f>
        <v>-0.87700000000000011</v>
      </c>
      <c r="R33" s="175">
        <f>-R34*R14</f>
        <v>-0.89067571907363507</v>
      </c>
      <c r="S33" s="306">
        <f>SUM(O33:R33)</f>
        <v>-3.3106757190736351</v>
      </c>
      <c r="T33" s="175">
        <f t="shared" ref="T33:AF33" si="17">-T34*T14</f>
        <v>-3.7228555374396657</v>
      </c>
      <c r="U33" s="175">
        <f t="shared" si="17"/>
        <v>-4.2137847402324118</v>
      </c>
      <c r="V33" s="175">
        <f t="shared" si="17"/>
        <v>-4.8753968923541384</v>
      </c>
      <c r="W33" s="175">
        <f t="shared" si="17"/>
        <v>-5.4402688141848001</v>
      </c>
      <c r="X33" s="175">
        <f t="shared" si="17"/>
        <v>-6.0263277340399002</v>
      </c>
      <c r="Y33" s="175">
        <f t="shared" si="17"/>
        <v>-6.5619964775305863</v>
      </c>
      <c r="Z33" s="175">
        <f t="shared" si="17"/>
        <v>-7.140289698968016</v>
      </c>
      <c r="AA33" s="175">
        <f t="shared" si="17"/>
        <v>-7.7695661351693523</v>
      </c>
      <c r="AB33" s="175">
        <f t="shared" si="17"/>
        <v>-8.4416811794402147</v>
      </c>
      <c r="AC33" s="175">
        <f t="shared" si="17"/>
        <v>-9.1616627768014567</v>
      </c>
      <c r="AD33" s="175">
        <f t="shared" si="17"/>
        <v>-9.9346256252597325</v>
      </c>
      <c r="AE33" s="175">
        <f t="shared" si="17"/>
        <v>-10.763694097331758</v>
      </c>
      <c r="AF33" s="175">
        <f t="shared" si="17"/>
        <v>-11.4751067332371</v>
      </c>
    </row>
    <row r="34" spans="1:32" ht="15.95" customHeight="1">
      <c r="A34" s="187" t="s">
        <v>182</v>
      </c>
      <c r="B34" s="160">
        <f>-B33/B14</f>
        <v>2.9911624745071384E-2</v>
      </c>
      <c r="C34" s="160">
        <f t="shared" ref="C34:S34" si="18">-C33/C14</f>
        <v>3.0249558860599948E-2</v>
      </c>
      <c r="D34" s="160">
        <f t="shared" si="18"/>
        <v>3.0800464037122968E-2</v>
      </c>
      <c r="E34" s="160">
        <f t="shared" si="18"/>
        <v>2.9960820465545056E-2</v>
      </c>
      <c r="F34" s="160">
        <f t="shared" si="18"/>
        <v>3.106575963718821E-2</v>
      </c>
      <c r="G34" s="160">
        <f t="shared" si="18"/>
        <v>1.360015543034777E-2</v>
      </c>
      <c r="H34" s="160">
        <f t="shared" si="18"/>
        <v>2.3525668222316498E-2</v>
      </c>
      <c r="I34" s="160">
        <f t="shared" si="18"/>
        <v>2.4067705534658784E-2</v>
      </c>
      <c r="J34" s="160">
        <f t="shared" si="18"/>
        <v>1.6528925619834711E-2</v>
      </c>
      <c r="K34" s="160">
        <f t="shared" si="18"/>
        <v>1.4865473606617797E-2</v>
      </c>
      <c r="L34" s="160">
        <f t="shared" si="18"/>
        <v>1.5107627648094505E-2</v>
      </c>
      <c r="M34" s="160">
        <f t="shared" si="18"/>
        <v>1.5245444159346732E-2</v>
      </c>
      <c r="N34" s="160">
        <f t="shared" si="18"/>
        <v>1.5423785462910171E-2</v>
      </c>
      <c r="O34" s="160">
        <f t="shared" si="18"/>
        <v>1.6511334752329979E-2</v>
      </c>
      <c r="P34" s="160">
        <f t="shared" si="18"/>
        <v>1.5109666937449225E-2</v>
      </c>
      <c r="Q34" s="160">
        <f t="shared" si="18"/>
        <v>1.6142688852893539E-2</v>
      </c>
      <c r="R34" s="161">
        <v>1.4999999999999999E-2</v>
      </c>
      <c r="S34" s="160">
        <f t="shared" si="18"/>
        <v>1.5665357918007439E-2</v>
      </c>
      <c r="T34" s="161">
        <v>1.4999999999999999E-2</v>
      </c>
      <c r="U34" s="161">
        <v>1.4999999999999999E-2</v>
      </c>
      <c r="V34" s="161">
        <v>1.4999999999999999E-2</v>
      </c>
      <c r="W34" s="161">
        <v>1.4999999999999999E-2</v>
      </c>
      <c r="X34" s="161">
        <v>1.4999999999999999E-2</v>
      </c>
      <c r="Y34" s="161">
        <v>1.4999999999999999E-2</v>
      </c>
      <c r="Z34" s="161">
        <v>1.4999999999999999E-2</v>
      </c>
      <c r="AA34" s="161">
        <v>1.4999999999999999E-2</v>
      </c>
      <c r="AB34" s="161">
        <v>1.4999999999999999E-2</v>
      </c>
      <c r="AC34" s="161">
        <v>1.4999999999999999E-2</v>
      </c>
      <c r="AD34" s="161">
        <v>1.4999999999999999E-2</v>
      </c>
      <c r="AE34" s="161">
        <v>1.4999999999999999E-2</v>
      </c>
      <c r="AF34" s="161">
        <v>1.4999999999999999E-2</v>
      </c>
    </row>
    <row r="35" spans="1:32" ht="15.95" customHeight="1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</row>
    <row r="36" spans="1:32" ht="15.95" customHeight="1">
      <c r="A36" s="174" t="s">
        <v>50</v>
      </c>
      <c r="B36" s="175">
        <v>-8.56</v>
      </c>
      <c r="C36" s="175">
        <v>-11</v>
      </c>
      <c r="D36" s="175">
        <v>-9.1</v>
      </c>
      <c r="E36" s="175">
        <v>-6.6</v>
      </c>
      <c r="F36" s="175">
        <f>+'Dados Financeiros'!N53</f>
        <v>-4.8</v>
      </c>
      <c r="G36" s="175">
        <f>+'Dados Financeiros'!O53</f>
        <v>-10.6</v>
      </c>
      <c r="H36" s="175">
        <f>+'Dados Financeiros'!P53</f>
        <v>8.7749999999999986</v>
      </c>
      <c r="I36" s="175">
        <f>+'Dados Financeiros'!Q53</f>
        <v>-13.225000000000001</v>
      </c>
      <c r="J36" s="175">
        <f>+'Dados Financeiros'!R53</f>
        <v>-7</v>
      </c>
      <c r="K36" s="175">
        <f>+'Dados Financeiros'!S53</f>
        <v>-6.93</v>
      </c>
      <c r="L36" s="175">
        <f>+'Dados Financeiros'!T53</f>
        <v>-12.190000000000001</v>
      </c>
      <c r="M36" s="175">
        <f>+'Dados Financeiros'!U53</f>
        <v>-10.141999999999999</v>
      </c>
      <c r="N36" s="175">
        <f>+'Dados Financeiros'!V53</f>
        <v>-36.262</v>
      </c>
      <c r="O36" s="175">
        <f>+'Dados Financeiros'!W53</f>
        <v>-10.379</v>
      </c>
      <c r="P36" s="175">
        <f>+'Dados Financeiros'!X53</f>
        <v>-11.575999999999999</v>
      </c>
      <c r="Q36" s="175">
        <f>+'Dados Financeiros'!Y53</f>
        <v>-10.016000000000004</v>
      </c>
      <c r="R36" s="175">
        <f>-(R37*HLOOKUP(R$12,Tráfego!$U$14:$CV$33,6,0)/1000)*3</f>
        <v>-9.7503599999999988</v>
      </c>
      <c r="S36" s="306">
        <f>SUM(O36:R36)</f>
        <v>-41.721360000000004</v>
      </c>
      <c r="T36" s="175">
        <f>-(T37*HLOOKUP(T$12,Tráfego!$U$14:$CV$33,6,0)/1000)*12</f>
        <v>-33.875831999999988</v>
      </c>
      <c r="U36" s="175">
        <f>-(U37*HLOOKUP(U$12,Tráfego!$U$14:$CV$33,6,0)/1000)*12</f>
        <v>-35.5696236</v>
      </c>
      <c r="V36" s="175">
        <f>-(V37*HLOOKUP(V$12,Tráfego!$U$14:$CV$33,6,0)/1000)*12</f>
        <v>-37.34810478</v>
      </c>
      <c r="W36" s="175">
        <f>-(W37*HLOOKUP(W$12,Tráfego!$U$14:$CV$33,6,0)/1000)*12</f>
        <v>-39.028769495099993</v>
      </c>
      <c r="X36" s="175">
        <f>-(X37*HLOOKUP(X$12,Tráfego!$U$14:$CV$33,6,0)/1000)*12</f>
        <v>-40.785064122379488</v>
      </c>
      <c r="Y36" s="175">
        <f>-(Y37*HLOOKUP(Y$12,Tráfego!$U$14:$CV$33,6,0)/1000)*12</f>
        <v>-42.620392007886565</v>
      </c>
      <c r="Z36" s="175">
        <f>-(Z37*HLOOKUP(Z$12,Tráfego!$U$14:$CV$33,6,0)/1000)*12</f>
        <v>-44.538309648241459</v>
      </c>
      <c r="AA36" s="175">
        <f>-(AA37*HLOOKUP(AA$12,Tráfego!$U$14:$CV$33,6,0)/1000)*12</f>
        <v>-46.542533582412318</v>
      </c>
      <c r="AB36" s="175">
        <f>-(AB37*HLOOKUP(AB$12,Tráfego!$U$14:$CV$33,6,0)/1000)*12</f>
        <v>-48.636947593620874</v>
      </c>
      <c r="AC36" s="175">
        <f>-(AC37*HLOOKUP(AC$12,Tráfego!$U$14:$CV$33,6,0)/1000)*12</f>
        <v>-50.825610235333812</v>
      </c>
      <c r="AD36" s="175">
        <f>-(AD37*HLOOKUP(AD$12,Tráfego!$U$14:$CV$33,6,0)/1000)*12</f>
        <v>-53.11276269592382</v>
      </c>
      <c r="AE36" s="175">
        <f>-(AE37*HLOOKUP(AE$12,Tráfego!$U$14:$CV$33,6,0)/1000)*12</f>
        <v>-55.502837017240395</v>
      </c>
      <c r="AF36" s="175">
        <f>-(AF37*HLOOKUP(AF$12,Tráfego!$U$14:$CV$33,6,0)/1000)*12</f>
        <v>-58.000464683016205</v>
      </c>
    </row>
    <row r="37" spans="1:32" ht="15.95" customHeight="1">
      <c r="A37" s="187" t="s">
        <v>315</v>
      </c>
      <c r="B37" s="159"/>
      <c r="C37" s="159"/>
      <c r="D37" s="162"/>
      <c r="E37" s="162"/>
      <c r="F37" s="162"/>
      <c r="G37" s="162"/>
      <c r="H37" s="162"/>
      <c r="I37" s="162"/>
      <c r="J37" s="182">
        <f>-(J36*1000/Tráfego!Z19)/3</f>
        <v>5.7433776804138512</v>
      </c>
      <c r="K37" s="182">
        <f>-(K36*1000/Tráfego!AA19)/3</f>
        <v>5.6859439036097124</v>
      </c>
      <c r="L37" s="182">
        <f>-(L36*1000/Tráfego!AB19)/3</f>
        <v>10.001681989177838</v>
      </c>
      <c r="M37" s="182">
        <f>-(M36*1000/Tráfego!AC19)/3</f>
        <v>8.3213337763938977</v>
      </c>
      <c r="N37" s="162">
        <f>-(N36*1000/Tráfego!AD19)/12</f>
        <v>7.4380843373988244</v>
      </c>
      <c r="O37" s="162">
        <f>-(O36*1000/Tráfego!AE19)/3</f>
        <v>8.5157881350021949</v>
      </c>
      <c r="P37" s="162">
        <f>-(P36*1000/Tráfego!AF19)/3</f>
        <v>9.497905718352964</v>
      </c>
      <c r="Q37" s="162">
        <f>-(Q36*1000/Tráfego!AG19)/3</f>
        <v>8.2179529781464513</v>
      </c>
      <c r="R37" s="309">
        <v>8</v>
      </c>
      <c r="S37" s="162">
        <f>-(S36*1000/Tráfego!AI19)/12</f>
        <v>8.5579117078754035</v>
      </c>
      <c r="T37" s="309">
        <v>6.8</v>
      </c>
      <c r="U37" s="309">
        <f t="shared" ref="U37:AF37" si="19">+T37*(1+U$5/100)</f>
        <v>7.14</v>
      </c>
      <c r="V37" s="309">
        <f t="shared" si="19"/>
        <v>7.4969999999999999</v>
      </c>
      <c r="W37" s="309">
        <f t="shared" si="19"/>
        <v>7.8343649999999991</v>
      </c>
      <c r="X37" s="309">
        <f t="shared" si="19"/>
        <v>8.1869114249999981</v>
      </c>
      <c r="Y37" s="309">
        <f t="shared" si="19"/>
        <v>8.555322439124998</v>
      </c>
      <c r="Z37" s="309">
        <f t="shared" si="19"/>
        <v>8.940311948885622</v>
      </c>
      <c r="AA37" s="309">
        <f t="shared" si="19"/>
        <v>9.3426259865854746</v>
      </c>
      <c r="AB37" s="309">
        <f t="shared" si="19"/>
        <v>9.7630441559818202</v>
      </c>
      <c r="AC37" s="309">
        <f t="shared" si="19"/>
        <v>10.202381143001002</v>
      </c>
      <c r="AD37" s="309">
        <f t="shared" si="19"/>
        <v>10.661488294436046</v>
      </c>
      <c r="AE37" s="309">
        <f t="shared" si="19"/>
        <v>11.141255267685667</v>
      </c>
      <c r="AF37" s="309">
        <f t="shared" si="19"/>
        <v>11.64261175473152</v>
      </c>
    </row>
    <row r="38" spans="1:32" ht="15.95" customHeight="1">
      <c r="A38" s="139"/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</row>
    <row r="39" spans="1:32" ht="15.95" customHeight="1">
      <c r="A39" s="176" t="s">
        <v>55</v>
      </c>
      <c r="B39" s="175">
        <v>-5.9</v>
      </c>
      <c r="C39" s="175">
        <v>-2.48</v>
      </c>
      <c r="D39" s="175">
        <v>-5.3</v>
      </c>
      <c r="E39" s="175">
        <v>-2</v>
      </c>
      <c r="F39" s="175">
        <f>+'Dados Financeiros'!N56</f>
        <v>-2</v>
      </c>
      <c r="G39" s="175">
        <f>+'Dados Financeiros'!O56</f>
        <v>-0.9</v>
      </c>
      <c r="H39" s="175">
        <f>+'Dados Financeiros'!P56</f>
        <v>-1</v>
      </c>
      <c r="I39" s="175">
        <f>+'Dados Financeiros'!Q56</f>
        <v>-5.9</v>
      </c>
      <c r="J39" s="175">
        <f>+'Dados Financeiros'!R56</f>
        <v>-0.9</v>
      </c>
      <c r="K39" s="175">
        <f>+'Dados Financeiros'!S56</f>
        <v>-0.97000000000000008</v>
      </c>
      <c r="L39" s="175">
        <f>+'Dados Financeiros'!T56</f>
        <v>0.42200000000000015</v>
      </c>
      <c r="M39" s="175">
        <f>+'Dados Financeiros'!U56</f>
        <v>-1.859</v>
      </c>
      <c r="N39" s="175">
        <f>+'Dados Financeiros'!V56</f>
        <v>-3.3069999999999999</v>
      </c>
      <c r="O39" s="175">
        <f>+'Dados Financeiros'!W56</f>
        <v>-0.70099999999999996</v>
      </c>
      <c r="P39" s="175">
        <f>+'Dados Financeiros'!X56</f>
        <v>-0.70200000000000007</v>
      </c>
      <c r="Q39" s="175">
        <f>+'Dados Financeiros'!Y56</f>
        <v>-0.48599999999999988</v>
      </c>
      <c r="R39" s="175">
        <f>-(R40*HLOOKUP(R$12,Tráfego!$U$14:$CV$33,6,0)/1000)*9</f>
        <v>-1.4579999999999997</v>
      </c>
      <c r="S39" s="306">
        <f>SUM(O39:R39)</f>
        <v>-3.3469999999999995</v>
      </c>
      <c r="T39" s="175">
        <f>-(T40*HLOOKUP(T$12,Tráfego!$U$14:$CV$33,6,0)/1000)*12</f>
        <v>-1.9864912803219572</v>
      </c>
      <c r="U39" s="175">
        <f>-(U40*HLOOKUP(U$12,Tráfego!$U$14:$CV$33,6,0)/1000)*12</f>
        <v>-2.0858158443380552</v>
      </c>
      <c r="V39" s="175">
        <f>-(V40*HLOOKUP(V$12,Tráfego!$U$14:$CV$33,6,0)/1000)*12</f>
        <v>-2.1901066365549582</v>
      </c>
      <c r="W39" s="175">
        <f>-(W40*HLOOKUP(W$12,Tráfego!$U$14:$CV$33,6,0)/1000)*12</f>
        <v>-2.288661435199931</v>
      </c>
      <c r="X39" s="175">
        <f>-(X40*HLOOKUP(X$12,Tráfego!$U$14:$CV$33,6,0)/1000)*12</f>
        <v>-2.391651199783928</v>
      </c>
      <c r="Y39" s="175">
        <f>-(Y40*HLOOKUP(Y$12,Tráfego!$U$14:$CV$33,6,0)/1000)*12</f>
        <v>-2.4992755037742045</v>
      </c>
      <c r="Z39" s="175">
        <f>-(Z40*HLOOKUP(Z$12,Tráfego!$U$14:$CV$33,6,0)/1000)*12</f>
        <v>-2.6117429014440434</v>
      </c>
      <c r="AA39" s="175">
        <f>-(AA40*HLOOKUP(AA$12,Tráfego!$U$14:$CV$33,6,0)/1000)*12</f>
        <v>-2.7292713320090249</v>
      </c>
      <c r="AB39" s="175">
        <f>-(AB40*HLOOKUP(AB$12,Tráfego!$U$14:$CV$33,6,0)/1000)*12</f>
        <v>-2.8520885419494308</v>
      </c>
      <c r="AC39" s="175">
        <f>-(AC40*HLOOKUP(AC$12,Tráfego!$U$14:$CV$33,6,0)/1000)*12</f>
        <v>-2.9804325263371552</v>
      </c>
      <c r="AD39" s="175">
        <f>-(AD40*HLOOKUP(AD$12,Tráfego!$U$14:$CV$33,6,0)/1000)*12</f>
        <v>-3.1145519900223273</v>
      </c>
      <c r="AE39" s="175">
        <f>-(AE40*HLOOKUP(AE$12,Tráfego!$U$14:$CV$33,6,0)/1000)*12</f>
        <v>-3.2547068295733315</v>
      </c>
      <c r="AF39" s="175">
        <f>-(AF40*HLOOKUP(AF$12,Tráfego!$U$14:$CV$33,6,0)/1000)*12</f>
        <v>-3.4011686369041305</v>
      </c>
    </row>
    <row r="40" spans="1:32" ht="15.95" customHeight="1">
      <c r="A40" s="187" t="s">
        <v>316</v>
      </c>
      <c r="B40" s="159"/>
      <c r="C40" s="159"/>
      <c r="D40" s="307">
        <f>-(D39*1000/Tráfego!T$19)/12</f>
        <v>1.0869386884546604</v>
      </c>
      <c r="E40" s="307">
        <f>-(E39*1000000/Tráfego!U$19)/3</f>
        <v>1640.6621712523174</v>
      </c>
      <c r="F40" s="307">
        <f>-(F39*1000000/Tráfego!V$19)/3</f>
        <v>1640.9650515468147</v>
      </c>
      <c r="G40" s="307">
        <f>-(G39*1000000/Tráfego!W$19)/3</f>
        <v>738.43427319606656</v>
      </c>
      <c r="H40" s="307">
        <f>-(H39*1000000/Tráfego!X$19)/3</f>
        <v>820.48252577340736</v>
      </c>
      <c r="I40" s="307">
        <f>-(I39*1000/Tráfego!Y$19)/12</f>
        <v>1.2102117255157758</v>
      </c>
      <c r="J40" s="307">
        <f>-(J39*1000/Tráfego!Z$19)/3</f>
        <v>0.73843427319606658</v>
      </c>
      <c r="K40" s="307">
        <f>-(K39*1000/Tráfego!AA$19)/3</f>
        <v>0.79586805000020522</v>
      </c>
      <c r="L40" s="307">
        <f>-(L39*1000/Tráfego!AB$19)/3</f>
        <v>-0.34624362587637808</v>
      </c>
      <c r="M40" s="307">
        <f>-(M39*1000/Tráfego!AC$19)/3</f>
        <v>1.5252770154127644</v>
      </c>
      <c r="N40" s="307">
        <f>-(N39*1000/Tráfego!AD$19)/12</f>
        <v>0.67833392818316451</v>
      </c>
      <c r="O40" s="307">
        <f>-(O39*1000/Tráfego!AE$19)/3</f>
        <v>0.57515825056715852</v>
      </c>
      <c r="P40" s="307">
        <f>-(P39*1000/Tráfego!AF$19)/3</f>
        <v>0.57597873309293213</v>
      </c>
      <c r="Q40" s="307">
        <f>-(Q39*1000/Tráfego!AG$19)/3</f>
        <v>0.39875450752587599</v>
      </c>
      <c r="R40" s="308">
        <f>Q40</f>
        <v>0.39875450752587599</v>
      </c>
      <c r="S40" s="307">
        <f>-(S39*1000/Tráfego!AI$19)/12</f>
        <v>0.68653875344089865</v>
      </c>
      <c r="T40" s="308">
        <f>+R40</f>
        <v>0.39875450752587599</v>
      </c>
      <c r="U40" s="308">
        <f t="shared" ref="U40:AF40" si="20">+T40*(1+(U$5/100))</f>
        <v>0.41869223290216978</v>
      </c>
      <c r="V40" s="308">
        <f t="shared" si="20"/>
        <v>0.43962684454727829</v>
      </c>
      <c r="W40" s="308">
        <f t="shared" si="20"/>
        <v>0.45941005255190581</v>
      </c>
      <c r="X40" s="308">
        <f t="shared" si="20"/>
        <v>0.48008350491674157</v>
      </c>
      <c r="Y40" s="308">
        <f t="shared" si="20"/>
        <v>0.5016872626379949</v>
      </c>
      <c r="Z40" s="308">
        <f t="shared" si="20"/>
        <v>0.52426318945670458</v>
      </c>
      <c r="AA40" s="308">
        <f t="shared" si="20"/>
        <v>0.54785503298225624</v>
      </c>
      <c r="AB40" s="308">
        <f t="shared" si="20"/>
        <v>0.5725085094664577</v>
      </c>
      <c r="AC40" s="308">
        <f t="shared" si="20"/>
        <v>0.59827139239244831</v>
      </c>
      <c r="AD40" s="308">
        <f t="shared" si="20"/>
        <v>0.62519360505010846</v>
      </c>
      <c r="AE40" s="308">
        <f t="shared" si="20"/>
        <v>0.65332731727736326</v>
      </c>
      <c r="AF40" s="308">
        <f t="shared" si="20"/>
        <v>0.68272704655484451</v>
      </c>
    </row>
    <row r="41" spans="1:32" ht="15.95" customHeight="1">
      <c r="A41" s="139"/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</row>
    <row r="42" spans="1:32" ht="15.95" customHeight="1">
      <c r="A42" s="176" t="s">
        <v>56</v>
      </c>
      <c r="B42" s="175">
        <v>-1.1000000000000001</v>
      </c>
      <c r="C42" s="175">
        <v>-1.3660000000000001</v>
      </c>
      <c r="D42" s="175">
        <v>-1.3</v>
      </c>
      <c r="E42" s="175">
        <f>'Dados Financeiros'!M57</f>
        <v>0</v>
      </c>
      <c r="F42" s="175">
        <f>'Dados Financeiros'!N57</f>
        <v>0</v>
      </c>
      <c r="G42" s="175">
        <f>'Dados Financeiros'!O57</f>
        <v>0</v>
      </c>
      <c r="H42" s="175">
        <f>'Dados Financeiros'!P57</f>
        <v>-1.7</v>
      </c>
      <c r="I42" s="175">
        <f>'Dados Financeiros'!Q57</f>
        <v>-1.7</v>
      </c>
      <c r="J42" s="175">
        <f>'Dados Financeiros'!R57</f>
        <v>0</v>
      </c>
      <c r="K42" s="175">
        <f>'Dados Financeiros'!S57</f>
        <v>-0.95699999999999996</v>
      </c>
      <c r="L42" s="175">
        <f>'Dados Financeiros'!T57</f>
        <v>-0.49099999999999999</v>
      </c>
      <c r="M42" s="175">
        <f>'Dados Financeiros'!U57</f>
        <v>-0.4910000000000001</v>
      </c>
      <c r="N42" s="175">
        <f>'Dados Financeiros'!V57</f>
        <v>-1.9390000000000001</v>
      </c>
      <c r="O42" s="175">
        <f>'Dados Financeiros'!W57</f>
        <v>-0.495</v>
      </c>
      <c r="P42" s="175">
        <f>'Dados Financeiros'!X57</f>
        <v>-0.51900000000000002</v>
      </c>
      <c r="Q42" s="175">
        <f>'Dados Financeiros'!Y57</f>
        <v>-0.49899999999999989</v>
      </c>
      <c r="R42" s="175">
        <f t="shared" ref="R42:AF42" si="21">-R43*R14</f>
        <v>-0.41564866890102975</v>
      </c>
      <c r="S42" s="306">
        <f>SUM(O42:R42)</f>
        <v>-1.9286486689010296</v>
      </c>
      <c r="T42" s="175">
        <f t="shared" si="21"/>
        <v>-2.2337133224637995</v>
      </c>
      <c r="U42" s="175">
        <f t="shared" si="21"/>
        <v>-1.9664328787751255</v>
      </c>
      <c r="V42" s="175">
        <f t="shared" si="21"/>
        <v>-2.1126719866867933</v>
      </c>
      <c r="W42" s="175">
        <f t="shared" si="21"/>
        <v>-2.17610752567392</v>
      </c>
      <c r="X42" s="175">
        <f t="shared" si="21"/>
        <v>-2.4105310936159601</v>
      </c>
      <c r="Y42" s="175">
        <f t="shared" si="21"/>
        <v>-2.6247985910122344</v>
      </c>
      <c r="Z42" s="175">
        <f t="shared" si="21"/>
        <v>-2.8561158795872066</v>
      </c>
      <c r="AA42" s="175">
        <f t="shared" si="21"/>
        <v>-3.1078264540677409</v>
      </c>
      <c r="AB42" s="175">
        <f t="shared" si="21"/>
        <v>-3.3766724717760859</v>
      </c>
      <c r="AC42" s="175">
        <f t="shared" si="21"/>
        <v>-3.6646651107205832</v>
      </c>
      <c r="AD42" s="175">
        <f t="shared" si="21"/>
        <v>-3.9738502501038928</v>
      </c>
      <c r="AE42" s="175">
        <f t="shared" si="21"/>
        <v>-4.305477638932703</v>
      </c>
      <c r="AF42" s="175">
        <f t="shared" si="21"/>
        <v>-4.5900426932948406</v>
      </c>
    </row>
    <row r="43" spans="1:32" ht="15.95" customHeight="1">
      <c r="A43" s="187" t="s">
        <v>182</v>
      </c>
      <c r="B43" s="160">
        <f>-B42/B14</f>
        <v>7.4779061862678461E-3</v>
      </c>
      <c r="C43" s="160">
        <f t="shared" ref="C43:S43" si="22">-C42/C14</f>
        <v>8.608520292412403E-3</v>
      </c>
      <c r="D43" s="160">
        <f t="shared" si="22"/>
        <v>7.5406032482598605E-3</v>
      </c>
      <c r="E43" s="160">
        <f t="shared" si="22"/>
        <v>0</v>
      </c>
      <c r="F43" s="160">
        <f t="shared" si="22"/>
        <v>0</v>
      </c>
      <c r="G43" s="160">
        <f t="shared" si="22"/>
        <v>0</v>
      </c>
      <c r="H43" s="160">
        <f t="shared" si="22"/>
        <v>3.6062791684344501E-2</v>
      </c>
      <c r="I43" s="160">
        <f t="shared" si="22"/>
        <v>9.1348737238044053E-3</v>
      </c>
      <c r="J43" s="160">
        <f t="shared" si="22"/>
        <v>0</v>
      </c>
      <c r="K43" s="160">
        <f t="shared" si="22"/>
        <v>1.9595397026905277E-2</v>
      </c>
      <c r="L43" s="160">
        <f t="shared" si="22"/>
        <v>9.2955453323488764E-3</v>
      </c>
      <c r="M43" s="160">
        <f t="shared" si="22"/>
        <v>9.1959620174929309E-3</v>
      </c>
      <c r="N43" s="160">
        <f t="shared" si="22"/>
        <v>9.530503509427286E-3</v>
      </c>
      <c r="O43" s="160">
        <f t="shared" si="22"/>
        <v>1.0229174846562378E-2</v>
      </c>
      <c r="P43" s="160">
        <f t="shared" si="22"/>
        <v>1.054021121039805E-2</v>
      </c>
      <c r="Q43" s="160">
        <f t="shared" si="22"/>
        <v>9.1849506700044155E-3</v>
      </c>
      <c r="R43" s="161">
        <v>7.0000000000000001E-3</v>
      </c>
      <c r="S43" s="160">
        <f t="shared" si="22"/>
        <v>9.1259230018689921E-3</v>
      </c>
      <c r="T43" s="161">
        <v>8.9999999999999993E-3</v>
      </c>
      <c r="U43" s="161">
        <v>7.0000000000000001E-3</v>
      </c>
      <c r="V43" s="161">
        <f>+U43-0.05%</f>
        <v>6.5000000000000006E-3</v>
      </c>
      <c r="W43" s="161">
        <f>+V43-0.05%</f>
        <v>6.0000000000000001E-3</v>
      </c>
      <c r="X43" s="161">
        <f>+W43</f>
        <v>6.0000000000000001E-3</v>
      </c>
      <c r="Y43" s="161">
        <f t="shared" ref="Y43:AF43" si="23">+X43</f>
        <v>6.0000000000000001E-3</v>
      </c>
      <c r="Z43" s="161">
        <f t="shared" si="23"/>
        <v>6.0000000000000001E-3</v>
      </c>
      <c r="AA43" s="161">
        <f t="shared" si="23"/>
        <v>6.0000000000000001E-3</v>
      </c>
      <c r="AB43" s="161">
        <f t="shared" si="23"/>
        <v>6.0000000000000001E-3</v>
      </c>
      <c r="AC43" s="161">
        <f t="shared" si="23"/>
        <v>6.0000000000000001E-3</v>
      </c>
      <c r="AD43" s="161">
        <f t="shared" si="23"/>
        <v>6.0000000000000001E-3</v>
      </c>
      <c r="AE43" s="161">
        <f t="shared" si="23"/>
        <v>6.0000000000000001E-3</v>
      </c>
      <c r="AF43" s="161">
        <f t="shared" si="23"/>
        <v>6.0000000000000001E-3</v>
      </c>
    </row>
    <row r="44" spans="1:32" ht="15.95" customHeight="1">
      <c r="A44" s="139"/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</row>
    <row r="45" spans="1:32" ht="15.95" customHeight="1">
      <c r="A45" s="176" t="s">
        <v>52</v>
      </c>
      <c r="B45" s="175">
        <v>-2.2999999999999998</v>
      </c>
      <c r="C45" s="175">
        <f>-1.4-4.1</f>
        <v>-5.5</v>
      </c>
      <c r="D45" s="175">
        <f>-0.2-3.4</f>
        <v>-3.6</v>
      </c>
      <c r="E45" s="175">
        <v>-0.57999999999999996</v>
      </c>
      <c r="F45" s="175">
        <f>+'Dados Financeiros'!N58</f>
        <v>-1.6</v>
      </c>
      <c r="G45" s="175">
        <f>+'Dados Financeiros'!O58</f>
        <v>0.1</v>
      </c>
      <c r="H45" s="175">
        <f>+'Dados Financeiros'!P58</f>
        <v>-0.31999999999999995</v>
      </c>
      <c r="I45" s="175">
        <f>+'Dados Financeiros'!Q58</f>
        <v>-2.4</v>
      </c>
      <c r="J45" s="175">
        <f>+'Dados Financeiros'!R58</f>
        <v>-1.4</v>
      </c>
      <c r="K45" s="175">
        <f>+'Dados Financeiros'!S58</f>
        <v>-0.58100000000000018</v>
      </c>
      <c r="L45" s="175">
        <f>+'Dados Financeiros'!T58</f>
        <v>-1.0130000000000003</v>
      </c>
      <c r="M45" s="175">
        <f>+'Dados Financeiros'!U58</f>
        <v>-0.85599999999999943</v>
      </c>
      <c r="N45" s="175">
        <f>+'Dados Financeiros'!V58</f>
        <v>-3.85</v>
      </c>
      <c r="O45" s="175">
        <f>+'Dados Financeiros'!W58</f>
        <v>-2.77</v>
      </c>
      <c r="P45" s="175">
        <f>+'Dados Financeiros'!X58</f>
        <v>-0.12999999999999989</v>
      </c>
      <c r="Q45" s="175">
        <f>+'Dados Financeiros'!Y58</f>
        <v>-1.4230000000000005</v>
      </c>
      <c r="R45" s="175">
        <v>0</v>
      </c>
      <c r="S45" s="306">
        <f>SUM(O45:R45)</f>
        <v>-4.3230000000000004</v>
      </c>
      <c r="T45" s="175">
        <f t="shared" ref="T45:AF45" si="24">-T46*T14</f>
        <v>-4.467426644927599</v>
      </c>
      <c r="U45" s="175">
        <f t="shared" si="24"/>
        <v>-4.2137847402324118</v>
      </c>
      <c r="V45" s="175">
        <f t="shared" si="24"/>
        <v>-4.5503704328638621</v>
      </c>
      <c r="W45" s="175">
        <f t="shared" si="24"/>
        <v>-4.7148996389601594</v>
      </c>
      <c r="X45" s="175">
        <f t="shared" si="24"/>
        <v>-4.8210621872319184</v>
      </c>
      <c r="Y45" s="175">
        <f t="shared" si="24"/>
        <v>-5.249597182024468</v>
      </c>
      <c r="Z45" s="175">
        <f t="shared" si="24"/>
        <v>-5.7122317591744114</v>
      </c>
      <c r="AA45" s="175">
        <f t="shared" si="24"/>
        <v>-6.2156529081354801</v>
      </c>
      <c r="AB45" s="175">
        <f t="shared" si="24"/>
        <v>-6.75334494355217</v>
      </c>
      <c r="AC45" s="175">
        <f t="shared" si="24"/>
        <v>-7.3293302214411638</v>
      </c>
      <c r="AD45" s="175">
        <f t="shared" si="24"/>
        <v>-7.9477005002077838</v>
      </c>
      <c r="AE45" s="175">
        <f t="shared" si="24"/>
        <v>-8.6109552778654042</v>
      </c>
      <c r="AF45" s="175">
        <f t="shared" si="24"/>
        <v>-9.1800853865896777</v>
      </c>
    </row>
    <row r="46" spans="1:32" ht="15.95" customHeight="1">
      <c r="A46" s="187" t="s">
        <v>182</v>
      </c>
      <c r="B46" s="160">
        <f>-B45/B14</f>
        <v>1.5635622025832765E-2</v>
      </c>
      <c r="C46" s="160">
        <f t="shared" ref="C46:S46" si="25">-C45/C14</f>
        <v>3.4660952861104107E-2</v>
      </c>
      <c r="D46" s="160">
        <f t="shared" si="25"/>
        <v>2.0881670533642691E-2</v>
      </c>
      <c r="E46" s="160">
        <f t="shared" si="25"/>
        <v>1.3367135284627794E-2</v>
      </c>
      <c r="F46" s="160">
        <f t="shared" si="25"/>
        <v>3.6281179138321996E-2</v>
      </c>
      <c r="G46" s="160">
        <f t="shared" si="25"/>
        <v>-1.942879347192539E-3</v>
      </c>
      <c r="H46" s="160">
        <f t="shared" si="25"/>
        <v>6.7882901994060236E-3</v>
      </c>
      <c r="I46" s="160">
        <f t="shared" si="25"/>
        <v>1.289629231595916E-2</v>
      </c>
      <c r="J46" s="160">
        <f t="shared" si="25"/>
        <v>2.8925619834710741E-2</v>
      </c>
      <c r="K46" s="160">
        <f t="shared" si="25"/>
        <v>1.1896474057086699E-2</v>
      </c>
      <c r="L46" s="160">
        <f t="shared" si="25"/>
        <v>1.9177978455538525E-2</v>
      </c>
      <c r="M46" s="160">
        <f t="shared" si="25"/>
        <v>1.6032064128256501E-2</v>
      </c>
      <c r="N46" s="160">
        <f t="shared" si="25"/>
        <v>1.8923382419440457E-2</v>
      </c>
      <c r="O46" s="160">
        <f t="shared" si="25"/>
        <v>5.7242049141369267E-2</v>
      </c>
      <c r="P46" s="160">
        <f t="shared" si="25"/>
        <v>2.6401299756295673E-3</v>
      </c>
      <c r="Q46" s="160">
        <f t="shared" si="25"/>
        <v>2.6192755117066716E-2</v>
      </c>
      <c r="R46" s="161">
        <v>0.02</v>
      </c>
      <c r="S46" s="160">
        <f t="shared" si="25"/>
        <v>2.0455444152801341E-2</v>
      </c>
      <c r="T46" s="161">
        <v>1.7999999999999999E-2</v>
      </c>
      <c r="U46" s="161">
        <v>1.4999999999999999E-2</v>
      </c>
      <c r="V46" s="161">
        <f>+U46-0.1%</f>
        <v>1.3999999999999999E-2</v>
      </c>
      <c r="W46" s="161">
        <f>+V46-0.1%</f>
        <v>1.2999999999999998E-2</v>
      </c>
      <c r="X46" s="161">
        <f>+W46-0.1%</f>
        <v>1.1999999999999997E-2</v>
      </c>
      <c r="Y46" s="161">
        <f>+X46</f>
        <v>1.1999999999999997E-2</v>
      </c>
      <c r="Z46" s="161">
        <f t="shared" ref="Z46:AF46" si="26">+Y46</f>
        <v>1.1999999999999997E-2</v>
      </c>
      <c r="AA46" s="161">
        <f t="shared" si="26"/>
        <v>1.1999999999999997E-2</v>
      </c>
      <c r="AB46" s="161">
        <f t="shared" si="26"/>
        <v>1.1999999999999997E-2</v>
      </c>
      <c r="AC46" s="161">
        <f t="shared" si="26"/>
        <v>1.1999999999999997E-2</v>
      </c>
      <c r="AD46" s="161">
        <f t="shared" si="26"/>
        <v>1.1999999999999997E-2</v>
      </c>
      <c r="AE46" s="161">
        <f t="shared" si="26"/>
        <v>1.1999999999999997E-2</v>
      </c>
      <c r="AF46" s="161">
        <f t="shared" si="26"/>
        <v>1.1999999999999997E-2</v>
      </c>
    </row>
    <row r="47" spans="1:32" ht="15.95" customHeight="1"/>
    <row r="48" spans="1:32" ht="15.95" customHeight="1"/>
    <row r="49" spans="23:25" ht="15.95" customHeight="1"/>
    <row r="50" spans="23:25" ht="15.95" customHeight="1"/>
    <row r="51" spans="23:25" ht="15.95" customHeight="1"/>
    <row r="52" spans="23:25" ht="15.95" customHeight="1">
      <c r="W52" s="34"/>
    </row>
    <row r="53" spans="23:25" ht="15.95" customHeight="1">
      <c r="W53" s="34"/>
    </row>
    <row r="54" spans="23:25" ht="15.95" customHeight="1">
      <c r="W54" s="34"/>
    </row>
    <row r="55" spans="23:25" ht="15.95" customHeight="1">
      <c r="W55" s="34"/>
      <c r="Y55" s="34"/>
    </row>
    <row r="56" spans="23:25" ht="15.95" customHeight="1">
      <c r="W56" s="34"/>
      <c r="Y56" s="34"/>
    </row>
    <row r="57" spans="23:25" ht="15.95" customHeight="1"/>
    <row r="58" spans="23:25" ht="15.95" customHeight="1"/>
    <row r="59" spans="23:25" ht="15.95" customHeight="1"/>
    <row r="60" spans="23:25" ht="15.95" customHeight="1"/>
    <row r="61" spans="23:25" ht="15.95" customHeight="1"/>
    <row r="62" spans="23:25" ht="15.95" customHeight="1"/>
    <row r="63" spans="23:25" ht="15.95" customHeight="1"/>
    <row r="64" spans="23:25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Dados Financeiros</vt:lpstr>
      <vt:lpstr>Tráfego</vt:lpstr>
      <vt:lpstr>Despesas</vt:lpstr>
    </vt:vector>
  </TitlesOfParts>
  <Company>BTG Pactual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mulleral</dc:creator>
  <cp:lastModifiedBy>ws</cp:lastModifiedBy>
  <dcterms:created xsi:type="dcterms:W3CDTF">2013-04-23T12:51:40Z</dcterms:created>
  <dcterms:modified xsi:type="dcterms:W3CDTF">2015-12-10T20:24:57Z</dcterms:modified>
</cp:coreProperties>
</file>