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766"/>
  <workbookPr filterPrivacy="1" codeName="ThisWorkbook"/>
  <bookViews>
    <workbookView xWindow="0" yWindow="0" windowWidth="28800" windowHeight="12210"/>
  </bookViews>
  <sheets>
    <sheet name="Fatura" sheetId="1" r:id="rId1"/>
    <sheet name="Clientes" sheetId="3" r:id="rId2"/>
  </sheets>
  <definedNames>
    <definedName name="_xlnm.Print_Area" localSheetId="0">Fatura!$A:$I</definedName>
    <definedName name="Depósito">Fatura!$H$22</definedName>
    <definedName name="ImpostosobreVendas">Fatura!$H$20</definedName>
    <definedName name="NomedaEmpresa">Fatura!$B$3</definedName>
    <definedName name="NomeDaFatura">Fatura!$C$7</definedName>
    <definedName name="PesquisadeClientes">ListadeClientes[Nome da Empresa]</definedName>
    <definedName name="Remessa">Fatura!$H$21</definedName>
    <definedName name="SubtotaldaFatura">Fatura!$H$18</definedName>
    <definedName name="TaxadeImpostodeVendas">Fatura!$H$19</definedName>
    <definedName name="_xlnm.Print_Titles" localSheetId="1">Clientes!$3:$3</definedName>
    <definedName name="_xlnm.Print_Titles" localSheetId="0">Fatura!$12:$12</definedName>
  </definedNames>
  <calcPr calcId="162912"/>
</workbook>
</file>

<file path=xl/calcChain.xml><?xml version="1.0" encoding="utf-8"?>
<calcChain xmlns="http://schemas.openxmlformats.org/spreadsheetml/2006/main">
  <c r="B22" i="1" l="1"/>
  <c r="H13" i="1"/>
  <c r="H14" i="1"/>
  <c r="H15" i="1"/>
  <c r="H16" i="1"/>
  <c r="H17" i="1"/>
  <c r="H18" i="1"/>
  <c r="H20" i="1"/>
  <c r="C10" i="1"/>
  <c r="C9" i="1"/>
  <c r="H9" i="1"/>
  <c r="E8" i="1"/>
  <c r="E9" i="1"/>
  <c r="E7" i="1"/>
  <c r="C8" i="1"/>
  <c r="H23" i="1"/>
</calcChain>
</file>

<file path=xl/comments1.xml><?xml version="1.0" encoding="utf-8"?>
<comments xmlns="http://schemas.openxmlformats.org/spreadsheetml/2006/main">
  <authors>
    <author>Autor</author>
  </authors>
  <commentList>
    <comment ref="C7" authorId="0" shapeId="0">
      <text>
        <r>
          <rPr>
            <b/>
            <sz val="8"/>
            <color indexed="81"/>
            <rFont val="Tahoma"/>
            <family val="2"/>
          </rPr>
          <t>Dica de Fatura:</t>
        </r>
        <r>
          <rPr>
            <sz val="8"/>
            <color indexed="81"/>
            <rFont val="Tahoma"/>
            <family val="2"/>
          </rPr>
          <t>Adicione seus clientes à planilha Clientes e use a lista suspensa para selecionar um cliente e popular automaticamente os campos de endereço.</t>
        </r>
      </text>
    </comment>
    <comment ref="H13" authorId="0" shapeId="0">
      <text>
        <r>
          <rPr>
            <b/>
            <sz val="9"/>
            <color indexed="81"/>
            <rFont val="Segoe UI"/>
            <family val="2"/>
          </rPr>
          <t xml:space="preserve">Precisa de mais linhas?
</t>
        </r>
        <r>
          <rPr>
            <sz val="9"/>
            <color indexed="81"/>
            <rFont val="Segoe UI"/>
            <family val="2"/>
          </rPr>
          <t>Clique com o botão direito do mouse uma linha de título no canto esquerdo e clique em Inserir Linhas.</t>
        </r>
      </text>
    </comment>
  </commentList>
</comments>
</file>

<file path=xl/sharedStrings.xml><?xml version="1.0" encoding="utf-8"?>
<sst xmlns="http://schemas.openxmlformats.org/spreadsheetml/2006/main" count="63" uniqueCount="60">
  <si>
    <t xml:space="preserve"> </t>
  </si>
  <si>
    <t>Tailspin Toys</t>
  </si>
  <si>
    <t>Rua das Roseiras, 123</t>
  </si>
  <si>
    <t>T: 071-3555-2233</t>
  </si>
  <si>
    <t>AtendimentoaoCliente@tailspintoys.com</t>
  </si>
  <si>
    <t>Avenida Litorânea, RJ 12345-000</t>
  </si>
  <si>
    <t>F: 071-3555-2240</t>
  </si>
  <si>
    <t>www.tailspintoys.com</t>
  </si>
  <si>
    <t>Faturar para:</t>
  </si>
  <si>
    <t>Trey Research</t>
  </si>
  <si>
    <t>Telefone:</t>
  </si>
  <si>
    <t>Fatura Nº:</t>
  </si>
  <si>
    <t>Endereço:</t>
  </si>
  <si>
    <t>Fax:</t>
  </si>
  <si>
    <t>Data da Fatura:</t>
  </si>
  <si>
    <t>Email:</t>
  </si>
  <si>
    <t>Contato:</t>
  </si>
  <si>
    <t>Data</t>
  </si>
  <si>
    <t>Item Nº</t>
  </si>
  <si>
    <t>Descrição</t>
  </si>
  <si>
    <t>Qtde</t>
  </si>
  <si>
    <t>Preço Unitário</t>
  </si>
  <si>
    <t>Desconto</t>
  </si>
  <si>
    <t>Total</t>
  </si>
  <si>
    <t>Blocos de Madeira</t>
  </si>
  <si>
    <t>Subtotal da Fatura</t>
  </si>
  <si>
    <t>Taxa de Imposto</t>
  </si>
  <si>
    <t>Imposto sobre Vendas</t>
  </si>
  <si>
    <t>Remessa</t>
  </si>
  <si>
    <t>Depósito Recebido</t>
  </si>
  <si>
    <t>TOTAL DEVIDO EM 10 DIAS. CONTAS VENCIDAS ESTÃO SUJEITAS A UMA TAXA DE JUROS DE %2 AO MÊS.</t>
  </si>
  <si>
    <t>Clientes</t>
  </si>
  <si>
    <t>Nome da Empresa</t>
  </si>
  <si>
    <t>Nome de Contato</t>
  </si>
  <si>
    <t>Endereço</t>
  </si>
  <si>
    <t>Endereço 2</t>
  </si>
  <si>
    <t>Cidade</t>
  </si>
  <si>
    <t>Estado</t>
  </si>
  <si>
    <t>CEP</t>
  </si>
  <si>
    <t>Telefone</t>
  </si>
  <si>
    <t>Email</t>
  </si>
  <si>
    <t>Fax</t>
  </si>
  <si>
    <t>Marcos Azevedo</t>
  </si>
  <si>
    <t>Rua das Cerejeiras, 345</t>
  </si>
  <si>
    <t>Grupo 123</t>
  </si>
  <si>
    <t>Campinas</t>
  </si>
  <si>
    <t>SP</t>
  </si>
  <si>
    <t>03456-000</t>
  </si>
  <si>
    <t>0xx19-3555-0123</t>
  </si>
  <si>
    <t>marcos@treyresearch.net</t>
  </si>
  <si>
    <t>071-3555-0124</t>
  </si>
  <si>
    <t>Contoso, Ltd</t>
  </si>
  <si>
    <t>Donato Dias</t>
  </si>
  <si>
    <t>Rua das Nações, 567</t>
  </si>
  <si>
    <t>Rio de Janeiro</t>
  </si>
  <si>
    <t>RJ</t>
  </si>
  <si>
    <t>08765-000</t>
  </si>
  <si>
    <t>0xx21-3555-0662</t>
  </si>
  <si>
    <t>donato@contoso.com</t>
  </si>
  <si>
    <t>071-3555-0663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</si>
</sst>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;0;;@"/>
    <numFmt numFmtId="165" formatCode="0.0%"/>
    <numFmt numFmtId="166" formatCode="&quot;R$&quot;\ #,##0.00"/>
  </numFmts>
  <fonts count="17" x14ac:knownFonts="1">
    <font>
      <sz val="10"/>
      <color theme="3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4" tint="-0.499984740745262"/>
      <name val="Calibri"/>
      <family val="2"/>
      <scheme val="major"/>
    </font>
    <font>
      <sz val="10"/>
      <color theme="2" tint="-0.749992370372631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28"/>
      <color theme="3"/>
      <name val="Calibri"/>
      <family val="2"/>
      <scheme val="major"/>
    </font>
    <font>
      <sz val="10"/>
      <color theme="3"/>
      <name val="Calibri"/>
      <family val="2"/>
      <scheme val="major"/>
    </font>
    <font>
      <b/>
      <sz val="10"/>
      <color theme="3"/>
      <name val="Calibri"/>
      <family val="2"/>
      <scheme val="maj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theme="3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ck">
        <color theme="4" tint="-0.24994659260841701"/>
      </left>
      <right/>
      <top/>
      <bottom/>
      <diagonal/>
    </border>
    <border>
      <left/>
      <right style="thick">
        <color theme="4" tint="-0.24994659260841701"/>
      </right>
      <top/>
      <bottom/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</borders>
  <cellStyleXfs count="7">
    <xf numFmtId="0" fontId="0" fillId="0" borderId="0">
      <alignment vertical="center"/>
    </xf>
    <xf numFmtId="0" fontId="6" fillId="0" borderId="0" applyNumberFormat="0" applyFill="0" applyBorder="0" applyAlignment="0" applyProtection="0"/>
    <xf numFmtId="0" fontId="8" fillId="0" borderId="0" applyNumberFormat="0" applyFill="0" applyBorder="0" applyProtection="0">
      <alignment vertical="center"/>
    </xf>
    <xf numFmtId="0" fontId="9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 wrapText="1"/>
    </xf>
    <xf numFmtId="0" fontId="7" fillId="0" borderId="0" applyNumberFormat="0" applyFill="0" applyBorder="0" applyAlignment="0" applyProtection="0"/>
  </cellStyleXfs>
  <cellXfs count="58">
    <xf numFmtId="0" fontId="0" fillId="0" borderId="0" xfId="0">
      <alignment vertical="center"/>
    </xf>
    <xf numFmtId="0" fontId="0" fillId="0" borderId="0" xfId="0" applyFont="1" applyProtection="1">
      <alignment vertical="center"/>
    </xf>
    <xf numFmtId="49" fontId="0" fillId="0" borderId="0" xfId="0" applyNumberFormat="1" applyFont="1" applyProtection="1">
      <alignment vertical="center"/>
    </xf>
    <xf numFmtId="0" fontId="0" fillId="0" borderId="0" xfId="0" applyFont="1" applyProtection="1">
      <alignment vertical="center"/>
    </xf>
    <xf numFmtId="0" fontId="2" fillId="0" borderId="0" xfId="0" applyFont="1" applyProtection="1">
      <alignment vertical="center"/>
    </xf>
    <xf numFmtId="0" fontId="2" fillId="0" borderId="0" xfId="0" applyFont="1" applyAlignment="1" applyProtection="1">
      <alignment vertical="center"/>
    </xf>
    <xf numFmtId="0" fontId="0" fillId="0" borderId="0" xfId="0" applyFont="1" applyFill="1" applyBorder="1" applyAlignment="1" applyProtection="1">
      <alignment vertical="center"/>
    </xf>
    <xf numFmtId="0" fontId="0" fillId="0" borderId="0" xfId="0" applyFont="1" applyFill="1" applyBorder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4" fillId="0" borderId="0" xfId="0" applyFont="1" applyAlignment="1" applyProtection="1">
      <alignment horizontal="left" vertical="top"/>
    </xf>
    <xf numFmtId="0" fontId="2" fillId="0" borderId="0" xfId="0" applyFont="1" applyBorder="1" applyAlignment="1" applyProtection="1">
      <alignment horizontal="left" vertical="center"/>
    </xf>
    <xf numFmtId="0" fontId="2" fillId="0" borderId="0" xfId="0" applyFont="1" applyAlignment="1" applyProtection="1">
      <alignment horizontal="left" indent="7"/>
    </xf>
    <xf numFmtId="0" fontId="5" fillId="0" borderId="0" xfId="0" applyFont="1">
      <alignment vertical="center"/>
    </xf>
    <xf numFmtId="0" fontId="5" fillId="0" borderId="0" xfId="0" applyFont="1" applyAlignment="1">
      <alignment vertical="top" wrapText="1"/>
    </xf>
    <xf numFmtId="0" fontId="2" fillId="0" borderId="0" xfId="0" applyFont="1" applyAlignment="1" applyProtection="1">
      <alignment wrapText="1"/>
    </xf>
    <xf numFmtId="0" fontId="7" fillId="0" borderId="0" xfId="6" applyAlignment="1" applyProtection="1">
      <alignment vertical="center"/>
    </xf>
    <xf numFmtId="0" fontId="6" fillId="0" borderId="0" xfId="1" applyAlignment="1">
      <alignment vertical="top"/>
    </xf>
    <xf numFmtId="0" fontId="6" fillId="0" borderId="0" xfId="1" applyFill="1" applyBorder="1" applyProtection="1"/>
    <xf numFmtId="0" fontId="0" fillId="0" borderId="0" xfId="0" applyAlignment="1" applyProtection="1">
      <alignment vertical="top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indent="1"/>
    </xf>
    <xf numFmtId="0" fontId="0" fillId="0" borderId="1" xfId="0" applyBorder="1">
      <alignment vertical="center"/>
    </xf>
    <xf numFmtId="0" fontId="2" fillId="0" borderId="1" xfId="0" applyFont="1" applyBorder="1" applyProtection="1">
      <alignment vertical="center"/>
    </xf>
    <xf numFmtId="0" fontId="2" fillId="0" borderId="2" xfId="0" applyFont="1" applyBorder="1" applyProtection="1">
      <alignment vertical="center"/>
    </xf>
    <xf numFmtId="0" fontId="0" fillId="0" borderId="2" xfId="0" applyBorder="1">
      <alignment vertical="center"/>
    </xf>
    <xf numFmtId="0" fontId="8" fillId="0" borderId="0" xfId="2">
      <alignment vertical="center"/>
    </xf>
    <xf numFmtId="0" fontId="9" fillId="0" borderId="0" xfId="3" applyAlignment="1">
      <alignment horizontal="left" vertical="center"/>
    </xf>
    <xf numFmtId="14" fontId="9" fillId="0" borderId="0" xfId="3" applyNumberFormat="1" applyAlignment="1">
      <alignment horizontal="left" vertical="center"/>
    </xf>
    <xf numFmtId="164" fontId="9" fillId="0" borderId="0" xfId="3" applyNumberFormat="1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Font="1" applyFill="1" applyBorder="1" applyAlignment="1">
      <alignment horizontal="right" vertical="center" wrapText="1"/>
    </xf>
    <xf numFmtId="0" fontId="0" fillId="0" borderId="0" xfId="0" applyFont="1" applyFill="1" applyBorder="1" applyAlignment="1">
      <alignment horizontal="left" vertical="center" wrapText="1" indent="1"/>
    </xf>
    <xf numFmtId="0" fontId="0" fillId="0" borderId="0" xfId="0" applyFont="1" applyFill="1" applyBorder="1" applyAlignment="1">
      <alignment vertical="center"/>
    </xf>
    <xf numFmtId="0" fontId="8" fillId="0" borderId="0" xfId="2" applyAlignment="1">
      <alignment horizontal="left" vertical="center" indent="3"/>
    </xf>
    <xf numFmtId="14" fontId="0" fillId="0" borderId="0" xfId="0" applyNumberFormat="1" applyFont="1" applyFill="1" applyBorder="1" applyAlignment="1">
      <alignment horizontal="left" vertical="center" indent="1"/>
    </xf>
    <xf numFmtId="0" fontId="3" fillId="0" borderId="3" xfId="0" applyFont="1" applyFill="1" applyBorder="1" applyAlignment="1" applyProtection="1">
      <alignment horizontal="right" vertical="center"/>
    </xf>
    <xf numFmtId="0" fontId="3" fillId="0" borderId="4" xfId="0" applyFont="1" applyFill="1" applyBorder="1" applyAlignment="1" applyProtection="1">
      <alignment horizontal="right" vertical="center"/>
    </xf>
    <xf numFmtId="0" fontId="0" fillId="0" borderId="0" xfId="0" applyFont="1" applyFill="1" applyBorder="1" applyAlignment="1">
      <alignment horizontal="right" vertical="center" indent="2"/>
    </xf>
    <xf numFmtId="165" fontId="2" fillId="0" borderId="4" xfId="4" applyNumberFormat="1" applyFont="1" applyFill="1" applyBorder="1" applyAlignment="1" applyProtection="1">
      <alignment horizontal="right" vertical="center" indent="2"/>
    </xf>
    <xf numFmtId="0" fontId="0" fillId="0" borderId="0" xfId="0" applyAlignment="1"/>
    <xf numFmtId="0" fontId="8" fillId="0" borderId="0" xfId="2" applyAlignment="1">
      <alignment horizontal="left" vertical="center"/>
    </xf>
    <xf numFmtId="14" fontId="0" fillId="0" borderId="0" xfId="0" applyNumberFormat="1" applyFont="1" applyFill="1" applyBorder="1" applyAlignment="1">
      <alignment horizontal="left" vertical="center"/>
    </xf>
    <xf numFmtId="49" fontId="0" fillId="0" borderId="0" xfId="0" applyNumberFormat="1" applyFont="1" applyFill="1" applyBorder="1" applyAlignment="1" applyProtection="1">
      <alignment horizontal="right" vertical="center"/>
    </xf>
    <xf numFmtId="0" fontId="12" fillId="2" borderId="0" xfId="0" applyFont="1" applyFill="1" applyBorder="1" applyAlignment="1" applyProtection="1">
      <alignment horizontal="left" vertical="center" indent="1"/>
    </xf>
    <xf numFmtId="0" fontId="2" fillId="2" borderId="0" xfId="0" applyFont="1" applyFill="1" applyBorder="1" applyProtection="1">
      <alignment vertical="center"/>
    </xf>
    <xf numFmtId="0" fontId="2" fillId="2" borderId="0" xfId="0" applyFont="1" applyFill="1" applyBorder="1" applyAlignment="1" applyProtection="1">
      <alignment vertical="center"/>
    </xf>
    <xf numFmtId="0" fontId="0" fillId="2" borderId="0" xfId="0" applyFont="1" applyFill="1" applyBorder="1" applyAlignment="1" applyProtection="1">
      <alignment vertical="top" wrapText="1"/>
    </xf>
    <xf numFmtId="0" fontId="16" fillId="0" borderId="0" xfId="0" applyFont="1" applyAlignment="1" applyProtection="1">
      <alignment vertical="center"/>
    </xf>
    <xf numFmtId="166" fontId="0" fillId="0" borderId="0" xfId="0" applyNumberFormat="1" applyFont="1" applyFill="1" applyBorder="1" applyAlignment="1">
      <alignment vertical="center"/>
    </xf>
    <xf numFmtId="166" fontId="0" fillId="0" borderId="0" xfId="0" applyNumberFormat="1" applyFont="1" applyFill="1" applyBorder="1" applyAlignment="1">
      <alignment horizontal="right" vertical="center" indent="2"/>
    </xf>
    <xf numFmtId="166" fontId="2" fillId="0" borderId="3" xfId="0" applyNumberFormat="1" applyFont="1" applyFill="1" applyBorder="1" applyAlignment="1" applyProtection="1">
      <alignment horizontal="right" vertical="center" indent="2"/>
    </xf>
    <xf numFmtId="166" fontId="2" fillId="0" borderId="4" xfId="0" applyNumberFormat="1" applyFont="1" applyFill="1" applyBorder="1" applyAlignment="1" applyProtection="1">
      <alignment horizontal="right" vertical="center" indent="2"/>
    </xf>
    <xf numFmtId="0" fontId="7" fillId="0" borderId="0" xfId="6" applyFont="1" applyAlignment="1">
      <alignment vertical="center"/>
    </xf>
    <xf numFmtId="0" fontId="0" fillId="0" borderId="1" xfId="0" applyBorder="1" applyAlignment="1">
      <alignment horizontal="left" vertical="center" indent="2"/>
    </xf>
    <xf numFmtId="0" fontId="0" fillId="0" borderId="0" xfId="0" applyBorder="1" applyAlignment="1">
      <alignment horizontal="left" vertical="center" indent="2"/>
    </xf>
    <xf numFmtId="0" fontId="0" fillId="0" borderId="1" xfId="0" applyBorder="1" applyAlignment="1">
      <alignment horizontal="left" vertical="top" indent="2"/>
    </xf>
    <xf numFmtId="0" fontId="0" fillId="0" borderId="0" xfId="0" applyBorder="1" applyAlignment="1">
      <alignment horizontal="left" vertical="top" indent="2"/>
    </xf>
    <xf numFmtId="0" fontId="13" fillId="2" borderId="0" xfId="0" applyFont="1" applyFill="1" applyBorder="1" applyAlignment="1" applyProtection="1">
      <alignment horizontal="left" vertical="center" wrapText="1" indent="1"/>
    </xf>
  </cellXfs>
  <cellStyles count="7">
    <cellStyle name="Hiperlink" xfId="1" builtinId="8" customBuiltin="1"/>
    <cellStyle name="Hiperlink Visitado" xfId="5" builtinId="9" customBuiltin="1"/>
    <cellStyle name="Normal" xfId="0" builtinId="0" customBuiltin="1"/>
    <cellStyle name="Porcentagem" xfId="4" builtinId="5"/>
    <cellStyle name="Título" xfId="6" builtinId="15" customBuiltin="1"/>
    <cellStyle name="Título 1" xfId="2" builtinId="16" customBuiltin="1"/>
    <cellStyle name="Título 2" xfId="3" builtinId="17" customBuiltin="1"/>
  </cellStyles>
  <dxfs count="26">
    <dxf>
      <font>
        <b/>
        <i/>
        <strike/>
        <condense/>
        <extend/>
        <outline/>
        <shadow/>
        <u val="none"/>
        <vertAlign val="baseline"/>
        <sz val="10"/>
        <color theme="4" tint="-0.2499465926084170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/>
        <strike/>
        <condense/>
        <extend/>
        <outline/>
        <shadow/>
        <u val="none"/>
        <vertAlign val="baseline"/>
        <sz val="10"/>
        <color theme="4" tint="-0.2499465926084170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1" hidden="0"/>
    </dxf>
    <dxf>
      <font>
        <b/>
        <i/>
        <strike/>
        <condense/>
        <extend/>
        <outline/>
        <shadow/>
        <u val="none"/>
        <vertAlign val="baseline"/>
        <sz val="10"/>
        <color theme="4" tint="-0.2499465926084170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/>
        <strike/>
        <condense/>
        <extend/>
        <outline/>
        <shadow/>
        <u val="none"/>
        <vertAlign val="baseline"/>
        <sz val="10"/>
        <color theme="4" tint="-0.2499465926084170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1" hidden="0"/>
    </dxf>
    <dxf>
      <numFmt numFmtId="30" formatCode="@"/>
      <alignment horizontal="right" vertical="center" textRotation="0" wrapText="0" indent="0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10"/>
        <color theme="4" tint="-0.2499465926084170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1" hidden="0"/>
    </dxf>
    <dxf>
      <font>
        <b/>
        <i/>
        <strike/>
        <condense/>
        <extend/>
        <outline/>
        <shadow/>
        <u val="none"/>
        <vertAlign val="baseline"/>
        <sz val="10"/>
        <color theme="4" tint="-0.2499465926084170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1" hidden="0"/>
    </dxf>
    <dxf>
      <font>
        <b/>
        <i/>
        <strike/>
        <condense/>
        <extend/>
        <outline/>
        <shadow/>
        <u val="none"/>
        <vertAlign val="baseline"/>
        <sz val="10"/>
        <color theme="4" tint="-0.2499465926084170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1" hidden="0"/>
    </dxf>
    <dxf>
      <font>
        <b/>
        <i/>
        <strike/>
        <condense/>
        <extend/>
        <outline/>
        <shadow/>
        <u val="none"/>
        <vertAlign val="baseline"/>
        <sz val="10"/>
        <color theme="4" tint="-0.24994659260841701"/>
        <name val="Calibri"/>
        <scheme val="minor"/>
      </font>
      <numFmt numFmtId="164" formatCode="0;0;;@"/>
      <fill>
        <patternFill patternType="none">
          <fgColor indexed="64"/>
          <bgColor indexed="65"/>
        </patternFill>
      </fill>
      <protection locked="1" hidden="0"/>
    </dxf>
    <dxf>
      <font>
        <b/>
        <i/>
        <strike/>
        <condense/>
        <extend/>
        <outline/>
        <shadow/>
        <u val="none"/>
        <vertAlign val="baseline"/>
        <sz val="10"/>
        <color theme="4" tint="-0.2499465926084170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1" hidden="0"/>
    </dxf>
    <dxf>
      <font>
        <b/>
        <i/>
        <strike/>
        <condense/>
        <extend/>
        <outline/>
        <shadow/>
        <u val="none"/>
        <vertAlign val="baseline"/>
        <sz val="10"/>
        <color theme="4" tint="-0.2499465926084170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1" hidden="0"/>
    </dxf>
    <dxf>
      <font>
        <b/>
        <i/>
        <strike/>
        <condense/>
        <extend/>
        <outline/>
        <shadow/>
        <u val="none"/>
        <vertAlign val="baseline"/>
        <sz val="10"/>
        <color theme="4" tint="-0.2499465926084170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1" hidden="0"/>
    </dxf>
    <dxf>
      <font>
        <i val="0"/>
      </font>
    </dxf>
    <dxf>
      <numFmt numFmtId="166" formatCode="&quot;R$&quot;\ #,##0.00"/>
      <alignment horizontal="right" vertical="center" textRotation="0" wrapText="0" indent="2" justifyLastLine="0" shrinkToFit="0" readingOrder="0"/>
    </dxf>
    <dxf>
      <numFmt numFmtId="166" formatCode="&quot;R$&quot;\ #,##0.00"/>
      <alignment vertical="center" textRotation="0" wrapText="0" indent="0" justifyLastLine="0" shrinkToFit="0" readingOrder="0"/>
    </dxf>
    <dxf>
      <numFmt numFmtId="166" formatCode="&quot;R$&quot;\ #,##0.00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relativeIndent="1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theme="4" tint="0.79995117038483843"/>
          <bgColor theme="2"/>
        </patternFill>
      </fill>
    </dxf>
    <dxf>
      <fill>
        <patternFill patternType="solid">
          <fgColor theme="4" tint="0.79995117038483843"/>
          <bgColor theme="2"/>
        </patternFill>
      </fill>
    </dxf>
    <dxf>
      <font>
        <b/>
        <i val="0"/>
      </font>
      <border>
        <bottom style="double">
          <color theme="4" tint="-0.24994659260841701"/>
        </bottom>
      </border>
    </dxf>
    <dxf>
      <font>
        <b/>
        <i val="0"/>
        <color theme="3"/>
      </font>
      <fill>
        <patternFill patternType="none">
          <bgColor auto="1"/>
        </patternFill>
      </fill>
      <border>
        <left/>
        <right/>
        <top style="thick">
          <color theme="4" tint="-0.24994659260841701"/>
        </top>
        <bottom style="thick">
          <color theme="4" tint="-0.24994659260841701"/>
        </bottom>
        <vertical/>
        <horizontal/>
      </border>
    </dxf>
    <dxf>
      <border diagonalUp="0" diagonalDown="0">
        <left/>
        <right/>
        <top/>
        <bottom style="thick">
          <color theme="4" tint="-0.24994659260841701"/>
        </bottom>
        <vertical/>
        <horizontal/>
      </border>
    </dxf>
  </dxfs>
  <tableStyles count="1" defaultPivotStyle="PivotStyleLight16">
    <tableStyle name="Fatura Comercial" pivot="0" count="5">
      <tableStyleElement type="wholeTable" dxfId="25"/>
      <tableStyleElement type="headerRow" dxfId="24"/>
      <tableStyleElement type="totalRow" dxfId="23"/>
      <tableStyleElement type="firstRowStripe" dxfId="22"/>
      <tableStyleElement type="firstColumnStripe" dxfId="2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ninjadoexcel.com.br/curso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200025</xdr:colOff>
      <xdr:row>1</xdr:row>
      <xdr:rowOff>28575</xdr:rowOff>
    </xdr:from>
    <xdr:to>
      <xdr:col>20</xdr:col>
      <xdr:colOff>351492</xdr:colOff>
      <xdr:row>12</xdr:row>
      <xdr:rowOff>47274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00426B-0322-4DDC-815F-1555A648F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0" y="123825"/>
          <a:ext cx="7466667" cy="28095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3" name="ItensdaFatura" displayName="ItensdaFatura" ref="B12:H17" totalsRowShown="0" dataDxfId="20">
  <autoFilter ref="B12:H1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8" name="Data" dataDxfId="19"/>
    <tableColumn id="1" name="Item Nº" dataDxfId="18"/>
    <tableColumn id="2" name="Descrição" dataDxfId="17"/>
    <tableColumn id="3" name="Qtde" dataDxfId="16"/>
    <tableColumn id="4" name="Preço Unitário" dataDxfId="15"/>
    <tableColumn id="5" name="Desconto" dataDxfId="14"/>
    <tableColumn id="6" name="Total" dataDxfId="13"/>
  </tableColumns>
  <tableStyleInfo name="Fatura Comercial" showFirstColumn="0" showLastColumn="0" showRowStripes="1" showColumnStripes="0"/>
</table>
</file>

<file path=xl/tables/table2.xml><?xml version="1.0" encoding="utf-8"?>
<table xmlns="http://schemas.openxmlformats.org/spreadsheetml/2006/main" id="1" name="ListadeClientes" displayName="ListadeClientes" ref="B3:K5" headerRowDxfId="12">
  <autoFilter ref="B3:K5"/>
  <tableColumns count="10">
    <tableColumn id="2" name="Nome da Empresa" totalsRowDxfId="11"/>
    <tableColumn id="3" name="Nome de Contato" totalsRowDxfId="10"/>
    <tableColumn id="4" name="Endereço" totalsRowDxfId="9"/>
    <tableColumn id="1" name="Endereço 2" dataDxfId="8" totalsRowDxfId="7"/>
    <tableColumn id="5" name="Cidade" totalsRowDxfId="6"/>
    <tableColumn id="6" name="Estado" totalsRowDxfId="5"/>
    <tableColumn id="7" name="CEP" dataDxfId="4" totalsRowDxfId="3"/>
    <tableColumn id="8" name="Telefone" totalsRowDxfId="2"/>
    <tableColumn id="10" name="Email" totalsRowDxfId="1"/>
    <tableColumn id="11" name="Fax" totalsRowDxfId="0"/>
  </tableColumns>
  <tableStyleInfo name="Fatura Comercial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ommerical Invoice">
      <a:dk1>
        <a:sysClr val="windowText" lastClr="000000"/>
      </a:dk1>
      <a:lt1>
        <a:sysClr val="window" lastClr="FFFFFF"/>
      </a:lt1>
      <a:dk2>
        <a:srgbClr val="735223"/>
      </a:dk2>
      <a:lt2>
        <a:srgbClr val="F0F0F0"/>
      </a:lt2>
      <a:accent1>
        <a:srgbClr val="ACD175"/>
      </a:accent1>
      <a:accent2>
        <a:srgbClr val="CC9D59"/>
      </a:accent2>
      <a:accent3>
        <a:srgbClr val="32A0FF"/>
      </a:accent3>
      <a:accent4>
        <a:srgbClr val="9B9B9B"/>
      </a:accent4>
      <a:accent5>
        <a:srgbClr val="F01414"/>
      </a:accent5>
      <a:accent6>
        <a:srgbClr val="C300DC"/>
      </a:accent6>
      <a:hlink>
        <a:srgbClr val="32A0FF"/>
      </a:hlink>
      <a:folHlink>
        <a:srgbClr val="C300DC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comments" Target="../comments1.xml"/><Relationship Id="rId2" Type="http://schemas.openxmlformats.org/officeDocument/2006/relationships/hyperlink" Target="http://www.tailspintoys.com/" TargetMode="External"/><Relationship Id="rId1" Type="http://schemas.openxmlformats.org/officeDocument/2006/relationships/hyperlink" Target="mailto:CustomerService@tailspintoys.com" TargetMode="External"/><Relationship Id="rId6" Type="http://schemas.openxmlformats.org/officeDocument/2006/relationships/table" Target="../tables/table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anjay@contoso.com" TargetMode="External"/><Relationship Id="rId1" Type="http://schemas.openxmlformats.org/officeDocument/2006/relationships/hyperlink" Target="mailto:marcos@treyresearch.net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theme="4" tint="-0.249977111117893"/>
    <pageSetUpPr autoPageBreaks="0" fitToPage="1"/>
  </sheetPr>
  <dimension ref="A1:L23"/>
  <sheetViews>
    <sheetView showGridLines="0" tabSelected="1" zoomScaleNormal="100" workbookViewId="0">
      <selection activeCell="D7" sqref="D7"/>
    </sheetView>
  </sheetViews>
  <sheetFormatPr defaultColWidth="9.28515625" defaultRowHeight="19.5" customHeight="1" x14ac:dyDescent="0.2"/>
  <cols>
    <col min="1" max="1" width="1.42578125" style="4" customWidth="1"/>
    <col min="2" max="2" width="12" style="4" customWidth="1"/>
    <col min="3" max="3" width="26.42578125" style="4" customWidth="1"/>
    <col min="4" max="4" width="27.140625" style="4" customWidth="1"/>
    <col min="5" max="5" width="9.5703125" style="4" customWidth="1"/>
    <col min="6" max="7" width="18.85546875" style="4" customWidth="1"/>
    <col min="8" max="8" width="17" style="4" customWidth="1"/>
    <col min="9" max="9" width="1.42578125" style="4" customWidth="1"/>
    <col min="10" max="10" width="3.5703125" style="4" customWidth="1"/>
    <col min="11" max="11" width="22.5703125" style="4" customWidth="1"/>
    <col min="12" max="16384" width="9.28515625" style="4"/>
  </cols>
  <sheetData>
    <row r="1" spans="1:12" ht="7.5" customHeight="1" x14ac:dyDescent="0.2"/>
    <row r="2" spans="1:12" ht="19.5" customHeight="1" x14ac:dyDescent="0.2">
      <c r="A2" s="18"/>
      <c r="C2"/>
      <c r="D2" s="21"/>
      <c r="E2"/>
      <c r="F2"/>
      <c r="G2"/>
      <c r="H2" s="23"/>
      <c r="I2" s="4" t="s">
        <v>0</v>
      </c>
    </row>
    <row r="3" spans="1:12" customFormat="1" ht="19.5" customHeight="1" x14ac:dyDescent="0.2">
      <c r="B3" s="52" t="s">
        <v>1</v>
      </c>
      <c r="C3" s="52"/>
      <c r="D3" s="53" t="s">
        <v>2</v>
      </c>
      <c r="E3" s="54"/>
      <c r="F3" s="29" t="s">
        <v>3</v>
      </c>
      <c r="G3" s="16" t="s">
        <v>4</v>
      </c>
      <c r="H3" s="24"/>
    </row>
    <row r="4" spans="1:12" ht="19.5" customHeight="1" x14ac:dyDescent="0.2">
      <c r="B4" s="52"/>
      <c r="C4" s="52"/>
      <c r="D4" s="55" t="s">
        <v>5</v>
      </c>
      <c r="E4" s="56"/>
      <c r="F4" s="29" t="s">
        <v>6</v>
      </c>
      <c r="G4" s="16" t="s">
        <v>7</v>
      </c>
      <c r="H4" s="23"/>
    </row>
    <row r="5" spans="1:12" ht="19.5" customHeight="1" x14ac:dyDescent="0.2">
      <c r="D5" s="22"/>
      <c r="E5"/>
      <c r="G5"/>
      <c r="H5" s="23"/>
    </row>
    <row r="6" spans="1:12" ht="24.75" customHeight="1" x14ac:dyDescent="0.2"/>
    <row r="7" spans="1:12" s="14" customFormat="1" ht="19.5" customHeight="1" x14ac:dyDescent="0.2">
      <c r="B7" s="25" t="s">
        <v>8</v>
      </c>
      <c r="C7" s="28" t="s">
        <v>9</v>
      </c>
      <c r="D7" s="33" t="s">
        <v>10</v>
      </c>
      <c r="E7" s="28" t="str">
        <f>VLOOKUP(NomeDaFatura,ListadeClientes[],8,FALSE)</f>
        <v>0xx19-3555-0123</v>
      </c>
      <c r="G7" s="25" t="s">
        <v>11</v>
      </c>
      <c r="H7" s="26">
        <v>34567</v>
      </c>
      <c r="I7" s="14" t="s">
        <v>0</v>
      </c>
    </row>
    <row r="8" spans="1:12" s="14" customFormat="1" ht="19.5" customHeight="1" x14ac:dyDescent="0.2">
      <c r="B8" s="25" t="s">
        <v>12</v>
      </c>
      <c r="C8" s="28" t="str">
        <f>VLOOKUP(NomeDaFatura,ListadeClientes[],3,FALSE)</f>
        <v>Rua das Cerejeiras, 345</v>
      </c>
      <c r="D8" s="33" t="s">
        <v>13</v>
      </c>
      <c r="E8" s="28" t="str">
        <f>VLOOKUP(NomeDaFatura,ListadeClientes[],10,FALSE)</f>
        <v>071-3555-0124</v>
      </c>
      <c r="G8" s="25" t="s">
        <v>14</v>
      </c>
      <c r="H8" s="27">
        <v>41474</v>
      </c>
    </row>
    <row r="9" spans="1:12" s="14" customFormat="1" ht="19.5" customHeight="1" x14ac:dyDescent="0.2">
      <c r="B9"/>
      <c r="C9" s="28" t="str">
        <f>IF(VLOOKUP(NomeDaFatura,ListadeClientes[],4,FALSE)="",CONCATENATE(VLOOKUP(NomeDaFatura,ListadeClientes[],5,FALSE),", ", VLOOKUP(NomeDaFatura,ListadeClientes[],6,FALSE)," ",VLOOKUP(NomeDaFatura,ListadeClientes[],7,FALSE)),(VLOOKUP(NomeDaFatura,ListadeClientes[],4,FALSE)))</f>
        <v>Grupo 123</v>
      </c>
      <c r="D9" s="33" t="s">
        <v>15</v>
      </c>
      <c r="E9" s="28" t="str">
        <f>VLOOKUP(NomeDaFatura,ListadeClientes[],9,FALSE)</f>
        <v>marcos@treyresearch.net</v>
      </c>
      <c r="F9"/>
      <c r="G9" s="40" t="s">
        <v>16</v>
      </c>
      <c r="H9" s="28" t="str">
        <f>VLOOKUP(NomeDaFatura,ListadeClientes[],2,FALSE)</f>
        <v>Marcos Azevedo</v>
      </c>
    </row>
    <row r="10" spans="1:12" ht="19.5" customHeight="1" x14ac:dyDescent="0.2">
      <c r="B10"/>
      <c r="C10" s="28" t="str">
        <f>IF(VLOOKUP(NomeDaFatura,ListadeClientes[],4,FALSE)="","",CONCATENATE(VLOOKUP(NomeDaFatura,ListadeClientes[],5,FALSE),", ", VLOOKUP(NomeDaFatura,ListadeClientes[],6,FALSE)," ",VLOOKUP(NomeDaFatura,ListadeClientes[],7,FALSE)))</f>
        <v>Campinas, SP 03456-000</v>
      </c>
      <c r="F10" s="9"/>
      <c r="G10" s="13"/>
      <c r="J10" s="44"/>
      <c r="K10" s="44"/>
      <c r="L10" s="44"/>
    </row>
    <row r="11" spans="1:12" ht="19.5" customHeight="1" x14ac:dyDescent="0.2">
      <c r="D11" s="12"/>
      <c r="E11" s="12"/>
      <c r="F11" s="9"/>
      <c r="G11" s="13"/>
      <c r="J11" s="44"/>
      <c r="K11" s="44"/>
      <c r="L11" s="44"/>
    </row>
    <row r="12" spans="1:12" s="5" customFormat="1" ht="19.5" customHeight="1" x14ac:dyDescent="0.2">
      <c r="B12" s="31" t="s">
        <v>17</v>
      </c>
      <c r="C12" s="31" t="s">
        <v>18</v>
      </c>
      <c r="D12" s="19" t="s">
        <v>19</v>
      </c>
      <c r="E12" s="30" t="s">
        <v>20</v>
      </c>
      <c r="F12" s="30" t="s">
        <v>21</v>
      </c>
      <c r="G12" s="30" t="s">
        <v>22</v>
      </c>
      <c r="H12" s="37" t="s">
        <v>23</v>
      </c>
      <c r="J12" s="45"/>
      <c r="K12" s="43"/>
      <c r="L12" s="45"/>
    </row>
    <row r="13" spans="1:12" s="5" customFormat="1" ht="19.5" customHeight="1" x14ac:dyDescent="0.2">
      <c r="B13" s="34">
        <v>41501</v>
      </c>
      <c r="C13" s="20">
        <v>789807</v>
      </c>
      <c r="D13" s="19" t="s">
        <v>24</v>
      </c>
      <c r="E13" s="32">
        <v>4</v>
      </c>
      <c r="F13" s="48">
        <v>10</v>
      </c>
      <c r="G13" s="48">
        <v>2</v>
      </c>
      <c r="H13" s="49">
        <f>IF(AND(ItensdaFatura[[#This Row],[Qtde]]&lt;&gt;"",ItensdaFatura[[#This Row],[Preço Unitário]]&lt;&gt;""),(ItensdaFatura[[#This Row],[Qtde]]*ItensdaFatura[[#This Row],[Preço Unitário]])-ItensdaFatura[[#This Row],[Desconto]],"")</f>
        <v>38</v>
      </c>
      <c r="J13" s="45"/>
      <c r="K13" s="57"/>
      <c r="L13" s="45"/>
    </row>
    <row r="14" spans="1:12" s="5" customFormat="1" ht="19.5" customHeight="1" x14ac:dyDescent="0.2">
      <c r="B14" s="34"/>
      <c r="C14" s="20"/>
      <c r="D14" s="19"/>
      <c r="E14" s="32"/>
      <c r="F14" s="48"/>
      <c r="G14" s="48"/>
      <c r="H14" s="49" t="str">
        <f>IF(AND(ItensdaFatura[[#This Row],[Qtde]]&lt;&gt;"",ItensdaFatura[[#This Row],[Preço Unitário]]&lt;&gt;""),(ItensdaFatura[[#This Row],[Qtde]]*ItensdaFatura[[#This Row],[Preço Unitário]])-ItensdaFatura[[#This Row],[Desconto]],"")</f>
        <v/>
      </c>
      <c r="J14" s="45"/>
      <c r="K14" s="57"/>
      <c r="L14" s="45"/>
    </row>
    <row r="15" spans="1:12" s="5" customFormat="1" ht="19.5" customHeight="1" x14ac:dyDescent="0.2">
      <c r="B15" s="34"/>
      <c r="C15" s="20"/>
      <c r="D15" s="19"/>
      <c r="E15" s="32"/>
      <c r="F15" s="48"/>
      <c r="G15" s="48"/>
      <c r="H15" s="49" t="str">
        <f>IF(AND(ItensdaFatura[[#This Row],[Qtde]]&lt;&gt;"",ItensdaFatura[[#This Row],[Preço Unitário]]&lt;&gt;""),(ItensdaFatura[[#This Row],[Qtde]]*ItensdaFatura[[#This Row],[Preço Unitário]])-ItensdaFatura[[#This Row],[Desconto]],"")</f>
        <v/>
      </c>
      <c r="J15" s="45"/>
      <c r="K15" s="46"/>
      <c r="L15" s="45"/>
    </row>
    <row r="16" spans="1:12" s="5" customFormat="1" ht="19.5" customHeight="1" x14ac:dyDescent="0.2">
      <c r="B16" s="34"/>
      <c r="C16" s="20"/>
      <c r="D16" s="19"/>
      <c r="E16" s="32"/>
      <c r="F16" s="48"/>
      <c r="G16" s="48"/>
      <c r="H16" s="49" t="str">
        <f>IF(AND(ItensdaFatura[[#This Row],[Qtde]]&lt;&gt;"",ItensdaFatura[[#This Row],[Preço Unitário]]&lt;&gt;""),(ItensdaFatura[[#This Row],[Qtde]]*ItensdaFatura[[#This Row],[Preço Unitário]])-ItensdaFatura[[#This Row],[Desconto]],"")</f>
        <v/>
      </c>
      <c r="J16" s="45"/>
      <c r="K16" s="45"/>
      <c r="L16" s="45"/>
    </row>
    <row r="17" spans="2:8" s="5" customFormat="1" ht="19.5" customHeight="1" x14ac:dyDescent="0.2">
      <c r="B17" s="41"/>
      <c r="C17" s="20"/>
      <c r="D17" s="19"/>
      <c r="E17" s="32"/>
      <c r="F17" s="48"/>
      <c r="G17" s="48"/>
      <c r="H17" s="49" t="str">
        <f>IF(AND(ItensdaFatura[[#This Row],[Qtde]]&lt;&gt;"",ItensdaFatura[[#This Row],[Preço Unitário]]&lt;&gt;""),(ItensdaFatura[[#This Row],[Qtde]]*ItensdaFatura[[#This Row],[Preço Unitário]])-ItensdaFatura[[#This Row],[Desconto]],"")</f>
        <v/>
      </c>
    </row>
    <row r="18" spans="2:8" s="5" customFormat="1" ht="19.5" customHeight="1" x14ac:dyDescent="0.2">
      <c r="B18"/>
      <c r="C18"/>
      <c r="D18"/>
      <c r="E18"/>
      <c r="G18" s="35" t="s">
        <v>25</v>
      </c>
      <c r="H18" s="50">
        <f>SUM(ItensdaFatura[Total])</f>
        <v>38</v>
      </c>
    </row>
    <row r="19" spans="2:8" s="5" customFormat="1" ht="19.5" customHeight="1" x14ac:dyDescent="0.2">
      <c r="D19" s="10"/>
      <c r="E19" s="10"/>
      <c r="G19" s="36" t="s">
        <v>26</v>
      </c>
      <c r="H19" s="38">
        <v>8.8999999999999996E-2</v>
      </c>
    </row>
    <row r="20" spans="2:8" ht="19.5" customHeight="1" x14ac:dyDescent="0.2">
      <c r="C20" s="5"/>
      <c r="D20" s="10"/>
      <c r="E20" s="10"/>
      <c r="G20" s="36" t="s">
        <v>27</v>
      </c>
      <c r="H20" s="51">
        <f>SubtotaldaFatura*TaxadeImpostodeVendas</f>
        <v>3.3819999999999997</v>
      </c>
    </row>
    <row r="21" spans="2:8" ht="19.5" customHeight="1" x14ac:dyDescent="0.2">
      <c r="C21" s="5"/>
      <c r="D21" s="10"/>
      <c r="E21" s="10"/>
      <c r="G21" s="36" t="s">
        <v>28</v>
      </c>
      <c r="H21" s="51">
        <v>5</v>
      </c>
    </row>
    <row r="22" spans="2:8" ht="19.5" customHeight="1" x14ac:dyDescent="0.2">
      <c r="B22" s="39" t="str">
        <f>"FAÇA TODOS OS CHEQUES NOMINAIS A "&amp;UPPER(NomedaEmpresa)&amp;"."</f>
        <v>FAÇA TODOS OS CHEQUES NOMINAIS A TAILSPIN TOYS.</v>
      </c>
      <c r="C22" s="11"/>
      <c r="D22" s="5"/>
      <c r="E22" s="5"/>
      <c r="G22" s="36" t="s">
        <v>29</v>
      </c>
      <c r="H22" s="51"/>
    </row>
    <row r="23" spans="2:8" ht="19.5" customHeight="1" x14ac:dyDescent="0.2">
      <c r="B23" s="39" t="s">
        <v>30</v>
      </c>
      <c r="C23"/>
      <c r="D23"/>
      <c r="E23"/>
      <c r="G23" s="36" t="s">
        <v>23</v>
      </c>
      <c r="H23" s="51">
        <f>SubtotaldaFatura+H20+Remessa-Depósito</f>
        <v>46.381999999999998</v>
      </c>
    </row>
  </sheetData>
  <sheetProtection formatCells="0" formatColumns="0" formatRows="0" selectLockedCells="1" sort="0"/>
  <mergeCells count="4">
    <mergeCell ref="B3:C4"/>
    <mergeCell ref="D3:E3"/>
    <mergeCell ref="D4:E4"/>
    <mergeCell ref="K13:K14"/>
  </mergeCells>
  <phoneticPr fontId="1" type="noConversion"/>
  <dataValidations count="1">
    <dataValidation type="list" allowBlank="1" showInputMessage="1" showErrorMessage="1" sqref="C7">
      <formula1>PesquisadeClientes</formula1>
    </dataValidation>
  </dataValidations>
  <hyperlinks>
    <hyperlink ref="G3" r:id="rId1"/>
    <hyperlink ref="G4" r:id="rId2"/>
  </hyperlinks>
  <printOptions horizontalCentered="1"/>
  <pageMargins left="0.25" right="0.25" top="0.75" bottom="0.75" header="0.3" footer="0.3"/>
  <pageSetup paperSize="9" fitToHeight="0" orientation="portrait" horizontalDpi="300" verticalDpi="300" r:id="rId3"/>
  <headerFooter alignWithMargins="0"/>
  <drawing r:id="rId4"/>
  <legacyDrawing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/>
    <pageSetUpPr autoPageBreaks="0" fitToPage="1"/>
  </sheetPr>
  <dimension ref="B1:L5"/>
  <sheetViews>
    <sheetView showGridLines="0" zoomScaleNormal="100" workbookViewId="0"/>
  </sheetViews>
  <sheetFormatPr defaultColWidth="9.28515625" defaultRowHeight="18.75" customHeight="1" x14ac:dyDescent="0.2"/>
  <cols>
    <col min="1" max="1" width="1.42578125" style="1" customWidth="1"/>
    <col min="2" max="2" width="21.7109375" style="1" customWidth="1"/>
    <col min="3" max="3" width="18.85546875" style="1" customWidth="1"/>
    <col min="4" max="4" width="24.85546875" style="1" customWidth="1"/>
    <col min="5" max="5" width="22.28515625" style="1" customWidth="1"/>
    <col min="6" max="6" width="26.7109375" style="1" customWidth="1"/>
    <col min="7" max="7" width="17.28515625" style="1" customWidth="1"/>
    <col min="8" max="8" width="13.42578125" style="1" customWidth="1"/>
    <col min="9" max="9" width="17.42578125" style="2" customWidth="1"/>
    <col min="10" max="10" width="22.5703125" style="1" customWidth="1"/>
    <col min="11" max="11" width="22.7109375" style="1" customWidth="1"/>
    <col min="12" max="12" width="15.28515625" style="3" customWidth="1"/>
    <col min="13" max="16384" width="9.28515625" style="1"/>
  </cols>
  <sheetData>
    <row r="1" spans="2:11" ht="33" customHeight="1" x14ac:dyDescent="0.2">
      <c r="B1" s="15" t="s">
        <v>31</v>
      </c>
      <c r="C1" s="3"/>
      <c r="D1" s="3"/>
      <c r="E1" s="3"/>
      <c r="F1" s="3"/>
      <c r="G1" s="3"/>
      <c r="H1" s="3"/>
      <c r="J1" s="3"/>
      <c r="K1" s="3"/>
    </row>
    <row r="2" spans="2:11" customFormat="1" ht="12.75" x14ac:dyDescent="0.2"/>
    <row r="3" spans="2:11" s="47" customFormat="1" ht="21.75" customHeight="1" x14ac:dyDescent="0.2"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  <c r="J3" s="6" t="s">
        <v>40</v>
      </c>
      <c r="K3" s="6" t="s">
        <v>41</v>
      </c>
    </row>
    <row r="4" spans="2:11" ht="18.75" customHeight="1" x14ac:dyDescent="0.2">
      <c r="B4" s="7" t="s">
        <v>9</v>
      </c>
      <c r="C4" s="7" t="s">
        <v>42</v>
      </c>
      <c r="D4" s="7" t="s">
        <v>43</v>
      </c>
      <c r="E4" s="7" t="s">
        <v>44</v>
      </c>
      <c r="F4" s="7" t="s">
        <v>45</v>
      </c>
      <c r="G4" s="7" t="s">
        <v>46</v>
      </c>
      <c r="H4" s="42" t="s">
        <v>47</v>
      </c>
      <c r="I4" s="8" t="s">
        <v>48</v>
      </c>
      <c r="J4" s="17" t="s">
        <v>49</v>
      </c>
      <c r="K4" s="8" t="s">
        <v>50</v>
      </c>
    </row>
    <row r="5" spans="2:11" ht="18.75" customHeight="1" x14ac:dyDescent="0.2">
      <c r="B5" s="7" t="s">
        <v>51</v>
      </c>
      <c r="C5" s="7" t="s">
        <v>52</v>
      </c>
      <c r="D5" s="7" t="s">
        <v>53</v>
      </c>
      <c r="E5" s="7"/>
      <c r="F5" s="7" t="s">
        <v>54</v>
      </c>
      <c r="G5" s="7" t="s">
        <v>55</v>
      </c>
      <c r="H5" s="42" t="s">
        <v>56</v>
      </c>
      <c r="I5" s="8" t="s">
        <v>57</v>
      </c>
      <c r="J5" s="17" t="s">
        <v>58</v>
      </c>
      <c r="K5" s="8" t="s">
        <v>59</v>
      </c>
    </row>
  </sheetData>
  <sheetProtection formatCells="0" formatColumns="0" formatRows="0" insertColumns="0" insertRows="0" insertHyperlinks="0" deleteColumns="0" deleteRows="0" selectLockedCells="1" sort="0" autoFilter="0" pivotTables="0"/>
  <hyperlinks>
    <hyperlink ref="J4" r:id="rId1"/>
    <hyperlink ref="J5" r:id="rId2"/>
  </hyperlinks>
  <printOptions horizontalCentered="1"/>
  <pageMargins left="0.25" right="0.25" top="0.75" bottom="0.75" header="0.3" footer="0.3"/>
  <pageSetup paperSize="9" fitToHeight="0" orientation="landscape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11</vt:i4>
      </vt:variant>
    </vt:vector>
  </HeadingPairs>
  <TitlesOfParts>
    <vt:vector size="13" baseType="lpstr">
      <vt:lpstr>Fatura</vt:lpstr>
      <vt:lpstr>Clientes</vt:lpstr>
      <vt:lpstr>Fatura!Area_de_impressao</vt:lpstr>
      <vt:lpstr>Depósito</vt:lpstr>
      <vt:lpstr>ImpostosobreVendas</vt:lpstr>
      <vt:lpstr>NomedaEmpresa</vt:lpstr>
      <vt:lpstr>NomeDaFatura</vt:lpstr>
      <vt:lpstr>PesquisadeClientes</vt:lpstr>
      <vt:lpstr>Remessa</vt:lpstr>
      <vt:lpstr>SubtotaldaFatura</vt:lpstr>
      <vt:lpstr>TaxadeImpostodeVendas</vt:lpstr>
      <vt:lpstr>Clientes!Titulos_de_impressao</vt:lpstr>
      <vt:lpstr>Fatura!Titulos_de_impressao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2013-08-22T20:48:58Z</dcterms:created>
  <dcterms:modified xsi:type="dcterms:W3CDTF">2017-02-17T03:43:13Z</dcterms:modified>
</cp:coreProperties>
</file>