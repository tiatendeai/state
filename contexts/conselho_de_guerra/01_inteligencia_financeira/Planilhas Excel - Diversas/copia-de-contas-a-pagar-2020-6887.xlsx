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orge Silva\Desktop\"/>
    </mc:Choice>
  </mc:AlternateContent>
  <xr:revisionPtr revIDLastSave="0" documentId="8_{F7647484-22D5-4213-878E-9E03FDF58691}" xr6:coauthVersionLast="45" xr6:coauthVersionMax="45" xr10:uidLastSave="{00000000-0000-0000-0000-000000000000}"/>
  <bookViews>
    <workbookView xWindow="-120" yWindow="-120" windowWidth="20730" windowHeight="11160" xr2:uid="{40A4EE4B-7D34-4438-BC78-D7F128F1A9A3}"/>
  </bookViews>
  <sheets>
    <sheet name="DEZ.19" sheetId="8" r:id="rId1"/>
    <sheet name="Jan" sheetId="1" r:id="rId2"/>
    <sheet name="Fev" sheetId="6" r:id="rId3"/>
    <sheet name="Mar" sheetId="7" r:id="rId4"/>
  </sheets>
  <definedNames>
    <definedName name="_xlnm._FilterDatabase" localSheetId="0" hidden="1">DEZ.19!$C$14:$K$14</definedName>
    <definedName name="_xlnm._FilterDatabase" localSheetId="2" hidden="1">Fev!$C$14:$K$14</definedName>
    <definedName name="_xlnm._FilterDatabase" localSheetId="1" hidden="1">Jan!$C$14:$K$14</definedName>
    <definedName name="_xlnm._FilterDatabase" localSheetId="3" hidden="1">Mar!$C$14:$K$14</definedName>
    <definedName name="_xlnm.Print_Area" localSheetId="0">DEZ.19!$C$2:$H$74</definedName>
    <definedName name="_xlnm.Print_Area" localSheetId="2">Fev!$C$2:$H$75</definedName>
    <definedName name="_xlnm.Print_Area" localSheetId="1">Jan!$C$2:$H$74</definedName>
    <definedName name="_xlnm.Print_Area" localSheetId="3">Mar!$C$2:$H$74</definedName>
    <definedName name="Tabela2" localSheetId="0">DEZ.19!$C$15:$K$74</definedName>
    <definedName name="Tabela2" localSheetId="2">Fev!$C$15:$K$75</definedName>
    <definedName name="Tabela2" localSheetId="3">Mar!$C$15:$K$74</definedName>
    <definedName name="Tabela2">Jan!$C$15:$K$74</definedName>
    <definedName name="_xlnm.Print_Titles" localSheetId="0">DEZ.19!$2:$14</definedName>
    <definedName name="_xlnm.Print_Titles" localSheetId="2">Fev!$2:$14</definedName>
    <definedName name="_xlnm.Print_Titles" localSheetId="1">Jan!$2:$14</definedName>
    <definedName name="_xlnm.Print_Titles" localSheetId="3">Mar!$2:$14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21" i="6" l="1"/>
  <c r="J21" i="6"/>
  <c r="K21" i="1" l="1"/>
  <c r="J21" i="1"/>
  <c r="I21" i="1"/>
  <c r="K20" i="1"/>
  <c r="J20" i="1"/>
  <c r="I20" i="1"/>
  <c r="K19" i="1"/>
  <c r="J19" i="1"/>
  <c r="I19" i="1"/>
  <c r="K18" i="1"/>
  <c r="J18" i="1"/>
  <c r="I18" i="1"/>
  <c r="K17" i="1"/>
  <c r="J17" i="1"/>
  <c r="I17" i="1"/>
  <c r="K16" i="1"/>
  <c r="J16" i="1"/>
  <c r="I16" i="1"/>
  <c r="K15" i="1"/>
  <c r="J15" i="1"/>
  <c r="I15" i="1"/>
  <c r="K775" i="8"/>
  <c r="J775" i="8"/>
  <c r="I775" i="8"/>
  <c r="K774" i="8"/>
  <c r="J774" i="8"/>
  <c r="I774" i="8"/>
  <c r="K773" i="8"/>
  <c r="J773" i="8"/>
  <c r="I773" i="8"/>
  <c r="K772" i="8"/>
  <c r="J772" i="8"/>
  <c r="I772" i="8"/>
  <c r="K771" i="8"/>
  <c r="J771" i="8"/>
  <c r="I771" i="8"/>
  <c r="K770" i="8"/>
  <c r="J770" i="8"/>
  <c r="I770" i="8"/>
  <c r="K769" i="8"/>
  <c r="J769" i="8"/>
  <c r="I769" i="8"/>
  <c r="K768" i="8"/>
  <c r="J768" i="8"/>
  <c r="I768" i="8"/>
  <c r="K767" i="8"/>
  <c r="J767" i="8"/>
  <c r="I767" i="8"/>
  <c r="K766" i="8"/>
  <c r="J766" i="8"/>
  <c r="I766" i="8"/>
  <c r="K765" i="8"/>
  <c r="J765" i="8"/>
  <c r="I765" i="8"/>
  <c r="K764" i="8"/>
  <c r="J764" i="8"/>
  <c r="I764" i="8"/>
  <c r="K763" i="8"/>
  <c r="J763" i="8"/>
  <c r="I763" i="8"/>
  <c r="K762" i="8"/>
  <c r="J762" i="8"/>
  <c r="I762" i="8"/>
  <c r="K761" i="8"/>
  <c r="J761" i="8"/>
  <c r="I761" i="8"/>
  <c r="K760" i="8"/>
  <c r="J760" i="8"/>
  <c r="I760" i="8"/>
  <c r="K759" i="8"/>
  <c r="J759" i="8"/>
  <c r="I759" i="8"/>
  <c r="K758" i="8"/>
  <c r="J758" i="8"/>
  <c r="I758" i="8"/>
  <c r="K757" i="8"/>
  <c r="J757" i="8"/>
  <c r="I757" i="8"/>
  <c r="K756" i="8"/>
  <c r="J756" i="8"/>
  <c r="I756" i="8"/>
  <c r="K755" i="8"/>
  <c r="J755" i="8"/>
  <c r="I755" i="8"/>
  <c r="K754" i="8"/>
  <c r="J754" i="8"/>
  <c r="I754" i="8"/>
  <c r="K753" i="8"/>
  <c r="J753" i="8"/>
  <c r="I753" i="8"/>
  <c r="K752" i="8"/>
  <c r="J752" i="8"/>
  <c r="I752" i="8"/>
  <c r="K751" i="8"/>
  <c r="J751" i="8"/>
  <c r="I751" i="8"/>
  <c r="K750" i="8"/>
  <c r="J750" i="8"/>
  <c r="I750" i="8"/>
  <c r="K749" i="8"/>
  <c r="J749" i="8"/>
  <c r="I749" i="8"/>
  <c r="K748" i="8"/>
  <c r="J748" i="8"/>
  <c r="I748" i="8"/>
  <c r="K747" i="8"/>
  <c r="J747" i="8"/>
  <c r="I747" i="8"/>
  <c r="K746" i="8"/>
  <c r="J746" i="8"/>
  <c r="I746" i="8"/>
  <c r="K745" i="8"/>
  <c r="J745" i="8"/>
  <c r="I745" i="8"/>
  <c r="K744" i="8"/>
  <c r="J744" i="8"/>
  <c r="I744" i="8"/>
  <c r="K743" i="8"/>
  <c r="J743" i="8"/>
  <c r="I743" i="8"/>
  <c r="K742" i="8"/>
  <c r="J742" i="8"/>
  <c r="I742" i="8"/>
  <c r="K741" i="8"/>
  <c r="J741" i="8"/>
  <c r="I741" i="8"/>
  <c r="K740" i="8"/>
  <c r="J740" i="8"/>
  <c r="I740" i="8"/>
  <c r="K739" i="8"/>
  <c r="J739" i="8"/>
  <c r="I739" i="8"/>
  <c r="K738" i="8"/>
  <c r="J738" i="8"/>
  <c r="I738" i="8"/>
  <c r="K737" i="8"/>
  <c r="J737" i="8"/>
  <c r="I737" i="8"/>
  <c r="K736" i="8"/>
  <c r="J736" i="8"/>
  <c r="I736" i="8"/>
  <c r="K735" i="8"/>
  <c r="J735" i="8"/>
  <c r="I735" i="8"/>
  <c r="K734" i="8"/>
  <c r="J734" i="8"/>
  <c r="I734" i="8"/>
  <c r="K733" i="8"/>
  <c r="J733" i="8"/>
  <c r="I733" i="8"/>
  <c r="K732" i="8"/>
  <c r="J732" i="8"/>
  <c r="I732" i="8"/>
  <c r="K731" i="8"/>
  <c r="J731" i="8"/>
  <c r="I731" i="8"/>
  <c r="K730" i="8"/>
  <c r="J730" i="8"/>
  <c r="I730" i="8"/>
  <c r="K729" i="8"/>
  <c r="J729" i="8"/>
  <c r="I729" i="8"/>
  <c r="K728" i="8"/>
  <c r="J728" i="8"/>
  <c r="I728" i="8"/>
  <c r="K727" i="8"/>
  <c r="J727" i="8"/>
  <c r="I727" i="8"/>
  <c r="K726" i="8"/>
  <c r="J726" i="8"/>
  <c r="I726" i="8"/>
  <c r="K725" i="8"/>
  <c r="J725" i="8"/>
  <c r="I725" i="8"/>
  <c r="K724" i="8"/>
  <c r="J724" i="8"/>
  <c r="I724" i="8"/>
  <c r="K723" i="8"/>
  <c r="J723" i="8"/>
  <c r="I723" i="8"/>
  <c r="K722" i="8"/>
  <c r="J722" i="8"/>
  <c r="I722" i="8"/>
  <c r="K721" i="8"/>
  <c r="J721" i="8"/>
  <c r="I721" i="8"/>
  <c r="K720" i="8"/>
  <c r="J720" i="8"/>
  <c r="I720" i="8"/>
  <c r="K719" i="8"/>
  <c r="J719" i="8"/>
  <c r="I719" i="8"/>
  <c r="K718" i="8"/>
  <c r="J718" i="8"/>
  <c r="I718" i="8"/>
  <c r="K717" i="8"/>
  <c r="J717" i="8"/>
  <c r="I717" i="8"/>
  <c r="K716" i="8"/>
  <c r="J716" i="8"/>
  <c r="I716" i="8"/>
  <c r="K715" i="8"/>
  <c r="J715" i="8"/>
  <c r="I715" i="8"/>
  <c r="K714" i="8"/>
  <c r="J714" i="8"/>
  <c r="I714" i="8"/>
  <c r="K713" i="8"/>
  <c r="J713" i="8"/>
  <c r="I713" i="8"/>
  <c r="K712" i="8"/>
  <c r="J712" i="8"/>
  <c r="I712" i="8"/>
  <c r="K711" i="8"/>
  <c r="J711" i="8"/>
  <c r="I711" i="8"/>
  <c r="K710" i="8"/>
  <c r="J710" i="8"/>
  <c r="I710" i="8"/>
  <c r="K709" i="8"/>
  <c r="J709" i="8"/>
  <c r="I709" i="8"/>
  <c r="K708" i="8"/>
  <c r="J708" i="8"/>
  <c r="I708" i="8"/>
  <c r="K707" i="8"/>
  <c r="J707" i="8"/>
  <c r="I707" i="8"/>
  <c r="K706" i="8"/>
  <c r="J706" i="8"/>
  <c r="I706" i="8"/>
  <c r="K705" i="8"/>
  <c r="J705" i="8"/>
  <c r="I705" i="8"/>
  <c r="K704" i="8"/>
  <c r="J704" i="8"/>
  <c r="I704" i="8"/>
  <c r="K703" i="8"/>
  <c r="J703" i="8"/>
  <c r="I703" i="8"/>
  <c r="K702" i="8"/>
  <c r="J702" i="8"/>
  <c r="I702" i="8"/>
  <c r="K701" i="8"/>
  <c r="J701" i="8"/>
  <c r="I701" i="8"/>
  <c r="K700" i="8"/>
  <c r="J700" i="8"/>
  <c r="I700" i="8"/>
  <c r="K699" i="8"/>
  <c r="J699" i="8"/>
  <c r="I699" i="8"/>
  <c r="K698" i="8"/>
  <c r="J698" i="8"/>
  <c r="I698" i="8"/>
  <c r="K697" i="8"/>
  <c r="J697" i="8"/>
  <c r="I697" i="8"/>
  <c r="K696" i="8"/>
  <c r="J696" i="8"/>
  <c r="I696" i="8"/>
  <c r="K695" i="8"/>
  <c r="J695" i="8"/>
  <c r="I695" i="8"/>
  <c r="K694" i="8"/>
  <c r="J694" i="8"/>
  <c r="I694" i="8"/>
  <c r="K693" i="8"/>
  <c r="J693" i="8"/>
  <c r="I693" i="8"/>
  <c r="K692" i="8"/>
  <c r="J692" i="8"/>
  <c r="I692" i="8"/>
  <c r="K691" i="8"/>
  <c r="J691" i="8"/>
  <c r="I691" i="8"/>
  <c r="K690" i="8"/>
  <c r="J690" i="8"/>
  <c r="I690" i="8"/>
  <c r="K689" i="8"/>
  <c r="J689" i="8"/>
  <c r="I689" i="8"/>
  <c r="K688" i="8"/>
  <c r="J688" i="8"/>
  <c r="I688" i="8"/>
  <c r="K687" i="8"/>
  <c r="J687" i="8"/>
  <c r="I687" i="8"/>
  <c r="K686" i="8"/>
  <c r="J686" i="8"/>
  <c r="I686" i="8"/>
  <c r="K685" i="8"/>
  <c r="J685" i="8"/>
  <c r="I685" i="8"/>
  <c r="K684" i="8"/>
  <c r="J684" i="8"/>
  <c r="I684" i="8"/>
  <c r="K683" i="8"/>
  <c r="J683" i="8"/>
  <c r="I683" i="8"/>
  <c r="K682" i="8"/>
  <c r="J682" i="8"/>
  <c r="I682" i="8"/>
  <c r="K681" i="8"/>
  <c r="J681" i="8"/>
  <c r="I681" i="8"/>
  <c r="K680" i="8"/>
  <c r="J680" i="8"/>
  <c r="I680" i="8"/>
  <c r="K679" i="8"/>
  <c r="J679" i="8"/>
  <c r="I679" i="8"/>
  <c r="K678" i="8"/>
  <c r="J678" i="8"/>
  <c r="I678" i="8"/>
  <c r="K677" i="8"/>
  <c r="J677" i="8"/>
  <c r="I677" i="8"/>
  <c r="K676" i="8"/>
  <c r="J676" i="8"/>
  <c r="I676" i="8"/>
  <c r="K675" i="8"/>
  <c r="J675" i="8"/>
  <c r="I675" i="8"/>
  <c r="K674" i="8"/>
  <c r="J674" i="8"/>
  <c r="I674" i="8"/>
  <c r="K673" i="8"/>
  <c r="J673" i="8"/>
  <c r="I673" i="8"/>
  <c r="K672" i="8"/>
  <c r="J672" i="8"/>
  <c r="I672" i="8"/>
  <c r="K671" i="8"/>
  <c r="J671" i="8"/>
  <c r="I671" i="8"/>
  <c r="K670" i="8"/>
  <c r="J670" i="8"/>
  <c r="I670" i="8"/>
  <c r="K669" i="8"/>
  <c r="J669" i="8"/>
  <c r="I669" i="8"/>
  <c r="K668" i="8"/>
  <c r="J668" i="8"/>
  <c r="I668" i="8"/>
  <c r="K667" i="8"/>
  <c r="J667" i="8"/>
  <c r="I667" i="8"/>
  <c r="K666" i="8"/>
  <c r="J666" i="8"/>
  <c r="I666" i="8"/>
  <c r="K665" i="8"/>
  <c r="J665" i="8"/>
  <c r="I665" i="8"/>
  <c r="K664" i="8"/>
  <c r="J664" i="8"/>
  <c r="I664" i="8"/>
  <c r="K663" i="8"/>
  <c r="J663" i="8"/>
  <c r="I663" i="8"/>
  <c r="K662" i="8"/>
  <c r="J662" i="8"/>
  <c r="I662" i="8"/>
  <c r="K661" i="8"/>
  <c r="J661" i="8"/>
  <c r="I661" i="8"/>
  <c r="K660" i="8"/>
  <c r="J660" i="8"/>
  <c r="I660" i="8"/>
  <c r="K659" i="8"/>
  <c r="J659" i="8"/>
  <c r="I659" i="8"/>
  <c r="K658" i="8"/>
  <c r="J658" i="8"/>
  <c r="I658" i="8"/>
  <c r="K657" i="8"/>
  <c r="J657" i="8"/>
  <c r="I657" i="8"/>
  <c r="K656" i="8"/>
  <c r="J656" i="8"/>
  <c r="I656" i="8"/>
  <c r="K655" i="8"/>
  <c r="J655" i="8"/>
  <c r="I655" i="8"/>
  <c r="K654" i="8"/>
  <c r="J654" i="8"/>
  <c r="I654" i="8"/>
  <c r="K653" i="8"/>
  <c r="J653" i="8"/>
  <c r="I653" i="8"/>
  <c r="K652" i="8"/>
  <c r="J652" i="8"/>
  <c r="I652" i="8"/>
  <c r="K651" i="8"/>
  <c r="J651" i="8"/>
  <c r="I651" i="8"/>
  <c r="K650" i="8"/>
  <c r="J650" i="8"/>
  <c r="I650" i="8"/>
  <c r="K649" i="8"/>
  <c r="J649" i="8"/>
  <c r="I649" i="8"/>
  <c r="K648" i="8"/>
  <c r="J648" i="8"/>
  <c r="I648" i="8"/>
  <c r="K647" i="8"/>
  <c r="J647" i="8"/>
  <c r="I647" i="8"/>
  <c r="K646" i="8"/>
  <c r="J646" i="8"/>
  <c r="I646" i="8"/>
  <c r="K645" i="8"/>
  <c r="J645" i="8"/>
  <c r="I645" i="8"/>
  <c r="K644" i="8"/>
  <c r="J644" i="8"/>
  <c r="I644" i="8"/>
  <c r="K643" i="8"/>
  <c r="J643" i="8"/>
  <c r="I643" i="8"/>
  <c r="K642" i="8"/>
  <c r="J642" i="8"/>
  <c r="I642" i="8"/>
  <c r="K641" i="8"/>
  <c r="J641" i="8"/>
  <c r="I641" i="8"/>
  <c r="K640" i="8"/>
  <c r="J640" i="8"/>
  <c r="I640" i="8"/>
  <c r="K639" i="8"/>
  <c r="J639" i="8"/>
  <c r="I639" i="8"/>
  <c r="K638" i="8"/>
  <c r="J638" i="8"/>
  <c r="I638" i="8"/>
  <c r="K637" i="8"/>
  <c r="J637" i="8"/>
  <c r="I637" i="8"/>
  <c r="K636" i="8"/>
  <c r="J636" i="8"/>
  <c r="I636" i="8"/>
  <c r="K635" i="8"/>
  <c r="J635" i="8"/>
  <c r="I635" i="8"/>
  <c r="K634" i="8"/>
  <c r="J634" i="8"/>
  <c r="I634" i="8"/>
  <c r="K633" i="8"/>
  <c r="J633" i="8"/>
  <c r="I633" i="8"/>
  <c r="K632" i="8"/>
  <c r="J632" i="8"/>
  <c r="I632" i="8"/>
  <c r="K631" i="8"/>
  <c r="J631" i="8"/>
  <c r="I631" i="8"/>
  <c r="K630" i="8"/>
  <c r="J630" i="8"/>
  <c r="I630" i="8"/>
  <c r="K629" i="8"/>
  <c r="J629" i="8"/>
  <c r="I629" i="8"/>
  <c r="K628" i="8"/>
  <c r="J628" i="8"/>
  <c r="I628" i="8"/>
  <c r="K627" i="8"/>
  <c r="J627" i="8"/>
  <c r="I627" i="8"/>
  <c r="K626" i="8"/>
  <c r="J626" i="8"/>
  <c r="I626" i="8"/>
  <c r="K625" i="8"/>
  <c r="J625" i="8"/>
  <c r="I625" i="8"/>
  <c r="K624" i="8"/>
  <c r="J624" i="8"/>
  <c r="I624" i="8"/>
  <c r="K623" i="8"/>
  <c r="J623" i="8"/>
  <c r="I623" i="8"/>
  <c r="K622" i="8"/>
  <c r="J622" i="8"/>
  <c r="I622" i="8"/>
  <c r="K621" i="8"/>
  <c r="J621" i="8"/>
  <c r="I621" i="8"/>
  <c r="K620" i="8"/>
  <c r="J620" i="8"/>
  <c r="I620" i="8"/>
  <c r="K619" i="8"/>
  <c r="J619" i="8"/>
  <c r="I619" i="8"/>
  <c r="K618" i="8"/>
  <c r="J618" i="8"/>
  <c r="I618" i="8"/>
  <c r="K617" i="8"/>
  <c r="J617" i="8"/>
  <c r="I617" i="8"/>
  <c r="K616" i="8"/>
  <c r="J616" i="8"/>
  <c r="I616" i="8"/>
  <c r="K615" i="8"/>
  <c r="J615" i="8"/>
  <c r="I615" i="8"/>
  <c r="K614" i="8"/>
  <c r="J614" i="8"/>
  <c r="I614" i="8"/>
  <c r="K613" i="8"/>
  <c r="J613" i="8"/>
  <c r="I613" i="8"/>
  <c r="K612" i="8"/>
  <c r="J612" i="8"/>
  <c r="I612" i="8"/>
  <c r="K611" i="8"/>
  <c r="J611" i="8"/>
  <c r="I611" i="8"/>
  <c r="K610" i="8"/>
  <c r="J610" i="8"/>
  <c r="I610" i="8"/>
  <c r="K609" i="8"/>
  <c r="J609" i="8"/>
  <c r="I609" i="8"/>
  <c r="K608" i="8"/>
  <c r="J608" i="8"/>
  <c r="I608" i="8"/>
  <c r="K607" i="8"/>
  <c r="J607" i="8"/>
  <c r="I607" i="8"/>
  <c r="K606" i="8"/>
  <c r="J606" i="8"/>
  <c r="I606" i="8"/>
  <c r="K605" i="8"/>
  <c r="J605" i="8"/>
  <c r="I605" i="8"/>
  <c r="K604" i="8"/>
  <c r="J604" i="8"/>
  <c r="I604" i="8"/>
  <c r="K603" i="8"/>
  <c r="J603" i="8"/>
  <c r="I603" i="8"/>
  <c r="K602" i="8"/>
  <c r="J602" i="8"/>
  <c r="I602" i="8"/>
  <c r="K601" i="8"/>
  <c r="J601" i="8"/>
  <c r="I601" i="8"/>
  <c r="K600" i="8"/>
  <c r="J600" i="8"/>
  <c r="I600" i="8"/>
  <c r="K599" i="8"/>
  <c r="J599" i="8"/>
  <c r="I599" i="8"/>
  <c r="K598" i="8"/>
  <c r="J598" i="8"/>
  <c r="I598" i="8"/>
  <c r="K597" i="8"/>
  <c r="J597" i="8"/>
  <c r="I597" i="8"/>
  <c r="K596" i="8"/>
  <c r="J596" i="8"/>
  <c r="I596" i="8"/>
  <c r="K595" i="8"/>
  <c r="J595" i="8"/>
  <c r="I595" i="8"/>
  <c r="K594" i="8"/>
  <c r="J594" i="8"/>
  <c r="I594" i="8"/>
  <c r="K593" i="8"/>
  <c r="J593" i="8"/>
  <c r="I593" i="8"/>
  <c r="K592" i="8"/>
  <c r="J592" i="8"/>
  <c r="I592" i="8"/>
  <c r="K591" i="8"/>
  <c r="J591" i="8"/>
  <c r="I591" i="8"/>
  <c r="K590" i="8"/>
  <c r="J590" i="8"/>
  <c r="I590" i="8"/>
  <c r="K589" i="8"/>
  <c r="J589" i="8"/>
  <c r="I589" i="8"/>
  <c r="K588" i="8"/>
  <c r="J588" i="8"/>
  <c r="I588" i="8"/>
  <c r="K587" i="8"/>
  <c r="J587" i="8"/>
  <c r="I587" i="8"/>
  <c r="K586" i="8"/>
  <c r="J586" i="8"/>
  <c r="I586" i="8"/>
  <c r="K585" i="8"/>
  <c r="J585" i="8"/>
  <c r="I585" i="8"/>
  <c r="K584" i="8"/>
  <c r="J584" i="8"/>
  <c r="I584" i="8"/>
  <c r="K583" i="8"/>
  <c r="J583" i="8"/>
  <c r="I583" i="8"/>
  <c r="K582" i="8"/>
  <c r="J582" i="8"/>
  <c r="I582" i="8"/>
  <c r="K581" i="8"/>
  <c r="J581" i="8"/>
  <c r="I581" i="8"/>
  <c r="K580" i="8"/>
  <c r="J580" i="8"/>
  <c r="I580" i="8"/>
  <c r="K579" i="8"/>
  <c r="J579" i="8"/>
  <c r="I579" i="8"/>
  <c r="K578" i="8"/>
  <c r="J578" i="8"/>
  <c r="I578" i="8"/>
  <c r="K577" i="8"/>
  <c r="J577" i="8"/>
  <c r="I577" i="8"/>
  <c r="K576" i="8"/>
  <c r="J576" i="8"/>
  <c r="I576" i="8"/>
  <c r="K575" i="8"/>
  <c r="J575" i="8"/>
  <c r="I575" i="8"/>
  <c r="K574" i="8"/>
  <c r="J574" i="8"/>
  <c r="I574" i="8"/>
  <c r="K573" i="8"/>
  <c r="J573" i="8"/>
  <c r="I573" i="8"/>
  <c r="K572" i="8"/>
  <c r="J572" i="8"/>
  <c r="I572" i="8"/>
  <c r="K571" i="8"/>
  <c r="J571" i="8"/>
  <c r="I571" i="8"/>
  <c r="K570" i="8"/>
  <c r="J570" i="8"/>
  <c r="I570" i="8"/>
  <c r="K569" i="8"/>
  <c r="J569" i="8"/>
  <c r="I569" i="8"/>
  <c r="K568" i="8"/>
  <c r="J568" i="8"/>
  <c r="I568" i="8"/>
  <c r="K567" i="8"/>
  <c r="J567" i="8"/>
  <c r="I567" i="8"/>
  <c r="K566" i="8"/>
  <c r="J566" i="8"/>
  <c r="I566" i="8"/>
  <c r="K565" i="8"/>
  <c r="J565" i="8"/>
  <c r="I565" i="8"/>
  <c r="K564" i="8"/>
  <c r="J564" i="8"/>
  <c r="I564" i="8"/>
  <c r="K563" i="8"/>
  <c r="J563" i="8"/>
  <c r="I563" i="8"/>
  <c r="K562" i="8"/>
  <c r="J562" i="8"/>
  <c r="I562" i="8"/>
  <c r="K561" i="8"/>
  <c r="J561" i="8"/>
  <c r="I561" i="8"/>
  <c r="K560" i="8"/>
  <c r="J560" i="8"/>
  <c r="I560" i="8"/>
  <c r="K559" i="8"/>
  <c r="J559" i="8"/>
  <c r="I559" i="8"/>
  <c r="K558" i="8"/>
  <c r="J558" i="8"/>
  <c r="I558" i="8"/>
  <c r="K557" i="8"/>
  <c r="J557" i="8"/>
  <c r="I557" i="8"/>
  <c r="K556" i="8"/>
  <c r="J556" i="8"/>
  <c r="I556" i="8"/>
  <c r="K555" i="8"/>
  <c r="J555" i="8"/>
  <c r="I555" i="8"/>
  <c r="K554" i="8"/>
  <c r="J554" i="8"/>
  <c r="I554" i="8"/>
  <c r="K553" i="8"/>
  <c r="J553" i="8"/>
  <c r="I553" i="8"/>
  <c r="K552" i="8"/>
  <c r="J552" i="8"/>
  <c r="I552" i="8"/>
  <c r="K551" i="8"/>
  <c r="J551" i="8"/>
  <c r="I551" i="8"/>
  <c r="K550" i="8"/>
  <c r="J550" i="8"/>
  <c r="I550" i="8"/>
  <c r="K549" i="8"/>
  <c r="J549" i="8"/>
  <c r="I549" i="8"/>
  <c r="K548" i="8"/>
  <c r="J548" i="8"/>
  <c r="I548" i="8"/>
  <c r="K547" i="8"/>
  <c r="J547" i="8"/>
  <c r="I547" i="8"/>
  <c r="K546" i="8"/>
  <c r="J546" i="8"/>
  <c r="I546" i="8"/>
  <c r="K545" i="8"/>
  <c r="J545" i="8"/>
  <c r="I545" i="8"/>
  <c r="K544" i="8"/>
  <c r="J544" i="8"/>
  <c r="I544" i="8"/>
  <c r="K543" i="8"/>
  <c r="J543" i="8"/>
  <c r="I543" i="8"/>
  <c r="K542" i="8"/>
  <c r="J542" i="8"/>
  <c r="I542" i="8"/>
  <c r="K541" i="8"/>
  <c r="J541" i="8"/>
  <c r="I541" i="8"/>
  <c r="K540" i="8"/>
  <c r="J540" i="8"/>
  <c r="I540" i="8"/>
  <c r="K539" i="8"/>
  <c r="J539" i="8"/>
  <c r="I539" i="8"/>
  <c r="K538" i="8"/>
  <c r="J538" i="8"/>
  <c r="I538" i="8"/>
  <c r="K537" i="8"/>
  <c r="J537" i="8"/>
  <c r="I537" i="8"/>
  <c r="K536" i="8"/>
  <c r="J536" i="8"/>
  <c r="I536" i="8"/>
  <c r="K535" i="8"/>
  <c r="J535" i="8"/>
  <c r="I535" i="8"/>
  <c r="K534" i="8"/>
  <c r="J534" i="8"/>
  <c r="I534" i="8"/>
  <c r="K533" i="8"/>
  <c r="J533" i="8"/>
  <c r="I533" i="8"/>
  <c r="K532" i="8"/>
  <c r="J532" i="8"/>
  <c r="I532" i="8"/>
  <c r="K531" i="8"/>
  <c r="J531" i="8"/>
  <c r="I531" i="8"/>
  <c r="K530" i="8"/>
  <c r="J530" i="8"/>
  <c r="I530" i="8"/>
  <c r="K529" i="8"/>
  <c r="J529" i="8"/>
  <c r="I529" i="8"/>
  <c r="K528" i="8"/>
  <c r="J528" i="8"/>
  <c r="I528" i="8"/>
  <c r="K527" i="8"/>
  <c r="J527" i="8"/>
  <c r="I527" i="8"/>
  <c r="K526" i="8"/>
  <c r="J526" i="8"/>
  <c r="I526" i="8"/>
  <c r="K525" i="8"/>
  <c r="J525" i="8"/>
  <c r="I525" i="8"/>
  <c r="K524" i="8"/>
  <c r="J524" i="8"/>
  <c r="I524" i="8"/>
  <c r="K523" i="8"/>
  <c r="J523" i="8"/>
  <c r="I523" i="8"/>
  <c r="K522" i="8"/>
  <c r="J522" i="8"/>
  <c r="I522" i="8"/>
  <c r="K521" i="8"/>
  <c r="J521" i="8"/>
  <c r="I521" i="8"/>
  <c r="K520" i="8"/>
  <c r="J520" i="8"/>
  <c r="I520" i="8"/>
  <c r="K519" i="8"/>
  <c r="J519" i="8"/>
  <c r="I519" i="8"/>
  <c r="K518" i="8"/>
  <c r="J518" i="8"/>
  <c r="I518" i="8"/>
  <c r="K517" i="8"/>
  <c r="J517" i="8"/>
  <c r="I517" i="8"/>
  <c r="K516" i="8"/>
  <c r="J516" i="8"/>
  <c r="I516" i="8"/>
  <c r="K515" i="8"/>
  <c r="J515" i="8"/>
  <c r="I515" i="8"/>
  <c r="K514" i="8"/>
  <c r="J514" i="8"/>
  <c r="I514" i="8"/>
  <c r="K513" i="8"/>
  <c r="J513" i="8"/>
  <c r="I513" i="8"/>
  <c r="K512" i="8"/>
  <c r="J512" i="8"/>
  <c r="I512" i="8"/>
  <c r="K511" i="8"/>
  <c r="J511" i="8"/>
  <c r="I511" i="8"/>
  <c r="K510" i="8"/>
  <c r="J510" i="8"/>
  <c r="I510" i="8"/>
  <c r="K509" i="8"/>
  <c r="J509" i="8"/>
  <c r="I509" i="8"/>
  <c r="K508" i="8"/>
  <c r="J508" i="8"/>
  <c r="I508" i="8"/>
  <c r="K507" i="8"/>
  <c r="J507" i="8"/>
  <c r="I507" i="8"/>
  <c r="K506" i="8"/>
  <c r="J506" i="8"/>
  <c r="I506" i="8"/>
  <c r="K505" i="8"/>
  <c r="J505" i="8"/>
  <c r="I505" i="8"/>
  <c r="K504" i="8"/>
  <c r="J504" i="8"/>
  <c r="I504" i="8"/>
  <c r="K503" i="8"/>
  <c r="J503" i="8"/>
  <c r="I503" i="8"/>
  <c r="K502" i="8"/>
  <c r="J502" i="8"/>
  <c r="I502" i="8"/>
  <c r="K501" i="8"/>
  <c r="J501" i="8"/>
  <c r="I501" i="8"/>
  <c r="K500" i="8"/>
  <c r="J500" i="8"/>
  <c r="I500" i="8"/>
  <c r="K499" i="8"/>
  <c r="J499" i="8"/>
  <c r="I499" i="8"/>
  <c r="K498" i="8"/>
  <c r="J498" i="8"/>
  <c r="I498" i="8"/>
  <c r="K497" i="8"/>
  <c r="J497" i="8"/>
  <c r="I497" i="8"/>
  <c r="K496" i="8"/>
  <c r="J496" i="8"/>
  <c r="I496" i="8"/>
  <c r="K495" i="8"/>
  <c r="J495" i="8"/>
  <c r="I495" i="8"/>
  <c r="K494" i="8"/>
  <c r="J494" i="8"/>
  <c r="I494" i="8"/>
  <c r="K493" i="8"/>
  <c r="J493" i="8"/>
  <c r="I493" i="8"/>
  <c r="K492" i="8"/>
  <c r="J492" i="8"/>
  <c r="I492" i="8"/>
  <c r="K491" i="8"/>
  <c r="J491" i="8"/>
  <c r="I491" i="8"/>
  <c r="K490" i="8"/>
  <c r="J490" i="8"/>
  <c r="I490" i="8"/>
  <c r="K489" i="8"/>
  <c r="J489" i="8"/>
  <c r="I489" i="8"/>
  <c r="K488" i="8"/>
  <c r="J488" i="8"/>
  <c r="I488" i="8"/>
  <c r="K487" i="8"/>
  <c r="J487" i="8"/>
  <c r="I487" i="8"/>
  <c r="K486" i="8"/>
  <c r="J486" i="8"/>
  <c r="I486" i="8"/>
  <c r="K485" i="8"/>
  <c r="J485" i="8"/>
  <c r="I485" i="8"/>
  <c r="K484" i="8"/>
  <c r="J484" i="8"/>
  <c r="I484" i="8"/>
  <c r="K483" i="8"/>
  <c r="J483" i="8"/>
  <c r="I483" i="8"/>
  <c r="K482" i="8"/>
  <c r="J482" i="8"/>
  <c r="I482" i="8"/>
  <c r="K481" i="8"/>
  <c r="J481" i="8"/>
  <c r="I481" i="8"/>
  <c r="K480" i="8"/>
  <c r="J480" i="8"/>
  <c r="I480" i="8"/>
  <c r="K479" i="8"/>
  <c r="J479" i="8"/>
  <c r="I479" i="8"/>
  <c r="K478" i="8"/>
  <c r="J478" i="8"/>
  <c r="I478" i="8"/>
  <c r="K477" i="8"/>
  <c r="J477" i="8"/>
  <c r="I477" i="8"/>
  <c r="K476" i="8"/>
  <c r="J476" i="8"/>
  <c r="I476" i="8"/>
  <c r="K475" i="8"/>
  <c r="J475" i="8"/>
  <c r="I475" i="8"/>
  <c r="K474" i="8"/>
  <c r="J474" i="8"/>
  <c r="I474" i="8"/>
  <c r="K473" i="8"/>
  <c r="J473" i="8"/>
  <c r="I473" i="8"/>
  <c r="K472" i="8"/>
  <c r="J472" i="8"/>
  <c r="I472" i="8"/>
  <c r="K471" i="8"/>
  <c r="J471" i="8"/>
  <c r="I471" i="8"/>
  <c r="K470" i="8"/>
  <c r="J470" i="8"/>
  <c r="I470" i="8"/>
  <c r="K469" i="8"/>
  <c r="J469" i="8"/>
  <c r="I469" i="8"/>
  <c r="K468" i="8"/>
  <c r="J468" i="8"/>
  <c r="I468" i="8"/>
  <c r="K467" i="8"/>
  <c r="J467" i="8"/>
  <c r="I467" i="8"/>
  <c r="K466" i="8"/>
  <c r="J466" i="8"/>
  <c r="I466" i="8"/>
  <c r="K465" i="8"/>
  <c r="J465" i="8"/>
  <c r="I465" i="8"/>
  <c r="K464" i="8"/>
  <c r="J464" i="8"/>
  <c r="I464" i="8"/>
  <c r="K463" i="8"/>
  <c r="J463" i="8"/>
  <c r="I463" i="8"/>
  <c r="K462" i="8"/>
  <c r="J462" i="8"/>
  <c r="I462" i="8"/>
  <c r="K461" i="8"/>
  <c r="J461" i="8"/>
  <c r="I461" i="8"/>
  <c r="K460" i="8"/>
  <c r="J460" i="8"/>
  <c r="I460" i="8"/>
  <c r="K459" i="8"/>
  <c r="J459" i="8"/>
  <c r="I459" i="8"/>
  <c r="K458" i="8"/>
  <c r="J458" i="8"/>
  <c r="I458" i="8"/>
  <c r="K457" i="8"/>
  <c r="J457" i="8"/>
  <c r="I457" i="8"/>
  <c r="K456" i="8"/>
  <c r="J456" i="8"/>
  <c r="I456" i="8"/>
  <c r="K455" i="8"/>
  <c r="J455" i="8"/>
  <c r="I455" i="8"/>
  <c r="K454" i="8"/>
  <c r="J454" i="8"/>
  <c r="I454" i="8"/>
  <c r="K453" i="8"/>
  <c r="J453" i="8"/>
  <c r="I453" i="8"/>
  <c r="K452" i="8"/>
  <c r="J452" i="8"/>
  <c r="I452" i="8"/>
  <c r="K451" i="8"/>
  <c r="J451" i="8"/>
  <c r="I451" i="8"/>
  <c r="K450" i="8"/>
  <c r="J450" i="8"/>
  <c r="I450" i="8"/>
  <c r="K449" i="8"/>
  <c r="J449" i="8"/>
  <c r="I449" i="8"/>
  <c r="K448" i="8"/>
  <c r="J448" i="8"/>
  <c r="I448" i="8"/>
  <c r="K447" i="8"/>
  <c r="J447" i="8"/>
  <c r="I447" i="8"/>
  <c r="K446" i="8"/>
  <c r="J446" i="8"/>
  <c r="I446" i="8"/>
  <c r="K445" i="8"/>
  <c r="J445" i="8"/>
  <c r="I445" i="8"/>
  <c r="K444" i="8"/>
  <c r="J444" i="8"/>
  <c r="I444" i="8"/>
  <c r="K443" i="8"/>
  <c r="J443" i="8"/>
  <c r="I443" i="8"/>
  <c r="K442" i="8"/>
  <c r="J442" i="8"/>
  <c r="I442" i="8"/>
  <c r="K441" i="8"/>
  <c r="J441" i="8"/>
  <c r="I441" i="8"/>
  <c r="K440" i="8"/>
  <c r="J440" i="8"/>
  <c r="I440" i="8"/>
  <c r="K439" i="8"/>
  <c r="J439" i="8"/>
  <c r="I439" i="8"/>
  <c r="K438" i="8"/>
  <c r="J438" i="8"/>
  <c r="I438" i="8"/>
  <c r="K437" i="8"/>
  <c r="J437" i="8"/>
  <c r="I437" i="8"/>
  <c r="K436" i="8"/>
  <c r="J436" i="8"/>
  <c r="I436" i="8"/>
  <c r="K435" i="8"/>
  <c r="J435" i="8"/>
  <c r="I435" i="8"/>
  <c r="K434" i="8"/>
  <c r="J434" i="8"/>
  <c r="I434" i="8"/>
  <c r="K433" i="8"/>
  <c r="J433" i="8"/>
  <c r="I433" i="8"/>
  <c r="K432" i="8"/>
  <c r="J432" i="8"/>
  <c r="I432" i="8"/>
  <c r="K431" i="8"/>
  <c r="J431" i="8"/>
  <c r="I431" i="8"/>
  <c r="K430" i="8"/>
  <c r="J430" i="8"/>
  <c r="I430" i="8"/>
  <c r="K429" i="8"/>
  <c r="J429" i="8"/>
  <c r="I429" i="8"/>
  <c r="K428" i="8"/>
  <c r="J428" i="8"/>
  <c r="I428" i="8"/>
  <c r="K427" i="8"/>
  <c r="J427" i="8"/>
  <c r="I427" i="8"/>
  <c r="K426" i="8"/>
  <c r="J426" i="8"/>
  <c r="I426" i="8"/>
  <c r="K425" i="8"/>
  <c r="J425" i="8"/>
  <c r="I425" i="8"/>
  <c r="K424" i="8"/>
  <c r="J424" i="8"/>
  <c r="I424" i="8"/>
  <c r="K423" i="8"/>
  <c r="J423" i="8"/>
  <c r="I423" i="8"/>
  <c r="K422" i="8"/>
  <c r="J422" i="8"/>
  <c r="I422" i="8"/>
  <c r="K421" i="8"/>
  <c r="J421" i="8"/>
  <c r="I421" i="8"/>
  <c r="K420" i="8"/>
  <c r="J420" i="8"/>
  <c r="I420" i="8"/>
  <c r="K419" i="8"/>
  <c r="J419" i="8"/>
  <c r="I419" i="8"/>
  <c r="K418" i="8"/>
  <c r="J418" i="8"/>
  <c r="I418" i="8"/>
  <c r="K417" i="8"/>
  <c r="J417" i="8"/>
  <c r="I417" i="8"/>
  <c r="K416" i="8"/>
  <c r="J416" i="8"/>
  <c r="I416" i="8"/>
  <c r="K415" i="8"/>
  <c r="J415" i="8"/>
  <c r="I415" i="8"/>
  <c r="K414" i="8"/>
  <c r="J414" i="8"/>
  <c r="I414" i="8"/>
  <c r="K413" i="8"/>
  <c r="J413" i="8"/>
  <c r="I413" i="8"/>
  <c r="K412" i="8"/>
  <c r="J412" i="8"/>
  <c r="I412" i="8"/>
  <c r="K411" i="8"/>
  <c r="J411" i="8"/>
  <c r="I411" i="8"/>
  <c r="K410" i="8"/>
  <c r="J410" i="8"/>
  <c r="I410" i="8"/>
  <c r="K409" i="8"/>
  <c r="J409" i="8"/>
  <c r="I409" i="8"/>
  <c r="K408" i="8"/>
  <c r="J408" i="8"/>
  <c r="I408" i="8"/>
  <c r="K407" i="8"/>
  <c r="J407" i="8"/>
  <c r="I407" i="8"/>
  <c r="K406" i="8"/>
  <c r="J406" i="8"/>
  <c r="I406" i="8"/>
  <c r="K405" i="8"/>
  <c r="J405" i="8"/>
  <c r="I405" i="8"/>
  <c r="K404" i="8"/>
  <c r="J404" i="8"/>
  <c r="I404" i="8"/>
  <c r="K403" i="8"/>
  <c r="J403" i="8"/>
  <c r="I403" i="8"/>
  <c r="K402" i="8"/>
  <c r="J402" i="8"/>
  <c r="I402" i="8"/>
  <c r="K401" i="8"/>
  <c r="J401" i="8"/>
  <c r="I401" i="8"/>
  <c r="K400" i="8"/>
  <c r="J400" i="8"/>
  <c r="I400" i="8"/>
  <c r="K399" i="8"/>
  <c r="J399" i="8"/>
  <c r="I399" i="8"/>
  <c r="K398" i="8"/>
  <c r="J398" i="8"/>
  <c r="I398" i="8"/>
  <c r="K397" i="8"/>
  <c r="J397" i="8"/>
  <c r="I397" i="8"/>
  <c r="K396" i="8"/>
  <c r="J396" i="8"/>
  <c r="I396" i="8"/>
  <c r="K395" i="8"/>
  <c r="J395" i="8"/>
  <c r="I395" i="8"/>
  <c r="K394" i="8"/>
  <c r="J394" i="8"/>
  <c r="I394" i="8"/>
  <c r="K393" i="8"/>
  <c r="J393" i="8"/>
  <c r="I393" i="8"/>
  <c r="K392" i="8"/>
  <c r="J392" i="8"/>
  <c r="I392" i="8"/>
  <c r="K391" i="8"/>
  <c r="J391" i="8"/>
  <c r="I391" i="8"/>
  <c r="K390" i="8"/>
  <c r="J390" i="8"/>
  <c r="I390" i="8"/>
  <c r="K389" i="8"/>
  <c r="J389" i="8"/>
  <c r="I389" i="8"/>
  <c r="K388" i="8"/>
  <c r="J388" i="8"/>
  <c r="I388" i="8"/>
  <c r="K387" i="8"/>
  <c r="J387" i="8"/>
  <c r="I387" i="8"/>
  <c r="K386" i="8"/>
  <c r="J386" i="8"/>
  <c r="I386" i="8"/>
  <c r="K385" i="8"/>
  <c r="J385" i="8"/>
  <c r="I385" i="8"/>
  <c r="K384" i="8"/>
  <c r="J384" i="8"/>
  <c r="I384" i="8"/>
  <c r="K383" i="8"/>
  <c r="J383" i="8"/>
  <c r="I383" i="8"/>
  <c r="K382" i="8"/>
  <c r="J382" i="8"/>
  <c r="I382" i="8"/>
  <c r="K381" i="8"/>
  <c r="J381" i="8"/>
  <c r="I381" i="8"/>
  <c r="K380" i="8"/>
  <c r="J380" i="8"/>
  <c r="I380" i="8"/>
  <c r="K379" i="8"/>
  <c r="J379" i="8"/>
  <c r="I379" i="8"/>
  <c r="K378" i="8"/>
  <c r="J378" i="8"/>
  <c r="I378" i="8"/>
  <c r="K377" i="8"/>
  <c r="J377" i="8"/>
  <c r="I377" i="8"/>
  <c r="K376" i="8"/>
  <c r="J376" i="8"/>
  <c r="I376" i="8"/>
  <c r="K375" i="8"/>
  <c r="J375" i="8"/>
  <c r="I375" i="8"/>
  <c r="K374" i="8"/>
  <c r="J374" i="8"/>
  <c r="I374" i="8"/>
  <c r="K373" i="8"/>
  <c r="J373" i="8"/>
  <c r="I373" i="8"/>
  <c r="K372" i="8"/>
  <c r="J372" i="8"/>
  <c r="I372" i="8"/>
  <c r="K371" i="8"/>
  <c r="J371" i="8"/>
  <c r="I371" i="8"/>
  <c r="K370" i="8"/>
  <c r="J370" i="8"/>
  <c r="I370" i="8"/>
  <c r="K369" i="8"/>
  <c r="J369" i="8"/>
  <c r="I369" i="8"/>
  <c r="K368" i="8"/>
  <c r="J368" i="8"/>
  <c r="I368" i="8"/>
  <c r="K367" i="8"/>
  <c r="J367" i="8"/>
  <c r="I367" i="8"/>
  <c r="K366" i="8"/>
  <c r="J366" i="8"/>
  <c r="I366" i="8"/>
  <c r="K365" i="8"/>
  <c r="J365" i="8"/>
  <c r="I365" i="8"/>
  <c r="K364" i="8"/>
  <c r="J364" i="8"/>
  <c r="I364" i="8"/>
  <c r="K363" i="8"/>
  <c r="J363" i="8"/>
  <c r="I363" i="8"/>
  <c r="K362" i="8"/>
  <c r="J362" i="8"/>
  <c r="I362" i="8"/>
  <c r="K361" i="8"/>
  <c r="J361" i="8"/>
  <c r="I361" i="8"/>
  <c r="K360" i="8"/>
  <c r="J360" i="8"/>
  <c r="I360" i="8"/>
  <c r="K359" i="8"/>
  <c r="J359" i="8"/>
  <c r="I359" i="8"/>
  <c r="K358" i="8"/>
  <c r="J358" i="8"/>
  <c r="I358" i="8"/>
  <c r="K357" i="8"/>
  <c r="J357" i="8"/>
  <c r="I357" i="8"/>
  <c r="K356" i="8"/>
  <c r="J356" i="8"/>
  <c r="I356" i="8"/>
  <c r="K355" i="8"/>
  <c r="J355" i="8"/>
  <c r="I355" i="8"/>
  <c r="K354" i="8"/>
  <c r="J354" i="8"/>
  <c r="I354" i="8"/>
  <c r="K353" i="8"/>
  <c r="J353" i="8"/>
  <c r="I353" i="8"/>
  <c r="K352" i="8"/>
  <c r="J352" i="8"/>
  <c r="I352" i="8"/>
  <c r="K351" i="8"/>
  <c r="J351" i="8"/>
  <c r="I351" i="8"/>
  <c r="K350" i="8"/>
  <c r="J350" i="8"/>
  <c r="I350" i="8"/>
  <c r="K349" i="8"/>
  <c r="J349" i="8"/>
  <c r="I349" i="8"/>
  <c r="K348" i="8"/>
  <c r="J348" i="8"/>
  <c r="I348" i="8"/>
  <c r="K347" i="8"/>
  <c r="J347" i="8"/>
  <c r="I347" i="8"/>
  <c r="K346" i="8"/>
  <c r="J346" i="8"/>
  <c r="I346" i="8"/>
  <c r="K345" i="8"/>
  <c r="J345" i="8"/>
  <c r="I345" i="8"/>
  <c r="K344" i="8"/>
  <c r="J344" i="8"/>
  <c r="I344" i="8"/>
  <c r="K343" i="8"/>
  <c r="J343" i="8"/>
  <c r="I343" i="8"/>
  <c r="K342" i="8"/>
  <c r="J342" i="8"/>
  <c r="I342" i="8"/>
  <c r="K341" i="8"/>
  <c r="J341" i="8"/>
  <c r="I341" i="8"/>
  <c r="K340" i="8"/>
  <c r="J340" i="8"/>
  <c r="I340" i="8"/>
  <c r="K339" i="8"/>
  <c r="J339" i="8"/>
  <c r="I339" i="8"/>
  <c r="K338" i="8"/>
  <c r="J338" i="8"/>
  <c r="I338" i="8"/>
  <c r="K337" i="8"/>
  <c r="J337" i="8"/>
  <c r="I337" i="8"/>
  <c r="K336" i="8"/>
  <c r="J336" i="8"/>
  <c r="I336" i="8"/>
  <c r="K335" i="8"/>
  <c r="J335" i="8"/>
  <c r="I335" i="8"/>
  <c r="K334" i="8"/>
  <c r="J334" i="8"/>
  <c r="I334" i="8"/>
  <c r="K333" i="8"/>
  <c r="J333" i="8"/>
  <c r="I333" i="8"/>
  <c r="K332" i="8"/>
  <c r="J332" i="8"/>
  <c r="I332" i="8"/>
  <c r="K331" i="8"/>
  <c r="J331" i="8"/>
  <c r="I331" i="8"/>
  <c r="K330" i="8"/>
  <c r="J330" i="8"/>
  <c r="I330" i="8"/>
  <c r="K329" i="8"/>
  <c r="J329" i="8"/>
  <c r="I329" i="8"/>
  <c r="K328" i="8"/>
  <c r="J328" i="8"/>
  <c r="I328" i="8"/>
  <c r="K327" i="8"/>
  <c r="J327" i="8"/>
  <c r="I327" i="8"/>
  <c r="K326" i="8"/>
  <c r="J326" i="8"/>
  <c r="I326" i="8"/>
  <c r="K325" i="8"/>
  <c r="J325" i="8"/>
  <c r="I325" i="8"/>
  <c r="K324" i="8"/>
  <c r="J324" i="8"/>
  <c r="I324" i="8"/>
  <c r="K323" i="8"/>
  <c r="J323" i="8"/>
  <c r="I323" i="8"/>
  <c r="K322" i="8"/>
  <c r="J322" i="8"/>
  <c r="I322" i="8"/>
  <c r="K321" i="8"/>
  <c r="J321" i="8"/>
  <c r="I321" i="8"/>
  <c r="K320" i="8"/>
  <c r="J320" i="8"/>
  <c r="I320" i="8"/>
  <c r="K319" i="8"/>
  <c r="J319" i="8"/>
  <c r="I319" i="8"/>
  <c r="K318" i="8"/>
  <c r="J318" i="8"/>
  <c r="I318" i="8"/>
  <c r="K317" i="8"/>
  <c r="J317" i="8"/>
  <c r="I317" i="8"/>
  <c r="K316" i="8"/>
  <c r="J316" i="8"/>
  <c r="I316" i="8"/>
  <c r="K315" i="8"/>
  <c r="J315" i="8"/>
  <c r="I315" i="8"/>
  <c r="K314" i="8"/>
  <c r="J314" i="8"/>
  <c r="I314" i="8"/>
  <c r="K313" i="8"/>
  <c r="J313" i="8"/>
  <c r="I313" i="8"/>
  <c r="K312" i="8"/>
  <c r="J312" i="8"/>
  <c r="I312" i="8"/>
  <c r="K311" i="8"/>
  <c r="J311" i="8"/>
  <c r="I311" i="8"/>
  <c r="K310" i="8"/>
  <c r="J310" i="8"/>
  <c r="I310" i="8"/>
  <c r="K309" i="8"/>
  <c r="J309" i="8"/>
  <c r="I309" i="8"/>
  <c r="K308" i="8"/>
  <c r="J308" i="8"/>
  <c r="I308" i="8"/>
  <c r="K307" i="8"/>
  <c r="J307" i="8"/>
  <c r="I307" i="8"/>
  <c r="K306" i="8"/>
  <c r="J306" i="8"/>
  <c r="I306" i="8"/>
  <c r="K305" i="8"/>
  <c r="J305" i="8"/>
  <c r="I305" i="8"/>
  <c r="K304" i="8"/>
  <c r="J304" i="8"/>
  <c r="I304" i="8"/>
  <c r="K303" i="8"/>
  <c r="J303" i="8"/>
  <c r="I303" i="8"/>
  <c r="K302" i="8"/>
  <c r="J302" i="8"/>
  <c r="I302" i="8"/>
  <c r="K301" i="8"/>
  <c r="J301" i="8"/>
  <c r="I301" i="8"/>
  <c r="K300" i="8"/>
  <c r="J300" i="8"/>
  <c r="I300" i="8"/>
  <c r="K299" i="8"/>
  <c r="J299" i="8"/>
  <c r="I299" i="8"/>
  <c r="K298" i="8"/>
  <c r="J298" i="8"/>
  <c r="I298" i="8"/>
  <c r="K297" i="8"/>
  <c r="J297" i="8"/>
  <c r="I297" i="8"/>
  <c r="K296" i="8"/>
  <c r="J296" i="8"/>
  <c r="I296" i="8"/>
  <c r="K295" i="8"/>
  <c r="J295" i="8"/>
  <c r="I295" i="8"/>
  <c r="K294" i="8"/>
  <c r="J294" i="8"/>
  <c r="I294" i="8"/>
  <c r="K293" i="8"/>
  <c r="J293" i="8"/>
  <c r="I293" i="8"/>
  <c r="K292" i="8"/>
  <c r="J292" i="8"/>
  <c r="I292" i="8"/>
  <c r="K291" i="8"/>
  <c r="J291" i="8"/>
  <c r="I291" i="8"/>
  <c r="K290" i="8"/>
  <c r="J290" i="8"/>
  <c r="I290" i="8"/>
  <c r="K289" i="8"/>
  <c r="J289" i="8"/>
  <c r="I289" i="8"/>
  <c r="K288" i="8"/>
  <c r="J288" i="8"/>
  <c r="I288" i="8"/>
  <c r="K287" i="8"/>
  <c r="J287" i="8"/>
  <c r="I287" i="8"/>
  <c r="K286" i="8"/>
  <c r="J286" i="8"/>
  <c r="I286" i="8"/>
  <c r="K285" i="8"/>
  <c r="J285" i="8"/>
  <c r="I285" i="8"/>
  <c r="K284" i="8"/>
  <c r="J284" i="8"/>
  <c r="I284" i="8"/>
  <c r="K283" i="8"/>
  <c r="J283" i="8"/>
  <c r="I283" i="8"/>
  <c r="K282" i="8"/>
  <c r="J282" i="8"/>
  <c r="I282" i="8"/>
  <c r="K281" i="8"/>
  <c r="J281" i="8"/>
  <c r="I281" i="8"/>
  <c r="K280" i="8"/>
  <c r="J280" i="8"/>
  <c r="I280" i="8"/>
  <c r="K279" i="8"/>
  <c r="J279" i="8"/>
  <c r="I279" i="8"/>
  <c r="K278" i="8"/>
  <c r="J278" i="8"/>
  <c r="I278" i="8"/>
  <c r="K277" i="8"/>
  <c r="J277" i="8"/>
  <c r="I277" i="8"/>
  <c r="K276" i="8"/>
  <c r="J276" i="8"/>
  <c r="I276" i="8"/>
  <c r="K275" i="8"/>
  <c r="J275" i="8"/>
  <c r="I275" i="8"/>
  <c r="K274" i="8"/>
  <c r="J274" i="8"/>
  <c r="I274" i="8"/>
  <c r="K273" i="8"/>
  <c r="J273" i="8"/>
  <c r="I273" i="8"/>
  <c r="K272" i="8"/>
  <c r="J272" i="8"/>
  <c r="I272" i="8"/>
  <c r="K271" i="8"/>
  <c r="J271" i="8"/>
  <c r="I271" i="8"/>
  <c r="K270" i="8"/>
  <c r="J270" i="8"/>
  <c r="I270" i="8"/>
  <c r="K269" i="8"/>
  <c r="J269" i="8"/>
  <c r="I269" i="8"/>
  <c r="K268" i="8"/>
  <c r="J268" i="8"/>
  <c r="I268" i="8"/>
  <c r="K267" i="8"/>
  <c r="J267" i="8"/>
  <c r="I267" i="8"/>
  <c r="K266" i="8"/>
  <c r="J266" i="8"/>
  <c r="I266" i="8"/>
  <c r="K265" i="8"/>
  <c r="J265" i="8"/>
  <c r="I265" i="8"/>
  <c r="K264" i="8"/>
  <c r="J264" i="8"/>
  <c r="I264" i="8"/>
  <c r="K263" i="8"/>
  <c r="J263" i="8"/>
  <c r="I263" i="8"/>
  <c r="K262" i="8"/>
  <c r="J262" i="8"/>
  <c r="I262" i="8"/>
  <c r="K261" i="8"/>
  <c r="J261" i="8"/>
  <c r="I261" i="8"/>
  <c r="K260" i="8"/>
  <c r="J260" i="8"/>
  <c r="I260" i="8"/>
  <c r="K259" i="8"/>
  <c r="J259" i="8"/>
  <c r="I259" i="8"/>
  <c r="K258" i="8"/>
  <c r="J258" i="8"/>
  <c r="I258" i="8"/>
  <c r="K257" i="8"/>
  <c r="J257" i="8"/>
  <c r="I257" i="8"/>
  <c r="K256" i="8"/>
  <c r="J256" i="8"/>
  <c r="I256" i="8"/>
  <c r="K255" i="8"/>
  <c r="J255" i="8"/>
  <c r="I255" i="8"/>
  <c r="K254" i="8"/>
  <c r="J254" i="8"/>
  <c r="I254" i="8"/>
  <c r="K253" i="8"/>
  <c r="J253" i="8"/>
  <c r="I253" i="8"/>
  <c r="K252" i="8"/>
  <c r="J252" i="8"/>
  <c r="I252" i="8"/>
  <c r="K251" i="8"/>
  <c r="J251" i="8"/>
  <c r="I251" i="8"/>
  <c r="K250" i="8"/>
  <c r="J250" i="8"/>
  <c r="I250" i="8"/>
  <c r="K249" i="8"/>
  <c r="J249" i="8"/>
  <c r="I249" i="8"/>
  <c r="K248" i="8"/>
  <c r="J248" i="8"/>
  <c r="I248" i="8"/>
  <c r="K247" i="8"/>
  <c r="J247" i="8"/>
  <c r="I247" i="8"/>
  <c r="K246" i="8"/>
  <c r="J246" i="8"/>
  <c r="I246" i="8"/>
  <c r="K245" i="8"/>
  <c r="J245" i="8"/>
  <c r="I245" i="8"/>
  <c r="K244" i="8"/>
  <c r="J244" i="8"/>
  <c r="I244" i="8"/>
  <c r="K243" i="8"/>
  <c r="J243" i="8"/>
  <c r="I243" i="8"/>
  <c r="K242" i="8"/>
  <c r="J242" i="8"/>
  <c r="I242" i="8"/>
  <c r="K241" i="8"/>
  <c r="J241" i="8"/>
  <c r="I241" i="8"/>
  <c r="K240" i="8"/>
  <c r="J240" i="8"/>
  <c r="I240" i="8"/>
  <c r="K239" i="8"/>
  <c r="J239" i="8"/>
  <c r="I239" i="8"/>
  <c r="K238" i="8"/>
  <c r="J238" i="8"/>
  <c r="I238" i="8"/>
  <c r="K237" i="8"/>
  <c r="J237" i="8"/>
  <c r="I237" i="8"/>
  <c r="K236" i="8"/>
  <c r="J236" i="8"/>
  <c r="I236" i="8"/>
  <c r="K235" i="8"/>
  <c r="J235" i="8"/>
  <c r="I235" i="8"/>
  <c r="K234" i="8"/>
  <c r="J234" i="8"/>
  <c r="I234" i="8"/>
  <c r="K233" i="8"/>
  <c r="J233" i="8"/>
  <c r="I233" i="8"/>
  <c r="K232" i="8"/>
  <c r="J232" i="8"/>
  <c r="I232" i="8"/>
  <c r="K231" i="8"/>
  <c r="J231" i="8"/>
  <c r="I231" i="8"/>
  <c r="K230" i="8"/>
  <c r="J230" i="8"/>
  <c r="I230" i="8"/>
  <c r="K229" i="8"/>
  <c r="J229" i="8"/>
  <c r="I229" i="8"/>
  <c r="K228" i="8"/>
  <c r="J228" i="8"/>
  <c r="I228" i="8"/>
  <c r="K227" i="8"/>
  <c r="J227" i="8"/>
  <c r="I227" i="8"/>
  <c r="K226" i="8"/>
  <c r="J226" i="8"/>
  <c r="I226" i="8"/>
  <c r="K225" i="8"/>
  <c r="J225" i="8"/>
  <c r="I225" i="8"/>
  <c r="K224" i="8"/>
  <c r="J224" i="8"/>
  <c r="I224" i="8"/>
  <c r="K223" i="8"/>
  <c r="J223" i="8"/>
  <c r="I223" i="8"/>
  <c r="K222" i="8"/>
  <c r="J222" i="8"/>
  <c r="I222" i="8"/>
  <c r="K221" i="8"/>
  <c r="J221" i="8"/>
  <c r="I221" i="8"/>
  <c r="K220" i="8"/>
  <c r="J220" i="8"/>
  <c r="I220" i="8"/>
  <c r="K219" i="8"/>
  <c r="J219" i="8"/>
  <c r="I219" i="8"/>
  <c r="K218" i="8"/>
  <c r="J218" i="8"/>
  <c r="I218" i="8"/>
  <c r="K217" i="8"/>
  <c r="J217" i="8"/>
  <c r="I217" i="8"/>
  <c r="K216" i="8"/>
  <c r="J216" i="8"/>
  <c r="I216" i="8"/>
  <c r="K215" i="8"/>
  <c r="J215" i="8"/>
  <c r="I215" i="8"/>
  <c r="K214" i="8"/>
  <c r="J214" i="8"/>
  <c r="I214" i="8"/>
  <c r="K213" i="8"/>
  <c r="J213" i="8"/>
  <c r="I213" i="8"/>
  <c r="K212" i="8"/>
  <c r="J212" i="8"/>
  <c r="I212" i="8"/>
  <c r="K211" i="8"/>
  <c r="J211" i="8"/>
  <c r="I211" i="8"/>
  <c r="K210" i="8"/>
  <c r="J210" i="8"/>
  <c r="I210" i="8"/>
  <c r="K209" i="8"/>
  <c r="J209" i="8"/>
  <c r="I209" i="8"/>
  <c r="K208" i="8"/>
  <c r="J208" i="8"/>
  <c r="I208" i="8"/>
  <c r="K207" i="8"/>
  <c r="J207" i="8"/>
  <c r="I207" i="8"/>
  <c r="K206" i="8"/>
  <c r="J206" i="8"/>
  <c r="I206" i="8"/>
  <c r="K205" i="8"/>
  <c r="J205" i="8"/>
  <c r="I205" i="8"/>
  <c r="K204" i="8"/>
  <c r="J204" i="8"/>
  <c r="I204" i="8"/>
  <c r="K203" i="8"/>
  <c r="J203" i="8"/>
  <c r="I203" i="8"/>
  <c r="K202" i="8"/>
  <c r="J202" i="8"/>
  <c r="I202" i="8"/>
  <c r="K201" i="8"/>
  <c r="J201" i="8"/>
  <c r="I201" i="8"/>
  <c r="K200" i="8"/>
  <c r="J200" i="8"/>
  <c r="I200" i="8"/>
  <c r="K199" i="8"/>
  <c r="J199" i="8"/>
  <c r="I199" i="8"/>
  <c r="K198" i="8"/>
  <c r="J198" i="8"/>
  <c r="I198" i="8"/>
  <c r="K197" i="8"/>
  <c r="J197" i="8"/>
  <c r="I197" i="8"/>
  <c r="K196" i="8"/>
  <c r="J196" i="8"/>
  <c r="I196" i="8"/>
  <c r="K195" i="8"/>
  <c r="J195" i="8"/>
  <c r="I195" i="8"/>
  <c r="K194" i="8"/>
  <c r="J194" i="8"/>
  <c r="I194" i="8"/>
  <c r="K193" i="8"/>
  <c r="J193" i="8"/>
  <c r="I193" i="8"/>
  <c r="K192" i="8"/>
  <c r="J192" i="8"/>
  <c r="I192" i="8"/>
  <c r="K191" i="8"/>
  <c r="J191" i="8"/>
  <c r="I191" i="8"/>
  <c r="K190" i="8"/>
  <c r="J190" i="8"/>
  <c r="I190" i="8"/>
  <c r="K189" i="8"/>
  <c r="J189" i="8"/>
  <c r="I189" i="8"/>
  <c r="K188" i="8"/>
  <c r="J188" i="8"/>
  <c r="I188" i="8"/>
  <c r="K187" i="8"/>
  <c r="J187" i="8"/>
  <c r="I187" i="8"/>
  <c r="K186" i="8"/>
  <c r="J186" i="8"/>
  <c r="I186" i="8"/>
  <c r="K185" i="8"/>
  <c r="J185" i="8"/>
  <c r="I185" i="8"/>
  <c r="K184" i="8"/>
  <c r="J184" i="8"/>
  <c r="I184" i="8"/>
  <c r="K183" i="8"/>
  <c r="J183" i="8"/>
  <c r="I183" i="8"/>
  <c r="K182" i="8"/>
  <c r="J182" i="8"/>
  <c r="I182" i="8"/>
  <c r="K181" i="8"/>
  <c r="J181" i="8"/>
  <c r="I181" i="8"/>
  <c r="K180" i="8"/>
  <c r="J180" i="8"/>
  <c r="I180" i="8"/>
  <c r="K179" i="8"/>
  <c r="J179" i="8"/>
  <c r="I179" i="8"/>
  <c r="K178" i="8"/>
  <c r="J178" i="8"/>
  <c r="I178" i="8"/>
  <c r="K177" i="8"/>
  <c r="J177" i="8"/>
  <c r="I177" i="8"/>
  <c r="K176" i="8"/>
  <c r="J176" i="8"/>
  <c r="I176" i="8"/>
  <c r="K175" i="8"/>
  <c r="J175" i="8"/>
  <c r="I175" i="8"/>
  <c r="K174" i="8"/>
  <c r="J174" i="8"/>
  <c r="I174" i="8"/>
  <c r="K173" i="8"/>
  <c r="J173" i="8"/>
  <c r="I173" i="8"/>
  <c r="K172" i="8"/>
  <c r="J172" i="8"/>
  <c r="I172" i="8"/>
  <c r="K171" i="8"/>
  <c r="J171" i="8"/>
  <c r="I171" i="8"/>
  <c r="K170" i="8"/>
  <c r="J170" i="8"/>
  <c r="I170" i="8"/>
  <c r="K169" i="8"/>
  <c r="J169" i="8"/>
  <c r="I169" i="8"/>
  <c r="K168" i="8"/>
  <c r="J168" i="8"/>
  <c r="I168" i="8"/>
  <c r="K167" i="8"/>
  <c r="J167" i="8"/>
  <c r="I167" i="8"/>
  <c r="K166" i="8"/>
  <c r="J166" i="8"/>
  <c r="I166" i="8"/>
  <c r="K165" i="8"/>
  <c r="J165" i="8"/>
  <c r="I165" i="8"/>
  <c r="K164" i="8"/>
  <c r="J164" i="8"/>
  <c r="I164" i="8"/>
  <c r="K163" i="8"/>
  <c r="J163" i="8"/>
  <c r="I163" i="8"/>
  <c r="K162" i="8"/>
  <c r="J162" i="8"/>
  <c r="I162" i="8"/>
  <c r="K161" i="8"/>
  <c r="J161" i="8"/>
  <c r="I161" i="8"/>
  <c r="K160" i="8"/>
  <c r="J160" i="8"/>
  <c r="I160" i="8"/>
  <c r="K159" i="8"/>
  <c r="J159" i="8"/>
  <c r="I159" i="8"/>
  <c r="K158" i="8"/>
  <c r="J158" i="8"/>
  <c r="I158" i="8"/>
  <c r="K157" i="8"/>
  <c r="J157" i="8"/>
  <c r="I157" i="8"/>
  <c r="K156" i="8"/>
  <c r="J156" i="8"/>
  <c r="I156" i="8"/>
  <c r="K155" i="8"/>
  <c r="J155" i="8"/>
  <c r="I155" i="8"/>
  <c r="K154" i="8"/>
  <c r="J154" i="8"/>
  <c r="I154" i="8"/>
  <c r="K153" i="8"/>
  <c r="J153" i="8"/>
  <c r="I153" i="8"/>
  <c r="K152" i="8"/>
  <c r="J152" i="8"/>
  <c r="I152" i="8"/>
  <c r="K151" i="8"/>
  <c r="J151" i="8"/>
  <c r="I151" i="8"/>
  <c r="K150" i="8"/>
  <c r="J150" i="8"/>
  <c r="I150" i="8"/>
  <c r="K149" i="8"/>
  <c r="J149" i="8"/>
  <c r="I149" i="8"/>
  <c r="K148" i="8"/>
  <c r="J148" i="8"/>
  <c r="I148" i="8"/>
  <c r="K147" i="8"/>
  <c r="J147" i="8"/>
  <c r="I147" i="8"/>
  <c r="K146" i="8"/>
  <c r="J146" i="8"/>
  <c r="I146" i="8"/>
  <c r="K145" i="8"/>
  <c r="J145" i="8"/>
  <c r="I145" i="8"/>
  <c r="K144" i="8"/>
  <c r="J144" i="8"/>
  <c r="I144" i="8"/>
  <c r="K143" i="8"/>
  <c r="J143" i="8"/>
  <c r="I143" i="8"/>
  <c r="K142" i="8"/>
  <c r="J142" i="8"/>
  <c r="I142" i="8"/>
  <c r="K141" i="8"/>
  <c r="J141" i="8"/>
  <c r="I141" i="8"/>
  <c r="K140" i="8"/>
  <c r="J140" i="8"/>
  <c r="I140" i="8"/>
  <c r="K139" i="8"/>
  <c r="J139" i="8"/>
  <c r="I139" i="8"/>
  <c r="K138" i="8"/>
  <c r="J138" i="8"/>
  <c r="I138" i="8"/>
  <c r="K137" i="8"/>
  <c r="J137" i="8"/>
  <c r="I137" i="8"/>
  <c r="K136" i="8"/>
  <c r="J136" i="8"/>
  <c r="I136" i="8"/>
  <c r="K135" i="8"/>
  <c r="J135" i="8"/>
  <c r="I135" i="8"/>
  <c r="K134" i="8"/>
  <c r="J134" i="8"/>
  <c r="I134" i="8"/>
  <c r="K133" i="8"/>
  <c r="J133" i="8"/>
  <c r="I133" i="8"/>
  <c r="K132" i="8"/>
  <c r="J132" i="8"/>
  <c r="I132" i="8"/>
  <c r="K131" i="8"/>
  <c r="J131" i="8"/>
  <c r="I131" i="8"/>
  <c r="K130" i="8"/>
  <c r="J130" i="8"/>
  <c r="I130" i="8"/>
  <c r="K129" i="8"/>
  <c r="J129" i="8"/>
  <c r="I129" i="8"/>
  <c r="K128" i="8"/>
  <c r="J128" i="8"/>
  <c r="I128" i="8"/>
  <c r="K127" i="8"/>
  <c r="J127" i="8"/>
  <c r="I127" i="8"/>
  <c r="K126" i="8"/>
  <c r="J126" i="8"/>
  <c r="I126" i="8"/>
  <c r="K125" i="8"/>
  <c r="J125" i="8"/>
  <c r="I125" i="8"/>
  <c r="K124" i="8"/>
  <c r="J124" i="8"/>
  <c r="I124" i="8"/>
  <c r="K123" i="8"/>
  <c r="J123" i="8"/>
  <c r="I123" i="8"/>
  <c r="K122" i="8"/>
  <c r="J122" i="8"/>
  <c r="I122" i="8"/>
  <c r="K121" i="8"/>
  <c r="J121" i="8"/>
  <c r="I121" i="8"/>
  <c r="K120" i="8"/>
  <c r="J120" i="8"/>
  <c r="I120" i="8"/>
  <c r="K119" i="8"/>
  <c r="J119" i="8"/>
  <c r="I119" i="8"/>
  <c r="K118" i="8"/>
  <c r="J118" i="8"/>
  <c r="I118" i="8"/>
  <c r="K117" i="8"/>
  <c r="J117" i="8"/>
  <c r="I117" i="8"/>
  <c r="K116" i="8"/>
  <c r="J116" i="8"/>
  <c r="I116" i="8"/>
  <c r="K115" i="8"/>
  <c r="J115" i="8"/>
  <c r="I115" i="8"/>
  <c r="K114" i="8"/>
  <c r="J114" i="8"/>
  <c r="I114" i="8"/>
  <c r="K113" i="8"/>
  <c r="J113" i="8"/>
  <c r="I113" i="8"/>
  <c r="K112" i="8"/>
  <c r="J112" i="8"/>
  <c r="I112" i="8"/>
  <c r="K111" i="8"/>
  <c r="J111" i="8"/>
  <c r="I111" i="8"/>
  <c r="K110" i="8"/>
  <c r="J110" i="8"/>
  <c r="I110" i="8"/>
  <c r="K109" i="8"/>
  <c r="J109" i="8"/>
  <c r="I109" i="8"/>
  <c r="K108" i="8"/>
  <c r="J108" i="8"/>
  <c r="I108" i="8"/>
  <c r="K107" i="8"/>
  <c r="J107" i="8"/>
  <c r="I107" i="8"/>
  <c r="K106" i="8"/>
  <c r="J106" i="8"/>
  <c r="I106" i="8"/>
  <c r="K105" i="8"/>
  <c r="J105" i="8"/>
  <c r="I105" i="8"/>
  <c r="K104" i="8"/>
  <c r="J104" i="8"/>
  <c r="I104" i="8"/>
  <c r="K103" i="8"/>
  <c r="J103" i="8"/>
  <c r="I103" i="8"/>
  <c r="K102" i="8"/>
  <c r="J102" i="8"/>
  <c r="I102" i="8"/>
  <c r="K101" i="8"/>
  <c r="J101" i="8"/>
  <c r="I101" i="8"/>
  <c r="K100" i="8"/>
  <c r="J100" i="8"/>
  <c r="I100" i="8"/>
  <c r="K99" i="8"/>
  <c r="J99" i="8"/>
  <c r="I99" i="8"/>
  <c r="K98" i="8"/>
  <c r="J98" i="8"/>
  <c r="I98" i="8"/>
  <c r="K97" i="8"/>
  <c r="J97" i="8"/>
  <c r="I97" i="8"/>
  <c r="K96" i="8"/>
  <c r="J96" i="8"/>
  <c r="I96" i="8"/>
  <c r="K95" i="8"/>
  <c r="J95" i="8"/>
  <c r="I95" i="8"/>
  <c r="K94" i="8"/>
  <c r="J94" i="8"/>
  <c r="I94" i="8"/>
  <c r="K93" i="8"/>
  <c r="J93" i="8"/>
  <c r="I93" i="8"/>
  <c r="K92" i="8"/>
  <c r="J92" i="8"/>
  <c r="I92" i="8"/>
  <c r="K91" i="8"/>
  <c r="J91" i="8"/>
  <c r="I91" i="8"/>
  <c r="K90" i="8"/>
  <c r="J90" i="8"/>
  <c r="I90" i="8"/>
  <c r="K89" i="8"/>
  <c r="J89" i="8"/>
  <c r="I89" i="8"/>
  <c r="K88" i="8"/>
  <c r="J88" i="8"/>
  <c r="I88" i="8"/>
  <c r="K87" i="8"/>
  <c r="J87" i="8"/>
  <c r="I87" i="8"/>
  <c r="K86" i="8"/>
  <c r="J86" i="8"/>
  <c r="I86" i="8"/>
  <c r="K85" i="8"/>
  <c r="J85" i="8"/>
  <c r="I85" i="8"/>
  <c r="K84" i="8"/>
  <c r="J84" i="8"/>
  <c r="I84" i="8"/>
  <c r="K83" i="8"/>
  <c r="J83" i="8"/>
  <c r="I83" i="8"/>
  <c r="K82" i="8"/>
  <c r="J82" i="8"/>
  <c r="I82" i="8"/>
  <c r="K81" i="8"/>
  <c r="J81" i="8"/>
  <c r="I81" i="8"/>
  <c r="K80" i="8"/>
  <c r="J80" i="8"/>
  <c r="I80" i="8"/>
  <c r="K79" i="8"/>
  <c r="J79" i="8"/>
  <c r="I79" i="8"/>
  <c r="K78" i="8"/>
  <c r="J78" i="8"/>
  <c r="I78" i="8"/>
  <c r="K77" i="8"/>
  <c r="J77" i="8"/>
  <c r="I77" i="8"/>
  <c r="K76" i="8"/>
  <c r="J76" i="8"/>
  <c r="I76" i="8"/>
  <c r="K75" i="8"/>
  <c r="J75" i="8"/>
  <c r="I75" i="8"/>
  <c r="K74" i="8"/>
  <c r="J74" i="8"/>
  <c r="I74" i="8"/>
  <c r="K73" i="8"/>
  <c r="J73" i="8"/>
  <c r="I73" i="8"/>
  <c r="K72" i="8"/>
  <c r="J72" i="8"/>
  <c r="I72" i="8"/>
  <c r="K71" i="8"/>
  <c r="J71" i="8"/>
  <c r="I71" i="8"/>
  <c r="K70" i="8"/>
  <c r="J70" i="8"/>
  <c r="I70" i="8"/>
  <c r="K69" i="8"/>
  <c r="J69" i="8"/>
  <c r="I69" i="8"/>
  <c r="K68" i="8"/>
  <c r="J68" i="8"/>
  <c r="I68" i="8"/>
  <c r="K67" i="8"/>
  <c r="J67" i="8"/>
  <c r="I67" i="8"/>
  <c r="K66" i="8"/>
  <c r="J66" i="8"/>
  <c r="I66" i="8"/>
  <c r="K65" i="8"/>
  <c r="J65" i="8"/>
  <c r="I65" i="8"/>
  <c r="K64" i="8"/>
  <c r="J64" i="8"/>
  <c r="I64" i="8"/>
  <c r="K63" i="8"/>
  <c r="J63" i="8"/>
  <c r="I63" i="8"/>
  <c r="K62" i="8"/>
  <c r="J62" i="8"/>
  <c r="I62" i="8"/>
  <c r="K61" i="8"/>
  <c r="J61" i="8"/>
  <c r="I61" i="8"/>
  <c r="K60" i="8"/>
  <c r="J60" i="8"/>
  <c r="I60" i="8"/>
  <c r="K59" i="8"/>
  <c r="J59" i="8"/>
  <c r="I59" i="8"/>
  <c r="K58" i="8"/>
  <c r="J58" i="8"/>
  <c r="I58" i="8"/>
  <c r="K57" i="8"/>
  <c r="J57" i="8"/>
  <c r="I57" i="8"/>
  <c r="K56" i="8"/>
  <c r="J56" i="8"/>
  <c r="I56" i="8"/>
  <c r="K55" i="8"/>
  <c r="J55" i="8"/>
  <c r="I55" i="8"/>
  <c r="K54" i="8"/>
  <c r="J54" i="8"/>
  <c r="I54" i="8"/>
  <c r="K53" i="8"/>
  <c r="J53" i="8"/>
  <c r="I53" i="8"/>
  <c r="K52" i="8"/>
  <c r="J52" i="8"/>
  <c r="I52" i="8"/>
  <c r="K51" i="8"/>
  <c r="J51" i="8"/>
  <c r="I51" i="8"/>
  <c r="K50" i="8"/>
  <c r="J50" i="8"/>
  <c r="I50" i="8"/>
  <c r="K49" i="8"/>
  <c r="J49" i="8"/>
  <c r="I49" i="8"/>
  <c r="K48" i="8"/>
  <c r="J48" i="8"/>
  <c r="I48" i="8"/>
  <c r="K47" i="8"/>
  <c r="J47" i="8"/>
  <c r="I47" i="8"/>
  <c r="K46" i="8"/>
  <c r="J46" i="8"/>
  <c r="I46" i="8"/>
  <c r="K45" i="8"/>
  <c r="J45" i="8"/>
  <c r="I45" i="8"/>
  <c r="K44" i="8"/>
  <c r="J44" i="8"/>
  <c r="I44" i="8"/>
  <c r="K43" i="8"/>
  <c r="J43" i="8"/>
  <c r="I43" i="8"/>
  <c r="K42" i="8"/>
  <c r="J42" i="8"/>
  <c r="I42" i="8"/>
  <c r="K41" i="8"/>
  <c r="J41" i="8"/>
  <c r="I41" i="8"/>
  <c r="K40" i="8"/>
  <c r="J40" i="8"/>
  <c r="I40" i="8"/>
  <c r="K39" i="8"/>
  <c r="J39" i="8"/>
  <c r="I39" i="8"/>
  <c r="K38" i="8"/>
  <c r="J38" i="8"/>
  <c r="I38" i="8"/>
  <c r="K37" i="8"/>
  <c r="J37" i="8"/>
  <c r="I37" i="8"/>
  <c r="K36" i="8"/>
  <c r="J36" i="8"/>
  <c r="I36" i="8"/>
  <c r="K35" i="8"/>
  <c r="J35" i="8"/>
  <c r="I35" i="8"/>
  <c r="K34" i="8"/>
  <c r="J34" i="8"/>
  <c r="I34" i="8"/>
  <c r="K33" i="8"/>
  <c r="J33" i="8"/>
  <c r="I33" i="8"/>
  <c r="K32" i="8"/>
  <c r="J32" i="8"/>
  <c r="I32" i="8"/>
  <c r="K31" i="8"/>
  <c r="J31" i="8"/>
  <c r="I31" i="8"/>
  <c r="K30" i="8"/>
  <c r="J30" i="8"/>
  <c r="I30" i="8"/>
  <c r="K29" i="8"/>
  <c r="J29" i="8"/>
  <c r="I29" i="8"/>
  <c r="K28" i="8"/>
  <c r="J28" i="8"/>
  <c r="I28" i="8"/>
  <c r="K27" i="8"/>
  <c r="J27" i="8"/>
  <c r="I27" i="8"/>
  <c r="K26" i="8"/>
  <c r="J26" i="8"/>
  <c r="I26" i="8"/>
  <c r="K25" i="8"/>
  <c r="J25" i="8"/>
  <c r="I25" i="8"/>
  <c r="K24" i="8"/>
  <c r="J24" i="8"/>
  <c r="I24" i="8"/>
  <c r="K23" i="8"/>
  <c r="J23" i="8"/>
  <c r="I23" i="8"/>
  <c r="K22" i="8"/>
  <c r="J22" i="8"/>
  <c r="I22" i="8"/>
  <c r="K21" i="8"/>
  <c r="J21" i="8"/>
  <c r="I21" i="8"/>
  <c r="K20" i="8"/>
  <c r="J20" i="8"/>
  <c r="I20" i="8"/>
  <c r="K19" i="8"/>
  <c r="J19" i="8"/>
  <c r="I19" i="8"/>
  <c r="K18" i="8"/>
  <c r="J18" i="8"/>
  <c r="I18" i="8"/>
  <c r="K17" i="8"/>
  <c r="J17" i="8"/>
  <c r="I17" i="8"/>
  <c r="K16" i="8"/>
  <c r="J16" i="8"/>
  <c r="I16" i="8"/>
  <c r="K15" i="8"/>
  <c r="J15" i="8"/>
  <c r="I15" i="8"/>
  <c r="F9" i="8"/>
  <c r="F10" i="8" l="1"/>
  <c r="F11" i="8"/>
  <c r="K775" i="7"/>
  <c r="J775" i="7"/>
  <c r="I775" i="7"/>
  <c r="K774" i="7"/>
  <c r="J774" i="7"/>
  <c r="I774" i="7"/>
  <c r="K773" i="7"/>
  <c r="J773" i="7"/>
  <c r="I773" i="7"/>
  <c r="K772" i="7"/>
  <c r="J772" i="7"/>
  <c r="I772" i="7"/>
  <c r="K771" i="7"/>
  <c r="J771" i="7"/>
  <c r="I771" i="7"/>
  <c r="K770" i="7"/>
  <c r="J770" i="7"/>
  <c r="I770" i="7"/>
  <c r="K769" i="7"/>
  <c r="J769" i="7"/>
  <c r="I769" i="7"/>
  <c r="K768" i="7"/>
  <c r="J768" i="7"/>
  <c r="I768" i="7"/>
  <c r="K767" i="7"/>
  <c r="J767" i="7"/>
  <c r="I767" i="7"/>
  <c r="K766" i="7"/>
  <c r="J766" i="7"/>
  <c r="I766" i="7"/>
  <c r="K765" i="7"/>
  <c r="J765" i="7"/>
  <c r="I765" i="7"/>
  <c r="K764" i="7"/>
  <c r="J764" i="7"/>
  <c r="I764" i="7"/>
  <c r="K763" i="7"/>
  <c r="J763" i="7"/>
  <c r="I763" i="7"/>
  <c r="K762" i="7"/>
  <c r="J762" i="7"/>
  <c r="I762" i="7"/>
  <c r="K761" i="7"/>
  <c r="J761" i="7"/>
  <c r="I761" i="7"/>
  <c r="K760" i="7"/>
  <c r="J760" i="7"/>
  <c r="I760" i="7"/>
  <c r="K759" i="7"/>
  <c r="J759" i="7"/>
  <c r="I759" i="7"/>
  <c r="K758" i="7"/>
  <c r="J758" i="7"/>
  <c r="I758" i="7"/>
  <c r="K757" i="7"/>
  <c r="J757" i="7"/>
  <c r="I757" i="7"/>
  <c r="K756" i="7"/>
  <c r="J756" i="7"/>
  <c r="I756" i="7"/>
  <c r="K755" i="7"/>
  <c r="J755" i="7"/>
  <c r="I755" i="7"/>
  <c r="K754" i="7"/>
  <c r="J754" i="7"/>
  <c r="I754" i="7"/>
  <c r="K753" i="7"/>
  <c r="J753" i="7"/>
  <c r="I753" i="7"/>
  <c r="K752" i="7"/>
  <c r="J752" i="7"/>
  <c r="I752" i="7"/>
  <c r="K751" i="7"/>
  <c r="J751" i="7"/>
  <c r="I751" i="7"/>
  <c r="K750" i="7"/>
  <c r="J750" i="7"/>
  <c r="I750" i="7"/>
  <c r="K749" i="7"/>
  <c r="J749" i="7"/>
  <c r="I749" i="7"/>
  <c r="K748" i="7"/>
  <c r="J748" i="7"/>
  <c r="I748" i="7"/>
  <c r="K747" i="7"/>
  <c r="J747" i="7"/>
  <c r="I747" i="7"/>
  <c r="K746" i="7"/>
  <c r="J746" i="7"/>
  <c r="I746" i="7"/>
  <c r="K745" i="7"/>
  <c r="J745" i="7"/>
  <c r="I745" i="7"/>
  <c r="K744" i="7"/>
  <c r="J744" i="7"/>
  <c r="I744" i="7"/>
  <c r="K743" i="7"/>
  <c r="J743" i="7"/>
  <c r="I743" i="7"/>
  <c r="K742" i="7"/>
  <c r="J742" i="7"/>
  <c r="I742" i="7"/>
  <c r="K741" i="7"/>
  <c r="J741" i="7"/>
  <c r="I741" i="7"/>
  <c r="K740" i="7"/>
  <c r="J740" i="7"/>
  <c r="I740" i="7"/>
  <c r="K739" i="7"/>
  <c r="J739" i="7"/>
  <c r="I739" i="7"/>
  <c r="K738" i="7"/>
  <c r="J738" i="7"/>
  <c r="I738" i="7"/>
  <c r="K737" i="7"/>
  <c r="J737" i="7"/>
  <c r="I737" i="7"/>
  <c r="K736" i="7"/>
  <c r="J736" i="7"/>
  <c r="I736" i="7"/>
  <c r="K735" i="7"/>
  <c r="J735" i="7"/>
  <c r="I735" i="7"/>
  <c r="K734" i="7"/>
  <c r="J734" i="7"/>
  <c r="I734" i="7"/>
  <c r="K733" i="7"/>
  <c r="J733" i="7"/>
  <c r="I733" i="7"/>
  <c r="K732" i="7"/>
  <c r="J732" i="7"/>
  <c r="I732" i="7"/>
  <c r="K731" i="7"/>
  <c r="J731" i="7"/>
  <c r="I731" i="7"/>
  <c r="K730" i="7"/>
  <c r="J730" i="7"/>
  <c r="I730" i="7"/>
  <c r="K729" i="7"/>
  <c r="J729" i="7"/>
  <c r="I729" i="7"/>
  <c r="K728" i="7"/>
  <c r="J728" i="7"/>
  <c r="I728" i="7"/>
  <c r="K727" i="7"/>
  <c r="J727" i="7"/>
  <c r="I727" i="7"/>
  <c r="K726" i="7"/>
  <c r="J726" i="7"/>
  <c r="I726" i="7"/>
  <c r="K725" i="7"/>
  <c r="J725" i="7"/>
  <c r="I725" i="7"/>
  <c r="K724" i="7"/>
  <c r="J724" i="7"/>
  <c r="I724" i="7"/>
  <c r="K723" i="7"/>
  <c r="J723" i="7"/>
  <c r="I723" i="7"/>
  <c r="K722" i="7"/>
  <c r="J722" i="7"/>
  <c r="I722" i="7"/>
  <c r="K721" i="7"/>
  <c r="J721" i="7"/>
  <c r="I721" i="7"/>
  <c r="K720" i="7"/>
  <c r="J720" i="7"/>
  <c r="I720" i="7"/>
  <c r="K719" i="7"/>
  <c r="J719" i="7"/>
  <c r="I719" i="7"/>
  <c r="K718" i="7"/>
  <c r="J718" i="7"/>
  <c r="I718" i="7"/>
  <c r="K717" i="7"/>
  <c r="J717" i="7"/>
  <c r="I717" i="7"/>
  <c r="K716" i="7"/>
  <c r="J716" i="7"/>
  <c r="I716" i="7"/>
  <c r="K715" i="7"/>
  <c r="J715" i="7"/>
  <c r="I715" i="7"/>
  <c r="K714" i="7"/>
  <c r="J714" i="7"/>
  <c r="I714" i="7"/>
  <c r="K713" i="7"/>
  <c r="J713" i="7"/>
  <c r="I713" i="7"/>
  <c r="K712" i="7"/>
  <c r="J712" i="7"/>
  <c r="I712" i="7"/>
  <c r="K711" i="7"/>
  <c r="J711" i="7"/>
  <c r="I711" i="7"/>
  <c r="K710" i="7"/>
  <c r="J710" i="7"/>
  <c r="I710" i="7"/>
  <c r="K709" i="7"/>
  <c r="J709" i="7"/>
  <c r="I709" i="7"/>
  <c r="K708" i="7"/>
  <c r="J708" i="7"/>
  <c r="I708" i="7"/>
  <c r="K707" i="7"/>
  <c r="J707" i="7"/>
  <c r="I707" i="7"/>
  <c r="K706" i="7"/>
  <c r="J706" i="7"/>
  <c r="I706" i="7"/>
  <c r="K705" i="7"/>
  <c r="J705" i="7"/>
  <c r="I705" i="7"/>
  <c r="K704" i="7"/>
  <c r="J704" i="7"/>
  <c r="I704" i="7"/>
  <c r="K703" i="7"/>
  <c r="J703" i="7"/>
  <c r="I703" i="7"/>
  <c r="K702" i="7"/>
  <c r="J702" i="7"/>
  <c r="I702" i="7"/>
  <c r="K701" i="7"/>
  <c r="J701" i="7"/>
  <c r="I701" i="7"/>
  <c r="K700" i="7"/>
  <c r="J700" i="7"/>
  <c r="I700" i="7"/>
  <c r="K699" i="7"/>
  <c r="J699" i="7"/>
  <c r="I699" i="7"/>
  <c r="K698" i="7"/>
  <c r="J698" i="7"/>
  <c r="I698" i="7"/>
  <c r="K697" i="7"/>
  <c r="J697" i="7"/>
  <c r="I697" i="7"/>
  <c r="K696" i="7"/>
  <c r="J696" i="7"/>
  <c r="I696" i="7"/>
  <c r="K695" i="7"/>
  <c r="J695" i="7"/>
  <c r="I695" i="7"/>
  <c r="K694" i="7"/>
  <c r="J694" i="7"/>
  <c r="I694" i="7"/>
  <c r="K693" i="7"/>
  <c r="J693" i="7"/>
  <c r="I693" i="7"/>
  <c r="K692" i="7"/>
  <c r="J692" i="7"/>
  <c r="I692" i="7"/>
  <c r="K691" i="7"/>
  <c r="J691" i="7"/>
  <c r="I691" i="7"/>
  <c r="K690" i="7"/>
  <c r="J690" i="7"/>
  <c r="I690" i="7"/>
  <c r="K689" i="7"/>
  <c r="J689" i="7"/>
  <c r="I689" i="7"/>
  <c r="K688" i="7"/>
  <c r="J688" i="7"/>
  <c r="I688" i="7"/>
  <c r="K687" i="7"/>
  <c r="J687" i="7"/>
  <c r="I687" i="7"/>
  <c r="K686" i="7"/>
  <c r="J686" i="7"/>
  <c r="I686" i="7"/>
  <c r="K685" i="7"/>
  <c r="J685" i="7"/>
  <c r="I685" i="7"/>
  <c r="K684" i="7"/>
  <c r="J684" i="7"/>
  <c r="I684" i="7"/>
  <c r="K683" i="7"/>
  <c r="J683" i="7"/>
  <c r="I683" i="7"/>
  <c r="K682" i="7"/>
  <c r="J682" i="7"/>
  <c r="I682" i="7"/>
  <c r="K681" i="7"/>
  <c r="J681" i="7"/>
  <c r="I681" i="7"/>
  <c r="K680" i="7"/>
  <c r="J680" i="7"/>
  <c r="I680" i="7"/>
  <c r="K679" i="7"/>
  <c r="J679" i="7"/>
  <c r="I679" i="7"/>
  <c r="K678" i="7"/>
  <c r="J678" i="7"/>
  <c r="I678" i="7"/>
  <c r="K677" i="7"/>
  <c r="J677" i="7"/>
  <c r="I677" i="7"/>
  <c r="K676" i="7"/>
  <c r="J676" i="7"/>
  <c r="I676" i="7"/>
  <c r="K675" i="7"/>
  <c r="J675" i="7"/>
  <c r="I675" i="7"/>
  <c r="K674" i="7"/>
  <c r="J674" i="7"/>
  <c r="I674" i="7"/>
  <c r="K673" i="7"/>
  <c r="J673" i="7"/>
  <c r="I673" i="7"/>
  <c r="K672" i="7"/>
  <c r="J672" i="7"/>
  <c r="I672" i="7"/>
  <c r="K671" i="7"/>
  <c r="J671" i="7"/>
  <c r="I671" i="7"/>
  <c r="K670" i="7"/>
  <c r="J670" i="7"/>
  <c r="I670" i="7"/>
  <c r="K669" i="7"/>
  <c r="J669" i="7"/>
  <c r="I669" i="7"/>
  <c r="K668" i="7"/>
  <c r="J668" i="7"/>
  <c r="I668" i="7"/>
  <c r="K667" i="7"/>
  <c r="J667" i="7"/>
  <c r="I667" i="7"/>
  <c r="K666" i="7"/>
  <c r="J666" i="7"/>
  <c r="I666" i="7"/>
  <c r="K665" i="7"/>
  <c r="J665" i="7"/>
  <c r="I665" i="7"/>
  <c r="K664" i="7"/>
  <c r="J664" i="7"/>
  <c r="I664" i="7"/>
  <c r="K663" i="7"/>
  <c r="J663" i="7"/>
  <c r="I663" i="7"/>
  <c r="K662" i="7"/>
  <c r="J662" i="7"/>
  <c r="I662" i="7"/>
  <c r="K661" i="7"/>
  <c r="J661" i="7"/>
  <c r="I661" i="7"/>
  <c r="K660" i="7"/>
  <c r="J660" i="7"/>
  <c r="I660" i="7"/>
  <c r="K659" i="7"/>
  <c r="J659" i="7"/>
  <c r="I659" i="7"/>
  <c r="K658" i="7"/>
  <c r="J658" i="7"/>
  <c r="I658" i="7"/>
  <c r="K657" i="7"/>
  <c r="J657" i="7"/>
  <c r="I657" i="7"/>
  <c r="K656" i="7"/>
  <c r="J656" i="7"/>
  <c r="I656" i="7"/>
  <c r="K655" i="7"/>
  <c r="J655" i="7"/>
  <c r="I655" i="7"/>
  <c r="K654" i="7"/>
  <c r="J654" i="7"/>
  <c r="I654" i="7"/>
  <c r="K653" i="7"/>
  <c r="J653" i="7"/>
  <c r="I653" i="7"/>
  <c r="K652" i="7"/>
  <c r="J652" i="7"/>
  <c r="I652" i="7"/>
  <c r="K651" i="7"/>
  <c r="J651" i="7"/>
  <c r="I651" i="7"/>
  <c r="K650" i="7"/>
  <c r="J650" i="7"/>
  <c r="I650" i="7"/>
  <c r="K649" i="7"/>
  <c r="J649" i="7"/>
  <c r="I649" i="7"/>
  <c r="K648" i="7"/>
  <c r="J648" i="7"/>
  <c r="I648" i="7"/>
  <c r="K647" i="7"/>
  <c r="J647" i="7"/>
  <c r="I647" i="7"/>
  <c r="K646" i="7"/>
  <c r="J646" i="7"/>
  <c r="I646" i="7"/>
  <c r="K645" i="7"/>
  <c r="J645" i="7"/>
  <c r="I645" i="7"/>
  <c r="K644" i="7"/>
  <c r="J644" i="7"/>
  <c r="I644" i="7"/>
  <c r="K643" i="7"/>
  <c r="J643" i="7"/>
  <c r="I643" i="7"/>
  <c r="K642" i="7"/>
  <c r="J642" i="7"/>
  <c r="I642" i="7"/>
  <c r="K641" i="7"/>
  <c r="J641" i="7"/>
  <c r="I641" i="7"/>
  <c r="K640" i="7"/>
  <c r="J640" i="7"/>
  <c r="I640" i="7"/>
  <c r="K639" i="7"/>
  <c r="J639" i="7"/>
  <c r="I639" i="7"/>
  <c r="K638" i="7"/>
  <c r="J638" i="7"/>
  <c r="I638" i="7"/>
  <c r="K637" i="7"/>
  <c r="J637" i="7"/>
  <c r="I637" i="7"/>
  <c r="K636" i="7"/>
  <c r="J636" i="7"/>
  <c r="I636" i="7"/>
  <c r="K635" i="7"/>
  <c r="J635" i="7"/>
  <c r="I635" i="7"/>
  <c r="K634" i="7"/>
  <c r="J634" i="7"/>
  <c r="I634" i="7"/>
  <c r="K633" i="7"/>
  <c r="J633" i="7"/>
  <c r="I633" i="7"/>
  <c r="K632" i="7"/>
  <c r="J632" i="7"/>
  <c r="I632" i="7"/>
  <c r="K631" i="7"/>
  <c r="J631" i="7"/>
  <c r="I631" i="7"/>
  <c r="K630" i="7"/>
  <c r="J630" i="7"/>
  <c r="I630" i="7"/>
  <c r="K629" i="7"/>
  <c r="J629" i="7"/>
  <c r="I629" i="7"/>
  <c r="K628" i="7"/>
  <c r="J628" i="7"/>
  <c r="I628" i="7"/>
  <c r="K627" i="7"/>
  <c r="J627" i="7"/>
  <c r="I627" i="7"/>
  <c r="K626" i="7"/>
  <c r="J626" i="7"/>
  <c r="I626" i="7"/>
  <c r="K625" i="7"/>
  <c r="J625" i="7"/>
  <c r="I625" i="7"/>
  <c r="K624" i="7"/>
  <c r="J624" i="7"/>
  <c r="I624" i="7"/>
  <c r="K623" i="7"/>
  <c r="J623" i="7"/>
  <c r="I623" i="7"/>
  <c r="K622" i="7"/>
  <c r="J622" i="7"/>
  <c r="I622" i="7"/>
  <c r="K621" i="7"/>
  <c r="J621" i="7"/>
  <c r="I621" i="7"/>
  <c r="K620" i="7"/>
  <c r="J620" i="7"/>
  <c r="I620" i="7"/>
  <c r="K619" i="7"/>
  <c r="J619" i="7"/>
  <c r="I619" i="7"/>
  <c r="K618" i="7"/>
  <c r="J618" i="7"/>
  <c r="I618" i="7"/>
  <c r="K617" i="7"/>
  <c r="J617" i="7"/>
  <c r="I617" i="7"/>
  <c r="K616" i="7"/>
  <c r="J616" i="7"/>
  <c r="I616" i="7"/>
  <c r="K615" i="7"/>
  <c r="J615" i="7"/>
  <c r="I615" i="7"/>
  <c r="K614" i="7"/>
  <c r="J614" i="7"/>
  <c r="I614" i="7"/>
  <c r="K613" i="7"/>
  <c r="J613" i="7"/>
  <c r="I613" i="7"/>
  <c r="K612" i="7"/>
  <c r="J612" i="7"/>
  <c r="I612" i="7"/>
  <c r="K611" i="7"/>
  <c r="J611" i="7"/>
  <c r="I611" i="7"/>
  <c r="K610" i="7"/>
  <c r="J610" i="7"/>
  <c r="I610" i="7"/>
  <c r="K609" i="7"/>
  <c r="J609" i="7"/>
  <c r="I609" i="7"/>
  <c r="K608" i="7"/>
  <c r="J608" i="7"/>
  <c r="I608" i="7"/>
  <c r="K607" i="7"/>
  <c r="J607" i="7"/>
  <c r="I607" i="7"/>
  <c r="K606" i="7"/>
  <c r="J606" i="7"/>
  <c r="I606" i="7"/>
  <c r="K605" i="7"/>
  <c r="J605" i="7"/>
  <c r="I605" i="7"/>
  <c r="K604" i="7"/>
  <c r="J604" i="7"/>
  <c r="I604" i="7"/>
  <c r="K603" i="7"/>
  <c r="J603" i="7"/>
  <c r="I603" i="7"/>
  <c r="K602" i="7"/>
  <c r="J602" i="7"/>
  <c r="I602" i="7"/>
  <c r="K601" i="7"/>
  <c r="J601" i="7"/>
  <c r="I601" i="7"/>
  <c r="K600" i="7"/>
  <c r="J600" i="7"/>
  <c r="I600" i="7"/>
  <c r="K599" i="7"/>
  <c r="J599" i="7"/>
  <c r="I599" i="7"/>
  <c r="K598" i="7"/>
  <c r="J598" i="7"/>
  <c r="I598" i="7"/>
  <c r="K597" i="7"/>
  <c r="J597" i="7"/>
  <c r="I597" i="7"/>
  <c r="K596" i="7"/>
  <c r="J596" i="7"/>
  <c r="I596" i="7"/>
  <c r="K595" i="7"/>
  <c r="J595" i="7"/>
  <c r="I595" i="7"/>
  <c r="K594" i="7"/>
  <c r="J594" i="7"/>
  <c r="I594" i="7"/>
  <c r="K593" i="7"/>
  <c r="J593" i="7"/>
  <c r="I593" i="7"/>
  <c r="K592" i="7"/>
  <c r="J592" i="7"/>
  <c r="I592" i="7"/>
  <c r="K591" i="7"/>
  <c r="J591" i="7"/>
  <c r="I591" i="7"/>
  <c r="K590" i="7"/>
  <c r="J590" i="7"/>
  <c r="I590" i="7"/>
  <c r="K589" i="7"/>
  <c r="J589" i="7"/>
  <c r="I589" i="7"/>
  <c r="K588" i="7"/>
  <c r="J588" i="7"/>
  <c r="I588" i="7"/>
  <c r="K587" i="7"/>
  <c r="J587" i="7"/>
  <c r="I587" i="7"/>
  <c r="K586" i="7"/>
  <c r="J586" i="7"/>
  <c r="I586" i="7"/>
  <c r="K585" i="7"/>
  <c r="J585" i="7"/>
  <c r="I585" i="7"/>
  <c r="K584" i="7"/>
  <c r="J584" i="7"/>
  <c r="I584" i="7"/>
  <c r="K583" i="7"/>
  <c r="J583" i="7"/>
  <c r="I583" i="7"/>
  <c r="K582" i="7"/>
  <c r="J582" i="7"/>
  <c r="I582" i="7"/>
  <c r="K581" i="7"/>
  <c r="J581" i="7"/>
  <c r="I581" i="7"/>
  <c r="K580" i="7"/>
  <c r="J580" i="7"/>
  <c r="I580" i="7"/>
  <c r="K579" i="7"/>
  <c r="J579" i="7"/>
  <c r="I579" i="7"/>
  <c r="K578" i="7"/>
  <c r="J578" i="7"/>
  <c r="I578" i="7"/>
  <c r="K577" i="7"/>
  <c r="J577" i="7"/>
  <c r="I577" i="7"/>
  <c r="K576" i="7"/>
  <c r="J576" i="7"/>
  <c r="I576" i="7"/>
  <c r="K575" i="7"/>
  <c r="J575" i="7"/>
  <c r="I575" i="7"/>
  <c r="K574" i="7"/>
  <c r="J574" i="7"/>
  <c r="I574" i="7"/>
  <c r="K573" i="7"/>
  <c r="J573" i="7"/>
  <c r="I573" i="7"/>
  <c r="K572" i="7"/>
  <c r="J572" i="7"/>
  <c r="I572" i="7"/>
  <c r="K571" i="7"/>
  <c r="J571" i="7"/>
  <c r="I571" i="7"/>
  <c r="K570" i="7"/>
  <c r="J570" i="7"/>
  <c r="I570" i="7"/>
  <c r="K569" i="7"/>
  <c r="J569" i="7"/>
  <c r="I569" i="7"/>
  <c r="K568" i="7"/>
  <c r="J568" i="7"/>
  <c r="I568" i="7"/>
  <c r="K567" i="7"/>
  <c r="J567" i="7"/>
  <c r="I567" i="7"/>
  <c r="K566" i="7"/>
  <c r="J566" i="7"/>
  <c r="I566" i="7"/>
  <c r="K565" i="7"/>
  <c r="J565" i="7"/>
  <c r="I565" i="7"/>
  <c r="K564" i="7"/>
  <c r="J564" i="7"/>
  <c r="I564" i="7"/>
  <c r="K563" i="7"/>
  <c r="J563" i="7"/>
  <c r="I563" i="7"/>
  <c r="K562" i="7"/>
  <c r="J562" i="7"/>
  <c r="I562" i="7"/>
  <c r="K561" i="7"/>
  <c r="J561" i="7"/>
  <c r="I561" i="7"/>
  <c r="K560" i="7"/>
  <c r="J560" i="7"/>
  <c r="I560" i="7"/>
  <c r="K559" i="7"/>
  <c r="J559" i="7"/>
  <c r="I559" i="7"/>
  <c r="K558" i="7"/>
  <c r="J558" i="7"/>
  <c r="I558" i="7"/>
  <c r="K557" i="7"/>
  <c r="J557" i="7"/>
  <c r="I557" i="7"/>
  <c r="K556" i="7"/>
  <c r="J556" i="7"/>
  <c r="I556" i="7"/>
  <c r="K555" i="7"/>
  <c r="J555" i="7"/>
  <c r="I555" i="7"/>
  <c r="K554" i="7"/>
  <c r="J554" i="7"/>
  <c r="I554" i="7"/>
  <c r="K553" i="7"/>
  <c r="J553" i="7"/>
  <c r="I553" i="7"/>
  <c r="K552" i="7"/>
  <c r="J552" i="7"/>
  <c r="I552" i="7"/>
  <c r="K551" i="7"/>
  <c r="J551" i="7"/>
  <c r="I551" i="7"/>
  <c r="K550" i="7"/>
  <c r="J550" i="7"/>
  <c r="I550" i="7"/>
  <c r="K549" i="7"/>
  <c r="J549" i="7"/>
  <c r="I549" i="7"/>
  <c r="K548" i="7"/>
  <c r="J548" i="7"/>
  <c r="I548" i="7"/>
  <c r="K547" i="7"/>
  <c r="J547" i="7"/>
  <c r="I547" i="7"/>
  <c r="K546" i="7"/>
  <c r="J546" i="7"/>
  <c r="I546" i="7"/>
  <c r="K545" i="7"/>
  <c r="J545" i="7"/>
  <c r="I545" i="7"/>
  <c r="K544" i="7"/>
  <c r="J544" i="7"/>
  <c r="I544" i="7"/>
  <c r="K543" i="7"/>
  <c r="J543" i="7"/>
  <c r="I543" i="7"/>
  <c r="K542" i="7"/>
  <c r="J542" i="7"/>
  <c r="I542" i="7"/>
  <c r="K541" i="7"/>
  <c r="J541" i="7"/>
  <c r="I541" i="7"/>
  <c r="K540" i="7"/>
  <c r="J540" i="7"/>
  <c r="I540" i="7"/>
  <c r="K539" i="7"/>
  <c r="J539" i="7"/>
  <c r="I539" i="7"/>
  <c r="K538" i="7"/>
  <c r="J538" i="7"/>
  <c r="I538" i="7"/>
  <c r="K537" i="7"/>
  <c r="J537" i="7"/>
  <c r="I537" i="7"/>
  <c r="K536" i="7"/>
  <c r="J536" i="7"/>
  <c r="I536" i="7"/>
  <c r="K535" i="7"/>
  <c r="J535" i="7"/>
  <c r="I535" i="7"/>
  <c r="K534" i="7"/>
  <c r="J534" i="7"/>
  <c r="I534" i="7"/>
  <c r="K533" i="7"/>
  <c r="J533" i="7"/>
  <c r="I533" i="7"/>
  <c r="K532" i="7"/>
  <c r="J532" i="7"/>
  <c r="I532" i="7"/>
  <c r="K531" i="7"/>
  <c r="J531" i="7"/>
  <c r="I531" i="7"/>
  <c r="K530" i="7"/>
  <c r="J530" i="7"/>
  <c r="I530" i="7"/>
  <c r="K529" i="7"/>
  <c r="J529" i="7"/>
  <c r="I529" i="7"/>
  <c r="K528" i="7"/>
  <c r="J528" i="7"/>
  <c r="I528" i="7"/>
  <c r="K527" i="7"/>
  <c r="J527" i="7"/>
  <c r="I527" i="7"/>
  <c r="K526" i="7"/>
  <c r="J526" i="7"/>
  <c r="I526" i="7"/>
  <c r="K525" i="7"/>
  <c r="J525" i="7"/>
  <c r="I525" i="7"/>
  <c r="K524" i="7"/>
  <c r="J524" i="7"/>
  <c r="I524" i="7"/>
  <c r="K523" i="7"/>
  <c r="J523" i="7"/>
  <c r="I523" i="7"/>
  <c r="K522" i="7"/>
  <c r="J522" i="7"/>
  <c r="I522" i="7"/>
  <c r="K521" i="7"/>
  <c r="J521" i="7"/>
  <c r="I521" i="7"/>
  <c r="K520" i="7"/>
  <c r="J520" i="7"/>
  <c r="I520" i="7"/>
  <c r="K519" i="7"/>
  <c r="J519" i="7"/>
  <c r="I519" i="7"/>
  <c r="K518" i="7"/>
  <c r="J518" i="7"/>
  <c r="I518" i="7"/>
  <c r="K517" i="7"/>
  <c r="J517" i="7"/>
  <c r="I517" i="7"/>
  <c r="K516" i="7"/>
  <c r="J516" i="7"/>
  <c r="I516" i="7"/>
  <c r="K515" i="7"/>
  <c r="J515" i="7"/>
  <c r="I515" i="7"/>
  <c r="K514" i="7"/>
  <c r="J514" i="7"/>
  <c r="I514" i="7"/>
  <c r="K513" i="7"/>
  <c r="J513" i="7"/>
  <c r="I513" i="7"/>
  <c r="K512" i="7"/>
  <c r="J512" i="7"/>
  <c r="I512" i="7"/>
  <c r="K511" i="7"/>
  <c r="J511" i="7"/>
  <c r="I511" i="7"/>
  <c r="K510" i="7"/>
  <c r="J510" i="7"/>
  <c r="I510" i="7"/>
  <c r="K509" i="7"/>
  <c r="J509" i="7"/>
  <c r="I509" i="7"/>
  <c r="K508" i="7"/>
  <c r="J508" i="7"/>
  <c r="I508" i="7"/>
  <c r="K507" i="7"/>
  <c r="J507" i="7"/>
  <c r="I507" i="7"/>
  <c r="K506" i="7"/>
  <c r="J506" i="7"/>
  <c r="I506" i="7"/>
  <c r="K505" i="7"/>
  <c r="J505" i="7"/>
  <c r="I505" i="7"/>
  <c r="K504" i="7"/>
  <c r="J504" i="7"/>
  <c r="I504" i="7"/>
  <c r="K503" i="7"/>
  <c r="J503" i="7"/>
  <c r="I503" i="7"/>
  <c r="K502" i="7"/>
  <c r="J502" i="7"/>
  <c r="I502" i="7"/>
  <c r="K501" i="7"/>
  <c r="J501" i="7"/>
  <c r="I501" i="7"/>
  <c r="K500" i="7"/>
  <c r="J500" i="7"/>
  <c r="I500" i="7"/>
  <c r="K499" i="7"/>
  <c r="J499" i="7"/>
  <c r="I499" i="7"/>
  <c r="K498" i="7"/>
  <c r="J498" i="7"/>
  <c r="I498" i="7"/>
  <c r="K497" i="7"/>
  <c r="J497" i="7"/>
  <c r="I497" i="7"/>
  <c r="K496" i="7"/>
  <c r="J496" i="7"/>
  <c r="I496" i="7"/>
  <c r="K495" i="7"/>
  <c r="J495" i="7"/>
  <c r="I495" i="7"/>
  <c r="K494" i="7"/>
  <c r="J494" i="7"/>
  <c r="I494" i="7"/>
  <c r="K493" i="7"/>
  <c r="J493" i="7"/>
  <c r="I493" i="7"/>
  <c r="K492" i="7"/>
  <c r="J492" i="7"/>
  <c r="I492" i="7"/>
  <c r="K491" i="7"/>
  <c r="J491" i="7"/>
  <c r="I491" i="7"/>
  <c r="K490" i="7"/>
  <c r="J490" i="7"/>
  <c r="I490" i="7"/>
  <c r="K489" i="7"/>
  <c r="J489" i="7"/>
  <c r="I489" i="7"/>
  <c r="K488" i="7"/>
  <c r="J488" i="7"/>
  <c r="I488" i="7"/>
  <c r="K487" i="7"/>
  <c r="J487" i="7"/>
  <c r="I487" i="7"/>
  <c r="K486" i="7"/>
  <c r="J486" i="7"/>
  <c r="I486" i="7"/>
  <c r="K485" i="7"/>
  <c r="J485" i="7"/>
  <c r="I485" i="7"/>
  <c r="K484" i="7"/>
  <c r="J484" i="7"/>
  <c r="I484" i="7"/>
  <c r="K483" i="7"/>
  <c r="J483" i="7"/>
  <c r="I483" i="7"/>
  <c r="K482" i="7"/>
  <c r="J482" i="7"/>
  <c r="I482" i="7"/>
  <c r="K481" i="7"/>
  <c r="J481" i="7"/>
  <c r="I481" i="7"/>
  <c r="K480" i="7"/>
  <c r="J480" i="7"/>
  <c r="I480" i="7"/>
  <c r="K479" i="7"/>
  <c r="J479" i="7"/>
  <c r="I479" i="7"/>
  <c r="K478" i="7"/>
  <c r="J478" i="7"/>
  <c r="I478" i="7"/>
  <c r="K477" i="7"/>
  <c r="J477" i="7"/>
  <c r="I477" i="7"/>
  <c r="K476" i="7"/>
  <c r="J476" i="7"/>
  <c r="I476" i="7"/>
  <c r="K475" i="7"/>
  <c r="J475" i="7"/>
  <c r="I475" i="7"/>
  <c r="K474" i="7"/>
  <c r="J474" i="7"/>
  <c r="I474" i="7"/>
  <c r="K473" i="7"/>
  <c r="J473" i="7"/>
  <c r="I473" i="7"/>
  <c r="K472" i="7"/>
  <c r="J472" i="7"/>
  <c r="I472" i="7"/>
  <c r="K471" i="7"/>
  <c r="J471" i="7"/>
  <c r="I471" i="7"/>
  <c r="K470" i="7"/>
  <c r="J470" i="7"/>
  <c r="I470" i="7"/>
  <c r="K469" i="7"/>
  <c r="J469" i="7"/>
  <c r="I469" i="7"/>
  <c r="K468" i="7"/>
  <c r="J468" i="7"/>
  <c r="I468" i="7"/>
  <c r="K467" i="7"/>
  <c r="J467" i="7"/>
  <c r="I467" i="7"/>
  <c r="K466" i="7"/>
  <c r="J466" i="7"/>
  <c r="I466" i="7"/>
  <c r="K465" i="7"/>
  <c r="J465" i="7"/>
  <c r="I465" i="7"/>
  <c r="K464" i="7"/>
  <c r="J464" i="7"/>
  <c r="I464" i="7"/>
  <c r="K463" i="7"/>
  <c r="J463" i="7"/>
  <c r="I463" i="7"/>
  <c r="K462" i="7"/>
  <c r="J462" i="7"/>
  <c r="I462" i="7"/>
  <c r="K461" i="7"/>
  <c r="J461" i="7"/>
  <c r="I461" i="7"/>
  <c r="K460" i="7"/>
  <c r="J460" i="7"/>
  <c r="I460" i="7"/>
  <c r="K459" i="7"/>
  <c r="J459" i="7"/>
  <c r="I459" i="7"/>
  <c r="K458" i="7"/>
  <c r="J458" i="7"/>
  <c r="I458" i="7"/>
  <c r="K457" i="7"/>
  <c r="J457" i="7"/>
  <c r="I457" i="7"/>
  <c r="K456" i="7"/>
  <c r="J456" i="7"/>
  <c r="I456" i="7"/>
  <c r="K455" i="7"/>
  <c r="J455" i="7"/>
  <c r="I455" i="7"/>
  <c r="K454" i="7"/>
  <c r="J454" i="7"/>
  <c r="I454" i="7"/>
  <c r="K453" i="7"/>
  <c r="J453" i="7"/>
  <c r="I453" i="7"/>
  <c r="K452" i="7"/>
  <c r="J452" i="7"/>
  <c r="I452" i="7"/>
  <c r="K451" i="7"/>
  <c r="J451" i="7"/>
  <c r="I451" i="7"/>
  <c r="K450" i="7"/>
  <c r="J450" i="7"/>
  <c r="I450" i="7"/>
  <c r="K449" i="7"/>
  <c r="J449" i="7"/>
  <c r="I449" i="7"/>
  <c r="K448" i="7"/>
  <c r="J448" i="7"/>
  <c r="I448" i="7"/>
  <c r="K447" i="7"/>
  <c r="J447" i="7"/>
  <c r="I447" i="7"/>
  <c r="K446" i="7"/>
  <c r="J446" i="7"/>
  <c r="I446" i="7"/>
  <c r="K445" i="7"/>
  <c r="J445" i="7"/>
  <c r="I445" i="7"/>
  <c r="K444" i="7"/>
  <c r="J444" i="7"/>
  <c r="I444" i="7"/>
  <c r="K443" i="7"/>
  <c r="J443" i="7"/>
  <c r="I443" i="7"/>
  <c r="K442" i="7"/>
  <c r="J442" i="7"/>
  <c r="I442" i="7"/>
  <c r="K441" i="7"/>
  <c r="J441" i="7"/>
  <c r="I441" i="7"/>
  <c r="K440" i="7"/>
  <c r="J440" i="7"/>
  <c r="I440" i="7"/>
  <c r="K439" i="7"/>
  <c r="J439" i="7"/>
  <c r="I439" i="7"/>
  <c r="K438" i="7"/>
  <c r="J438" i="7"/>
  <c r="I438" i="7"/>
  <c r="K437" i="7"/>
  <c r="J437" i="7"/>
  <c r="I437" i="7"/>
  <c r="K436" i="7"/>
  <c r="J436" i="7"/>
  <c r="I436" i="7"/>
  <c r="K435" i="7"/>
  <c r="J435" i="7"/>
  <c r="I435" i="7"/>
  <c r="K434" i="7"/>
  <c r="J434" i="7"/>
  <c r="I434" i="7"/>
  <c r="K433" i="7"/>
  <c r="J433" i="7"/>
  <c r="I433" i="7"/>
  <c r="K432" i="7"/>
  <c r="J432" i="7"/>
  <c r="I432" i="7"/>
  <c r="K431" i="7"/>
  <c r="J431" i="7"/>
  <c r="I431" i="7"/>
  <c r="K430" i="7"/>
  <c r="J430" i="7"/>
  <c r="I430" i="7"/>
  <c r="K429" i="7"/>
  <c r="J429" i="7"/>
  <c r="I429" i="7"/>
  <c r="K428" i="7"/>
  <c r="J428" i="7"/>
  <c r="I428" i="7"/>
  <c r="K427" i="7"/>
  <c r="J427" i="7"/>
  <c r="I427" i="7"/>
  <c r="K426" i="7"/>
  <c r="J426" i="7"/>
  <c r="I426" i="7"/>
  <c r="K425" i="7"/>
  <c r="J425" i="7"/>
  <c r="I425" i="7"/>
  <c r="K424" i="7"/>
  <c r="J424" i="7"/>
  <c r="I424" i="7"/>
  <c r="K423" i="7"/>
  <c r="J423" i="7"/>
  <c r="I423" i="7"/>
  <c r="K422" i="7"/>
  <c r="J422" i="7"/>
  <c r="I422" i="7"/>
  <c r="K421" i="7"/>
  <c r="J421" i="7"/>
  <c r="I421" i="7"/>
  <c r="K420" i="7"/>
  <c r="J420" i="7"/>
  <c r="I420" i="7"/>
  <c r="K419" i="7"/>
  <c r="J419" i="7"/>
  <c r="I419" i="7"/>
  <c r="K418" i="7"/>
  <c r="J418" i="7"/>
  <c r="I418" i="7"/>
  <c r="K417" i="7"/>
  <c r="J417" i="7"/>
  <c r="I417" i="7"/>
  <c r="K416" i="7"/>
  <c r="J416" i="7"/>
  <c r="I416" i="7"/>
  <c r="K415" i="7"/>
  <c r="J415" i="7"/>
  <c r="I415" i="7"/>
  <c r="K414" i="7"/>
  <c r="J414" i="7"/>
  <c r="I414" i="7"/>
  <c r="K413" i="7"/>
  <c r="J413" i="7"/>
  <c r="I413" i="7"/>
  <c r="K412" i="7"/>
  <c r="J412" i="7"/>
  <c r="I412" i="7"/>
  <c r="K411" i="7"/>
  <c r="J411" i="7"/>
  <c r="I411" i="7"/>
  <c r="K410" i="7"/>
  <c r="J410" i="7"/>
  <c r="I410" i="7"/>
  <c r="K409" i="7"/>
  <c r="J409" i="7"/>
  <c r="I409" i="7"/>
  <c r="K408" i="7"/>
  <c r="J408" i="7"/>
  <c r="I408" i="7"/>
  <c r="K407" i="7"/>
  <c r="J407" i="7"/>
  <c r="I407" i="7"/>
  <c r="K406" i="7"/>
  <c r="J406" i="7"/>
  <c r="I406" i="7"/>
  <c r="K405" i="7"/>
  <c r="J405" i="7"/>
  <c r="I405" i="7"/>
  <c r="K404" i="7"/>
  <c r="J404" i="7"/>
  <c r="I404" i="7"/>
  <c r="K403" i="7"/>
  <c r="J403" i="7"/>
  <c r="I403" i="7"/>
  <c r="K402" i="7"/>
  <c r="J402" i="7"/>
  <c r="I402" i="7"/>
  <c r="K401" i="7"/>
  <c r="J401" i="7"/>
  <c r="I401" i="7"/>
  <c r="K400" i="7"/>
  <c r="J400" i="7"/>
  <c r="I400" i="7"/>
  <c r="K399" i="7"/>
  <c r="J399" i="7"/>
  <c r="I399" i="7"/>
  <c r="K398" i="7"/>
  <c r="J398" i="7"/>
  <c r="I398" i="7"/>
  <c r="K397" i="7"/>
  <c r="J397" i="7"/>
  <c r="I397" i="7"/>
  <c r="K396" i="7"/>
  <c r="J396" i="7"/>
  <c r="I396" i="7"/>
  <c r="K395" i="7"/>
  <c r="J395" i="7"/>
  <c r="I395" i="7"/>
  <c r="K394" i="7"/>
  <c r="J394" i="7"/>
  <c r="I394" i="7"/>
  <c r="K393" i="7"/>
  <c r="J393" i="7"/>
  <c r="I393" i="7"/>
  <c r="K392" i="7"/>
  <c r="J392" i="7"/>
  <c r="I392" i="7"/>
  <c r="K391" i="7"/>
  <c r="J391" i="7"/>
  <c r="I391" i="7"/>
  <c r="K390" i="7"/>
  <c r="J390" i="7"/>
  <c r="I390" i="7"/>
  <c r="K389" i="7"/>
  <c r="J389" i="7"/>
  <c r="I389" i="7"/>
  <c r="K388" i="7"/>
  <c r="J388" i="7"/>
  <c r="I388" i="7"/>
  <c r="K387" i="7"/>
  <c r="J387" i="7"/>
  <c r="I387" i="7"/>
  <c r="K386" i="7"/>
  <c r="J386" i="7"/>
  <c r="I386" i="7"/>
  <c r="K385" i="7"/>
  <c r="J385" i="7"/>
  <c r="I385" i="7"/>
  <c r="K384" i="7"/>
  <c r="J384" i="7"/>
  <c r="I384" i="7"/>
  <c r="K383" i="7"/>
  <c r="J383" i="7"/>
  <c r="I383" i="7"/>
  <c r="K382" i="7"/>
  <c r="J382" i="7"/>
  <c r="I382" i="7"/>
  <c r="K381" i="7"/>
  <c r="J381" i="7"/>
  <c r="I381" i="7"/>
  <c r="K380" i="7"/>
  <c r="J380" i="7"/>
  <c r="I380" i="7"/>
  <c r="K379" i="7"/>
  <c r="J379" i="7"/>
  <c r="I379" i="7"/>
  <c r="K378" i="7"/>
  <c r="J378" i="7"/>
  <c r="I378" i="7"/>
  <c r="K377" i="7"/>
  <c r="J377" i="7"/>
  <c r="I377" i="7"/>
  <c r="K376" i="7"/>
  <c r="J376" i="7"/>
  <c r="I376" i="7"/>
  <c r="K375" i="7"/>
  <c r="J375" i="7"/>
  <c r="I375" i="7"/>
  <c r="K374" i="7"/>
  <c r="J374" i="7"/>
  <c r="I374" i="7"/>
  <c r="K373" i="7"/>
  <c r="J373" i="7"/>
  <c r="I373" i="7"/>
  <c r="K372" i="7"/>
  <c r="J372" i="7"/>
  <c r="I372" i="7"/>
  <c r="K371" i="7"/>
  <c r="J371" i="7"/>
  <c r="I371" i="7"/>
  <c r="K370" i="7"/>
  <c r="J370" i="7"/>
  <c r="I370" i="7"/>
  <c r="K369" i="7"/>
  <c r="J369" i="7"/>
  <c r="I369" i="7"/>
  <c r="K368" i="7"/>
  <c r="J368" i="7"/>
  <c r="I368" i="7"/>
  <c r="K367" i="7"/>
  <c r="J367" i="7"/>
  <c r="I367" i="7"/>
  <c r="K366" i="7"/>
  <c r="J366" i="7"/>
  <c r="I366" i="7"/>
  <c r="K365" i="7"/>
  <c r="J365" i="7"/>
  <c r="I365" i="7"/>
  <c r="K364" i="7"/>
  <c r="J364" i="7"/>
  <c r="I364" i="7"/>
  <c r="K363" i="7"/>
  <c r="J363" i="7"/>
  <c r="I363" i="7"/>
  <c r="K362" i="7"/>
  <c r="J362" i="7"/>
  <c r="I362" i="7"/>
  <c r="K361" i="7"/>
  <c r="J361" i="7"/>
  <c r="I361" i="7"/>
  <c r="K360" i="7"/>
  <c r="J360" i="7"/>
  <c r="I360" i="7"/>
  <c r="K359" i="7"/>
  <c r="J359" i="7"/>
  <c r="I359" i="7"/>
  <c r="K358" i="7"/>
  <c r="J358" i="7"/>
  <c r="I358" i="7"/>
  <c r="K357" i="7"/>
  <c r="J357" i="7"/>
  <c r="I357" i="7"/>
  <c r="K356" i="7"/>
  <c r="J356" i="7"/>
  <c r="I356" i="7"/>
  <c r="K355" i="7"/>
  <c r="J355" i="7"/>
  <c r="I355" i="7"/>
  <c r="K354" i="7"/>
  <c r="J354" i="7"/>
  <c r="I354" i="7"/>
  <c r="K353" i="7"/>
  <c r="J353" i="7"/>
  <c r="I353" i="7"/>
  <c r="K352" i="7"/>
  <c r="J352" i="7"/>
  <c r="I352" i="7"/>
  <c r="K351" i="7"/>
  <c r="J351" i="7"/>
  <c r="I351" i="7"/>
  <c r="K350" i="7"/>
  <c r="J350" i="7"/>
  <c r="I350" i="7"/>
  <c r="K349" i="7"/>
  <c r="J349" i="7"/>
  <c r="I349" i="7"/>
  <c r="K348" i="7"/>
  <c r="J348" i="7"/>
  <c r="I348" i="7"/>
  <c r="K347" i="7"/>
  <c r="J347" i="7"/>
  <c r="I347" i="7"/>
  <c r="K346" i="7"/>
  <c r="J346" i="7"/>
  <c r="I346" i="7"/>
  <c r="K345" i="7"/>
  <c r="J345" i="7"/>
  <c r="I345" i="7"/>
  <c r="K344" i="7"/>
  <c r="J344" i="7"/>
  <c r="I344" i="7"/>
  <c r="K343" i="7"/>
  <c r="J343" i="7"/>
  <c r="I343" i="7"/>
  <c r="K342" i="7"/>
  <c r="J342" i="7"/>
  <c r="I342" i="7"/>
  <c r="K341" i="7"/>
  <c r="J341" i="7"/>
  <c r="I341" i="7"/>
  <c r="K340" i="7"/>
  <c r="J340" i="7"/>
  <c r="I340" i="7"/>
  <c r="K339" i="7"/>
  <c r="J339" i="7"/>
  <c r="I339" i="7"/>
  <c r="K338" i="7"/>
  <c r="J338" i="7"/>
  <c r="I338" i="7"/>
  <c r="K337" i="7"/>
  <c r="J337" i="7"/>
  <c r="I337" i="7"/>
  <c r="K336" i="7"/>
  <c r="J336" i="7"/>
  <c r="I336" i="7"/>
  <c r="K335" i="7"/>
  <c r="J335" i="7"/>
  <c r="I335" i="7"/>
  <c r="K334" i="7"/>
  <c r="J334" i="7"/>
  <c r="I334" i="7"/>
  <c r="K333" i="7"/>
  <c r="J333" i="7"/>
  <c r="I333" i="7"/>
  <c r="K332" i="7"/>
  <c r="J332" i="7"/>
  <c r="I332" i="7"/>
  <c r="K331" i="7"/>
  <c r="J331" i="7"/>
  <c r="I331" i="7"/>
  <c r="K330" i="7"/>
  <c r="J330" i="7"/>
  <c r="I330" i="7"/>
  <c r="K329" i="7"/>
  <c r="J329" i="7"/>
  <c r="I329" i="7"/>
  <c r="K328" i="7"/>
  <c r="J328" i="7"/>
  <c r="I328" i="7"/>
  <c r="K327" i="7"/>
  <c r="J327" i="7"/>
  <c r="I327" i="7"/>
  <c r="K326" i="7"/>
  <c r="J326" i="7"/>
  <c r="I326" i="7"/>
  <c r="K325" i="7"/>
  <c r="J325" i="7"/>
  <c r="I325" i="7"/>
  <c r="K324" i="7"/>
  <c r="J324" i="7"/>
  <c r="I324" i="7"/>
  <c r="K323" i="7"/>
  <c r="J323" i="7"/>
  <c r="I323" i="7"/>
  <c r="K322" i="7"/>
  <c r="J322" i="7"/>
  <c r="I322" i="7"/>
  <c r="K321" i="7"/>
  <c r="J321" i="7"/>
  <c r="I321" i="7"/>
  <c r="K320" i="7"/>
  <c r="J320" i="7"/>
  <c r="I320" i="7"/>
  <c r="K319" i="7"/>
  <c r="J319" i="7"/>
  <c r="I319" i="7"/>
  <c r="K318" i="7"/>
  <c r="J318" i="7"/>
  <c r="I318" i="7"/>
  <c r="K317" i="7"/>
  <c r="J317" i="7"/>
  <c r="I317" i="7"/>
  <c r="K316" i="7"/>
  <c r="J316" i="7"/>
  <c r="I316" i="7"/>
  <c r="K315" i="7"/>
  <c r="J315" i="7"/>
  <c r="I315" i="7"/>
  <c r="K314" i="7"/>
  <c r="J314" i="7"/>
  <c r="I314" i="7"/>
  <c r="K313" i="7"/>
  <c r="J313" i="7"/>
  <c r="I313" i="7"/>
  <c r="K312" i="7"/>
  <c r="J312" i="7"/>
  <c r="I312" i="7"/>
  <c r="K311" i="7"/>
  <c r="J311" i="7"/>
  <c r="I311" i="7"/>
  <c r="K310" i="7"/>
  <c r="J310" i="7"/>
  <c r="I310" i="7"/>
  <c r="K309" i="7"/>
  <c r="J309" i="7"/>
  <c r="I309" i="7"/>
  <c r="K308" i="7"/>
  <c r="J308" i="7"/>
  <c r="I308" i="7"/>
  <c r="K307" i="7"/>
  <c r="J307" i="7"/>
  <c r="I307" i="7"/>
  <c r="K306" i="7"/>
  <c r="J306" i="7"/>
  <c r="I306" i="7"/>
  <c r="K305" i="7"/>
  <c r="J305" i="7"/>
  <c r="I305" i="7"/>
  <c r="K304" i="7"/>
  <c r="J304" i="7"/>
  <c r="I304" i="7"/>
  <c r="K303" i="7"/>
  <c r="J303" i="7"/>
  <c r="I303" i="7"/>
  <c r="K302" i="7"/>
  <c r="J302" i="7"/>
  <c r="I302" i="7"/>
  <c r="K301" i="7"/>
  <c r="J301" i="7"/>
  <c r="I301" i="7"/>
  <c r="K300" i="7"/>
  <c r="J300" i="7"/>
  <c r="I300" i="7"/>
  <c r="K299" i="7"/>
  <c r="J299" i="7"/>
  <c r="I299" i="7"/>
  <c r="K298" i="7"/>
  <c r="J298" i="7"/>
  <c r="I298" i="7"/>
  <c r="K297" i="7"/>
  <c r="J297" i="7"/>
  <c r="I297" i="7"/>
  <c r="K296" i="7"/>
  <c r="J296" i="7"/>
  <c r="I296" i="7"/>
  <c r="K295" i="7"/>
  <c r="J295" i="7"/>
  <c r="I295" i="7"/>
  <c r="K294" i="7"/>
  <c r="J294" i="7"/>
  <c r="I294" i="7"/>
  <c r="K293" i="7"/>
  <c r="J293" i="7"/>
  <c r="I293" i="7"/>
  <c r="K292" i="7"/>
  <c r="J292" i="7"/>
  <c r="I292" i="7"/>
  <c r="K291" i="7"/>
  <c r="J291" i="7"/>
  <c r="I291" i="7"/>
  <c r="K290" i="7"/>
  <c r="J290" i="7"/>
  <c r="I290" i="7"/>
  <c r="K289" i="7"/>
  <c r="J289" i="7"/>
  <c r="I289" i="7"/>
  <c r="K288" i="7"/>
  <c r="J288" i="7"/>
  <c r="I288" i="7"/>
  <c r="K287" i="7"/>
  <c r="J287" i="7"/>
  <c r="I287" i="7"/>
  <c r="K286" i="7"/>
  <c r="J286" i="7"/>
  <c r="I286" i="7"/>
  <c r="K285" i="7"/>
  <c r="J285" i="7"/>
  <c r="I285" i="7"/>
  <c r="K284" i="7"/>
  <c r="J284" i="7"/>
  <c r="I284" i="7"/>
  <c r="K283" i="7"/>
  <c r="J283" i="7"/>
  <c r="I283" i="7"/>
  <c r="K282" i="7"/>
  <c r="J282" i="7"/>
  <c r="I282" i="7"/>
  <c r="K281" i="7"/>
  <c r="J281" i="7"/>
  <c r="I281" i="7"/>
  <c r="K280" i="7"/>
  <c r="J280" i="7"/>
  <c r="I280" i="7"/>
  <c r="K279" i="7"/>
  <c r="J279" i="7"/>
  <c r="I279" i="7"/>
  <c r="K278" i="7"/>
  <c r="J278" i="7"/>
  <c r="I278" i="7"/>
  <c r="K277" i="7"/>
  <c r="J277" i="7"/>
  <c r="I277" i="7"/>
  <c r="K276" i="7"/>
  <c r="J276" i="7"/>
  <c r="I276" i="7"/>
  <c r="K275" i="7"/>
  <c r="J275" i="7"/>
  <c r="I275" i="7"/>
  <c r="K274" i="7"/>
  <c r="J274" i="7"/>
  <c r="I274" i="7"/>
  <c r="K273" i="7"/>
  <c r="J273" i="7"/>
  <c r="I273" i="7"/>
  <c r="K272" i="7"/>
  <c r="J272" i="7"/>
  <c r="I272" i="7"/>
  <c r="K271" i="7"/>
  <c r="J271" i="7"/>
  <c r="I271" i="7"/>
  <c r="K270" i="7"/>
  <c r="J270" i="7"/>
  <c r="I270" i="7"/>
  <c r="K269" i="7"/>
  <c r="J269" i="7"/>
  <c r="I269" i="7"/>
  <c r="K268" i="7"/>
  <c r="J268" i="7"/>
  <c r="I268" i="7"/>
  <c r="K267" i="7"/>
  <c r="J267" i="7"/>
  <c r="I267" i="7"/>
  <c r="K266" i="7"/>
  <c r="J266" i="7"/>
  <c r="I266" i="7"/>
  <c r="K265" i="7"/>
  <c r="J265" i="7"/>
  <c r="I265" i="7"/>
  <c r="K264" i="7"/>
  <c r="J264" i="7"/>
  <c r="I264" i="7"/>
  <c r="K263" i="7"/>
  <c r="J263" i="7"/>
  <c r="I263" i="7"/>
  <c r="K262" i="7"/>
  <c r="J262" i="7"/>
  <c r="I262" i="7"/>
  <c r="K261" i="7"/>
  <c r="J261" i="7"/>
  <c r="I261" i="7"/>
  <c r="K260" i="7"/>
  <c r="J260" i="7"/>
  <c r="I260" i="7"/>
  <c r="K259" i="7"/>
  <c r="J259" i="7"/>
  <c r="I259" i="7"/>
  <c r="K258" i="7"/>
  <c r="J258" i="7"/>
  <c r="I258" i="7"/>
  <c r="K257" i="7"/>
  <c r="J257" i="7"/>
  <c r="I257" i="7"/>
  <c r="K256" i="7"/>
  <c r="J256" i="7"/>
  <c r="I256" i="7"/>
  <c r="K255" i="7"/>
  <c r="J255" i="7"/>
  <c r="I255" i="7"/>
  <c r="K254" i="7"/>
  <c r="J254" i="7"/>
  <c r="I254" i="7"/>
  <c r="K253" i="7"/>
  <c r="J253" i="7"/>
  <c r="I253" i="7"/>
  <c r="K252" i="7"/>
  <c r="J252" i="7"/>
  <c r="I252" i="7"/>
  <c r="K251" i="7"/>
  <c r="J251" i="7"/>
  <c r="I251" i="7"/>
  <c r="K250" i="7"/>
  <c r="J250" i="7"/>
  <c r="I250" i="7"/>
  <c r="K249" i="7"/>
  <c r="J249" i="7"/>
  <c r="I249" i="7"/>
  <c r="K248" i="7"/>
  <c r="J248" i="7"/>
  <c r="I248" i="7"/>
  <c r="K247" i="7"/>
  <c r="J247" i="7"/>
  <c r="I247" i="7"/>
  <c r="K246" i="7"/>
  <c r="J246" i="7"/>
  <c r="I246" i="7"/>
  <c r="K245" i="7"/>
  <c r="J245" i="7"/>
  <c r="I245" i="7"/>
  <c r="K244" i="7"/>
  <c r="J244" i="7"/>
  <c r="I244" i="7"/>
  <c r="K243" i="7"/>
  <c r="J243" i="7"/>
  <c r="I243" i="7"/>
  <c r="K242" i="7"/>
  <c r="J242" i="7"/>
  <c r="I242" i="7"/>
  <c r="K241" i="7"/>
  <c r="J241" i="7"/>
  <c r="I241" i="7"/>
  <c r="K240" i="7"/>
  <c r="J240" i="7"/>
  <c r="I240" i="7"/>
  <c r="K239" i="7"/>
  <c r="J239" i="7"/>
  <c r="I239" i="7"/>
  <c r="K238" i="7"/>
  <c r="J238" i="7"/>
  <c r="I238" i="7"/>
  <c r="K237" i="7"/>
  <c r="J237" i="7"/>
  <c r="I237" i="7"/>
  <c r="K236" i="7"/>
  <c r="J236" i="7"/>
  <c r="I236" i="7"/>
  <c r="K235" i="7"/>
  <c r="J235" i="7"/>
  <c r="I235" i="7"/>
  <c r="K234" i="7"/>
  <c r="J234" i="7"/>
  <c r="I234" i="7"/>
  <c r="K233" i="7"/>
  <c r="J233" i="7"/>
  <c r="I233" i="7"/>
  <c r="K232" i="7"/>
  <c r="J232" i="7"/>
  <c r="I232" i="7"/>
  <c r="K231" i="7"/>
  <c r="J231" i="7"/>
  <c r="I231" i="7"/>
  <c r="K230" i="7"/>
  <c r="J230" i="7"/>
  <c r="I230" i="7"/>
  <c r="K229" i="7"/>
  <c r="J229" i="7"/>
  <c r="I229" i="7"/>
  <c r="K228" i="7"/>
  <c r="J228" i="7"/>
  <c r="I228" i="7"/>
  <c r="K227" i="7"/>
  <c r="J227" i="7"/>
  <c r="I227" i="7"/>
  <c r="K226" i="7"/>
  <c r="J226" i="7"/>
  <c r="I226" i="7"/>
  <c r="K225" i="7"/>
  <c r="J225" i="7"/>
  <c r="I225" i="7"/>
  <c r="K224" i="7"/>
  <c r="J224" i="7"/>
  <c r="I224" i="7"/>
  <c r="K223" i="7"/>
  <c r="J223" i="7"/>
  <c r="I223" i="7"/>
  <c r="K222" i="7"/>
  <c r="J222" i="7"/>
  <c r="I222" i="7"/>
  <c r="K221" i="7"/>
  <c r="J221" i="7"/>
  <c r="I221" i="7"/>
  <c r="K220" i="7"/>
  <c r="J220" i="7"/>
  <c r="I220" i="7"/>
  <c r="K219" i="7"/>
  <c r="J219" i="7"/>
  <c r="I219" i="7"/>
  <c r="K218" i="7"/>
  <c r="J218" i="7"/>
  <c r="I218" i="7"/>
  <c r="K217" i="7"/>
  <c r="J217" i="7"/>
  <c r="I217" i="7"/>
  <c r="K216" i="7"/>
  <c r="J216" i="7"/>
  <c r="I216" i="7"/>
  <c r="K215" i="7"/>
  <c r="J215" i="7"/>
  <c r="I215" i="7"/>
  <c r="K214" i="7"/>
  <c r="J214" i="7"/>
  <c r="I214" i="7"/>
  <c r="K213" i="7"/>
  <c r="J213" i="7"/>
  <c r="I213" i="7"/>
  <c r="K212" i="7"/>
  <c r="J212" i="7"/>
  <c r="I212" i="7"/>
  <c r="K211" i="7"/>
  <c r="J211" i="7"/>
  <c r="I211" i="7"/>
  <c r="K210" i="7"/>
  <c r="J210" i="7"/>
  <c r="I210" i="7"/>
  <c r="K209" i="7"/>
  <c r="J209" i="7"/>
  <c r="I209" i="7"/>
  <c r="K208" i="7"/>
  <c r="J208" i="7"/>
  <c r="I208" i="7"/>
  <c r="K207" i="7"/>
  <c r="J207" i="7"/>
  <c r="I207" i="7"/>
  <c r="K206" i="7"/>
  <c r="J206" i="7"/>
  <c r="I206" i="7"/>
  <c r="K205" i="7"/>
  <c r="J205" i="7"/>
  <c r="I205" i="7"/>
  <c r="K204" i="7"/>
  <c r="J204" i="7"/>
  <c r="I204" i="7"/>
  <c r="K203" i="7"/>
  <c r="J203" i="7"/>
  <c r="I203" i="7"/>
  <c r="K202" i="7"/>
  <c r="J202" i="7"/>
  <c r="I202" i="7"/>
  <c r="K201" i="7"/>
  <c r="J201" i="7"/>
  <c r="I201" i="7"/>
  <c r="K200" i="7"/>
  <c r="J200" i="7"/>
  <c r="I200" i="7"/>
  <c r="K199" i="7"/>
  <c r="J199" i="7"/>
  <c r="I199" i="7"/>
  <c r="K198" i="7"/>
  <c r="J198" i="7"/>
  <c r="I198" i="7"/>
  <c r="K197" i="7"/>
  <c r="J197" i="7"/>
  <c r="I197" i="7"/>
  <c r="K196" i="7"/>
  <c r="J196" i="7"/>
  <c r="I196" i="7"/>
  <c r="K195" i="7"/>
  <c r="J195" i="7"/>
  <c r="I195" i="7"/>
  <c r="K194" i="7"/>
  <c r="J194" i="7"/>
  <c r="I194" i="7"/>
  <c r="K193" i="7"/>
  <c r="J193" i="7"/>
  <c r="I193" i="7"/>
  <c r="K192" i="7"/>
  <c r="J192" i="7"/>
  <c r="I192" i="7"/>
  <c r="K191" i="7"/>
  <c r="J191" i="7"/>
  <c r="I191" i="7"/>
  <c r="K190" i="7"/>
  <c r="J190" i="7"/>
  <c r="I190" i="7"/>
  <c r="K189" i="7"/>
  <c r="J189" i="7"/>
  <c r="I189" i="7"/>
  <c r="K188" i="7"/>
  <c r="J188" i="7"/>
  <c r="I188" i="7"/>
  <c r="K187" i="7"/>
  <c r="J187" i="7"/>
  <c r="I187" i="7"/>
  <c r="K186" i="7"/>
  <c r="J186" i="7"/>
  <c r="I186" i="7"/>
  <c r="K185" i="7"/>
  <c r="J185" i="7"/>
  <c r="I185" i="7"/>
  <c r="K184" i="7"/>
  <c r="J184" i="7"/>
  <c r="I184" i="7"/>
  <c r="K183" i="7"/>
  <c r="J183" i="7"/>
  <c r="I183" i="7"/>
  <c r="K182" i="7"/>
  <c r="J182" i="7"/>
  <c r="I182" i="7"/>
  <c r="K181" i="7"/>
  <c r="J181" i="7"/>
  <c r="I181" i="7"/>
  <c r="K180" i="7"/>
  <c r="J180" i="7"/>
  <c r="I180" i="7"/>
  <c r="K179" i="7"/>
  <c r="J179" i="7"/>
  <c r="I179" i="7"/>
  <c r="K178" i="7"/>
  <c r="J178" i="7"/>
  <c r="I178" i="7"/>
  <c r="K177" i="7"/>
  <c r="J177" i="7"/>
  <c r="I177" i="7"/>
  <c r="K176" i="7"/>
  <c r="J176" i="7"/>
  <c r="I176" i="7"/>
  <c r="K175" i="7"/>
  <c r="J175" i="7"/>
  <c r="I175" i="7"/>
  <c r="K174" i="7"/>
  <c r="J174" i="7"/>
  <c r="I174" i="7"/>
  <c r="K173" i="7"/>
  <c r="J173" i="7"/>
  <c r="I173" i="7"/>
  <c r="K172" i="7"/>
  <c r="J172" i="7"/>
  <c r="I172" i="7"/>
  <c r="K171" i="7"/>
  <c r="J171" i="7"/>
  <c r="I171" i="7"/>
  <c r="K170" i="7"/>
  <c r="J170" i="7"/>
  <c r="I170" i="7"/>
  <c r="K169" i="7"/>
  <c r="J169" i="7"/>
  <c r="I169" i="7"/>
  <c r="K168" i="7"/>
  <c r="J168" i="7"/>
  <c r="I168" i="7"/>
  <c r="K167" i="7"/>
  <c r="J167" i="7"/>
  <c r="I167" i="7"/>
  <c r="K166" i="7"/>
  <c r="J166" i="7"/>
  <c r="I166" i="7"/>
  <c r="K165" i="7"/>
  <c r="J165" i="7"/>
  <c r="I165" i="7"/>
  <c r="K164" i="7"/>
  <c r="J164" i="7"/>
  <c r="I164" i="7"/>
  <c r="K163" i="7"/>
  <c r="J163" i="7"/>
  <c r="I163" i="7"/>
  <c r="K162" i="7"/>
  <c r="J162" i="7"/>
  <c r="I162" i="7"/>
  <c r="K161" i="7"/>
  <c r="J161" i="7"/>
  <c r="I161" i="7"/>
  <c r="K160" i="7"/>
  <c r="J160" i="7"/>
  <c r="I160" i="7"/>
  <c r="K159" i="7"/>
  <c r="J159" i="7"/>
  <c r="I159" i="7"/>
  <c r="K158" i="7"/>
  <c r="J158" i="7"/>
  <c r="I158" i="7"/>
  <c r="K157" i="7"/>
  <c r="J157" i="7"/>
  <c r="I157" i="7"/>
  <c r="K156" i="7"/>
  <c r="J156" i="7"/>
  <c r="I156" i="7"/>
  <c r="K155" i="7"/>
  <c r="J155" i="7"/>
  <c r="I155" i="7"/>
  <c r="K154" i="7"/>
  <c r="J154" i="7"/>
  <c r="I154" i="7"/>
  <c r="K153" i="7"/>
  <c r="J153" i="7"/>
  <c r="I153" i="7"/>
  <c r="K152" i="7"/>
  <c r="J152" i="7"/>
  <c r="I152" i="7"/>
  <c r="K151" i="7"/>
  <c r="J151" i="7"/>
  <c r="I151" i="7"/>
  <c r="K150" i="7"/>
  <c r="J150" i="7"/>
  <c r="I150" i="7"/>
  <c r="K149" i="7"/>
  <c r="J149" i="7"/>
  <c r="I149" i="7"/>
  <c r="K148" i="7"/>
  <c r="J148" i="7"/>
  <c r="I148" i="7"/>
  <c r="K147" i="7"/>
  <c r="J147" i="7"/>
  <c r="I147" i="7"/>
  <c r="K146" i="7"/>
  <c r="J146" i="7"/>
  <c r="I146" i="7"/>
  <c r="K145" i="7"/>
  <c r="J145" i="7"/>
  <c r="I145" i="7"/>
  <c r="K144" i="7"/>
  <c r="J144" i="7"/>
  <c r="I144" i="7"/>
  <c r="K143" i="7"/>
  <c r="J143" i="7"/>
  <c r="I143" i="7"/>
  <c r="K142" i="7"/>
  <c r="J142" i="7"/>
  <c r="I142" i="7"/>
  <c r="K141" i="7"/>
  <c r="J141" i="7"/>
  <c r="I141" i="7"/>
  <c r="K140" i="7"/>
  <c r="J140" i="7"/>
  <c r="I140" i="7"/>
  <c r="K139" i="7"/>
  <c r="J139" i="7"/>
  <c r="I139" i="7"/>
  <c r="K138" i="7"/>
  <c r="J138" i="7"/>
  <c r="I138" i="7"/>
  <c r="K137" i="7"/>
  <c r="J137" i="7"/>
  <c r="I137" i="7"/>
  <c r="K136" i="7"/>
  <c r="J136" i="7"/>
  <c r="I136" i="7"/>
  <c r="K135" i="7"/>
  <c r="J135" i="7"/>
  <c r="I135" i="7"/>
  <c r="K134" i="7"/>
  <c r="J134" i="7"/>
  <c r="I134" i="7"/>
  <c r="K133" i="7"/>
  <c r="J133" i="7"/>
  <c r="I133" i="7"/>
  <c r="K132" i="7"/>
  <c r="J132" i="7"/>
  <c r="I132" i="7"/>
  <c r="K131" i="7"/>
  <c r="J131" i="7"/>
  <c r="I131" i="7"/>
  <c r="K130" i="7"/>
  <c r="J130" i="7"/>
  <c r="I130" i="7"/>
  <c r="K129" i="7"/>
  <c r="J129" i="7"/>
  <c r="I129" i="7"/>
  <c r="K128" i="7"/>
  <c r="J128" i="7"/>
  <c r="I128" i="7"/>
  <c r="K127" i="7"/>
  <c r="J127" i="7"/>
  <c r="I127" i="7"/>
  <c r="K126" i="7"/>
  <c r="J126" i="7"/>
  <c r="I126" i="7"/>
  <c r="K125" i="7"/>
  <c r="J125" i="7"/>
  <c r="I125" i="7"/>
  <c r="K124" i="7"/>
  <c r="J124" i="7"/>
  <c r="I124" i="7"/>
  <c r="K123" i="7"/>
  <c r="J123" i="7"/>
  <c r="I123" i="7"/>
  <c r="K122" i="7"/>
  <c r="J122" i="7"/>
  <c r="I122" i="7"/>
  <c r="K121" i="7"/>
  <c r="J121" i="7"/>
  <c r="I121" i="7"/>
  <c r="K120" i="7"/>
  <c r="J120" i="7"/>
  <c r="I120" i="7"/>
  <c r="K119" i="7"/>
  <c r="J119" i="7"/>
  <c r="I119" i="7"/>
  <c r="K118" i="7"/>
  <c r="J118" i="7"/>
  <c r="I118" i="7"/>
  <c r="K117" i="7"/>
  <c r="J117" i="7"/>
  <c r="I117" i="7"/>
  <c r="K116" i="7"/>
  <c r="J116" i="7"/>
  <c r="I116" i="7"/>
  <c r="K115" i="7"/>
  <c r="J115" i="7"/>
  <c r="I115" i="7"/>
  <c r="K114" i="7"/>
  <c r="J114" i="7"/>
  <c r="I114" i="7"/>
  <c r="K113" i="7"/>
  <c r="J113" i="7"/>
  <c r="I113" i="7"/>
  <c r="K112" i="7"/>
  <c r="J112" i="7"/>
  <c r="I112" i="7"/>
  <c r="K111" i="7"/>
  <c r="J111" i="7"/>
  <c r="I111" i="7"/>
  <c r="K110" i="7"/>
  <c r="J110" i="7"/>
  <c r="I110" i="7"/>
  <c r="K109" i="7"/>
  <c r="J109" i="7"/>
  <c r="I109" i="7"/>
  <c r="K108" i="7"/>
  <c r="J108" i="7"/>
  <c r="I108" i="7"/>
  <c r="K107" i="7"/>
  <c r="J107" i="7"/>
  <c r="I107" i="7"/>
  <c r="K106" i="7"/>
  <c r="J106" i="7"/>
  <c r="I106" i="7"/>
  <c r="K105" i="7"/>
  <c r="J105" i="7"/>
  <c r="I105" i="7"/>
  <c r="K104" i="7"/>
  <c r="J104" i="7"/>
  <c r="I104" i="7"/>
  <c r="K103" i="7"/>
  <c r="J103" i="7"/>
  <c r="I103" i="7"/>
  <c r="K102" i="7"/>
  <c r="J102" i="7"/>
  <c r="I102" i="7"/>
  <c r="K101" i="7"/>
  <c r="J101" i="7"/>
  <c r="I101" i="7"/>
  <c r="K100" i="7"/>
  <c r="J100" i="7"/>
  <c r="I100" i="7"/>
  <c r="K99" i="7"/>
  <c r="J99" i="7"/>
  <c r="I99" i="7"/>
  <c r="K98" i="7"/>
  <c r="J98" i="7"/>
  <c r="I98" i="7"/>
  <c r="K97" i="7"/>
  <c r="J97" i="7"/>
  <c r="I97" i="7"/>
  <c r="K96" i="7"/>
  <c r="J96" i="7"/>
  <c r="I96" i="7"/>
  <c r="K95" i="7"/>
  <c r="J95" i="7"/>
  <c r="I95" i="7"/>
  <c r="K94" i="7"/>
  <c r="J94" i="7"/>
  <c r="I94" i="7"/>
  <c r="K93" i="7"/>
  <c r="J93" i="7"/>
  <c r="I93" i="7"/>
  <c r="K92" i="7"/>
  <c r="J92" i="7"/>
  <c r="I92" i="7"/>
  <c r="K91" i="7"/>
  <c r="J91" i="7"/>
  <c r="I91" i="7"/>
  <c r="K90" i="7"/>
  <c r="J90" i="7"/>
  <c r="I90" i="7"/>
  <c r="K89" i="7"/>
  <c r="J89" i="7"/>
  <c r="I89" i="7"/>
  <c r="K88" i="7"/>
  <c r="J88" i="7"/>
  <c r="I88" i="7"/>
  <c r="K87" i="7"/>
  <c r="J87" i="7"/>
  <c r="I87" i="7"/>
  <c r="K86" i="7"/>
  <c r="J86" i="7"/>
  <c r="I86" i="7"/>
  <c r="K85" i="7"/>
  <c r="J85" i="7"/>
  <c r="I85" i="7"/>
  <c r="K84" i="7"/>
  <c r="J84" i="7"/>
  <c r="I84" i="7"/>
  <c r="K83" i="7"/>
  <c r="J83" i="7"/>
  <c r="I83" i="7"/>
  <c r="K82" i="7"/>
  <c r="J82" i="7"/>
  <c r="I82" i="7"/>
  <c r="K81" i="7"/>
  <c r="J81" i="7"/>
  <c r="I81" i="7"/>
  <c r="K80" i="7"/>
  <c r="J80" i="7"/>
  <c r="I80" i="7"/>
  <c r="K79" i="7"/>
  <c r="J79" i="7"/>
  <c r="I79" i="7"/>
  <c r="K78" i="7"/>
  <c r="J78" i="7"/>
  <c r="I78" i="7"/>
  <c r="K77" i="7"/>
  <c r="J77" i="7"/>
  <c r="I77" i="7"/>
  <c r="K76" i="7"/>
  <c r="J76" i="7"/>
  <c r="I76" i="7"/>
  <c r="K75" i="7"/>
  <c r="J75" i="7"/>
  <c r="I75" i="7"/>
  <c r="K74" i="7"/>
  <c r="J74" i="7"/>
  <c r="I74" i="7"/>
  <c r="K73" i="7"/>
  <c r="J73" i="7"/>
  <c r="I73" i="7"/>
  <c r="K72" i="7"/>
  <c r="J72" i="7"/>
  <c r="I72" i="7"/>
  <c r="K71" i="7"/>
  <c r="J71" i="7"/>
  <c r="I71" i="7"/>
  <c r="K70" i="7"/>
  <c r="J70" i="7"/>
  <c r="I70" i="7"/>
  <c r="K69" i="7"/>
  <c r="J69" i="7"/>
  <c r="I69" i="7"/>
  <c r="K68" i="7"/>
  <c r="J68" i="7"/>
  <c r="I68" i="7"/>
  <c r="K67" i="7"/>
  <c r="J67" i="7"/>
  <c r="I67" i="7"/>
  <c r="K66" i="7"/>
  <c r="J66" i="7"/>
  <c r="I66" i="7"/>
  <c r="K65" i="7"/>
  <c r="J65" i="7"/>
  <c r="I65" i="7"/>
  <c r="K64" i="7"/>
  <c r="J64" i="7"/>
  <c r="I64" i="7"/>
  <c r="K63" i="7"/>
  <c r="J63" i="7"/>
  <c r="I63" i="7"/>
  <c r="K62" i="7"/>
  <c r="J62" i="7"/>
  <c r="I62" i="7"/>
  <c r="K61" i="7"/>
  <c r="J61" i="7"/>
  <c r="I61" i="7"/>
  <c r="K60" i="7"/>
  <c r="J60" i="7"/>
  <c r="I60" i="7"/>
  <c r="K59" i="7"/>
  <c r="J59" i="7"/>
  <c r="I59" i="7"/>
  <c r="K58" i="7"/>
  <c r="J58" i="7"/>
  <c r="I58" i="7"/>
  <c r="K57" i="7"/>
  <c r="J57" i="7"/>
  <c r="I57" i="7"/>
  <c r="K56" i="7"/>
  <c r="J56" i="7"/>
  <c r="I56" i="7"/>
  <c r="K55" i="7"/>
  <c r="J55" i="7"/>
  <c r="I55" i="7"/>
  <c r="K54" i="7"/>
  <c r="J54" i="7"/>
  <c r="I54" i="7"/>
  <c r="K53" i="7"/>
  <c r="J53" i="7"/>
  <c r="I53" i="7"/>
  <c r="K52" i="7"/>
  <c r="J52" i="7"/>
  <c r="I52" i="7"/>
  <c r="K51" i="7"/>
  <c r="J51" i="7"/>
  <c r="I51" i="7"/>
  <c r="K50" i="7"/>
  <c r="J50" i="7"/>
  <c r="I50" i="7"/>
  <c r="K49" i="7"/>
  <c r="J49" i="7"/>
  <c r="I49" i="7"/>
  <c r="K48" i="7"/>
  <c r="J48" i="7"/>
  <c r="I48" i="7"/>
  <c r="K47" i="7"/>
  <c r="J47" i="7"/>
  <c r="I47" i="7"/>
  <c r="K46" i="7"/>
  <c r="J46" i="7"/>
  <c r="I46" i="7"/>
  <c r="K45" i="7"/>
  <c r="J45" i="7"/>
  <c r="I45" i="7"/>
  <c r="K44" i="7"/>
  <c r="J44" i="7"/>
  <c r="I44" i="7"/>
  <c r="K43" i="7"/>
  <c r="J43" i="7"/>
  <c r="I43" i="7"/>
  <c r="K42" i="7"/>
  <c r="J42" i="7"/>
  <c r="I42" i="7"/>
  <c r="K41" i="7"/>
  <c r="J41" i="7"/>
  <c r="I41" i="7"/>
  <c r="K40" i="7"/>
  <c r="J40" i="7"/>
  <c r="I40" i="7"/>
  <c r="K39" i="7"/>
  <c r="J39" i="7"/>
  <c r="I39" i="7"/>
  <c r="K38" i="7"/>
  <c r="J38" i="7"/>
  <c r="I38" i="7"/>
  <c r="K37" i="7"/>
  <c r="J37" i="7"/>
  <c r="I37" i="7"/>
  <c r="K36" i="7"/>
  <c r="J36" i="7"/>
  <c r="I36" i="7"/>
  <c r="K35" i="7"/>
  <c r="J35" i="7"/>
  <c r="I35" i="7"/>
  <c r="K34" i="7"/>
  <c r="J34" i="7"/>
  <c r="I34" i="7"/>
  <c r="K33" i="7"/>
  <c r="J33" i="7"/>
  <c r="I33" i="7"/>
  <c r="K32" i="7"/>
  <c r="J32" i="7"/>
  <c r="I32" i="7"/>
  <c r="K31" i="7"/>
  <c r="J31" i="7"/>
  <c r="I31" i="7"/>
  <c r="K30" i="7"/>
  <c r="J30" i="7"/>
  <c r="I30" i="7"/>
  <c r="K29" i="7"/>
  <c r="J29" i="7"/>
  <c r="I29" i="7"/>
  <c r="K28" i="7"/>
  <c r="J28" i="7"/>
  <c r="I28" i="7"/>
  <c r="K27" i="7"/>
  <c r="J27" i="7"/>
  <c r="I27" i="7"/>
  <c r="K26" i="7"/>
  <c r="J26" i="7"/>
  <c r="I26" i="7"/>
  <c r="K25" i="7"/>
  <c r="J25" i="7"/>
  <c r="I25" i="7"/>
  <c r="K24" i="7"/>
  <c r="J24" i="7"/>
  <c r="I24" i="7"/>
  <c r="K23" i="7"/>
  <c r="J23" i="7"/>
  <c r="I23" i="7"/>
  <c r="K22" i="7"/>
  <c r="J22" i="7"/>
  <c r="I22" i="7"/>
  <c r="K21" i="7"/>
  <c r="J21" i="7"/>
  <c r="I21" i="7"/>
  <c r="K20" i="7"/>
  <c r="J20" i="7"/>
  <c r="I20" i="7"/>
  <c r="K19" i="7"/>
  <c r="J19" i="7"/>
  <c r="I19" i="7"/>
  <c r="K18" i="7"/>
  <c r="J18" i="7"/>
  <c r="I18" i="7"/>
  <c r="K17" i="7"/>
  <c r="J17" i="7"/>
  <c r="I17" i="7"/>
  <c r="K16" i="7"/>
  <c r="J16" i="7"/>
  <c r="I16" i="7"/>
  <c r="K15" i="7"/>
  <c r="J15" i="7"/>
  <c r="I15" i="7"/>
  <c r="F9" i="7"/>
  <c r="K776" i="6"/>
  <c r="J776" i="6"/>
  <c r="I776" i="6"/>
  <c r="K775" i="6"/>
  <c r="J775" i="6"/>
  <c r="I775" i="6"/>
  <c r="K774" i="6"/>
  <c r="J774" i="6"/>
  <c r="I774" i="6"/>
  <c r="K773" i="6"/>
  <c r="J773" i="6"/>
  <c r="I773" i="6"/>
  <c r="K772" i="6"/>
  <c r="J772" i="6"/>
  <c r="I772" i="6"/>
  <c r="K771" i="6"/>
  <c r="J771" i="6"/>
  <c r="I771" i="6"/>
  <c r="K770" i="6"/>
  <c r="J770" i="6"/>
  <c r="I770" i="6"/>
  <c r="K769" i="6"/>
  <c r="J769" i="6"/>
  <c r="I769" i="6"/>
  <c r="K768" i="6"/>
  <c r="J768" i="6"/>
  <c r="I768" i="6"/>
  <c r="K767" i="6"/>
  <c r="J767" i="6"/>
  <c r="I767" i="6"/>
  <c r="K766" i="6"/>
  <c r="J766" i="6"/>
  <c r="I766" i="6"/>
  <c r="K765" i="6"/>
  <c r="J765" i="6"/>
  <c r="I765" i="6"/>
  <c r="K764" i="6"/>
  <c r="J764" i="6"/>
  <c r="I764" i="6"/>
  <c r="K763" i="6"/>
  <c r="J763" i="6"/>
  <c r="I763" i="6"/>
  <c r="K762" i="6"/>
  <c r="J762" i="6"/>
  <c r="I762" i="6"/>
  <c r="K761" i="6"/>
  <c r="J761" i="6"/>
  <c r="I761" i="6"/>
  <c r="K760" i="6"/>
  <c r="J760" i="6"/>
  <c r="I760" i="6"/>
  <c r="K759" i="6"/>
  <c r="J759" i="6"/>
  <c r="I759" i="6"/>
  <c r="K758" i="6"/>
  <c r="J758" i="6"/>
  <c r="I758" i="6"/>
  <c r="K757" i="6"/>
  <c r="J757" i="6"/>
  <c r="I757" i="6"/>
  <c r="K756" i="6"/>
  <c r="J756" i="6"/>
  <c r="I756" i="6"/>
  <c r="K755" i="6"/>
  <c r="J755" i="6"/>
  <c r="I755" i="6"/>
  <c r="K754" i="6"/>
  <c r="J754" i="6"/>
  <c r="I754" i="6"/>
  <c r="K753" i="6"/>
  <c r="J753" i="6"/>
  <c r="I753" i="6"/>
  <c r="K752" i="6"/>
  <c r="J752" i="6"/>
  <c r="I752" i="6"/>
  <c r="K751" i="6"/>
  <c r="J751" i="6"/>
  <c r="I751" i="6"/>
  <c r="K750" i="6"/>
  <c r="J750" i="6"/>
  <c r="I750" i="6"/>
  <c r="K749" i="6"/>
  <c r="J749" i="6"/>
  <c r="I749" i="6"/>
  <c r="K748" i="6"/>
  <c r="J748" i="6"/>
  <c r="I748" i="6"/>
  <c r="K747" i="6"/>
  <c r="J747" i="6"/>
  <c r="I747" i="6"/>
  <c r="K746" i="6"/>
  <c r="J746" i="6"/>
  <c r="I746" i="6"/>
  <c r="K745" i="6"/>
  <c r="J745" i="6"/>
  <c r="I745" i="6"/>
  <c r="K744" i="6"/>
  <c r="J744" i="6"/>
  <c r="I744" i="6"/>
  <c r="K743" i="6"/>
  <c r="J743" i="6"/>
  <c r="I743" i="6"/>
  <c r="K742" i="6"/>
  <c r="J742" i="6"/>
  <c r="I742" i="6"/>
  <c r="K741" i="6"/>
  <c r="J741" i="6"/>
  <c r="I741" i="6"/>
  <c r="K740" i="6"/>
  <c r="J740" i="6"/>
  <c r="I740" i="6"/>
  <c r="K739" i="6"/>
  <c r="J739" i="6"/>
  <c r="I739" i="6"/>
  <c r="K738" i="6"/>
  <c r="J738" i="6"/>
  <c r="I738" i="6"/>
  <c r="K737" i="6"/>
  <c r="J737" i="6"/>
  <c r="I737" i="6"/>
  <c r="K736" i="6"/>
  <c r="J736" i="6"/>
  <c r="I736" i="6"/>
  <c r="K735" i="6"/>
  <c r="J735" i="6"/>
  <c r="I735" i="6"/>
  <c r="K734" i="6"/>
  <c r="J734" i="6"/>
  <c r="I734" i="6"/>
  <c r="K733" i="6"/>
  <c r="J733" i="6"/>
  <c r="I733" i="6"/>
  <c r="K732" i="6"/>
  <c r="J732" i="6"/>
  <c r="I732" i="6"/>
  <c r="K731" i="6"/>
  <c r="J731" i="6"/>
  <c r="I731" i="6"/>
  <c r="K730" i="6"/>
  <c r="J730" i="6"/>
  <c r="I730" i="6"/>
  <c r="K729" i="6"/>
  <c r="J729" i="6"/>
  <c r="I729" i="6"/>
  <c r="K728" i="6"/>
  <c r="J728" i="6"/>
  <c r="I728" i="6"/>
  <c r="K727" i="6"/>
  <c r="J727" i="6"/>
  <c r="I727" i="6"/>
  <c r="K726" i="6"/>
  <c r="J726" i="6"/>
  <c r="I726" i="6"/>
  <c r="K725" i="6"/>
  <c r="J725" i="6"/>
  <c r="I725" i="6"/>
  <c r="K724" i="6"/>
  <c r="J724" i="6"/>
  <c r="I724" i="6"/>
  <c r="K723" i="6"/>
  <c r="J723" i="6"/>
  <c r="I723" i="6"/>
  <c r="K722" i="6"/>
  <c r="J722" i="6"/>
  <c r="I722" i="6"/>
  <c r="K721" i="6"/>
  <c r="J721" i="6"/>
  <c r="I721" i="6"/>
  <c r="K720" i="6"/>
  <c r="J720" i="6"/>
  <c r="I720" i="6"/>
  <c r="K719" i="6"/>
  <c r="J719" i="6"/>
  <c r="I719" i="6"/>
  <c r="K718" i="6"/>
  <c r="J718" i="6"/>
  <c r="I718" i="6"/>
  <c r="K717" i="6"/>
  <c r="J717" i="6"/>
  <c r="I717" i="6"/>
  <c r="K716" i="6"/>
  <c r="J716" i="6"/>
  <c r="I716" i="6"/>
  <c r="K715" i="6"/>
  <c r="J715" i="6"/>
  <c r="I715" i="6"/>
  <c r="K714" i="6"/>
  <c r="J714" i="6"/>
  <c r="I714" i="6"/>
  <c r="K713" i="6"/>
  <c r="J713" i="6"/>
  <c r="I713" i="6"/>
  <c r="K712" i="6"/>
  <c r="J712" i="6"/>
  <c r="I712" i="6"/>
  <c r="K711" i="6"/>
  <c r="J711" i="6"/>
  <c r="I711" i="6"/>
  <c r="K710" i="6"/>
  <c r="J710" i="6"/>
  <c r="I710" i="6"/>
  <c r="K709" i="6"/>
  <c r="J709" i="6"/>
  <c r="I709" i="6"/>
  <c r="K708" i="6"/>
  <c r="J708" i="6"/>
  <c r="I708" i="6"/>
  <c r="K707" i="6"/>
  <c r="J707" i="6"/>
  <c r="I707" i="6"/>
  <c r="K706" i="6"/>
  <c r="J706" i="6"/>
  <c r="I706" i="6"/>
  <c r="K705" i="6"/>
  <c r="J705" i="6"/>
  <c r="I705" i="6"/>
  <c r="K704" i="6"/>
  <c r="J704" i="6"/>
  <c r="I704" i="6"/>
  <c r="K703" i="6"/>
  <c r="J703" i="6"/>
  <c r="I703" i="6"/>
  <c r="K702" i="6"/>
  <c r="J702" i="6"/>
  <c r="I702" i="6"/>
  <c r="K701" i="6"/>
  <c r="J701" i="6"/>
  <c r="I701" i="6"/>
  <c r="K700" i="6"/>
  <c r="J700" i="6"/>
  <c r="I700" i="6"/>
  <c r="K699" i="6"/>
  <c r="J699" i="6"/>
  <c r="I699" i="6"/>
  <c r="K698" i="6"/>
  <c r="J698" i="6"/>
  <c r="I698" i="6"/>
  <c r="K697" i="6"/>
  <c r="J697" i="6"/>
  <c r="I697" i="6"/>
  <c r="K696" i="6"/>
  <c r="J696" i="6"/>
  <c r="I696" i="6"/>
  <c r="K695" i="6"/>
  <c r="J695" i="6"/>
  <c r="I695" i="6"/>
  <c r="K694" i="6"/>
  <c r="J694" i="6"/>
  <c r="I694" i="6"/>
  <c r="K693" i="6"/>
  <c r="J693" i="6"/>
  <c r="I693" i="6"/>
  <c r="K692" i="6"/>
  <c r="J692" i="6"/>
  <c r="I692" i="6"/>
  <c r="K691" i="6"/>
  <c r="J691" i="6"/>
  <c r="I691" i="6"/>
  <c r="K690" i="6"/>
  <c r="J690" i="6"/>
  <c r="I690" i="6"/>
  <c r="K689" i="6"/>
  <c r="J689" i="6"/>
  <c r="I689" i="6"/>
  <c r="K688" i="6"/>
  <c r="J688" i="6"/>
  <c r="I688" i="6"/>
  <c r="K687" i="6"/>
  <c r="J687" i="6"/>
  <c r="I687" i="6"/>
  <c r="K686" i="6"/>
  <c r="J686" i="6"/>
  <c r="I686" i="6"/>
  <c r="K685" i="6"/>
  <c r="J685" i="6"/>
  <c r="I685" i="6"/>
  <c r="K684" i="6"/>
  <c r="J684" i="6"/>
  <c r="I684" i="6"/>
  <c r="K683" i="6"/>
  <c r="J683" i="6"/>
  <c r="I683" i="6"/>
  <c r="K682" i="6"/>
  <c r="J682" i="6"/>
  <c r="I682" i="6"/>
  <c r="K681" i="6"/>
  <c r="J681" i="6"/>
  <c r="I681" i="6"/>
  <c r="K680" i="6"/>
  <c r="J680" i="6"/>
  <c r="I680" i="6"/>
  <c r="K679" i="6"/>
  <c r="J679" i="6"/>
  <c r="I679" i="6"/>
  <c r="K678" i="6"/>
  <c r="J678" i="6"/>
  <c r="I678" i="6"/>
  <c r="K677" i="6"/>
  <c r="J677" i="6"/>
  <c r="I677" i="6"/>
  <c r="K676" i="6"/>
  <c r="J676" i="6"/>
  <c r="I676" i="6"/>
  <c r="K675" i="6"/>
  <c r="J675" i="6"/>
  <c r="I675" i="6"/>
  <c r="K674" i="6"/>
  <c r="J674" i="6"/>
  <c r="I674" i="6"/>
  <c r="K673" i="6"/>
  <c r="J673" i="6"/>
  <c r="I673" i="6"/>
  <c r="K672" i="6"/>
  <c r="J672" i="6"/>
  <c r="I672" i="6"/>
  <c r="K671" i="6"/>
  <c r="J671" i="6"/>
  <c r="I671" i="6"/>
  <c r="K670" i="6"/>
  <c r="J670" i="6"/>
  <c r="I670" i="6"/>
  <c r="K669" i="6"/>
  <c r="J669" i="6"/>
  <c r="I669" i="6"/>
  <c r="K668" i="6"/>
  <c r="J668" i="6"/>
  <c r="I668" i="6"/>
  <c r="K667" i="6"/>
  <c r="J667" i="6"/>
  <c r="I667" i="6"/>
  <c r="K666" i="6"/>
  <c r="J666" i="6"/>
  <c r="I666" i="6"/>
  <c r="K665" i="6"/>
  <c r="J665" i="6"/>
  <c r="I665" i="6"/>
  <c r="K664" i="6"/>
  <c r="J664" i="6"/>
  <c r="I664" i="6"/>
  <c r="K663" i="6"/>
  <c r="J663" i="6"/>
  <c r="I663" i="6"/>
  <c r="K662" i="6"/>
  <c r="J662" i="6"/>
  <c r="I662" i="6"/>
  <c r="K661" i="6"/>
  <c r="J661" i="6"/>
  <c r="I661" i="6"/>
  <c r="K660" i="6"/>
  <c r="J660" i="6"/>
  <c r="I660" i="6"/>
  <c r="K659" i="6"/>
  <c r="J659" i="6"/>
  <c r="I659" i="6"/>
  <c r="K658" i="6"/>
  <c r="J658" i="6"/>
  <c r="I658" i="6"/>
  <c r="K657" i="6"/>
  <c r="J657" i="6"/>
  <c r="I657" i="6"/>
  <c r="K656" i="6"/>
  <c r="J656" i="6"/>
  <c r="I656" i="6"/>
  <c r="K655" i="6"/>
  <c r="J655" i="6"/>
  <c r="I655" i="6"/>
  <c r="K654" i="6"/>
  <c r="J654" i="6"/>
  <c r="I654" i="6"/>
  <c r="K653" i="6"/>
  <c r="J653" i="6"/>
  <c r="I653" i="6"/>
  <c r="K652" i="6"/>
  <c r="J652" i="6"/>
  <c r="I652" i="6"/>
  <c r="K651" i="6"/>
  <c r="J651" i="6"/>
  <c r="I651" i="6"/>
  <c r="K650" i="6"/>
  <c r="J650" i="6"/>
  <c r="I650" i="6"/>
  <c r="K649" i="6"/>
  <c r="J649" i="6"/>
  <c r="I649" i="6"/>
  <c r="K648" i="6"/>
  <c r="J648" i="6"/>
  <c r="I648" i="6"/>
  <c r="K647" i="6"/>
  <c r="J647" i="6"/>
  <c r="I647" i="6"/>
  <c r="K646" i="6"/>
  <c r="J646" i="6"/>
  <c r="I646" i="6"/>
  <c r="K645" i="6"/>
  <c r="J645" i="6"/>
  <c r="I645" i="6"/>
  <c r="K644" i="6"/>
  <c r="J644" i="6"/>
  <c r="I644" i="6"/>
  <c r="K643" i="6"/>
  <c r="J643" i="6"/>
  <c r="I643" i="6"/>
  <c r="K642" i="6"/>
  <c r="J642" i="6"/>
  <c r="I642" i="6"/>
  <c r="K641" i="6"/>
  <c r="J641" i="6"/>
  <c r="I641" i="6"/>
  <c r="K640" i="6"/>
  <c r="J640" i="6"/>
  <c r="I640" i="6"/>
  <c r="K639" i="6"/>
  <c r="J639" i="6"/>
  <c r="I639" i="6"/>
  <c r="K638" i="6"/>
  <c r="J638" i="6"/>
  <c r="I638" i="6"/>
  <c r="K637" i="6"/>
  <c r="J637" i="6"/>
  <c r="I637" i="6"/>
  <c r="K636" i="6"/>
  <c r="J636" i="6"/>
  <c r="I636" i="6"/>
  <c r="K635" i="6"/>
  <c r="J635" i="6"/>
  <c r="I635" i="6"/>
  <c r="K634" i="6"/>
  <c r="J634" i="6"/>
  <c r="I634" i="6"/>
  <c r="K633" i="6"/>
  <c r="J633" i="6"/>
  <c r="I633" i="6"/>
  <c r="K632" i="6"/>
  <c r="J632" i="6"/>
  <c r="I632" i="6"/>
  <c r="K631" i="6"/>
  <c r="J631" i="6"/>
  <c r="I631" i="6"/>
  <c r="K630" i="6"/>
  <c r="J630" i="6"/>
  <c r="I630" i="6"/>
  <c r="K629" i="6"/>
  <c r="J629" i="6"/>
  <c r="I629" i="6"/>
  <c r="K628" i="6"/>
  <c r="J628" i="6"/>
  <c r="I628" i="6"/>
  <c r="K627" i="6"/>
  <c r="J627" i="6"/>
  <c r="I627" i="6"/>
  <c r="K626" i="6"/>
  <c r="J626" i="6"/>
  <c r="I626" i="6"/>
  <c r="K625" i="6"/>
  <c r="J625" i="6"/>
  <c r="I625" i="6"/>
  <c r="K624" i="6"/>
  <c r="J624" i="6"/>
  <c r="I624" i="6"/>
  <c r="K623" i="6"/>
  <c r="J623" i="6"/>
  <c r="I623" i="6"/>
  <c r="K622" i="6"/>
  <c r="J622" i="6"/>
  <c r="I622" i="6"/>
  <c r="K621" i="6"/>
  <c r="J621" i="6"/>
  <c r="I621" i="6"/>
  <c r="K620" i="6"/>
  <c r="J620" i="6"/>
  <c r="I620" i="6"/>
  <c r="K619" i="6"/>
  <c r="J619" i="6"/>
  <c r="I619" i="6"/>
  <c r="K618" i="6"/>
  <c r="J618" i="6"/>
  <c r="I618" i="6"/>
  <c r="K617" i="6"/>
  <c r="J617" i="6"/>
  <c r="I617" i="6"/>
  <c r="K616" i="6"/>
  <c r="J616" i="6"/>
  <c r="I616" i="6"/>
  <c r="K615" i="6"/>
  <c r="J615" i="6"/>
  <c r="I615" i="6"/>
  <c r="K614" i="6"/>
  <c r="J614" i="6"/>
  <c r="I614" i="6"/>
  <c r="K613" i="6"/>
  <c r="J613" i="6"/>
  <c r="I613" i="6"/>
  <c r="K612" i="6"/>
  <c r="J612" i="6"/>
  <c r="I612" i="6"/>
  <c r="K611" i="6"/>
  <c r="J611" i="6"/>
  <c r="I611" i="6"/>
  <c r="K610" i="6"/>
  <c r="J610" i="6"/>
  <c r="I610" i="6"/>
  <c r="K609" i="6"/>
  <c r="J609" i="6"/>
  <c r="I609" i="6"/>
  <c r="K608" i="6"/>
  <c r="J608" i="6"/>
  <c r="I608" i="6"/>
  <c r="K607" i="6"/>
  <c r="J607" i="6"/>
  <c r="I607" i="6"/>
  <c r="K606" i="6"/>
  <c r="J606" i="6"/>
  <c r="I606" i="6"/>
  <c r="K605" i="6"/>
  <c r="J605" i="6"/>
  <c r="I605" i="6"/>
  <c r="K604" i="6"/>
  <c r="J604" i="6"/>
  <c r="I604" i="6"/>
  <c r="K603" i="6"/>
  <c r="J603" i="6"/>
  <c r="I603" i="6"/>
  <c r="K602" i="6"/>
  <c r="J602" i="6"/>
  <c r="I602" i="6"/>
  <c r="K601" i="6"/>
  <c r="J601" i="6"/>
  <c r="I601" i="6"/>
  <c r="K600" i="6"/>
  <c r="J600" i="6"/>
  <c r="I600" i="6"/>
  <c r="K599" i="6"/>
  <c r="J599" i="6"/>
  <c r="I599" i="6"/>
  <c r="K598" i="6"/>
  <c r="J598" i="6"/>
  <c r="I598" i="6"/>
  <c r="K597" i="6"/>
  <c r="J597" i="6"/>
  <c r="I597" i="6"/>
  <c r="K596" i="6"/>
  <c r="J596" i="6"/>
  <c r="I596" i="6"/>
  <c r="K595" i="6"/>
  <c r="J595" i="6"/>
  <c r="I595" i="6"/>
  <c r="K594" i="6"/>
  <c r="J594" i="6"/>
  <c r="I594" i="6"/>
  <c r="K593" i="6"/>
  <c r="J593" i="6"/>
  <c r="I593" i="6"/>
  <c r="K592" i="6"/>
  <c r="J592" i="6"/>
  <c r="I592" i="6"/>
  <c r="K591" i="6"/>
  <c r="J591" i="6"/>
  <c r="I591" i="6"/>
  <c r="K590" i="6"/>
  <c r="J590" i="6"/>
  <c r="I590" i="6"/>
  <c r="K589" i="6"/>
  <c r="J589" i="6"/>
  <c r="I589" i="6"/>
  <c r="K588" i="6"/>
  <c r="J588" i="6"/>
  <c r="I588" i="6"/>
  <c r="K587" i="6"/>
  <c r="J587" i="6"/>
  <c r="I587" i="6"/>
  <c r="K586" i="6"/>
  <c r="J586" i="6"/>
  <c r="I586" i="6"/>
  <c r="K585" i="6"/>
  <c r="J585" i="6"/>
  <c r="I585" i="6"/>
  <c r="K584" i="6"/>
  <c r="J584" i="6"/>
  <c r="I584" i="6"/>
  <c r="K583" i="6"/>
  <c r="J583" i="6"/>
  <c r="I583" i="6"/>
  <c r="K582" i="6"/>
  <c r="J582" i="6"/>
  <c r="I582" i="6"/>
  <c r="K581" i="6"/>
  <c r="J581" i="6"/>
  <c r="I581" i="6"/>
  <c r="K580" i="6"/>
  <c r="J580" i="6"/>
  <c r="I580" i="6"/>
  <c r="K579" i="6"/>
  <c r="J579" i="6"/>
  <c r="I579" i="6"/>
  <c r="K578" i="6"/>
  <c r="J578" i="6"/>
  <c r="I578" i="6"/>
  <c r="K577" i="6"/>
  <c r="J577" i="6"/>
  <c r="I577" i="6"/>
  <c r="K576" i="6"/>
  <c r="J576" i="6"/>
  <c r="I576" i="6"/>
  <c r="K575" i="6"/>
  <c r="J575" i="6"/>
  <c r="I575" i="6"/>
  <c r="K574" i="6"/>
  <c r="J574" i="6"/>
  <c r="I574" i="6"/>
  <c r="K573" i="6"/>
  <c r="J573" i="6"/>
  <c r="I573" i="6"/>
  <c r="K572" i="6"/>
  <c r="J572" i="6"/>
  <c r="I572" i="6"/>
  <c r="K571" i="6"/>
  <c r="J571" i="6"/>
  <c r="I571" i="6"/>
  <c r="K570" i="6"/>
  <c r="J570" i="6"/>
  <c r="I570" i="6"/>
  <c r="K569" i="6"/>
  <c r="J569" i="6"/>
  <c r="I569" i="6"/>
  <c r="K568" i="6"/>
  <c r="J568" i="6"/>
  <c r="I568" i="6"/>
  <c r="K567" i="6"/>
  <c r="J567" i="6"/>
  <c r="I567" i="6"/>
  <c r="K566" i="6"/>
  <c r="J566" i="6"/>
  <c r="I566" i="6"/>
  <c r="K565" i="6"/>
  <c r="J565" i="6"/>
  <c r="I565" i="6"/>
  <c r="K564" i="6"/>
  <c r="J564" i="6"/>
  <c r="I564" i="6"/>
  <c r="K563" i="6"/>
  <c r="J563" i="6"/>
  <c r="I563" i="6"/>
  <c r="K562" i="6"/>
  <c r="J562" i="6"/>
  <c r="I562" i="6"/>
  <c r="K561" i="6"/>
  <c r="J561" i="6"/>
  <c r="I561" i="6"/>
  <c r="K560" i="6"/>
  <c r="J560" i="6"/>
  <c r="I560" i="6"/>
  <c r="K559" i="6"/>
  <c r="J559" i="6"/>
  <c r="I559" i="6"/>
  <c r="K558" i="6"/>
  <c r="J558" i="6"/>
  <c r="I558" i="6"/>
  <c r="K557" i="6"/>
  <c r="J557" i="6"/>
  <c r="I557" i="6"/>
  <c r="K556" i="6"/>
  <c r="J556" i="6"/>
  <c r="I556" i="6"/>
  <c r="K555" i="6"/>
  <c r="J555" i="6"/>
  <c r="I555" i="6"/>
  <c r="K554" i="6"/>
  <c r="J554" i="6"/>
  <c r="I554" i="6"/>
  <c r="K553" i="6"/>
  <c r="J553" i="6"/>
  <c r="I553" i="6"/>
  <c r="K552" i="6"/>
  <c r="J552" i="6"/>
  <c r="I552" i="6"/>
  <c r="K551" i="6"/>
  <c r="J551" i="6"/>
  <c r="I551" i="6"/>
  <c r="K550" i="6"/>
  <c r="J550" i="6"/>
  <c r="I550" i="6"/>
  <c r="K549" i="6"/>
  <c r="J549" i="6"/>
  <c r="I549" i="6"/>
  <c r="K548" i="6"/>
  <c r="J548" i="6"/>
  <c r="I548" i="6"/>
  <c r="K547" i="6"/>
  <c r="J547" i="6"/>
  <c r="I547" i="6"/>
  <c r="K546" i="6"/>
  <c r="J546" i="6"/>
  <c r="I546" i="6"/>
  <c r="K545" i="6"/>
  <c r="J545" i="6"/>
  <c r="I545" i="6"/>
  <c r="K544" i="6"/>
  <c r="J544" i="6"/>
  <c r="I544" i="6"/>
  <c r="K543" i="6"/>
  <c r="J543" i="6"/>
  <c r="I543" i="6"/>
  <c r="K542" i="6"/>
  <c r="J542" i="6"/>
  <c r="I542" i="6"/>
  <c r="K541" i="6"/>
  <c r="J541" i="6"/>
  <c r="I541" i="6"/>
  <c r="K540" i="6"/>
  <c r="J540" i="6"/>
  <c r="I540" i="6"/>
  <c r="K539" i="6"/>
  <c r="J539" i="6"/>
  <c r="I539" i="6"/>
  <c r="K538" i="6"/>
  <c r="J538" i="6"/>
  <c r="I538" i="6"/>
  <c r="K537" i="6"/>
  <c r="J537" i="6"/>
  <c r="I537" i="6"/>
  <c r="K536" i="6"/>
  <c r="J536" i="6"/>
  <c r="I536" i="6"/>
  <c r="K535" i="6"/>
  <c r="J535" i="6"/>
  <c r="I535" i="6"/>
  <c r="K534" i="6"/>
  <c r="J534" i="6"/>
  <c r="I534" i="6"/>
  <c r="K533" i="6"/>
  <c r="J533" i="6"/>
  <c r="I533" i="6"/>
  <c r="K532" i="6"/>
  <c r="J532" i="6"/>
  <c r="I532" i="6"/>
  <c r="K531" i="6"/>
  <c r="J531" i="6"/>
  <c r="I531" i="6"/>
  <c r="K530" i="6"/>
  <c r="J530" i="6"/>
  <c r="I530" i="6"/>
  <c r="K529" i="6"/>
  <c r="J529" i="6"/>
  <c r="I529" i="6"/>
  <c r="K528" i="6"/>
  <c r="J528" i="6"/>
  <c r="I528" i="6"/>
  <c r="K527" i="6"/>
  <c r="J527" i="6"/>
  <c r="I527" i="6"/>
  <c r="K526" i="6"/>
  <c r="J526" i="6"/>
  <c r="I526" i="6"/>
  <c r="K525" i="6"/>
  <c r="J525" i="6"/>
  <c r="I525" i="6"/>
  <c r="K524" i="6"/>
  <c r="J524" i="6"/>
  <c r="I524" i="6"/>
  <c r="K523" i="6"/>
  <c r="J523" i="6"/>
  <c r="I523" i="6"/>
  <c r="K522" i="6"/>
  <c r="J522" i="6"/>
  <c r="I522" i="6"/>
  <c r="K521" i="6"/>
  <c r="J521" i="6"/>
  <c r="I521" i="6"/>
  <c r="K520" i="6"/>
  <c r="J520" i="6"/>
  <c r="I520" i="6"/>
  <c r="K519" i="6"/>
  <c r="J519" i="6"/>
  <c r="I519" i="6"/>
  <c r="K518" i="6"/>
  <c r="J518" i="6"/>
  <c r="I518" i="6"/>
  <c r="K517" i="6"/>
  <c r="J517" i="6"/>
  <c r="I517" i="6"/>
  <c r="K516" i="6"/>
  <c r="J516" i="6"/>
  <c r="I516" i="6"/>
  <c r="K515" i="6"/>
  <c r="J515" i="6"/>
  <c r="I515" i="6"/>
  <c r="K514" i="6"/>
  <c r="J514" i="6"/>
  <c r="I514" i="6"/>
  <c r="K513" i="6"/>
  <c r="J513" i="6"/>
  <c r="I513" i="6"/>
  <c r="K512" i="6"/>
  <c r="J512" i="6"/>
  <c r="I512" i="6"/>
  <c r="K511" i="6"/>
  <c r="J511" i="6"/>
  <c r="I511" i="6"/>
  <c r="K510" i="6"/>
  <c r="J510" i="6"/>
  <c r="I510" i="6"/>
  <c r="K509" i="6"/>
  <c r="J509" i="6"/>
  <c r="I509" i="6"/>
  <c r="K508" i="6"/>
  <c r="J508" i="6"/>
  <c r="I508" i="6"/>
  <c r="K507" i="6"/>
  <c r="J507" i="6"/>
  <c r="I507" i="6"/>
  <c r="K506" i="6"/>
  <c r="J506" i="6"/>
  <c r="I506" i="6"/>
  <c r="K505" i="6"/>
  <c r="J505" i="6"/>
  <c r="I505" i="6"/>
  <c r="K504" i="6"/>
  <c r="J504" i="6"/>
  <c r="I504" i="6"/>
  <c r="K503" i="6"/>
  <c r="J503" i="6"/>
  <c r="I503" i="6"/>
  <c r="K502" i="6"/>
  <c r="J502" i="6"/>
  <c r="I502" i="6"/>
  <c r="K501" i="6"/>
  <c r="J501" i="6"/>
  <c r="I501" i="6"/>
  <c r="K500" i="6"/>
  <c r="J500" i="6"/>
  <c r="I500" i="6"/>
  <c r="K499" i="6"/>
  <c r="J499" i="6"/>
  <c r="I499" i="6"/>
  <c r="K498" i="6"/>
  <c r="J498" i="6"/>
  <c r="I498" i="6"/>
  <c r="K497" i="6"/>
  <c r="J497" i="6"/>
  <c r="I497" i="6"/>
  <c r="K496" i="6"/>
  <c r="J496" i="6"/>
  <c r="I496" i="6"/>
  <c r="K495" i="6"/>
  <c r="J495" i="6"/>
  <c r="I495" i="6"/>
  <c r="K494" i="6"/>
  <c r="J494" i="6"/>
  <c r="I494" i="6"/>
  <c r="K493" i="6"/>
  <c r="J493" i="6"/>
  <c r="I493" i="6"/>
  <c r="K492" i="6"/>
  <c r="J492" i="6"/>
  <c r="I492" i="6"/>
  <c r="K491" i="6"/>
  <c r="J491" i="6"/>
  <c r="I491" i="6"/>
  <c r="K490" i="6"/>
  <c r="J490" i="6"/>
  <c r="I490" i="6"/>
  <c r="K489" i="6"/>
  <c r="J489" i="6"/>
  <c r="I489" i="6"/>
  <c r="K488" i="6"/>
  <c r="J488" i="6"/>
  <c r="I488" i="6"/>
  <c r="K487" i="6"/>
  <c r="J487" i="6"/>
  <c r="I487" i="6"/>
  <c r="K486" i="6"/>
  <c r="J486" i="6"/>
  <c r="I486" i="6"/>
  <c r="K485" i="6"/>
  <c r="J485" i="6"/>
  <c r="I485" i="6"/>
  <c r="K484" i="6"/>
  <c r="J484" i="6"/>
  <c r="I484" i="6"/>
  <c r="K483" i="6"/>
  <c r="J483" i="6"/>
  <c r="I483" i="6"/>
  <c r="K482" i="6"/>
  <c r="J482" i="6"/>
  <c r="I482" i="6"/>
  <c r="K481" i="6"/>
  <c r="J481" i="6"/>
  <c r="I481" i="6"/>
  <c r="K480" i="6"/>
  <c r="J480" i="6"/>
  <c r="I480" i="6"/>
  <c r="K479" i="6"/>
  <c r="J479" i="6"/>
  <c r="I479" i="6"/>
  <c r="K478" i="6"/>
  <c r="J478" i="6"/>
  <c r="I478" i="6"/>
  <c r="K477" i="6"/>
  <c r="J477" i="6"/>
  <c r="I477" i="6"/>
  <c r="K476" i="6"/>
  <c r="J476" i="6"/>
  <c r="I476" i="6"/>
  <c r="K475" i="6"/>
  <c r="J475" i="6"/>
  <c r="I475" i="6"/>
  <c r="K474" i="6"/>
  <c r="J474" i="6"/>
  <c r="I474" i="6"/>
  <c r="K473" i="6"/>
  <c r="J473" i="6"/>
  <c r="I473" i="6"/>
  <c r="K472" i="6"/>
  <c r="J472" i="6"/>
  <c r="I472" i="6"/>
  <c r="K471" i="6"/>
  <c r="J471" i="6"/>
  <c r="I471" i="6"/>
  <c r="K470" i="6"/>
  <c r="J470" i="6"/>
  <c r="I470" i="6"/>
  <c r="K469" i="6"/>
  <c r="J469" i="6"/>
  <c r="I469" i="6"/>
  <c r="K468" i="6"/>
  <c r="J468" i="6"/>
  <c r="I468" i="6"/>
  <c r="K467" i="6"/>
  <c r="J467" i="6"/>
  <c r="I467" i="6"/>
  <c r="K466" i="6"/>
  <c r="J466" i="6"/>
  <c r="I466" i="6"/>
  <c r="K465" i="6"/>
  <c r="J465" i="6"/>
  <c r="I465" i="6"/>
  <c r="K464" i="6"/>
  <c r="J464" i="6"/>
  <c r="I464" i="6"/>
  <c r="K463" i="6"/>
  <c r="J463" i="6"/>
  <c r="I463" i="6"/>
  <c r="K462" i="6"/>
  <c r="J462" i="6"/>
  <c r="I462" i="6"/>
  <c r="K461" i="6"/>
  <c r="J461" i="6"/>
  <c r="I461" i="6"/>
  <c r="K460" i="6"/>
  <c r="J460" i="6"/>
  <c r="I460" i="6"/>
  <c r="K459" i="6"/>
  <c r="J459" i="6"/>
  <c r="I459" i="6"/>
  <c r="K458" i="6"/>
  <c r="J458" i="6"/>
  <c r="I458" i="6"/>
  <c r="K457" i="6"/>
  <c r="J457" i="6"/>
  <c r="I457" i="6"/>
  <c r="K456" i="6"/>
  <c r="J456" i="6"/>
  <c r="I456" i="6"/>
  <c r="K455" i="6"/>
  <c r="J455" i="6"/>
  <c r="I455" i="6"/>
  <c r="K454" i="6"/>
  <c r="J454" i="6"/>
  <c r="I454" i="6"/>
  <c r="K453" i="6"/>
  <c r="J453" i="6"/>
  <c r="I453" i="6"/>
  <c r="K452" i="6"/>
  <c r="J452" i="6"/>
  <c r="I452" i="6"/>
  <c r="K451" i="6"/>
  <c r="J451" i="6"/>
  <c r="I451" i="6"/>
  <c r="K450" i="6"/>
  <c r="J450" i="6"/>
  <c r="I450" i="6"/>
  <c r="K449" i="6"/>
  <c r="J449" i="6"/>
  <c r="I449" i="6"/>
  <c r="K448" i="6"/>
  <c r="J448" i="6"/>
  <c r="I448" i="6"/>
  <c r="K447" i="6"/>
  <c r="J447" i="6"/>
  <c r="I447" i="6"/>
  <c r="K446" i="6"/>
  <c r="J446" i="6"/>
  <c r="I446" i="6"/>
  <c r="K445" i="6"/>
  <c r="J445" i="6"/>
  <c r="I445" i="6"/>
  <c r="K444" i="6"/>
  <c r="J444" i="6"/>
  <c r="I444" i="6"/>
  <c r="K443" i="6"/>
  <c r="J443" i="6"/>
  <c r="I443" i="6"/>
  <c r="K442" i="6"/>
  <c r="J442" i="6"/>
  <c r="I442" i="6"/>
  <c r="K441" i="6"/>
  <c r="J441" i="6"/>
  <c r="I441" i="6"/>
  <c r="K440" i="6"/>
  <c r="J440" i="6"/>
  <c r="I440" i="6"/>
  <c r="K439" i="6"/>
  <c r="J439" i="6"/>
  <c r="I439" i="6"/>
  <c r="K438" i="6"/>
  <c r="J438" i="6"/>
  <c r="I438" i="6"/>
  <c r="K437" i="6"/>
  <c r="J437" i="6"/>
  <c r="I437" i="6"/>
  <c r="K436" i="6"/>
  <c r="J436" i="6"/>
  <c r="I436" i="6"/>
  <c r="K435" i="6"/>
  <c r="J435" i="6"/>
  <c r="I435" i="6"/>
  <c r="K434" i="6"/>
  <c r="J434" i="6"/>
  <c r="I434" i="6"/>
  <c r="K433" i="6"/>
  <c r="J433" i="6"/>
  <c r="I433" i="6"/>
  <c r="K432" i="6"/>
  <c r="J432" i="6"/>
  <c r="I432" i="6"/>
  <c r="K431" i="6"/>
  <c r="J431" i="6"/>
  <c r="I431" i="6"/>
  <c r="K430" i="6"/>
  <c r="J430" i="6"/>
  <c r="I430" i="6"/>
  <c r="K429" i="6"/>
  <c r="J429" i="6"/>
  <c r="I429" i="6"/>
  <c r="K428" i="6"/>
  <c r="J428" i="6"/>
  <c r="I428" i="6"/>
  <c r="K427" i="6"/>
  <c r="J427" i="6"/>
  <c r="I427" i="6"/>
  <c r="K426" i="6"/>
  <c r="J426" i="6"/>
  <c r="I426" i="6"/>
  <c r="K425" i="6"/>
  <c r="J425" i="6"/>
  <c r="I425" i="6"/>
  <c r="K424" i="6"/>
  <c r="J424" i="6"/>
  <c r="I424" i="6"/>
  <c r="K423" i="6"/>
  <c r="J423" i="6"/>
  <c r="I423" i="6"/>
  <c r="K422" i="6"/>
  <c r="J422" i="6"/>
  <c r="I422" i="6"/>
  <c r="K421" i="6"/>
  <c r="J421" i="6"/>
  <c r="I421" i="6"/>
  <c r="K420" i="6"/>
  <c r="J420" i="6"/>
  <c r="I420" i="6"/>
  <c r="K419" i="6"/>
  <c r="J419" i="6"/>
  <c r="I419" i="6"/>
  <c r="K418" i="6"/>
  <c r="J418" i="6"/>
  <c r="I418" i="6"/>
  <c r="K417" i="6"/>
  <c r="J417" i="6"/>
  <c r="I417" i="6"/>
  <c r="K416" i="6"/>
  <c r="J416" i="6"/>
  <c r="I416" i="6"/>
  <c r="K415" i="6"/>
  <c r="J415" i="6"/>
  <c r="I415" i="6"/>
  <c r="K414" i="6"/>
  <c r="J414" i="6"/>
  <c r="I414" i="6"/>
  <c r="K413" i="6"/>
  <c r="J413" i="6"/>
  <c r="I413" i="6"/>
  <c r="K412" i="6"/>
  <c r="J412" i="6"/>
  <c r="I412" i="6"/>
  <c r="K411" i="6"/>
  <c r="J411" i="6"/>
  <c r="I411" i="6"/>
  <c r="K410" i="6"/>
  <c r="J410" i="6"/>
  <c r="I410" i="6"/>
  <c r="K409" i="6"/>
  <c r="J409" i="6"/>
  <c r="I409" i="6"/>
  <c r="K408" i="6"/>
  <c r="J408" i="6"/>
  <c r="I408" i="6"/>
  <c r="K407" i="6"/>
  <c r="J407" i="6"/>
  <c r="I407" i="6"/>
  <c r="K406" i="6"/>
  <c r="J406" i="6"/>
  <c r="I406" i="6"/>
  <c r="K405" i="6"/>
  <c r="J405" i="6"/>
  <c r="I405" i="6"/>
  <c r="K404" i="6"/>
  <c r="J404" i="6"/>
  <c r="I404" i="6"/>
  <c r="K403" i="6"/>
  <c r="J403" i="6"/>
  <c r="I403" i="6"/>
  <c r="K402" i="6"/>
  <c r="J402" i="6"/>
  <c r="I402" i="6"/>
  <c r="K401" i="6"/>
  <c r="J401" i="6"/>
  <c r="I401" i="6"/>
  <c r="K400" i="6"/>
  <c r="J400" i="6"/>
  <c r="I400" i="6"/>
  <c r="K399" i="6"/>
  <c r="J399" i="6"/>
  <c r="I399" i="6"/>
  <c r="K398" i="6"/>
  <c r="J398" i="6"/>
  <c r="I398" i="6"/>
  <c r="K397" i="6"/>
  <c r="J397" i="6"/>
  <c r="I397" i="6"/>
  <c r="K396" i="6"/>
  <c r="J396" i="6"/>
  <c r="I396" i="6"/>
  <c r="K395" i="6"/>
  <c r="J395" i="6"/>
  <c r="I395" i="6"/>
  <c r="K394" i="6"/>
  <c r="J394" i="6"/>
  <c r="I394" i="6"/>
  <c r="K393" i="6"/>
  <c r="J393" i="6"/>
  <c r="I393" i="6"/>
  <c r="K392" i="6"/>
  <c r="J392" i="6"/>
  <c r="I392" i="6"/>
  <c r="K391" i="6"/>
  <c r="J391" i="6"/>
  <c r="I391" i="6"/>
  <c r="K390" i="6"/>
  <c r="J390" i="6"/>
  <c r="I390" i="6"/>
  <c r="K389" i="6"/>
  <c r="J389" i="6"/>
  <c r="I389" i="6"/>
  <c r="K388" i="6"/>
  <c r="J388" i="6"/>
  <c r="I388" i="6"/>
  <c r="K387" i="6"/>
  <c r="J387" i="6"/>
  <c r="I387" i="6"/>
  <c r="K386" i="6"/>
  <c r="J386" i="6"/>
  <c r="I386" i="6"/>
  <c r="K385" i="6"/>
  <c r="J385" i="6"/>
  <c r="I385" i="6"/>
  <c r="K384" i="6"/>
  <c r="J384" i="6"/>
  <c r="I384" i="6"/>
  <c r="K383" i="6"/>
  <c r="J383" i="6"/>
  <c r="I383" i="6"/>
  <c r="K382" i="6"/>
  <c r="J382" i="6"/>
  <c r="I382" i="6"/>
  <c r="K381" i="6"/>
  <c r="J381" i="6"/>
  <c r="I381" i="6"/>
  <c r="K380" i="6"/>
  <c r="J380" i="6"/>
  <c r="I380" i="6"/>
  <c r="K379" i="6"/>
  <c r="J379" i="6"/>
  <c r="I379" i="6"/>
  <c r="K378" i="6"/>
  <c r="J378" i="6"/>
  <c r="I378" i="6"/>
  <c r="K377" i="6"/>
  <c r="J377" i="6"/>
  <c r="I377" i="6"/>
  <c r="K376" i="6"/>
  <c r="J376" i="6"/>
  <c r="I376" i="6"/>
  <c r="K375" i="6"/>
  <c r="J375" i="6"/>
  <c r="I375" i="6"/>
  <c r="K374" i="6"/>
  <c r="J374" i="6"/>
  <c r="I374" i="6"/>
  <c r="K373" i="6"/>
  <c r="J373" i="6"/>
  <c r="I373" i="6"/>
  <c r="K372" i="6"/>
  <c r="J372" i="6"/>
  <c r="I372" i="6"/>
  <c r="K371" i="6"/>
  <c r="J371" i="6"/>
  <c r="I371" i="6"/>
  <c r="K370" i="6"/>
  <c r="J370" i="6"/>
  <c r="I370" i="6"/>
  <c r="K369" i="6"/>
  <c r="J369" i="6"/>
  <c r="I369" i="6"/>
  <c r="K368" i="6"/>
  <c r="J368" i="6"/>
  <c r="I368" i="6"/>
  <c r="K367" i="6"/>
  <c r="J367" i="6"/>
  <c r="I367" i="6"/>
  <c r="K366" i="6"/>
  <c r="J366" i="6"/>
  <c r="I366" i="6"/>
  <c r="K365" i="6"/>
  <c r="J365" i="6"/>
  <c r="I365" i="6"/>
  <c r="K364" i="6"/>
  <c r="J364" i="6"/>
  <c r="I364" i="6"/>
  <c r="K363" i="6"/>
  <c r="J363" i="6"/>
  <c r="I363" i="6"/>
  <c r="K362" i="6"/>
  <c r="J362" i="6"/>
  <c r="I362" i="6"/>
  <c r="K361" i="6"/>
  <c r="J361" i="6"/>
  <c r="I361" i="6"/>
  <c r="K360" i="6"/>
  <c r="J360" i="6"/>
  <c r="I360" i="6"/>
  <c r="K359" i="6"/>
  <c r="J359" i="6"/>
  <c r="I359" i="6"/>
  <c r="K358" i="6"/>
  <c r="J358" i="6"/>
  <c r="I358" i="6"/>
  <c r="K357" i="6"/>
  <c r="J357" i="6"/>
  <c r="I357" i="6"/>
  <c r="K356" i="6"/>
  <c r="J356" i="6"/>
  <c r="I356" i="6"/>
  <c r="K355" i="6"/>
  <c r="J355" i="6"/>
  <c r="I355" i="6"/>
  <c r="K354" i="6"/>
  <c r="J354" i="6"/>
  <c r="I354" i="6"/>
  <c r="K353" i="6"/>
  <c r="J353" i="6"/>
  <c r="I353" i="6"/>
  <c r="K352" i="6"/>
  <c r="J352" i="6"/>
  <c r="I352" i="6"/>
  <c r="K351" i="6"/>
  <c r="J351" i="6"/>
  <c r="I351" i="6"/>
  <c r="K350" i="6"/>
  <c r="J350" i="6"/>
  <c r="I350" i="6"/>
  <c r="K349" i="6"/>
  <c r="J349" i="6"/>
  <c r="I349" i="6"/>
  <c r="K348" i="6"/>
  <c r="J348" i="6"/>
  <c r="I348" i="6"/>
  <c r="K347" i="6"/>
  <c r="J347" i="6"/>
  <c r="I347" i="6"/>
  <c r="K346" i="6"/>
  <c r="J346" i="6"/>
  <c r="I346" i="6"/>
  <c r="K345" i="6"/>
  <c r="J345" i="6"/>
  <c r="I345" i="6"/>
  <c r="K344" i="6"/>
  <c r="J344" i="6"/>
  <c r="I344" i="6"/>
  <c r="K343" i="6"/>
  <c r="J343" i="6"/>
  <c r="I343" i="6"/>
  <c r="K342" i="6"/>
  <c r="J342" i="6"/>
  <c r="I342" i="6"/>
  <c r="K341" i="6"/>
  <c r="J341" i="6"/>
  <c r="I341" i="6"/>
  <c r="K340" i="6"/>
  <c r="J340" i="6"/>
  <c r="I340" i="6"/>
  <c r="K339" i="6"/>
  <c r="J339" i="6"/>
  <c r="I339" i="6"/>
  <c r="K338" i="6"/>
  <c r="J338" i="6"/>
  <c r="I338" i="6"/>
  <c r="K337" i="6"/>
  <c r="J337" i="6"/>
  <c r="I337" i="6"/>
  <c r="K336" i="6"/>
  <c r="J336" i="6"/>
  <c r="I336" i="6"/>
  <c r="K335" i="6"/>
  <c r="J335" i="6"/>
  <c r="I335" i="6"/>
  <c r="K334" i="6"/>
  <c r="J334" i="6"/>
  <c r="I334" i="6"/>
  <c r="K333" i="6"/>
  <c r="J333" i="6"/>
  <c r="I333" i="6"/>
  <c r="K332" i="6"/>
  <c r="J332" i="6"/>
  <c r="I332" i="6"/>
  <c r="K331" i="6"/>
  <c r="J331" i="6"/>
  <c r="I331" i="6"/>
  <c r="K330" i="6"/>
  <c r="J330" i="6"/>
  <c r="I330" i="6"/>
  <c r="K329" i="6"/>
  <c r="J329" i="6"/>
  <c r="I329" i="6"/>
  <c r="K328" i="6"/>
  <c r="J328" i="6"/>
  <c r="I328" i="6"/>
  <c r="K327" i="6"/>
  <c r="J327" i="6"/>
  <c r="I327" i="6"/>
  <c r="K326" i="6"/>
  <c r="J326" i="6"/>
  <c r="I326" i="6"/>
  <c r="K325" i="6"/>
  <c r="J325" i="6"/>
  <c r="I325" i="6"/>
  <c r="K324" i="6"/>
  <c r="J324" i="6"/>
  <c r="I324" i="6"/>
  <c r="K323" i="6"/>
  <c r="J323" i="6"/>
  <c r="I323" i="6"/>
  <c r="K322" i="6"/>
  <c r="J322" i="6"/>
  <c r="I322" i="6"/>
  <c r="K321" i="6"/>
  <c r="J321" i="6"/>
  <c r="I321" i="6"/>
  <c r="K320" i="6"/>
  <c r="J320" i="6"/>
  <c r="I320" i="6"/>
  <c r="K319" i="6"/>
  <c r="J319" i="6"/>
  <c r="I319" i="6"/>
  <c r="K318" i="6"/>
  <c r="J318" i="6"/>
  <c r="I318" i="6"/>
  <c r="K317" i="6"/>
  <c r="J317" i="6"/>
  <c r="I317" i="6"/>
  <c r="K316" i="6"/>
  <c r="J316" i="6"/>
  <c r="I316" i="6"/>
  <c r="K315" i="6"/>
  <c r="J315" i="6"/>
  <c r="I315" i="6"/>
  <c r="K314" i="6"/>
  <c r="J314" i="6"/>
  <c r="I314" i="6"/>
  <c r="K313" i="6"/>
  <c r="J313" i="6"/>
  <c r="I313" i="6"/>
  <c r="K312" i="6"/>
  <c r="J312" i="6"/>
  <c r="I312" i="6"/>
  <c r="K311" i="6"/>
  <c r="J311" i="6"/>
  <c r="I311" i="6"/>
  <c r="K310" i="6"/>
  <c r="J310" i="6"/>
  <c r="I310" i="6"/>
  <c r="K309" i="6"/>
  <c r="J309" i="6"/>
  <c r="I309" i="6"/>
  <c r="K308" i="6"/>
  <c r="J308" i="6"/>
  <c r="I308" i="6"/>
  <c r="K307" i="6"/>
  <c r="J307" i="6"/>
  <c r="I307" i="6"/>
  <c r="K306" i="6"/>
  <c r="J306" i="6"/>
  <c r="I306" i="6"/>
  <c r="K305" i="6"/>
  <c r="J305" i="6"/>
  <c r="I305" i="6"/>
  <c r="K304" i="6"/>
  <c r="J304" i="6"/>
  <c r="I304" i="6"/>
  <c r="K303" i="6"/>
  <c r="J303" i="6"/>
  <c r="I303" i="6"/>
  <c r="K302" i="6"/>
  <c r="J302" i="6"/>
  <c r="I302" i="6"/>
  <c r="K301" i="6"/>
  <c r="J301" i="6"/>
  <c r="I301" i="6"/>
  <c r="K300" i="6"/>
  <c r="J300" i="6"/>
  <c r="I300" i="6"/>
  <c r="K299" i="6"/>
  <c r="J299" i="6"/>
  <c r="I299" i="6"/>
  <c r="K298" i="6"/>
  <c r="J298" i="6"/>
  <c r="I298" i="6"/>
  <c r="K297" i="6"/>
  <c r="J297" i="6"/>
  <c r="I297" i="6"/>
  <c r="K296" i="6"/>
  <c r="J296" i="6"/>
  <c r="I296" i="6"/>
  <c r="K295" i="6"/>
  <c r="J295" i="6"/>
  <c r="I295" i="6"/>
  <c r="K294" i="6"/>
  <c r="J294" i="6"/>
  <c r="I294" i="6"/>
  <c r="K293" i="6"/>
  <c r="J293" i="6"/>
  <c r="I293" i="6"/>
  <c r="K292" i="6"/>
  <c r="J292" i="6"/>
  <c r="I292" i="6"/>
  <c r="K291" i="6"/>
  <c r="J291" i="6"/>
  <c r="I291" i="6"/>
  <c r="K290" i="6"/>
  <c r="J290" i="6"/>
  <c r="I290" i="6"/>
  <c r="K289" i="6"/>
  <c r="J289" i="6"/>
  <c r="I289" i="6"/>
  <c r="K288" i="6"/>
  <c r="J288" i="6"/>
  <c r="I288" i="6"/>
  <c r="K287" i="6"/>
  <c r="J287" i="6"/>
  <c r="I287" i="6"/>
  <c r="K286" i="6"/>
  <c r="J286" i="6"/>
  <c r="I286" i="6"/>
  <c r="K285" i="6"/>
  <c r="J285" i="6"/>
  <c r="I285" i="6"/>
  <c r="K284" i="6"/>
  <c r="J284" i="6"/>
  <c r="I284" i="6"/>
  <c r="K283" i="6"/>
  <c r="J283" i="6"/>
  <c r="I283" i="6"/>
  <c r="K282" i="6"/>
  <c r="J282" i="6"/>
  <c r="I282" i="6"/>
  <c r="K281" i="6"/>
  <c r="J281" i="6"/>
  <c r="I281" i="6"/>
  <c r="K280" i="6"/>
  <c r="J280" i="6"/>
  <c r="I280" i="6"/>
  <c r="K279" i="6"/>
  <c r="J279" i="6"/>
  <c r="I279" i="6"/>
  <c r="K278" i="6"/>
  <c r="J278" i="6"/>
  <c r="I278" i="6"/>
  <c r="K277" i="6"/>
  <c r="J277" i="6"/>
  <c r="I277" i="6"/>
  <c r="K276" i="6"/>
  <c r="J276" i="6"/>
  <c r="I276" i="6"/>
  <c r="K275" i="6"/>
  <c r="J275" i="6"/>
  <c r="I275" i="6"/>
  <c r="K274" i="6"/>
  <c r="J274" i="6"/>
  <c r="I274" i="6"/>
  <c r="K273" i="6"/>
  <c r="J273" i="6"/>
  <c r="I273" i="6"/>
  <c r="K272" i="6"/>
  <c r="J272" i="6"/>
  <c r="I272" i="6"/>
  <c r="K271" i="6"/>
  <c r="J271" i="6"/>
  <c r="I271" i="6"/>
  <c r="K270" i="6"/>
  <c r="J270" i="6"/>
  <c r="I270" i="6"/>
  <c r="K269" i="6"/>
  <c r="J269" i="6"/>
  <c r="I269" i="6"/>
  <c r="K268" i="6"/>
  <c r="J268" i="6"/>
  <c r="I268" i="6"/>
  <c r="K267" i="6"/>
  <c r="J267" i="6"/>
  <c r="I267" i="6"/>
  <c r="K266" i="6"/>
  <c r="J266" i="6"/>
  <c r="I266" i="6"/>
  <c r="K265" i="6"/>
  <c r="J265" i="6"/>
  <c r="I265" i="6"/>
  <c r="K264" i="6"/>
  <c r="J264" i="6"/>
  <c r="I264" i="6"/>
  <c r="K263" i="6"/>
  <c r="J263" i="6"/>
  <c r="I263" i="6"/>
  <c r="K262" i="6"/>
  <c r="J262" i="6"/>
  <c r="I262" i="6"/>
  <c r="K261" i="6"/>
  <c r="J261" i="6"/>
  <c r="I261" i="6"/>
  <c r="K260" i="6"/>
  <c r="J260" i="6"/>
  <c r="I260" i="6"/>
  <c r="K259" i="6"/>
  <c r="J259" i="6"/>
  <c r="I259" i="6"/>
  <c r="K258" i="6"/>
  <c r="J258" i="6"/>
  <c r="I258" i="6"/>
  <c r="K257" i="6"/>
  <c r="J257" i="6"/>
  <c r="I257" i="6"/>
  <c r="K256" i="6"/>
  <c r="J256" i="6"/>
  <c r="I256" i="6"/>
  <c r="K255" i="6"/>
  <c r="J255" i="6"/>
  <c r="I255" i="6"/>
  <c r="K254" i="6"/>
  <c r="J254" i="6"/>
  <c r="I254" i="6"/>
  <c r="K253" i="6"/>
  <c r="J253" i="6"/>
  <c r="I253" i="6"/>
  <c r="K252" i="6"/>
  <c r="J252" i="6"/>
  <c r="I252" i="6"/>
  <c r="K251" i="6"/>
  <c r="J251" i="6"/>
  <c r="I251" i="6"/>
  <c r="K250" i="6"/>
  <c r="J250" i="6"/>
  <c r="I250" i="6"/>
  <c r="K249" i="6"/>
  <c r="J249" i="6"/>
  <c r="I249" i="6"/>
  <c r="K248" i="6"/>
  <c r="J248" i="6"/>
  <c r="I248" i="6"/>
  <c r="K247" i="6"/>
  <c r="J247" i="6"/>
  <c r="I247" i="6"/>
  <c r="K246" i="6"/>
  <c r="J246" i="6"/>
  <c r="I246" i="6"/>
  <c r="K245" i="6"/>
  <c r="J245" i="6"/>
  <c r="I245" i="6"/>
  <c r="K244" i="6"/>
  <c r="J244" i="6"/>
  <c r="I244" i="6"/>
  <c r="K243" i="6"/>
  <c r="J243" i="6"/>
  <c r="I243" i="6"/>
  <c r="K242" i="6"/>
  <c r="J242" i="6"/>
  <c r="I242" i="6"/>
  <c r="K241" i="6"/>
  <c r="J241" i="6"/>
  <c r="I241" i="6"/>
  <c r="K240" i="6"/>
  <c r="J240" i="6"/>
  <c r="I240" i="6"/>
  <c r="K239" i="6"/>
  <c r="J239" i="6"/>
  <c r="I239" i="6"/>
  <c r="K238" i="6"/>
  <c r="J238" i="6"/>
  <c r="I238" i="6"/>
  <c r="K237" i="6"/>
  <c r="J237" i="6"/>
  <c r="I237" i="6"/>
  <c r="K236" i="6"/>
  <c r="J236" i="6"/>
  <c r="I236" i="6"/>
  <c r="K235" i="6"/>
  <c r="J235" i="6"/>
  <c r="I235" i="6"/>
  <c r="K234" i="6"/>
  <c r="J234" i="6"/>
  <c r="I234" i="6"/>
  <c r="K233" i="6"/>
  <c r="J233" i="6"/>
  <c r="I233" i="6"/>
  <c r="K232" i="6"/>
  <c r="J232" i="6"/>
  <c r="I232" i="6"/>
  <c r="K231" i="6"/>
  <c r="J231" i="6"/>
  <c r="I231" i="6"/>
  <c r="K230" i="6"/>
  <c r="J230" i="6"/>
  <c r="I230" i="6"/>
  <c r="K229" i="6"/>
  <c r="J229" i="6"/>
  <c r="I229" i="6"/>
  <c r="K228" i="6"/>
  <c r="J228" i="6"/>
  <c r="I228" i="6"/>
  <c r="K227" i="6"/>
  <c r="J227" i="6"/>
  <c r="I227" i="6"/>
  <c r="K226" i="6"/>
  <c r="J226" i="6"/>
  <c r="I226" i="6"/>
  <c r="K225" i="6"/>
  <c r="J225" i="6"/>
  <c r="I225" i="6"/>
  <c r="K224" i="6"/>
  <c r="J224" i="6"/>
  <c r="I224" i="6"/>
  <c r="K223" i="6"/>
  <c r="J223" i="6"/>
  <c r="I223" i="6"/>
  <c r="K222" i="6"/>
  <c r="J222" i="6"/>
  <c r="I222" i="6"/>
  <c r="K221" i="6"/>
  <c r="J221" i="6"/>
  <c r="I221" i="6"/>
  <c r="K220" i="6"/>
  <c r="J220" i="6"/>
  <c r="I220" i="6"/>
  <c r="K219" i="6"/>
  <c r="J219" i="6"/>
  <c r="I219" i="6"/>
  <c r="K218" i="6"/>
  <c r="J218" i="6"/>
  <c r="I218" i="6"/>
  <c r="K217" i="6"/>
  <c r="J217" i="6"/>
  <c r="I217" i="6"/>
  <c r="K216" i="6"/>
  <c r="J216" i="6"/>
  <c r="I216" i="6"/>
  <c r="K215" i="6"/>
  <c r="J215" i="6"/>
  <c r="I215" i="6"/>
  <c r="K214" i="6"/>
  <c r="J214" i="6"/>
  <c r="I214" i="6"/>
  <c r="K213" i="6"/>
  <c r="J213" i="6"/>
  <c r="I213" i="6"/>
  <c r="K212" i="6"/>
  <c r="J212" i="6"/>
  <c r="I212" i="6"/>
  <c r="K211" i="6"/>
  <c r="J211" i="6"/>
  <c r="I211" i="6"/>
  <c r="K210" i="6"/>
  <c r="J210" i="6"/>
  <c r="I210" i="6"/>
  <c r="K209" i="6"/>
  <c r="J209" i="6"/>
  <c r="I209" i="6"/>
  <c r="K208" i="6"/>
  <c r="J208" i="6"/>
  <c r="I208" i="6"/>
  <c r="K207" i="6"/>
  <c r="J207" i="6"/>
  <c r="I207" i="6"/>
  <c r="K206" i="6"/>
  <c r="J206" i="6"/>
  <c r="I206" i="6"/>
  <c r="K205" i="6"/>
  <c r="J205" i="6"/>
  <c r="I205" i="6"/>
  <c r="K204" i="6"/>
  <c r="J204" i="6"/>
  <c r="I204" i="6"/>
  <c r="K203" i="6"/>
  <c r="J203" i="6"/>
  <c r="I203" i="6"/>
  <c r="K202" i="6"/>
  <c r="J202" i="6"/>
  <c r="I202" i="6"/>
  <c r="K201" i="6"/>
  <c r="J201" i="6"/>
  <c r="I201" i="6"/>
  <c r="K200" i="6"/>
  <c r="J200" i="6"/>
  <c r="I200" i="6"/>
  <c r="K199" i="6"/>
  <c r="J199" i="6"/>
  <c r="I199" i="6"/>
  <c r="K198" i="6"/>
  <c r="J198" i="6"/>
  <c r="I198" i="6"/>
  <c r="K197" i="6"/>
  <c r="J197" i="6"/>
  <c r="I197" i="6"/>
  <c r="K196" i="6"/>
  <c r="J196" i="6"/>
  <c r="I196" i="6"/>
  <c r="K195" i="6"/>
  <c r="J195" i="6"/>
  <c r="I195" i="6"/>
  <c r="K194" i="6"/>
  <c r="J194" i="6"/>
  <c r="I194" i="6"/>
  <c r="K193" i="6"/>
  <c r="J193" i="6"/>
  <c r="I193" i="6"/>
  <c r="K192" i="6"/>
  <c r="J192" i="6"/>
  <c r="I192" i="6"/>
  <c r="K191" i="6"/>
  <c r="J191" i="6"/>
  <c r="I191" i="6"/>
  <c r="K190" i="6"/>
  <c r="J190" i="6"/>
  <c r="I190" i="6"/>
  <c r="K189" i="6"/>
  <c r="J189" i="6"/>
  <c r="I189" i="6"/>
  <c r="K188" i="6"/>
  <c r="J188" i="6"/>
  <c r="I188" i="6"/>
  <c r="K187" i="6"/>
  <c r="J187" i="6"/>
  <c r="I187" i="6"/>
  <c r="K186" i="6"/>
  <c r="J186" i="6"/>
  <c r="I186" i="6"/>
  <c r="K185" i="6"/>
  <c r="J185" i="6"/>
  <c r="I185" i="6"/>
  <c r="K184" i="6"/>
  <c r="J184" i="6"/>
  <c r="I184" i="6"/>
  <c r="K183" i="6"/>
  <c r="J183" i="6"/>
  <c r="I183" i="6"/>
  <c r="K182" i="6"/>
  <c r="J182" i="6"/>
  <c r="I182" i="6"/>
  <c r="K181" i="6"/>
  <c r="J181" i="6"/>
  <c r="I181" i="6"/>
  <c r="K180" i="6"/>
  <c r="J180" i="6"/>
  <c r="I180" i="6"/>
  <c r="K179" i="6"/>
  <c r="J179" i="6"/>
  <c r="I179" i="6"/>
  <c r="K178" i="6"/>
  <c r="J178" i="6"/>
  <c r="I178" i="6"/>
  <c r="K177" i="6"/>
  <c r="J177" i="6"/>
  <c r="I177" i="6"/>
  <c r="K176" i="6"/>
  <c r="J176" i="6"/>
  <c r="I176" i="6"/>
  <c r="K175" i="6"/>
  <c r="J175" i="6"/>
  <c r="I175" i="6"/>
  <c r="K174" i="6"/>
  <c r="J174" i="6"/>
  <c r="I174" i="6"/>
  <c r="K173" i="6"/>
  <c r="J173" i="6"/>
  <c r="I173" i="6"/>
  <c r="K172" i="6"/>
  <c r="J172" i="6"/>
  <c r="I172" i="6"/>
  <c r="K171" i="6"/>
  <c r="J171" i="6"/>
  <c r="I171" i="6"/>
  <c r="K170" i="6"/>
  <c r="J170" i="6"/>
  <c r="I170" i="6"/>
  <c r="K169" i="6"/>
  <c r="J169" i="6"/>
  <c r="I169" i="6"/>
  <c r="K168" i="6"/>
  <c r="J168" i="6"/>
  <c r="I168" i="6"/>
  <c r="K167" i="6"/>
  <c r="J167" i="6"/>
  <c r="I167" i="6"/>
  <c r="K166" i="6"/>
  <c r="J166" i="6"/>
  <c r="I166" i="6"/>
  <c r="K165" i="6"/>
  <c r="J165" i="6"/>
  <c r="I165" i="6"/>
  <c r="K164" i="6"/>
  <c r="J164" i="6"/>
  <c r="I164" i="6"/>
  <c r="K163" i="6"/>
  <c r="J163" i="6"/>
  <c r="I163" i="6"/>
  <c r="K162" i="6"/>
  <c r="J162" i="6"/>
  <c r="I162" i="6"/>
  <c r="K161" i="6"/>
  <c r="J161" i="6"/>
  <c r="I161" i="6"/>
  <c r="K160" i="6"/>
  <c r="J160" i="6"/>
  <c r="I160" i="6"/>
  <c r="K159" i="6"/>
  <c r="J159" i="6"/>
  <c r="I159" i="6"/>
  <c r="K158" i="6"/>
  <c r="J158" i="6"/>
  <c r="I158" i="6"/>
  <c r="K157" i="6"/>
  <c r="J157" i="6"/>
  <c r="I157" i="6"/>
  <c r="K156" i="6"/>
  <c r="J156" i="6"/>
  <c r="I156" i="6"/>
  <c r="K155" i="6"/>
  <c r="J155" i="6"/>
  <c r="I155" i="6"/>
  <c r="K154" i="6"/>
  <c r="J154" i="6"/>
  <c r="I154" i="6"/>
  <c r="K153" i="6"/>
  <c r="J153" i="6"/>
  <c r="I153" i="6"/>
  <c r="K152" i="6"/>
  <c r="J152" i="6"/>
  <c r="I152" i="6"/>
  <c r="K151" i="6"/>
  <c r="J151" i="6"/>
  <c r="I151" i="6"/>
  <c r="K150" i="6"/>
  <c r="J150" i="6"/>
  <c r="I150" i="6"/>
  <c r="K149" i="6"/>
  <c r="J149" i="6"/>
  <c r="I149" i="6"/>
  <c r="K148" i="6"/>
  <c r="J148" i="6"/>
  <c r="I148" i="6"/>
  <c r="K147" i="6"/>
  <c r="J147" i="6"/>
  <c r="I147" i="6"/>
  <c r="K146" i="6"/>
  <c r="J146" i="6"/>
  <c r="I146" i="6"/>
  <c r="K145" i="6"/>
  <c r="J145" i="6"/>
  <c r="I145" i="6"/>
  <c r="K144" i="6"/>
  <c r="J144" i="6"/>
  <c r="I144" i="6"/>
  <c r="K143" i="6"/>
  <c r="J143" i="6"/>
  <c r="I143" i="6"/>
  <c r="K142" i="6"/>
  <c r="J142" i="6"/>
  <c r="I142" i="6"/>
  <c r="K141" i="6"/>
  <c r="J141" i="6"/>
  <c r="I141" i="6"/>
  <c r="K140" i="6"/>
  <c r="J140" i="6"/>
  <c r="I140" i="6"/>
  <c r="K139" i="6"/>
  <c r="J139" i="6"/>
  <c r="I139" i="6"/>
  <c r="K138" i="6"/>
  <c r="J138" i="6"/>
  <c r="I138" i="6"/>
  <c r="K137" i="6"/>
  <c r="J137" i="6"/>
  <c r="I137" i="6"/>
  <c r="K136" i="6"/>
  <c r="J136" i="6"/>
  <c r="I136" i="6"/>
  <c r="K135" i="6"/>
  <c r="J135" i="6"/>
  <c r="I135" i="6"/>
  <c r="K134" i="6"/>
  <c r="J134" i="6"/>
  <c r="I134" i="6"/>
  <c r="K133" i="6"/>
  <c r="J133" i="6"/>
  <c r="I133" i="6"/>
  <c r="K132" i="6"/>
  <c r="J132" i="6"/>
  <c r="I132" i="6"/>
  <c r="K131" i="6"/>
  <c r="J131" i="6"/>
  <c r="I131" i="6"/>
  <c r="K130" i="6"/>
  <c r="J130" i="6"/>
  <c r="I130" i="6"/>
  <c r="K129" i="6"/>
  <c r="J129" i="6"/>
  <c r="I129" i="6"/>
  <c r="K128" i="6"/>
  <c r="J128" i="6"/>
  <c r="I128" i="6"/>
  <c r="K127" i="6"/>
  <c r="J127" i="6"/>
  <c r="I127" i="6"/>
  <c r="K126" i="6"/>
  <c r="J126" i="6"/>
  <c r="I126" i="6"/>
  <c r="K125" i="6"/>
  <c r="J125" i="6"/>
  <c r="I125" i="6"/>
  <c r="K124" i="6"/>
  <c r="J124" i="6"/>
  <c r="I124" i="6"/>
  <c r="K123" i="6"/>
  <c r="J123" i="6"/>
  <c r="I123" i="6"/>
  <c r="K122" i="6"/>
  <c r="J122" i="6"/>
  <c r="I122" i="6"/>
  <c r="K121" i="6"/>
  <c r="J121" i="6"/>
  <c r="I121" i="6"/>
  <c r="K120" i="6"/>
  <c r="J120" i="6"/>
  <c r="I120" i="6"/>
  <c r="K119" i="6"/>
  <c r="J119" i="6"/>
  <c r="I119" i="6"/>
  <c r="K118" i="6"/>
  <c r="J118" i="6"/>
  <c r="I118" i="6"/>
  <c r="K117" i="6"/>
  <c r="J117" i="6"/>
  <c r="I117" i="6"/>
  <c r="K116" i="6"/>
  <c r="J116" i="6"/>
  <c r="I116" i="6"/>
  <c r="K115" i="6"/>
  <c r="J115" i="6"/>
  <c r="I115" i="6"/>
  <c r="K114" i="6"/>
  <c r="J114" i="6"/>
  <c r="I114" i="6"/>
  <c r="K113" i="6"/>
  <c r="J113" i="6"/>
  <c r="I113" i="6"/>
  <c r="K112" i="6"/>
  <c r="J112" i="6"/>
  <c r="I112" i="6"/>
  <c r="K111" i="6"/>
  <c r="J111" i="6"/>
  <c r="I111" i="6"/>
  <c r="K110" i="6"/>
  <c r="J110" i="6"/>
  <c r="I110" i="6"/>
  <c r="K109" i="6"/>
  <c r="J109" i="6"/>
  <c r="I109" i="6"/>
  <c r="K108" i="6"/>
  <c r="J108" i="6"/>
  <c r="I108" i="6"/>
  <c r="K107" i="6"/>
  <c r="J107" i="6"/>
  <c r="I107" i="6"/>
  <c r="K106" i="6"/>
  <c r="J106" i="6"/>
  <c r="I106" i="6"/>
  <c r="K105" i="6"/>
  <c r="J105" i="6"/>
  <c r="I105" i="6"/>
  <c r="K104" i="6"/>
  <c r="J104" i="6"/>
  <c r="I104" i="6"/>
  <c r="K103" i="6"/>
  <c r="J103" i="6"/>
  <c r="I103" i="6"/>
  <c r="K102" i="6"/>
  <c r="J102" i="6"/>
  <c r="I102" i="6"/>
  <c r="K101" i="6"/>
  <c r="J101" i="6"/>
  <c r="I101" i="6"/>
  <c r="K100" i="6"/>
  <c r="J100" i="6"/>
  <c r="I100" i="6"/>
  <c r="K99" i="6"/>
  <c r="J99" i="6"/>
  <c r="I99" i="6"/>
  <c r="K98" i="6"/>
  <c r="J98" i="6"/>
  <c r="I98" i="6"/>
  <c r="K97" i="6"/>
  <c r="J97" i="6"/>
  <c r="I97" i="6"/>
  <c r="K96" i="6"/>
  <c r="J96" i="6"/>
  <c r="I96" i="6"/>
  <c r="K95" i="6"/>
  <c r="J95" i="6"/>
  <c r="I95" i="6"/>
  <c r="K94" i="6"/>
  <c r="J94" i="6"/>
  <c r="I94" i="6"/>
  <c r="K93" i="6"/>
  <c r="J93" i="6"/>
  <c r="I93" i="6"/>
  <c r="K92" i="6"/>
  <c r="J92" i="6"/>
  <c r="I92" i="6"/>
  <c r="K91" i="6"/>
  <c r="J91" i="6"/>
  <c r="I91" i="6"/>
  <c r="K90" i="6"/>
  <c r="J90" i="6"/>
  <c r="I90" i="6"/>
  <c r="K89" i="6"/>
  <c r="J89" i="6"/>
  <c r="I89" i="6"/>
  <c r="K88" i="6"/>
  <c r="J88" i="6"/>
  <c r="I88" i="6"/>
  <c r="K87" i="6"/>
  <c r="J87" i="6"/>
  <c r="I87" i="6"/>
  <c r="K86" i="6"/>
  <c r="J86" i="6"/>
  <c r="I86" i="6"/>
  <c r="K85" i="6"/>
  <c r="J85" i="6"/>
  <c r="I85" i="6"/>
  <c r="K84" i="6"/>
  <c r="J84" i="6"/>
  <c r="I84" i="6"/>
  <c r="K83" i="6"/>
  <c r="J83" i="6"/>
  <c r="I83" i="6"/>
  <c r="K82" i="6"/>
  <c r="J82" i="6"/>
  <c r="I82" i="6"/>
  <c r="K81" i="6"/>
  <c r="J81" i="6"/>
  <c r="I81" i="6"/>
  <c r="K80" i="6"/>
  <c r="J80" i="6"/>
  <c r="I80" i="6"/>
  <c r="K79" i="6"/>
  <c r="J79" i="6"/>
  <c r="I79" i="6"/>
  <c r="K78" i="6"/>
  <c r="J78" i="6"/>
  <c r="I78" i="6"/>
  <c r="K77" i="6"/>
  <c r="J77" i="6"/>
  <c r="I77" i="6"/>
  <c r="K76" i="6"/>
  <c r="J76" i="6"/>
  <c r="I76" i="6"/>
  <c r="K75" i="6"/>
  <c r="J75" i="6"/>
  <c r="I75" i="6"/>
  <c r="K74" i="6"/>
  <c r="J74" i="6"/>
  <c r="I74" i="6"/>
  <c r="K73" i="6"/>
  <c r="J73" i="6"/>
  <c r="I73" i="6"/>
  <c r="K72" i="6"/>
  <c r="J72" i="6"/>
  <c r="I72" i="6"/>
  <c r="K71" i="6"/>
  <c r="J71" i="6"/>
  <c r="I71" i="6"/>
  <c r="K70" i="6"/>
  <c r="J70" i="6"/>
  <c r="I70" i="6"/>
  <c r="K69" i="6"/>
  <c r="J69" i="6"/>
  <c r="I69" i="6"/>
  <c r="K68" i="6"/>
  <c r="J68" i="6"/>
  <c r="I68" i="6"/>
  <c r="K67" i="6"/>
  <c r="J67" i="6"/>
  <c r="I67" i="6"/>
  <c r="K66" i="6"/>
  <c r="J66" i="6"/>
  <c r="I66" i="6"/>
  <c r="K65" i="6"/>
  <c r="J65" i="6"/>
  <c r="I65" i="6"/>
  <c r="K64" i="6"/>
  <c r="J64" i="6"/>
  <c r="I64" i="6"/>
  <c r="K63" i="6"/>
  <c r="J63" i="6"/>
  <c r="I63" i="6"/>
  <c r="K62" i="6"/>
  <c r="J62" i="6"/>
  <c r="I62" i="6"/>
  <c r="K61" i="6"/>
  <c r="J61" i="6"/>
  <c r="I61" i="6"/>
  <c r="K60" i="6"/>
  <c r="J60" i="6"/>
  <c r="I60" i="6"/>
  <c r="K59" i="6"/>
  <c r="J59" i="6"/>
  <c r="I59" i="6"/>
  <c r="K58" i="6"/>
  <c r="J58" i="6"/>
  <c r="I58" i="6"/>
  <c r="K57" i="6"/>
  <c r="J57" i="6"/>
  <c r="I57" i="6"/>
  <c r="K56" i="6"/>
  <c r="J56" i="6"/>
  <c r="I56" i="6"/>
  <c r="K55" i="6"/>
  <c r="J55" i="6"/>
  <c r="I55" i="6"/>
  <c r="K54" i="6"/>
  <c r="J54" i="6"/>
  <c r="I54" i="6"/>
  <c r="K53" i="6"/>
  <c r="J53" i="6"/>
  <c r="I53" i="6"/>
  <c r="K52" i="6"/>
  <c r="J52" i="6"/>
  <c r="I52" i="6"/>
  <c r="K51" i="6"/>
  <c r="J51" i="6"/>
  <c r="I51" i="6"/>
  <c r="K50" i="6"/>
  <c r="J50" i="6"/>
  <c r="I50" i="6"/>
  <c r="K49" i="6"/>
  <c r="J49" i="6"/>
  <c r="I49" i="6"/>
  <c r="K48" i="6"/>
  <c r="J48" i="6"/>
  <c r="I48" i="6"/>
  <c r="K47" i="6"/>
  <c r="J47" i="6"/>
  <c r="I47" i="6"/>
  <c r="K46" i="6"/>
  <c r="J46" i="6"/>
  <c r="I46" i="6"/>
  <c r="K45" i="6"/>
  <c r="J45" i="6"/>
  <c r="I45" i="6"/>
  <c r="K44" i="6"/>
  <c r="J44" i="6"/>
  <c r="I44" i="6"/>
  <c r="K43" i="6"/>
  <c r="J43" i="6"/>
  <c r="I43" i="6"/>
  <c r="K42" i="6"/>
  <c r="J42" i="6"/>
  <c r="I42" i="6"/>
  <c r="K41" i="6"/>
  <c r="J41" i="6"/>
  <c r="I41" i="6"/>
  <c r="K40" i="6"/>
  <c r="J40" i="6"/>
  <c r="I40" i="6"/>
  <c r="K39" i="6"/>
  <c r="J39" i="6"/>
  <c r="I39" i="6"/>
  <c r="K38" i="6"/>
  <c r="J38" i="6"/>
  <c r="I38" i="6"/>
  <c r="K37" i="6"/>
  <c r="J37" i="6"/>
  <c r="I37" i="6"/>
  <c r="K36" i="6"/>
  <c r="J36" i="6"/>
  <c r="I36" i="6"/>
  <c r="K35" i="6"/>
  <c r="J35" i="6"/>
  <c r="I35" i="6"/>
  <c r="K34" i="6"/>
  <c r="J34" i="6"/>
  <c r="I34" i="6"/>
  <c r="K33" i="6"/>
  <c r="J33" i="6"/>
  <c r="I33" i="6"/>
  <c r="K32" i="6"/>
  <c r="J32" i="6"/>
  <c r="I32" i="6"/>
  <c r="K31" i="6"/>
  <c r="J31" i="6"/>
  <c r="I31" i="6"/>
  <c r="K30" i="6"/>
  <c r="J30" i="6"/>
  <c r="I30" i="6"/>
  <c r="K29" i="6"/>
  <c r="J29" i="6"/>
  <c r="I29" i="6"/>
  <c r="K28" i="6"/>
  <c r="J28" i="6"/>
  <c r="I28" i="6"/>
  <c r="K27" i="6"/>
  <c r="J27" i="6"/>
  <c r="I27" i="6"/>
  <c r="K26" i="6"/>
  <c r="J26" i="6"/>
  <c r="I26" i="6"/>
  <c r="K25" i="6"/>
  <c r="J25" i="6"/>
  <c r="I25" i="6"/>
  <c r="K24" i="6"/>
  <c r="J24" i="6"/>
  <c r="I24" i="6"/>
  <c r="K23" i="6"/>
  <c r="J23" i="6"/>
  <c r="I23" i="6"/>
  <c r="K22" i="6"/>
  <c r="J22" i="6"/>
  <c r="I22" i="6"/>
  <c r="K20" i="6"/>
  <c r="J20" i="6"/>
  <c r="I20" i="6"/>
  <c r="K19" i="6"/>
  <c r="J19" i="6"/>
  <c r="I19" i="6"/>
  <c r="K18" i="6"/>
  <c r="J18" i="6"/>
  <c r="I18" i="6"/>
  <c r="K17" i="6"/>
  <c r="J17" i="6"/>
  <c r="I17" i="6"/>
  <c r="K16" i="6"/>
  <c r="J16" i="6"/>
  <c r="I16" i="6"/>
  <c r="K15" i="6"/>
  <c r="J15" i="6"/>
  <c r="I15" i="6"/>
  <c r="F9" i="6"/>
  <c r="F10" i="7" l="1"/>
  <c r="F12" i="7"/>
  <c r="F10" i="6"/>
  <c r="F11" i="7"/>
  <c r="F12" i="6"/>
  <c r="F11" i="6"/>
  <c r="F9" i="1"/>
  <c r="I75" i="1" l="1"/>
  <c r="J75" i="1"/>
  <c r="K75" i="1"/>
  <c r="I76" i="1"/>
  <c r="J76" i="1"/>
  <c r="K76" i="1"/>
  <c r="I77" i="1"/>
  <c r="J77" i="1"/>
  <c r="K77" i="1"/>
  <c r="I78" i="1"/>
  <c r="J78" i="1"/>
  <c r="K78" i="1"/>
  <c r="I79" i="1"/>
  <c r="J79" i="1"/>
  <c r="K79" i="1"/>
  <c r="I80" i="1"/>
  <c r="J80" i="1"/>
  <c r="K80" i="1"/>
  <c r="I81" i="1"/>
  <c r="J81" i="1"/>
  <c r="K81" i="1"/>
  <c r="I82" i="1"/>
  <c r="J82" i="1"/>
  <c r="K82" i="1"/>
  <c r="I83" i="1"/>
  <c r="J83" i="1"/>
  <c r="K83" i="1"/>
  <c r="I84" i="1"/>
  <c r="J84" i="1"/>
  <c r="K84" i="1"/>
  <c r="I85" i="1"/>
  <c r="J85" i="1"/>
  <c r="K85" i="1"/>
  <c r="I86" i="1"/>
  <c r="J86" i="1"/>
  <c r="K86" i="1"/>
  <c r="I87" i="1"/>
  <c r="J87" i="1"/>
  <c r="K87" i="1"/>
  <c r="I88" i="1"/>
  <c r="J88" i="1"/>
  <c r="K88" i="1"/>
  <c r="I89" i="1"/>
  <c r="J89" i="1"/>
  <c r="K89" i="1"/>
  <c r="I90" i="1"/>
  <c r="J90" i="1"/>
  <c r="K90" i="1"/>
  <c r="I91" i="1"/>
  <c r="J91" i="1"/>
  <c r="K91" i="1"/>
  <c r="I92" i="1"/>
  <c r="J92" i="1"/>
  <c r="K92" i="1"/>
  <c r="I93" i="1"/>
  <c r="J93" i="1"/>
  <c r="K93" i="1"/>
  <c r="I94" i="1"/>
  <c r="J94" i="1"/>
  <c r="K94" i="1"/>
  <c r="I95" i="1"/>
  <c r="J95" i="1"/>
  <c r="K95" i="1"/>
  <c r="I96" i="1"/>
  <c r="J96" i="1"/>
  <c r="K96" i="1"/>
  <c r="I97" i="1"/>
  <c r="J97" i="1"/>
  <c r="K97" i="1"/>
  <c r="I98" i="1"/>
  <c r="J98" i="1"/>
  <c r="K98" i="1"/>
  <c r="I99" i="1"/>
  <c r="J99" i="1"/>
  <c r="K99" i="1"/>
  <c r="I100" i="1"/>
  <c r="J100" i="1"/>
  <c r="K100" i="1"/>
  <c r="I101" i="1"/>
  <c r="J101" i="1"/>
  <c r="K101" i="1"/>
  <c r="I102" i="1"/>
  <c r="J102" i="1"/>
  <c r="K102" i="1"/>
  <c r="I103" i="1"/>
  <c r="J103" i="1"/>
  <c r="K103" i="1"/>
  <c r="I104" i="1"/>
  <c r="J104" i="1"/>
  <c r="K104" i="1"/>
  <c r="I105" i="1"/>
  <c r="J105" i="1"/>
  <c r="K105" i="1"/>
  <c r="I106" i="1"/>
  <c r="J106" i="1"/>
  <c r="K106" i="1"/>
  <c r="I107" i="1"/>
  <c r="J107" i="1"/>
  <c r="K107" i="1"/>
  <c r="I108" i="1"/>
  <c r="J108" i="1"/>
  <c r="K108" i="1"/>
  <c r="I109" i="1"/>
  <c r="J109" i="1"/>
  <c r="K109" i="1"/>
  <c r="I110" i="1"/>
  <c r="J110" i="1"/>
  <c r="K110" i="1"/>
  <c r="I111" i="1"/>
  <c r="J111" i="1"/>
  <c r="K111" i="1"/>
  <c r="I112" i="1"/>
  <c r="J112" i="1"/>
  <c r="K112" i="1"/>
  <c r="I113" i="1"/>
  <c r="J113" i="1"/>
  <c r="K113" i="1"/>
  <c r="I114" i="1"/>
  <c r="J114" i="1"/>
  <c r="K114" i="1"/>
  <c r="I115" i="1"/>
  <c r="J115" i="1"/>
  <c r="K115" i="1"/>
  <c r="I116" i="1"/>
  <c r="J116" i="1"/>
  <c r="K116" i="1"/>
  <c r="I117" i="1"/>
  <c r="J117" i="1"/>
  <c r="K117" i="1"/>
  <c r="I118" i="1"/>
  <c r="J118" i="1"/>
  <c r="K118" i="1"/>
  <c r="I119" i="1"/>
  <c r="J119" i="1"/>
  <c r="K119" i="1"/>
  <c r="I120" i="1"/>
  <c r="J120" i="1"/>
  <c r="K120" i="1"/>
  <c r="I121" i="1"/>
  <c r="J121" i="1"/>
  <c r="K121" i="1"/>
  <c r="I122" i="1"/>
  <c r="J122" i="1"/>
  <c r="K122" i="1"/>
  <c r="I123" i="1"/>
  <c r="J123" i="1"/>
  <c r="K123" i="1"/>
  <c r="I124" i="1"/>
  <c r="J124" i="1"/>
  <c r="K124" i="1"/>
  <c r="I125" i="1"/>
  <c r="J125" i="1"/>
  <c r="K125" i="1"/>
  <c r="I126" i="1"/>
  <c r="J126" i="1"/>
  <c r="K126" i="1"/>
  <c r="I127" i="1"/>
  <c r="J127" i="1"/>
  <c r="K127" i="1"/>
  <c r="I128" i="1"/>
  <c r="J128" i="1"/>
  <c r="K128" i="1"/>
  <c r="I129" i="1"/>
  <c r="J129" i="1"/>
  <c r="K129" i="1"/>
  <c r="I130" i="1"/>
  <c r="J130" i="1"/>
  <c r="K130" i="1"/>
  <c r="I131" i="1"/>
  <c r="J131" i="1"/>
  <c r="K131" i="1"/>
  <c r="I132" i="1"/>
  <c r="J132" i="1"/>
  <c r="K132" i="1"/>
  <c r="I133" i="1"/>
  <c r="J133" i="1"/>
  <c r="K133" i="1"/>
  <c r="I134" i="1"/>
  <c r="J134" i="1"/>
  <c r="K134" i="1"/>
  <c r="I135" i="1"/>
  <c r="J135" i="1"/>
  <c r="K135" i="1"/>
  <c r="I136" i="1"/>
  <c r="J136" i="1"/>
  <c r="K136" i="1"/>
  <c r="I137" i="1"/>
  <c r="J137" i="1"/>
  <c r="K137" i="1"/>
  <c r="I138" i="1"/>
  <c r="J138" i="1"/>
  <c r="K138" i="1"/>
  <c r="I139" i="1"/>
  <c r="J139" i="1"/>
  <c r="K139" i="1"/>
  <c r="I140" i="1"/>
  <c r="J140" i="1"/>
  <c r="K140" i="1"/>
  <c r="I141" i="1"/>
  <c r="J141" i="1"/>
  <c r="K141" i="1"/>
  <c r="I142" i="1"/>
  <c r="J142" i="1"/>
  <c r="K142" i="1"/>
  <c r="I143" i="1"/>
  <c r="J143" i="1"/>
  <c r="K143" i="1"/>
  <c r="I144" i="1"/>
  <c r="J144" i="1"/>
  <c r="K144" i="1"/>
  <c r="I145" i="1"/>
  <c r="J145" i="1"/>
  <c r="K145" i="1"/>
  <c r="I146" i="1"/>
  <c r="J146" i="1"/>
  <c r="K146" i="1"/>
  <c r="I147" i="1"/>
  <c r="J147" i="1"/>
  <c r="K147" i="1"/>
  <c r="I148" i="1"/>
  <c r="J148" i="1"/>
  <c r="K148" i="1"/>
  <c r="I149" i="1"/>
  <c r="J149" i="1"/>
  <c r="K149" i="1"/>
  <c r="I150" i="1"/>
  <c r="J150" i="1"/>
  <c r="K150" i="1"/>
  <c r="I151" i="1"/>
  <c r="J151" i="1"/>
  <c r="K151" i="1"/>
  <c r="I152" i="1"/>
  <c r="J152" i="1"/>
  <c r="K152" i="1"/>
  <c r="I153" i="1"/>
  <c r="J153" i="1"/>
  <c r="K153" i="1"/>
  <c r="I154" i="1"/>
  <c r="J154" i="1"/>
  <c r="K154" i="1"/>
  <c r="I155" i="1"/>
  <c r="J155" i="1"/>
  <c r="K155" i="1"/>
  <c r="I156" i="1"/>
  <c r="J156" i="1"/>
  <c r="K156" i="1"/>
  <c r="I157" i="1"/>
  <c r="J157" i="1"/>
  <c r="K157" i="1"/>
  <c r="I158" i="1"/>
  <c r="J158" i="1"/>
  <c r="K158" i="1"/>
  <c r="I159" i="1"/>
  <c r="J159" i="1"/>
  <c r="K159" i="1"/>
  <c r="I160" i="1"/>
  <c r="J160" i="1"/>
  <c r="K160" i="1"/>
  <c r="I161" i="1"/>
  <c r="J161" i="1"/>
  <c r="K161" i="1"/>
  <c r="I162" i="1"/>
  <c r="J162" i="1"/>
  <c r="K162" i="1"/>
  <c r="I163" i="1"/>
  <c r="J163" i="1"/>
  <c r="K163" i="1"/>
  <c r="I164" i="1"/>
  <c r="J164" i="1"/>
  <c r="K164" i="1"/>
  <c r="I165" i="1"/>
  <c r="J165" i="1"/>
  <c r="K165" i="1"/>
  <c r="I166" i="1"/>
  <c r="J166" i="1"/>
  <c r="K166" i="1"/>
  <c r="I167" i="1"/>
  <c r="J167" i="1"/>
  <c r="K167" i="1"/>
  <c r="I168" i="1"/>
  <c r="J168" i="1"/>
  <c r="K168" i="1"/>
  <c r="I169" i="1"/>
  <c r="J169" i="1"/>
  <c r="K169" i="1"/>
  <c r="I170" i="1"/>
  <c r="J170" i="1"/>
  <c r="K170" i="1"/>
  <c r="I171" i="1"/>
  <c r="J171" i="1"/>
  <c r="K171" i="1"/>
  <c r="I172" i="1"/>
  <c r="J172" i="1"/>
  <c r="K172" i="1"/>
  <c r="I173" i="1"/>
  <c r="J173" i="1"/>
  <c r="K173" i="1"/>
  <c r="I174" i="1"/>
  <c r="J174" i="1"/>
  <c r="K174" i="1"/>
  <c r="I175" i="1"/>
  <c r="J175" i="1"/>
  <c r="K175" i="1"/>
  <c r="I176" i="1"/>
  <c r="J176" i="1"/>
  <c r="K176" i="1"/>
  <c r="I177" i="1"/>
  <c r="J177" i="1"/>
  <c r="K177" i="1"/>
  <c r="I178" i="1"/>
  <c r="J178" i="1"/>
  <c r="K178" i="1"/>
  <c r="I179" i="1"/>
  <c r="J179" i="1"/>
  <c r="K179" i="1"/>
  <c r="I180" i="1"/>
  <c r="J180" i="1"/>
  <c r="K180" i="1"/>
  <c r="I181" i="1"/>
  <c r="J181" i="1"/>
  <c r="K181" i="1"/>
  <c r="I182" i="1"/>
  <c r="J182" i="1"/>
  <c r="K182" i="1"/>
  <c r="I183" i="1"/>
  <c r="J183" i="1"/>
  <c r="K183" i="1"/>
  <c r="I184" i="1"/>
  <c r="J184" i="1"/>
  <c r="K184" i="1"/>
  <c r="I185" i="1"/>
  <c r="J185" i="1"/>
  <c r="K185" i="1"/>
  <c r="I186" i="1"/>
  <c r="J186" i="1"/>
  <c r="K186" i="1"/>
  <c r="I187" i="1"/>
  <c r="J187" i="1"/>
  <c r="K187" i="1"/>
  <c r="I188" i="1"/>
  <c r="J188" i="1"/>
  <c r="K188" i="1"/>
  <c r="I189" i="1"/>
  <c r="J189" i="1"/>
  <c r="K189" i="1"/>
  <c r="I190" i="1"/>
  <c r="J190" i="1"/>
  <c r="K190" i="1"/>
  <c r="I191" i="1"/>
  <c r="J191" i="1"/>
  <c r="K191" i="1"/>
  <c r="I192" i="1"/>
  <c r="J192" i="1"/>
  <c r="K192" i="1"/>
  <c r="I193" i="1"/>
  <c r="J193" i="1"/>
  <c r="K193" i="1"/>
  <c r="I194" i="1"/>
  <c r="J194" i="1"/>
  <c r="K194" i="1"/>
  <c r="I195" i="1"/>
  <c r="J195" i="1"/>
  <c r="K195" i="1"/>
  <c r="I196" i="1"/>
  <c r="J196" i="1"/>
  <c r="K196" i="1"/>
  <c r="I197" i="1"/>
  <c r="J197" i="1"/>
  <c r="K197" i="1"/>
  <c r="I198" i="1"/>
  <c r="J198" i="1"/>
  <c r="K198" i="1"/>
  <c r="I199" i="1"/>
  <c r="J199" i="1"/>
  <c r="K199" i="1"/>
  <c r="I200" i="1"/>
  <c r="J200" i="1"/>
  <c r="K200" i="1"/>
  <c r="I201" i="1"/>
  <c r="J201" i="1"/>
  <c r="K201" i="1"/>
  <c r="I202" i="1"/>
  <c r="J202" i="1"/>
  <c r="K202" i="1"/>
  <c r="I203" i="1"/>
  <c r="J203" i="1"/>
  <c r="K203" i="1"/>
  <c r="I204" i="1"/>
  <c r="J204" i="1"/>
  <c r="K204" i="1"/>
  <c r="I205" i="1"/>
  <c r="J205" i="1"/>
  <c r="K205" i="1"/>
  <c r="I206" i="1"/>
  <c r="J206" i="1"/>
  <c r="K206" i="1"/>
  <c r="I207" i="1"/>
  <c r="J207" i="1"/>
  <c r="K207" i="1"/>
  <c r="I208" i="1"/>
  <c r="J208" i="1"/>
  <c r="K208" i="1"/>
  <c r="I209" i="1"/>
  <c r="J209" i="1"/>
  <c r="K209" i="1"/>
  <c r="I210" i="1"/>
  <c r="J210" i="1"/>
  <c r="K210" i="1"/>
  <c r="I211" i="1"/>
  <c r="J211" i="1"/>
  <c r="K211" i="1"/>
  <c r="I212" i="1"/>
  <c r="J212" i="1"/>
  <c r="K212" i="1"/>
  <c r="I213" i="1"/>
  <c r="J213" i="1"/>
  <c r="K213" i="1"/>
  <c r="I214" i="1"/>
  <c r="J214" i="1"/>
  <c r="K214" i="1"/>
  <c r="I215" i="1"/>
  <c r="J215" i="1"/>
  <c r="K215" i="1"/>
  <c r="I216" i="1"/>
  <c r="J216" i="1"/>
  <c r="K216" i="1"/>
  <c r="I217" i="1"/>
  <c r="J217" i="1"/>
  <c r="K217" i="1"/>
  <c r="I218" i="1"/>
  <c r="J218" i="1"/>
  <c r="K218" i="1"/>
  <c r="I219" i="1"/>
  <c r="J219" i="1"/>
  <c r="K219" i="1"/>
  <c r="I220" i="1"/>
  <c r="J220" i="1"/>
  <c r="K220" i="1"/>
  <c r="I221" i="1"/>
  <c r="J221" i="1"/>
  <c r="K221" i="1"/>
  <c r="I222" i="1"/>
  <c r="J222" i="1"/>
  <c r="K222" i="1"/>
  <c r="I223" i="1"/>
  <c r="J223" i="1"/>
  <c r="K223" i="1"/>
  <c r="I224" i="1"/>
  <c r="J224" i="1"/>
  <c r="K224" i="1"/>
  <c r="I225" i="1"/>
  <c r="J225" i="1"/>
  <c r="K225" i="1"/>
  <c r="I226" i="1"/>
  <c r="J226" i="1"/>
  <c r="K226" i="1"/>
  <c r="I227" i="1"/>
  <c r="J227" i="1"/>
  <c r="K227" i="1"/>
  <c r="I228" i="1"/>
  <c r="J228" i="1"/>
  <c r="K228" i="1"/>
  <c r="I229" i="1"/>
  <c r="J229" i="1"/>
  <c r="K229" i="1"/>
  <c r="I230" i="1"/>
  <c r="J230" i="1"/>
  <c r="K230" i="1"/>
  <c r="I231" i="1"/>
  <c r="J231" i="1"/>
  <c r="K231" i="1"/>
  <c r="I232" i="1"/>
  <c r="J232" i="1"/>
  <c r="K232" i="1"/>
  <c r="I233" i="1"/>
  <c r="J233" i="1"/>
  <c r="K233" i="1"/>
  <c r="I234" i="1"/>
  <c r="J234" i="1"/>
  <c r="K234" i="1"/>
  <c r="I235" i="1"/>
  <c r="J235" i="1"/>
  <c r="K235" i="1"/>
  <c r="I236" i="1"/>
  <c r="J236" i="1"/>
  <c r="K236" i="1"/>
  <c r="I237" i="1"/>
  <c r="J237" i="1"/>
  <c r="K237" i="1"/>
  <c r="I238" i="1"/>
  <c r="J238" i="1"/>
  <c r="K238" i="1"/>
  <c r="I239" i="1"/>
  <c r="J239" i="1"/>
  <c r="K239" i="1"/>
  <c r="I240" i="1"/>
  <c r="J240" i="1"/>
  <c r="K240" i="1"/>
  <c r="I241" i="1"/>
  <c r="J241" i="1"/>
  <c r="K241" i="1"/>
  <c r="I242" i="1"/>
  <c r="J242" i="1"/>
  <c r="K242" i="1"/>
  <c r="I243" i="1"/>
  <c r="J243" i="1"/>
  <c r="K243" i="1"/>
  <c r="I244" i="1"/>
  <c r="J244" i="1"/>
  <c r="K244" i="1"/>
  <c r="I245" i="1"/>
  <c r="J245" i="1"/>
  <c r="K245" i="1"/>
  <c r="I246" i="1"/>
  <c r="J246" i="1"/>
  <c r="K246" i="1"/>
  <c r="I247" i="1"/>
  <c r="J247" i="1"/>
  <c r="K247" i="1"/>
  <c r="I248" i="1"/>
  <c r="J248" i="1"/>
  <c r="K248" i="1"/>
  <c r="I249" i="1"/>
  <c r="J249" i="1"/>
  <c r="K249" i="1"/>
  <c r="I250" i="1"/>
  <c r="J250" i="1"/>
  <c r="K250" i="1"/>
  <c r="I251" i="1"/>
  <c r="J251" i="1"/>
  <c r="K251" i="1"/>
  <c r="I252" i="1"/>
  <c r="J252" i="1"/>
  <c r="K252" i="1"/>
  <c r="I253" i="1"/>
  <c r="J253" i="1"/>
  <c r="K253" i="1"/>
  <c r="I254" i="1"/>
  <c r="J254" i="1"/>
  <c r="K254" i="1"/>
  <c r="I255" i="1"/>
  <c r="J255" i="1"/>
  <c r="K255" i="1"/>
  <c r="I256" i="1"/>
  <c r="J256" i="1"/>
  <c r="K256" i="1"/>
  <c r="I257" i="1"/>
  <c r="J257" i="1"/>
  <c r="K257" i="1"/>
  <c r="I258" i="1"/>
  <c r="J258" i="1"/>
  <c r="K258" i="1"/>
  <c r="I259" i="1"/>
  <c r="J259" i="1"/>
  <c r="K259" i="1"/>
  <c r="I260" i="1"/>
  <c r="J260" i="1"/>
  <c r="K260" i="1"/>
  <c r="I261" i="1"/>
  <c r="J261" i="1"/>
  <c r="K261" i="1"/>
  <c r="I262" i="1"/>
  <c r="J262" i="1"/>
  <c r="K262" i="1"/>
  <c r="I263" i="1"/>
  <c r="J263" i="1"/>
  <c r="K263" i="1"/>
  <c r="I264" i="1"/>
  <c r="J264" i="1"/>
  <c r="K264" i="1"/>
  <c r="I265" i="1"/>
  <c r="J265" i="1"/>
  <c r="K265" i="1"/>
  <c r="I266" i="1"/>
  <c r="J266" i="1"/>
  <c r="K266" i="1"/>
  <c r="I267" i="1"/>
  <c r="J267" i="1"/>
  <c r="K267" i="1"/>
  <c r="I268" i="1"/>
  <c r="J268" i="1"/>
  <c r="K268" i="1"/>
  <c r="I269" i="1"/>
  <c r="J269" i="1"/>
  <c r="K269" i="1"/>
  <c r="I270" i="1"/>
  <c r="J270" i="1"/>
  <c r="K270" i="1"/>
  <c r="I271" i="1"/>
  <c r="J271" i="1"/>
  <c r="K271" i="1"/>
  <c r="I272" i="1"/>
  <c r="J272" i="1"/>
  <c r="K272" i="1"/>
  <c r="I273" i="1"/>
  <c r="J273" i="1"/>
  <c r="K273" i="1"/>
  <c r="I274" i="1"/>
  <c r="J274" i="1"/>
  <c r="K274" i="1"/>
  <c r="I275" i="1"/>
  <c r="J275" i="1"/>
  <c r="K275" i="1"/>
  <c r="I276" i="1"/>
  <c r="J276" i="1"/>
  <c r="K276" i="1"/>
  <c r="I277" i="1"/>
  <c r="J277" i="1"/>
  <c r="K277" i="1"/>
  <c r="I278" i="1"/>
  <c r="J278" i="1"/>
  <c r="K278" i="1"/>
  <c r="I279" i="1"/>
  <c r="J279" i="1"/>
  <c r="K279" i="1"/>
  <c r="I280" i="1"/>
  <c r="J280" i="1"/>
  <c r="K280" i="1"/>
  <c r="I281" i="1"/>
  <c r="J281" i="1"/>
  <c r="K281" i="1"/>
  <c r="I282" i="1"/>
  <c r="J282" i="1"/>
  <c r="K282" i="1"/>
  <c r="I283" i="1"/>
  <c r="J283" i="1"/>
  <c r="K283" i="1"/>
  <c r="I284" i="1"/>
  <c r="J284" i="1"/>
  <c r="K284" i="1"/>
  <c r="I285" i="1"/>
  <c r="J285" i="1"/>
  <c r="K285" i="1"/>
  <c r="I286" i="1"/>
  <c r="J286" i="1"/>
  <c r="K286" i="1"/>
  <c r="I287" i="1"/>
  <c r="J287" i="1"/>
  <c r="K287" i="1"/>
  <c r="I288" i="1"/>
  <c r="J288" i="1"/>
  <c r="K288" i="1"/>
  <c r="I289" i="1"/>
  <c r="J289" i="1"/>
  <c r="K289" i="1"/>
  <c r="I290" i="1"/>
  <c r="J290" i="1"/>
  <c r="K290" i="1"/>
  <c r="I291" i="1"/>
  <c r="J291" i="1"/>
  <c r="K291" i="1"/>
  <c r="I292" i="1"/>
  <c r="J292" i="1"/>
  <c r="K292" i="1"/>
  <c r="I293" i="1"/>
  <c r="J293" i="1"/>
  <c r="K293" i="1"/>
  <c r="I294" i="1"/>
  <c r="J294" i="1"/>
  <c r="K294" i="1"/>
  <c r="I295" i="1"/>
  <c r="J295" i="1"/>
  <c r="K295" i="1"/>
  <c r="I296" i="1"/>
  <c r="J296" i="1"/>
  <c r="K296" i="1"/>
  <c r="I297" i="1"/>
  <c r="J297" i="1"/>
  <c r="K297" i="1"/>
  <c r="I298" i="1"/>
  <c r="J298" i="1"/>
  <c r="K298" i="1"/>
  <c r="I299" i="1"/>
  <c r="J299" i="1"/>
  <c r="K299" i="1"/>
  <c r="I300" i="1"/>
  <c r="J300" i="1"/>
  <c r="K300" i="1"/>
  <c r="I301" i="1"/>
  <c r="J301" i="1"/>
  <c r="K301" i="1"/>
  <c r="I302" i="1"/>
  <c r="J302" i="1"/>
  <c r="K302" i="1"/>
  <c r="I303" i="1"/>
  <c r="J303" i="1"/>
  <c r="K303" i="1"/>
  <c r="I304" i="1"/>
  <c r="J304" i="1"/>
  <c r="K304" i="1"/>
  <c r="I305" i="1"/>
  <c r="J305" i="1"/>
  <c r="K305" i="1"/>
  <c r="I306" i="1"/>
  <c r="J306" i="1"/>
  <c r="K306" i="1"/>
  <c r="I307" i="1"/>
  <c r="J307" i="1"/>
  <c r="K307" i="1"/>
  <c r="I308" i="1"/>
  <c r="J308" i="1"/>
  <c r="K308" i="1"/>
  <c r="I309" i="1"/>
  <c r="J309" i="1"/>
  <c r="K309" i="1"/>
  <c r="I310" i="1"/>
  <c r="J310" i="1"/>
  <c r="K310" i="1"/>
  <c r="I311" i="1"/>
  <c r="J311" i="1"/>
  <c r="K311" i="1"/>
  <c r="I312" i="1"/>
  <c r="J312" i="1"/>
  <c r="K312" i="1"/>
  <c r="I313" i="1"/>
  <c r="J313" i="1"/>
  <c r="K313" i="1"/>
  <c r="I314" i="1"/>
  <c r="J314" i="1"/>
  <c r="K314" i="1"/>
  <c r="I315" i="1"/>
  <c r="J315" i="1"/>
  <c r="K315" i="1"/>
  <c r="I316" i="1"/>
  <c r="J316" i="1"/>
  <c r="K316" i="1"/>
  <c r="I317" i="1"/>
  <c r="J317" i="1"/>
  <c r="K317" i="1"/>
  <c r="I318" i="1"/>
  <c r="J318" i="1"/>
  <c r="K318" i="1"/>
  <c r="I319" i="1"/>
  <c r="J319" i="1"/>
  <c r="K319" i="1"/>
  <c r="I320" i="1"/>
  <c r="J320" i="1"/>
  <c r="K320" i="1"/>
  <c r="I321" i="1"/>
  <c r="J321" i="1"/>
  <c r="K321" i="1"/>
  <c r="I322" i="1"/>
  <c r="J322" i="1"/>
  <c r="K322" i="1"/>
  <c r="I323" i="1"/>
  <c r="J323" i="1"/>
  <c r="K323" i="1"/>
  <c r="I324" i="1"/>
  <c r="J324" i="1"/>
  <c r="K324" i="1"/>
  <c r="I325" i="1"/>
  <c r="J325" i="1"/>
  <c r="K325" i="1"/>
  <c r="I326" i="1"/>
  <c r="J326" i="1"/>
  <c r="K326" i="1"/>
  <c r="I327" i="1"/>
  <c r="J327" i="1"/>
  <c r="K327" i="1"/>
  <c r="I328" i="1"/>
  <c r="J328" i="1"/>
  <c r="K328" i="1"/>
  <c r="I329" i="1"/>
  <c r="J329" i="1"/>
  <c r="K329" i="1"/>
  <c r="I330" i="1"/>
  <c r="J330" i="1"/>
  <c r="K330" i="1"/>
  <c r="I331" i="1"/>
  <c r="J331" i="1"/>
  <c r="K331" i="1"/>
  <c r="I332" i="1"/>
  <c r="J332" i="1"/>
  <c r="K332" i="1"/>
  <c r="I333" i="1"/>
  <c r="J333" i="1"/>
  <c r="K333" i="1"/>
  <c r="I334" i="1"/>
  <c r="J334" i="1"/>
  <c r="K334" i="1"/>
  <c r="I335" i="1"/>
  <c r="J335" i="1"/>
  <c r="K335" i="1"/>
  <c r="I336" i="1"/>
  <c r="J336" i="1"/>
  <c r="K336" i="1"/>
  <c r="I337" i="1"/>
  <c r="J337" i="1"/>
  <c r="K337" i="1"/>
  <c r="I338" i="1"/>
  <c r="J338" i="1"/>
  <c r="K338" i="1"/>
  <c r="I339" i="1"/>
  <c r="J339" i="1"/>
  <c r="K339" i="1"/>
  <c r="I340" i="1"/>
  <c r="J340" i="1"/>
  <c r="K340" i="1"/>
  <c r="I341" i="1"/>
  <c r="J341" i="1"/>
  <c r="K341" i="1"/>
  <c r="I342" i="1"/>
  <c r="J342" i="1"/>
  <c r="K342" i="1"/>
  <c r="I343" i="1"/>
  <c r="J343" i="1"/>
  <c r="K343" i="1"/>
  <c r="I344" i="1"/>
  <c r="J344" i="1"/>
  <c r="K344" i="1"/>
  <c r="I345" i="1"/>
  <c r="J345" i="1"/>
  <c r="K345" i="1"/>
  <c r="I346" i="1"/>
  <c r="J346" i="1"/>
  <c r="K346" i="1"/>
  <c r="I347" i="1"/>
  <c r="J347" i="1"/>
  <c r="K347" i="1"/>
  <c r="I348" i="1"/>
  <c r="J348" i="1"/>
  <c r="K348" i="1"/>
  <c r="I349" i="1"/>
  <c r="J349" i="1"/>
  <c r="K349" i="1"/>
  <c r="I350" i="1"/>
  <c r="J350" i="1"/>
  <c r="K350" i="1"/>
  <c r="I351" i="1"/>
  <c r="J351" i="1"/>
  <c r="K351" i="1"/>
  <c r="I352" i="1"/>
  <c r="J352" i="1"/>
  <c r="K352" i="1"/>
  <c r="I353" i="1"/>
  <c r="J353" i="1"/>
  <c r="K353" i="1"/>
  <c r="I354" i="1"/>
  <c r="J354" i="1"/>
  <c r="K354" i="1"/>
  <c r="I355" i="1"/>
  <c r="J355" i="1"/>
  <c r="K355" i="1"/>
  <c r="I356" i="1"/>
  <c r="J356" i="1"/>
  <c r="K356" i="1"/>
  <c r="I357" i="1"/>
  <c r="J357" i="1"/>
  <c r="K357" i="1"/>
  <c r="I358" i="1"/>
  <c r="J358" i="1"/>
  <c r="K358" i="1"/>
  <c r="I359" i="1"/>
  <c r="J359" i="1"/>
  <c r="K359" i="1"/>
  <c r="I360" i="1"/>
  <c r="J360" i="1"/>
  <c r="K360" i="1"/>
  <c r="I361" i="1"/>
  <c r="J361" i="1"/>
  <c r="K361" i="1"/>
  <c r="I362" i="1"/>
  <c r="J362" i="1"/>
  <c r="K362" i="1"/>
  <c r="I363" i="1"/>
  <c r="J363" i="1"/>
  <c r="K363" i="1"/>
  <c r="I364" i="1"/>
  <c r="J364" i="1"/>
  <c r="K364" i="1"/>
  <c r="I365" i="1"/>
  <c r="J365" i="1"/>
  <c r="K365" i="1"/>
  <c r="I366" i="1"/>
  <c r="J366" i="1"/>
  <c r="K366" i="1"/>
  <c r="I367" i="1"/>
  <c r="J367" i="1"/>
  <c r="K367" i="1"/>
  <c r="I368" i="1"/>
  <c r="J368" i="1"/>
  <c r="K368" i="1"/>
  <c r="I369" i="1"/>
  <c r="J369" i="1"/>
  <c r="K369" i="1"/>
  <c r="I370" i="1"/>
  <c r="J370" i="1"/>
  <c r="K370" i="1"/>
  <c r="I371" i="1"/>
  <c r="J371" i="1"/>
  <c r="K371" i="1"/>
  <c r="I372" i="1"/>
  <c r="J372" i="1"/>
  <c r="K372" i="1"/>
  <c r="I373" i="1"/>
  <c r="J373" i="1"/>
  <c r="K373" i="1"/>
  <c r="I374" i="1"/>
  <c r="J374" i="1"/>
  <c r="K374" i="1"/>
  <c r="I375" i="1"/>
  <c r="J375" i="1"/>
  <c r="K375" i="1"/>
  <c r="I376" i="1"/>
  <c r="J376" i="1"/>
  <c r="K376" i="1"/>
  <c r="I377" i="1"/>
  <c r="J377" i="1"/>
  <c r="K377" i="1"/>
  <c r="I378" i="1"/>
  <c r="J378" i="1"/>
  <c r="K378" i="1"/>
  <c r="I379" i="1"/>
  <c r="J379" i="1"/>
  <c r="K379" i="1"/>
  <c r="I380" i="1"/>
  <c r="J380" i="1"/>
  <c r="K380" i="1"/>
  <c r="I381" i="1"/>
  <c r="J381" i="1"/>
  <c r="K381" i="1"/>
  <c r="I382" i="1"/>
  <c r="J382" i="1"/>
  <c r="K382" i="1"/>
  <c r="I383" i="1"/>
  <c r="J383" i="1"/>
  <c r="K383" i="1"/>
  <c r="I384" i="1"/>
  <c r="J384" i="1"/>
  <c r="K384" i="1"/>
  <c r="I385" i="1"/>
  <c r="J385" i="1"/>
  <c r="K385" i="1"/>
  <c r="I386" i="1"/>
  <c r="J386" i="1"/>
  <c r="K386" i="1"/>
  <c r="I387" i="1"/>
  <c r="J387" i="1"/>
  <c r="K387" i="1"/>
  <c r="I388" i="1"/>
  <c r="J388" i="1"/>
  <c r="K388" i="1"/>
  <c r="I389" i="1"/>
  <c r="J389" i="1"/>
  <c r="K389" i="1"/>
  <c r="I390" i="1"/>
  <c r="J390" i="1"/>
  <c r="K390" i="1"/>
  <c r="I391" i="1"/>
  <c r="J391" i="1"/>
  <c r="K391" i="1"/>
  <c r="I392" i="1"/>
  <c r="J392" i="1"/>
  <c r="K392" i="1"/>
  <c r="I393" i="1"/>
  <c r="J393" i="1"/>
  <c r="K393" i="1"/>
  <c r="I394" i="1"/>
  <c r="J394" i="1"/>
  <c r="K394" i="1"/>
  <c r="I395" i="1"/>
  <c r="J395" i="1"/>
  <c r="K395" i="1"/>
  <c r="I396" i="1"/>
  <c r="J396" i="1"/>
  <c r="K396" i="1"/>
  <c r="I397" i="1"/>
  <c r="J397" i="1"/>
  <c r="K397" i="1"/>
  <c r="I398" i="1"/>
  <c r="J398" i="1"/>
  <c r="K398" i="1"/>
  <c r="I399" i="1"/>
  <c r="J399" i="1"/>
  <c r="K399" i="1"/>
  <c r="I400" i="1"/>
  <c r="J400" i="1"/>
  <c r="K400" i="1"/>
  <c r="I401" i="1"/>
  <c r="J401" i="1"/>
  <c r="K401" i="1"/>
  <c r="I402" i="1"/>
  <c r="J402" i="1"/>
  <c r="K402" i="1"/>
  <c r="I403" i="1"/>
  <c r="J403" i="1"/>
  <c r="K403" i="1"/>
  <c r="I404" i="1"/>
  <c r="J404" i="1"/>
  <c r="K404" i="1"/>
  <c r="I405" i="1"/>
  <c r="J405" i="1"/>
  <c r="K405" i="1"/>
  <c r="I406" i="1"/>
  <c r="J406" i="1"/>
  <c r="K406" i="1"/>
  <c r="I407" i="1"/>
  <c r="J407" i="1"/>
  <c r="K407" i="1"/>
  <c r="I408" i="1"/>
  <c r="J408" i="1"/>
  <c r="K408" i="1"/>
  <c r="I409" i="1"/>
  <c r="J409" i="1"/>
  <c r="K409" i="1"/>
  <c r="I410" i="1"/>
  <c r="J410" i="1"/>
  <c r="K410" i="1"/>
  <c r="I411" i="1"/>
  <c r="J411" i="1"/>
  <c r="K411" i="1"/>
  <c r="I412" i="1"/>
  <c r="J412" i="1"/>
  <c r="K412" i="1"/>
  <c r="I413" i="1"/>
  <c r="J413" i="1"/>
  <c r="K413" i="1"/>
  <c r="I414" i="1"/>
  <c r="J414" i="1"/>
  <c r="K414" i="1"/>
  <c r="I415" i="1"/>
  <c r="J415" i="1"/>
  <c r="K415" i="1"/>
  <c r="I416" i="1"/>
  <c r="J416" i="1"/>
  <c r="K416" i="1"/>
  <c r="I417" i="1"/>
  <c r="J417" i="1"/>
  <c r="K417" i="1"/>
  <c r="I418" i="1"/>
  <c r="J418" i="1"/>
  <c r="K418" i="1"/>
  <c r="I419" i="1"/>
  <c r="J419" i="1"/>
  <c r="K419" i="1"/>
  <c r="I420" i="1"/>
  <c r="J420" i="1"/>
  <c r="K420" i="1"/>
  <c r="I421" i="1"/>
  <c r="J421" i="1"/>
  <c r="K421" i="1"/>
  <c r="I422" i="1"/>
  <c r="J422" i="1"/>
  <c r="K422" i="1"/>
  <c r="I423" i="1"/>
  <c r="J423" i="1"/>
  <c r="K423" i="1"/>
  <c r="I424" i="1"/>
  <c r="J424" i="1"/>
  <c r="K424" i="1"/>
  <c r="I425" i="1"/>
  <c r="J425" i="1"/>
  <c r="K425" i="1"/>
  <c r="I426" i="1"/>
  <c r="J426" i="1"/>
  <c r="K426" i="1"/>
  <c r="I427" i="1"/>
  <c r="J427" i="1"/>
  <c r="K427" i="1"/>
  <c r="I428" i="1"/>
  <c r="J428" i="1"/>
  <c r="K428" i="1"/>
  <c r="I429" i="1"/>
  <c r="J429" i="1"/>
  <c r="K429" i="1"/>
  <c r="I430" i="1"/>
  <c r="J430" i="1"/>
  <c r="K430" i="1"/>
  <c r="I431" i="1"/>
  <c r="J431" i="1"/>
  <c r="K431" i="1"/>
  <c r="I432" i="1"/>
  <c r="J432" i="1"/>
  <c r="K432" i="1"/>
  <c r="I433" i="1"/>
  <c r="J433" i="1"/>
  <c r="K433" i="1"/>
  <c r="I434" i="1"/>
  <c r="J434" i="1"/>
  <c r="K434" i="1"/>
  <c r="I435" i="1"/>
  <c r="J435" i="1"/>
  <c r="K435" i="1"/>
  <c r="I436" i="1"/>
  <c r="J436" i="1"/>
  <c r="K436" i="1"/>
  <c r="I437" i="1"/>
  <c r="J437" i="1"/>
  <c r="K437" i="1"/>
  <c r="I438" i="1"/>
  <c r="J438" i="1"/>
  <c r="K438" i="1"/>
  <c r="I439" i="1"/>
  <c r="J439" i="1"/>
  <c r="K439" i="1"/>
  <c r="I440" i="1"/>
  <c r="J440" i="1"/>
  <c r="K440" i="1"/>
  <c r="I441" i="1"/>
  <c r="J441" i="1"/>
  <c r="K441" i="1"/>
  <c r="I442" i="1"/>
  <c r="J442" i="1"/>
  <c r="K442" i="1"/>
  <c r="I443" i="1"/>
  <c r="J443" i="1"/>
  <c r="K443" i="1"/>
  <c r="I444" i="1"/>
  <c r="J444" i="1"/>
  <c r="K444" i="1"/>
  <c r="I445" i="1"/>
  <c r="J445" i="1"/>
  <c r="K445" i="1"/>
  <c r="I446" i="1"/>
  <c r="J446" i="1"/>
  <c r="K446" i="1"/>
  <c r="I447" i="1"/>
  <c r="J447" i="1"/>
  <c r="K447" i="1"/>
  <c r="I448" i="1"/>
  <c r="J448" i="1"/>
  <c r="K448" i="1"/>
  <c r="I449" i="1"/>
  <c r="J449" i="1"/>
  <c r="K449" i="1"/>
  <c r="I450" i="1"/>
  <c r="J450" i="1"/>
  <c r="K450" i="1"/>
  <c r="I451" i="1"/>
  <c r="J451" i="1"/>
  <c r="K451" i="1"/>
  <c r="I452" i="1"/>
  <c r="J452" i="1"/>
  <c r="K452" i="1"/>
  <c r="I453" i="1"/>
  <c r="J453" i="1"/>
  <c r="K453" i="1"/>
  <c r="I454" i="1"/>
  <c r="J454" i="1"/>
  <c r="K454" i="1"/>
  <c r="I455" i="1"/>
  <c r="J455" i="1"/>
  <c r="K455" i="1"/>
  <c r="I456" i="1"/>
  <c r="J456" i="1"/>
  <c r="K456" i="1"/>
  <c r="I457" i="1"/>
  <c r="J457" i="1"/>
  <c r="K457" i="1"/>
  <c r="I458" i="1"/>
  <c r="J458" i="1"/>
  <c r="K458" i="1"/>
  <c r="I459" i="1"/>
  <c r="J459" i="1"/>
  <c r="K459" i="1"/>
  <c r="I460" i="1"/>
  <c r="J460" i="1"/>
  <c r="K460" i="1"/>
  <c r="I461" i="1"/>
  <c r="J461" i="1"/>
  <c r="K461" i="1"/>
  <c r="I462" i="1"/>
  <c r="J462" i="1"/>
  <c r="K462" i="1"/>
  <c r="I463" i="1"/>
  <c r="J463" i="1"/>
  <c r="K463" i="1"/>
  <c r="I464" i="1"/>
  <c r="J464" i="1"/>
  <c r="K464" i="1"/>
  <c r="I465" i="1"/>
  <c r="J465" i="1"/>
  <c r="K465" i="1"/>
  <c r="I466" i="1"/>
  <c r="J466" i="1"/>
  <c r="K466" i="1"/>
  <c r="I467" i="1"/>
  <c r="J467" i="1"/>
  <c r="K467" i="1"/>
  <c r="I468" i="1"/>
  <c r="J468" i="1"/>
  <c r="K468" i="1"/>
  <c r="I469" i="1"/>
  <c r="J469" i="1"/>
  <c r="K469" i="1"/>
  <c r="I470" i="1"/>
  <c r="J470" i="1"/>
  <c r="K470" i="1"/>
  <c r="I471" i="1"/>
  <c r="J471" i="1"/>
  <c r="K471" i="1"/>
  <c r="I472" i="1"/>
  <c r="J472" i="1"/>
  <c r="K472" i="1"/>
  <c r="I473" i="1"/>
  <c r="J473" i="1"/>
  <c r="K473" i="1"/>
  <c r="I474" i="1"/>
  <c r="J474" i="1"/>
  <c r="K474" i="1"/>
  <c r="I475" i="1"/>
  <c r="J475" i="1"/>
  <c r="K475" i="1"/>
  <c r="I476" i="1"/>
  <c r="J476" i="1"/>
  <c r="K476" i="1"/>
  <c r="I477" i="1"/>
  <c r="J477" i="1"/>
  <c r="K477" i="1"/>
  <c r="I478" i="1"/>
  <c r="J478" i="1"/>
  <c r="K478" i="1"/>
  <c r="I479" i="1"/>
  <c r="J479" i="1"/>
  <c r="K479" i="1"/>
  <c r="I480" i="1"/>
  <c r="J480" i="1"/>
  <c r="K480" i="1"/>
  <c r="I481" i="1"/>
  <c r="J481" i="1"/>
  <c r="K481" i="1"/>
  <c r="I482" i="1"/>
  <c r="J482" i="1"/>
  <c r="K482" i="1"/>
  <c r="I483" i="1"/>
  <c r="J483" i="1"/>
  <c r="K483" i="1"/>
  <c r="I484" i="1"/>
  <c r="J484" i="1"/>
  <c r="K484" i="1"/>
  <c r="I485" i="1"/>
  <c r="J485" i="1"/>
  <c r="K485" i="1"/>
  <c r="I486" i="1"/>
  <c r="J486" i="1"/>
  <c r="K486" i="1"/>
  <c r="I487" i="1"/>
  <c r="J487" i="1"/>
  <c r="K487" i="1"/>
  <c r="I488" i="1"/>
  <c r="J488" i="1"/>
  <c r="K488" i="1"/>
  <c r="I489" i="1"/>
  <c r="J489" i="1"/>
  <c r="K489" i="1"/>
  <c r="I490" i="1"/>
  <c r="J490" i="1"/>
  <c r="K490" i="1"/>
  <c r="I491" i="1"/>
  <c r="J491" i="1"/>
  <c r="K491" i="1"/>
  <c r="I492" i="1"/>
  <c r="J492" i="1"/>
  <c r="K492" i="1"/>
  <c r="I493" i="1"/>
  <c r="J493" i="1"/>
  <c r="K493" i="1"/>
  <c r="I494" i="1"/>
  <c r="J494" i="1"/>
  <c r="K494" i="1"/>
  <c r="I495" i="1"/>
  <c r="J495" i="1"/>
  <c r="K495" i="1"/>
  <c r="I496" i="1"/>
  <c r="J496" i="1"/>
  <c r="K496" i="1"/>
  <c r="I497" i="1"/>
  <c r="J497" i="1"/>
  <c r="K497" i="1"/>
  <c r="I498" i="1"/>
  <c r="J498" i="1"/>
  <c r="K498" i="1"/>
  <c r="I499" i="1"/>
  <c r="J499" i="1"/>
  <c r="K499" i="1"/>
  <c r="I500" i="1"/>
  <c r="J500" i="1"/>
  <c r="K500" i="1"/>
  <c r="I501" i="1"/>
  <c r="J501" i="1"/>
  <c r="K501" i="1"/>
  <c r="I502" i="1"/>
  <c r="J502" i="1"/>
  <c r="K502" i="1"/>
  <c r="I503" i="1"/>
  <c r="J503" i="1"/>
  <c r="K503" i="1"/>
  <c r="I504" i="1"/>
  <c r="J504" i="1"/>
  <c r="K504" i="1"/>
  <c r="I505" i="1"/>
  <c r="J505" i="1"/>
  <c r="K505" i="1"/>
  <c r="I506" i="1"/>
  <c r="J506" i="1"/>
  <c r="K506" i="1"/>
  <c r="I507" i="1"/>
  <c r="J507" i="1"/>
  <c r="K507" i="1"/>
  <c r="I508" i="1"/>
  <c r="J508" i="1"/>
  <c r="K508" i="1"/>
  <c r="I509" i="1"/>
  <c r="J509" i="1"/>
  <c r="K509" i="1"/>
  <c r="I510" i="1"/>
  <c r="J510" i="1"/>
  <c r="K510" i="1"/>
  <c r="I511" i="1"/>
  <c r="J511" i="1"/>
  <c r="K511" i="1"/>
  <c r="I512" i="1"/>
  <c r="J512" i="1"/>
  <c r="K512" i="1"/>
  <c r="I513" i="1"/>
  <c r="J513" i="1"/>
  <c r="K513" i="1"/>
  <c r="I514" i="1"/>
  <c r="J514" i="1"/>
  <c r="K514" i="1"/>
  <c r="I515" i="1"/>
  <c r="J515" i="1"/>
  <c r="K515" i="1"/>
  <c r="I516" i="1"/>
  <c r="J516" i="1"/>
  <c r="K516" i="1"/>
  <c r="I517" i="1"/>
  <c r="J517" i="1"/>
  <c r="K517" i="1"/>
  <c r="I518" i="1"/>
  <c r="J518" i="1"/>
  <c r="K518" i="1"/>
  <c r="I519" i="1"/>
  <c r="J519" i="1"/>
  <c r="K519" i="1"/>
  <c r="I520" i="1"/>
  <c r="J520" i="1"/>
  <c r="K520" i="1"/>
  <c r="I521" i="1"/>
  <c r="J521" i="1"/>
  <c r="K521" i="1"/>
  <c r="I522" i="1"/>
  <c r="J522" i="1"/>
  <c r="K522" i="1"/>
  <c r="I523" i="1"/>
  <c r="J523" i="1"/>
  <c r="K523" i="1"/>
  <c r="I524" i="1"/>
  <c r="J524" i="1"/>
  <c r="K524" i="1"/>
  <c r="I525" i="1"/>
  <c r="J525" i="1"/>
  <c r="K525" i="1"/>
  <c r="I526" i="1"/>
  <c r="J526" i="1"/>
  <c r="K526" i="1"/>
  <c r="I527" i="1"/>
  <c r="J527" i="1"/>
  <c r="K527" i="1"/>
  <c r="I528" i="1"/>
  <c r="J528" i="1"/>
  <c r="K528" i="1"/>
  <c r="I529" i="1"/>
  <c r="J529" i="1"/>
  <c r="K529" i="1"/>
  <c r="I530" i="1"/>
  <c r="J530" i="1"/>
  <c r="K530" i="1"/>
  <c r="I531" i="1"/>
  <c r="J531" i="1"/>
  <c r="K531" i="1"/>
  <c r="I532" i="1"/>
  <c r="J532" i="1"/>
  <c r="K532" i="1"/>
  <c r="I533" i="1"/>
  <c r="J533" i="1"/>
  <c r="K533" i="1"/>
  <c r="I534" i="1"/>
  <c r="J534" i="1"/>
  <c r="K534" i="1"/>
  <c r="I535" i="1"/>
  <c r="J535" i="1"/>
  <c r="K535" i="1"/>
  <c r="I536" i="1"/>
  <c r="J536" i="1"/>
  <c r="K536" i="1"/>
  <c r="I537" i="1"/>
  <c r="J537" i="1"/>
  <c r="K537" i="1"/>
  <c r="I538" i="1"/>
  <c r="J538" i="1"/>
  <c r="K538" i="1"/>
  <c r="I539" i="1"/>
  <c r="J539" i="1"/>
  <c r="K539" i="1"/>
  <c r="I540" i="1"/>
  <c r="J540" i="1"/>
  <c r="K540" i="1"/>
  <c r="I541" i="1"/>
  <c r="J541" i="1"/>
  <c r="K541" i="1"/>
  <c r="I542" i="1"/>
  <c r="J542" i="1"/>
  <c r="K542" i="1"/>
  <c r="I543" i="1"/>
  <c r="J543" i="1"/>
  <c r="K543" i="1"/>
  <c r="I544" i="1"/>
  <c r="J544" i="1"/>
  <c r="K544" i="1"/>
  <c r="I545" i="1"/>
  <c r="J545" i="1"/>
  <c r="K545" i="1"/>
  <c r="I546" i="1"/>
  <c r="J546" i="1"/>
  <c r="K546" i="1"/>
  <c r="I547" i="1"/>
  <c r="J547" i="1"/>
  <c r="K547" i="1"/>
  <c r="I548" i="1"/>
  <c r="J548" i="1"/>
  <c r="K548" i="1"/>
  <c r="I549" i="1"/>
  <c r="J549" i="1"/>
  <c r="K549" i="1"/>
  <c r="I550" i="1"/>
  <c r="J550" i="1"/>
  <c r="K550" i="1"/>
  <c r="I551" i="1"/>
  <c r="J551" i="1"/>
  <c r="K551" i="1"/>
  <c r="I552" i="1"/>
  <c r="J552" i="1"/>
  <c r="K552" i="1"/>
  <c r="I553" i="1"/>
  <c r="J553" i="1"/>
  <c r="K553" i="1"/>
  <c r="I554" i="1"/>
  <c r="J554" i="1"/>
  <c r="K554" i="1"/>
  <c r="I555" i="1"/>
  <c r="J555" i="1"/>
  <c r="K555" i="1"/>
  <c r="I556" i="1"/>
  <c r="J556" i="1"/>
  <c r="K556" i="1"/>
  <c r="I557" i="1"/>
  <c r="J557" i="1"/>
  <c r="K557" i="1"/>
  <c r="I558" i="1"/>
  <c r="J558" i="1"/>
  <c r="K558" i="1"/>
  <c r="I559" i="1"/>
  <c r="J559" i="1"/>
  <c r="K559" i="1"/>
  <c r="I560" i="1"/>
  <c r="J560" i="1"/>
  <c r="K560" i="1"/>
  <c r="I561" i="1"/>
  <c r="J561" i="1"/>
  <c r="K561" i="1"/>
  <c r="I562" i="1"/>
  <c r="J562" i="1"/>
  <c r="K562" i="1"/>
  <c r="I563" i="1"/>
  <c r="J563" i="1"/>
  <c r="K563" i="1"/>
  <c r="I564" i="1"/>
  <c r="J564" i="1"/>
  <c r="K564" i="1"/>
  <c r="I565" i="1"/>
  <c r="J565" i="1"/>
  <c r="K565" i="1"/>
  <c r="I566" i="1"/>
  <c r="J566" i="1"/>
  <c r="K566" i="1"/>
  <c r="I567" i="1"/>
  <c r="J567" i="1"/>
  <c r="K567" i="1"/>
  <c r="I568" i="1"/>
  <c r="J568" i="1"/>
  <c r="K568" i="1"/>
  <c r="I569" i="1"/>
  <c r="J569" i="1"/>
  <c r="K569" i="1"/>
  <c r="I570" i="1"/>
  <c r="J570" i="1"/>
  <c r="K570" i="1"/>
  <c r="I571" i="1"/>
  <c r="J571" i="1"/>
  <c r="K571" i="1"/>
  <c r="I572" i="1"/>
  <c r="J572" i="1"/>
  <c r="K572" i="1"/>
  <c r="I573" i="1"/>
  <c r="J573" i="1"/>
  <c r="K573" i="1"/>
  <c r="I574" i="1"/>
  <c r="J574" i="1"/>
  <c r="K574" i="1"/>
  <c r="I575" i="1"/>
  <c r="J575" i="1"/>
  <c r="K575" i="1"/>
  <c r="I576" i="1"/>
  <c r="J576" i="1"/>
  <c r="K576" i="1"/>
  <c r="I577" i="1"/>
  <c r="J577" i="1"/>
  <c r="K577" i="1"/>
  <c r="I578" i="1"/>
  <c r="J578" i="1"/>
  <c r="K578" i="1"/>
  <c r="I579" i="1"/>
  <c r="J579" i="1"/>
  <c r="K579" i="1"/>
  <c r="I580" i="1"/>
  <c r="J580" i="1"/>
  <c r="K580" i="1"/>
  <c r="I581" i="1"/>
  <c r="J581" i="1"/>
  <c r="K581" i="1"/>
  <c r="I582" i="1"/>
  <c r="J582" i="1"/>
  <c r="K582" i="1"/>
  <c r="I583" i="1"/>
  <c r="J583" i="1"/>
  <c r="K583" i="1"/>
  <c r="I584" i="1"/>
  <c r="J584" i="1"/>
  <c r="K584" i="1"/>
  <c r="I585" i="1"/>
  <c r="J585" i="1"/>
  <c r="K585" i="1"/>
  <c r="I586" i="1"/>
  <c r="J586" i="1"/>
  <c r="K586" i="1"/>
  <c r="I587" i="1"/>
  <c r="J587" i="1"/>
  <c r="K587" i="1"/>
  <c r="I588" i="1"/>
  <c r="J588" i="1"/>
  <c r="K588" i="1"/>
  <c r="I589" i="1"/>
  <c r="J589" i="1"/>
  <c r="K589" i="1"/>
  <c r="I590" i="1"/>
  <c r="J590" i="1"/>
  <c r="K590" i="1"/>
  <c r="I591" i="1"/>
  <c r="J591" i="1"/>
  <c r="K591" i="1"/>
  <c r="I592" i="1"/>
  <c r="J592" i="1"/>
  <c r="K592" i="1"/>
  <c r="I593" i="1"/>
  <c r="J593" i="1"/>
  <c r="K593" i="1"/>
  <c r="I594" i="1"/>
  <c r="J594" i="1"/>
  <c r="K594" i="1"/>
  <c r="I595" i="1"/>
  <c r="J595" i="1"/>
  <c r="K595" i="1"/>
  <c r="I596" i="1"/>
  <c r="J596" i="1"/>
  <c r="K596" i="1"/>
  <c r="I597" i="1"/>
  <c r="J597" i="1"/>
  <c r="K597" i="1"/>
  <c r="I598" i="1"/>
  <c r="J598" i="1"/>
  <c r="K598" i="1"/>
  <c r="I599" i="1"/>
  <c r="J599" i="1"/>
  <c r="K599" i="1"/>
  <c r="I600" i="1"/>
  <c r="J600" i="1"/>
  <c r="K600" i="1"/>
  <c r="I601" i="1"/>
  <c r="J601" i="1"/>
  <c r="K601" i="1"/>
  <c r="I602" i="1"/>
  <c r="J602" i="1"/>
  <c r="K602" i="1"/>
  <c r="I603" i="1"/>
  <c r="J603" i="1"/>
  <c r="K603" i="1"/>
  <c r="I604" i="1"/>
  <c r="J604" i="1"/>
  <c r="K604" i="1"/>
  <c r="I605" i="1"/>
  <c r="J605" i="1"/>
  <c r="K605" i="1"/>
  <c r="I606" i="1"/>
  <c r="J606" i="1"/>
  <c r="K606" i="1"/>
  <c r="I607" i="1"/>
  <c r="J607" i="1"/>
  <c r="K607" i="1"/>
  <c r="I608" i="1"/>
  <c r="J608" i="1"/>
  <c r="K608" i="1"/>
  <c r="I609" i="1"/>
  <c r="J609" i="1"/>
  <c r="K609" i="1"/>
  <c r="I610" i="1"/>
  <c r="J610" i="1"/>
  <c r="K610" i="1"/>
  <c r="I611" i="1"/>
  <c r="J611" i="1"/>
  <c r="K611" i="1"/>
  <c r="I612" i="1"/>
  <c r="J612" i="1"/>
  <c r="K612" i="1"/>
  <c r="I613" i="1"/>
  <c r="J613" i="1"/>
  <c r="K613" i="1"/>
  <c r="I614" i="1"/>
  <c r="J614" i="1"/>
  <c r="K614" i="1"/>
  <c r="I615" i="1"/>
  <c r="J615" i="1"/>
  <c r="K615" i="1"/>
  <c r="I616" i="1"/>
  <c r="J616" i="1"/>
  <c r="K616" i="1"/>
  <c r="I617" i="1"/>
  <c r="J617" i="1"/>
  <c r="K617" i="1"/>
  <c r="I618" i="1"/>
  <c r="J618" i="1"/>
  <c r="K618" i="1"/>
  <c r="I619" i="1"/>
  <c r="J619" i="1"/>
  <c r="K619" i="1"/>
  <c r="I620" i="1"/>
  <c r="J620" i="1"/>
  <c r="K620" i="1"/>
  <c r="I621" i="1"/>
  <c r="J621" i="1"/>
  <c r="K621" i="1"/>
  <c r="I622" i="1"/>
  <c r="J622" i="1"/>
  <c r="K622" i="1"/>
  <c r="I623" i="1"/>
  <c r="J623" i="1"/>
  <c r="K623" i="1"/>
  <c r="I624" i="1"/>
  <c r="J624" i="1"/>
  <c r="K624" i="1"/>
  <c r="I625" i="1"/>
  <c r="J625" i="1"/>
  <c r="K625" i="1"/>
  <c r="I626" i="1"/>
  <c r="J626" i="1"/>
  <c r="K626" i="1"/>
  <c r="I627" i="1"/>
  <c r="J627" i="1"/>
  <c r="K627" i="1"/>
  <c r="I628" i="1"/>
  <c r="J628" i="1"/>
  <c r="K628" i="1"/>
  <c r="I629" i="1"/>
  <c r="J629" i="1"/>
  <c r="K629" i="1"/>
  <c r="I630" i="1"/>
  <c r="J630" i="1"/>
  <c r="K630" i="1"/>
  <c r="I631" i="1"/>
  <c r="J631" i="1"/>
  <c r="K631" i="1"/>
  <c r="I632" i="1"/>
  <c r="J632" i="1"/>
  <c r="K632" i="1"/>
  <c r="I633" i="1"/>
  <c r="J633" i="1"/>
  <c r="K633" i="1"/>
  <c r="I634" i="1"/>
  <c r="J634" i="1"/>
  <c r="K634" i="1"/>
  <c r="I635" i="1"/>
  <c r="J635" i="1"/>
  <c r="K635" i="1"/>
  <c r="I636" i="1"/>
  <c r="J636" i="1"/>
  <c r="K636" i="1"/>
  <c r="I637" i="1"/>
  <c r="J637" i="1"/>
  <c r="K637" i="1"/>
  <c r="I638" i="1"/>
  <c r="J638" i="1"/>
  <c r="K638" i="1"/>
  <c r="I639" i="1"/>
  <c r="J639" i="1"/>
  <c r="K639" i="1"/>
  <c r="I640" i="1"/>
  <c r="J640" i="1"/>
  <c r="K640" i="1"/>
  <c r="I641" i="1"/>
  <c r="J641" i="1"/>
  <c r="K641" i="1"/>
  <c r="I642" i="1"/>
  <c r="J642" i="1"/>
  <c r="K642" i="1"/>
  <c r="I643" i="1"/>
  <c r="J643" i="1"/>
  <c r="K643" i="1"/>
  <c r="I644" i="1"/>
  <c r="J644" i="1"/>
  <c r="K644" i="1"/>
  <c r="I645" i="1"/>
  <c r="J645" i="1"/>
  <c r="K645" i="1"/>
  <c r="I646" i="1"/>
  <c r="J646" i="1"/>
  <c r="K646" i="1"/>
  <c r="I647" i="1"/>
  <c r="J647" i="1"/>
  <c r="K647" i="1"/>
  <c r="I648" i="1"/>
  <c r="J648" i="1"/>
  <c r="K648" i="1"/>
  <c r="I649" i="1"/>
  <c r="J649" i="1"/>
  <c r="K649" i="1"/>
  <c r="I650" i="1"/>
  <c r="J650" i="1"/>
  <c r="K650" i="1"/>
  <c r="I651" i="1"/>
  <c r="J651" i="1"/>
  <c r="K651" i="1"/>
  <c r="I652" i="1"/>
  <c r="J652" i="1"/>
  <c r="K652" i="1"/>
  <c r="I653" i="1"/>
  <c r="J653" i="1"/>
  <c r="K653" i="1"/>
  <c r="I654" i="1"/>
  <c r="J654" i="1"/>
  <c r="K654" i="1"/>
  <c r="I655" i="1"/>
  <c r="J655" i="1"/>
  <c r="K655" i="1"/>
  <c r="I656" i="1"/>
  <c r="J656" i="1"/>
  <c r="K656" i="1"/>
  <c r="I657" i="1"/>
  <c r="J657" i="1"/>
  <c r="K657" i="1"/>
  <c r="I658" i="1"/>
  <c r="J658" i="1"/>
  <c r="K658" i="1"/>
  <c r="I659" i="1"/>
  <c r="J659" i="1"/>
  <c r="K659" i="1"/>
  <c r="I660" i="1"/>
  <c r="J660" i="1"/>
  <c r="K660" i="1"/>
  <c r="I661" i="1"/>
  <c r="J661" i="1"/>
  <c r="K661" i="1"/>
  <c r="I662" i="1"/>
  <c r="J662" i="1"/>
  <c r="K662" i="1"/>
  <c r="I663" i="1"/>
  <c r="J663" i="1"/>
  <c r="K663" i="1"/>
  <c r="I664" i="1"/>
  <c r="J664" i="1"/>
  <c r="K664" i="1"/>
  <c r="I665" i="1"/>
  <c r="J665" i="1"/>
  <c r="K665" i="1"/>
  <c r="I666" i="1"/>
  <c r="J666" i="1"/>
  <c r="K666" i="1"/>
  <c r="I667" i="1"/>
  <c r="J667" i="1"/>
  <c r="K667" i="1"/>
  <c r="I668" i="1"/>
  <c r="J668" i="1"/>
  <c r="K668" i="1"/>
  <c r="I669" i="1"/>
  <c r="J669" i="1"/>
  <c r="K669" i="1"/>
  <c r="I670" i="1"/>
  <c r="J670" i="1"/>
  <c r="K670" i="1"/>
  <c r="I671" i="1"/>
  <c r="J671" i="1"/>
  <c r="K671" i="1"/>
  <c r="I672" i="1"/>
  <c r="J672" i="1"/>
  <c r="K672" i="1"/>
  <c r="I673" i="1"/>
  <c r="J673" i="1"/>
  <c r="K673" i="1"/>
  <c r="I674" i="1"/>
  <c r="J674" i="1"/>
  <c r="K674" i="1"/>
  <c r="I675" i="1"/>
  <c r="J675" i="1"/>
  <c r="K675" i="1"/>
  <c r="I676" i="1"/>
  <c r="J676" i="1"/>
  <c r="K676" i="1"/>
  <c r="I677" i="1"/>
  <c r="J677" i="1"/>
  <c r="K677" i="1"/>
  <c r="I678" i="1"/>
  <c r="J678" i="1"/>
  <c r="K678" i="1"/>
  <c r="I679" i="1"/>
  <c r="J679" i="1"/>
  <c r="K679" i="1"/>
  <c r="I680" i="1"/>
  <c r="J680" i="1"/>
  <c r="K680" i="1"/>
  <c r="I681" i="1"/>
  <c r="J681" i="1"/>
  <c r="K681" i="1"/>
  <c r="I682" i="1"/>
  <c r="J682" i="1"/>
  <c r="K682" i="1"/>
  <c r="I683" i="1"/>
  <c r="J683" i="1"/>
  <c r="K683" i="1"/>
  <c r="I684" i="1"/>
  <c r="J684" i="1"/>
  <c r="K684" i="1"/>
  <c r="I685" i="1"/>
  <c r="J685" i="1"/>
  <c r="K685" i="1"/>
  <c r="I686" i="1"/>
  <c r="J686" i="1"/>
  <c r="K686" i="1"/>
  <c r="I687" i="1"/>
  <c r="J687" i="1"/>
  <c r="K687" i="1"/>
  <c r="I688" i="1"/>
  <c r="J688" i="1"/>
  <c r="K688" i="1"/>
  <c r="I689" i="1"/>
  <c r="J689" i="1"/>
  <c r="K689" i="1"/>
  <c r="I690" i="1"/>
  <c r="J690" i="1"/>
  <c r="K690" i="1"/>
  <c r="I691" i="1"/>
  <c r="J691" i="1"/>
  <c r="K691" i="1"/>
  <c r="I692" i="1"/>
  <c r="J692" i="1"/>
  <c r="K692" i="1"/>
  <c r="I693" i="1"/>
  <c r="J693" i="1"/>
  <c r="K693" i="1"/>
  <c r="I694" i="1"/>
  <c r="J694" i="1"/>
  <c r="K694" i="1"/>
  <c r="I695" i="1"/>
  <c r="J695" i="1"/>
  <c r="K695" i="1"/>
  <c r="I696" i="1"/>
  <c r="J696" i="1"/>
  <c r="K696" i="1"/>
  <c r="I697" i="1"/>
  <c r="J697" i="1"/>
  <c r="K697" i="1"/>
  <c r="I698" i="1"/>
  <c r="J698" i="1"/>
  <c r="K698" i="1"/>
  <c r="I699" i="1"/>
  <c r="J699" i="1"/>
  <c r="K699" i="1"/>
  <c r="I700" i="1"/>
  <c r="J700" i="1"/>
  <c r="K700" i="1"/>
  <c r="I701" i="1"/>
  <c r="J701" i="1"/>
  <c r="K701" i="1"/>
  <c r="I702" i="1"/>
  <c r="J702" i="1"/>
  <c r="K702" i="1"/>
  <c r="I703" i="1"/>
  <c r="J703" i="1"/>
  <c r="K703" i="1"/>
  <c r="I704" i="1"/>
  <c r="J704" i="1"/>
  <c r="K704" i="1"/>
  <c r="I705" i="1"/>
  <c r="J705" i="1"/>
  <c r="K705" i="1"/>
  <c r="I706" i="1"/>
  <c r="J706" i="1"/>
  <c r="K706" i="1"/>
  <c r="I707" i="1"/>
  <c r="J707" i="1"/>
  <c r="K707" i="1"/>
  <c r="I708" i="1"/>
  <c r="J708" i="1"/>
  <c r="K708" i="1"/>
  <c r="I709" i="1"/>
  <c r="J709" i="1"/>
  <c r="K709" i="1"/>
  <c r="I710" i="1"/>
  <c r="J710" i="1"/>
  <c r="K710" i="1"/>
  <c r="I711" i="1"/>
  <c r="J711" i="1"/>
  <c r="K711" i="1"/>
  <c r="I712" i="1"/>
  <c r="J712" i="1"/>
  <c r="K712" i="1"/>
  <c r="I713" i="1"/>
  <c r="J713" i="1"/>
  <c r="K713" i="1"/>
  <c r="I714" i="1"/>
  <c r="J714" i="1"/>
  <c r="K714" i="1"/>
  <c r="I715" i="1"/>
  <c r="J715" i="1"/>
  <c r="K715" i="1"/>
  <c r="I716" i="1"/>
  <c r="J716" i="1"/>
  <c r="K716" i="1"/>
  <c r="I717" i="1"/>
  <c r="J717" i="1"/>
  <c r="K717" i="1"/>
  <c r="I718" i="1"/>
  <c r="J718" i="1"/>
  <c r="K718" i="1"/>
  <c r="I719" i="1"/>
  <c r="J719" i="1"/>
  <c r="K719" i="1"/>
  <c r="I720" i="1"/>
  <c r="J720" i="1"/>
  <c r="K720" i="1"/>
  <c r="I721" i="1"/>
  <c r="J721" i="1"/>
  <c r="K721" i="1"/>
  <c r="I722" i="1"/>
  <c r="J722" i="1"/>
  <c r="K722" i="1"/>
  <c r="I723" i="1"/>
  <c r="J723" i="1"/>
  <c r="K723" i="1"/>
  <c r="I724" i="1"/>
  <c r="J724" i="1"/>
  <c r="K724" i="1"/>
  <c r="I725" i="1"/>
  <c r="J725" i="1"/>
  <c r="K725" i="1"/>
  <c r="I726" i="1"/>
  <c r="J726" i="1"/>
  <c r="K726" i="1"/>
  <c r="I727" i="1"/>
  <c r="J727" i="1"/>
  <c r="K727" i="1"/>
  <c r="I728" i="1"/>
  <c r="J728" i="1"/>
  <c r="K728" i="1"/>
  <c r="I729" i="1"/>
  <c r="J729" i="1"/>
  <c r="K729" i="1"/>
  <c r="I730" i="1"/>
  <c r="J730" i="1"/>
  <c r="K730" i="1"/>
  <c r="I731" i="1"/>
  <c r="J731" i="1"/>
  <c r="K731" i="1"/>
  <c r="I732" i="1"/>
  <c r="J732" i="1"/>
  <c r="K732" i="1"/>
  <c r="I733" i="1"/>
  <c r="J733" i="1"/>
  <c r="K733" i="1"/>
  <c r="I734" i="1"/>
  <c r="J734" i="1"/>
  <c r="K734" i="1"/>
  <c r="I735" i="1"/>
  <c r="J735" i="1"/>
  <c r="K735" i="1"/>
  <c r="I736" i="1"/>
  <c r="J736" i="1"/>
  <c r="K736" i="1"/>
  <c r="I737" i="1"/>
  <c r="J737" i="1"/>
  <c r="K737" i="1"/>
  <c r="I738" i="1"/>
  <c r="J738" i="1"/>
  <c r="K738" i="1"/>
  <c r="I739" i="1"/>
  <c r="J739" i="1"/>
  <c r="K739" i="1"/>
  <c r="I740" i="1"/>
  <c r="J740" i="1"/>
  <c r="K740" i="1"/>
  <c r="I741" i="1"/>
  <c r="J741" i="1"/>
  <c r="K741" i="1"/>
  <c r="I742" i="1"/>
  <c r="J742" i="1"/>
  <c r="K742" i="1"/>
  <c r="I743" i="1"/>
  <c r="J743" i="1"/>
  <c r="K743" i="1"/>
  <c r="I744" i="1"/>
  <c r="J744" i="1"/>
  <c r="K744" i="1"/>
  <c r="I745" i="1"/>
  <c r="J745" i="1"/>
  <c r="K745" i="1"/>
  <c r="I746" i="1"/>
  <c r="J746" i="1"/>
  <c r="K746" i="1"/>
  <c r="I747" i="1"/>
  <c r="J747" i="1"/>
  <c r="K747" i="1"/>
  <c r="I748" i="1"/>
  <c r="J748" i="1"/>
  <c r="K748" i="1"/>
  <c r="I749" i="1"/>
  <c r="J749" i="1"/>
  <c r="K749" i="1"/>
  <c r="I750" i="1"/>
  <c r="J750" i="1"/>
  <c r="K750" i="1"/>
  <c r="I751" i="1"/>
  <c r="J751" i="1"/>
  <c r="K751" i="1"/>
  <c r="I752" i="1"/>
  <c r="J752" i="1"/>
  <c r="K752" i="1"/>
  <c r="I753" i="1"/>
  <c r="J753" i="1"/>
  <c r="K753" i="1"/>
  <c r="I754" i="1"/>
  <c r="J754" i="1"/>
  <c r="K754" i="1"/>
  <c r="I755" i="1"/>
  <c r="J755" i="1"/>
  <c r="K755" i="1"/>
  <c r="I756" i="1"/>
  <c r="J756" i="1"/>
  <c r="K756" i="1"/>
  <c r="I757" i="1"/>
  <c r="J757" i="1"/>
  <c r="K757" i="1"/>
  <c r="I758" i="1"/>
  <c r="J758" i="1"/>
  <c r="K758" i="1"/>
  <c r="I759" i="1"/>
  <c r="J759" i="1"/>
  <c r="K759" i="1"/>
  <c r="I760" i="1"/>
  <c r="J760" i="1"/>
  <c r="K760" i="1"/>
  <c r="I761" i="1"/>
  <c r="J761" i="1"/>
  <c r="K761" i="1"/>
  <c r="I762" i="1"/>
  <c r="J762" i="1"/>
  <c r="K762" i="1"/>
  <c r="I763" i="1"/>
  <c r="J763" i="1"/>
  <c r="K763" i="1"/>
  <c r="I764" i="1"/>
  <c r="J764" i="1"/>
  <c r="K764" i="1"/>
  <c r="I765" i="1"/>
  <c r="J765" i="1"/>
  <c r="K765" i="1"/>
  <c r="I766" i="1"/>
  <c r="J766" i="1"/>
  <c r="K766" i="1"/>
  <c r="I767" i="1"/>
  <c r="J767" i="1"/>
  <c r="K767" i="1"/>
  <c r="I768" i="1"/>
  <c r="J768" i="1"/>
  <c r="K768" i="1"/>
  <c r="I769" i="1"/>
  <c r="J769" i="1"/>
  <c r="K769" i="1"/>
  <c r="I770" i="1"/>
  <c r="J770" i="1"/>
  <c r="K770" i="1"/>
  <c r="I771" i="1"/>
  <c r="J771" i="1"/>
  <c r="K771" i="1"/>
  <c r="I772" i="1"/>
  <c r="J772" i="1"/>
  <c r="K772" i="1"/>
  <c r="I773" i="1"/>
  <c r="J773" i="1"/>
  <c r="K773" i="1"/>
  <c r="I774" i="1"/>
  <c r="J774" i="1"/>
  <c r="K774" i="1"/>
  <c r="I775" i="1"/>
  <c r="J775" i="1"/>
  <c r="K775" i="1"/>
  <c r="K56" i="1"/>
  <c r="K22" i="1" l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F10" i="1" l="1"/>
  <c r="F12" i="1"/>
  <c r="F11" i="1"/>
</calcChain>
</file>

<file path=xl/sharedStrings.xml><?xml version="1.0" encoding="utf-8"?>
<sst xmlns="http://schemas.openxmlformats.org/spreadsheetml/2006/main" count="88" uniqueCount="28">
  <si>
    <t>Atualizado em:</t>
  </si>
  <si>
    <t>Departamento: Financeiro</t>
  </si>
  <si>
    <t>Saldo</t>
  </si>
  <si>
    <t>CONTAS A PAGAR</t>
  </si>
  <si>
    <t>Vencimento</t>
  </si>
  <si>
    <t>Fornecedor</t>
  </si>
  <si>
    <t>Documento</t>
  </si>
  <si>
    <t>Descrição da conta a pagar</t>
  </si>
  <si>
    <t>Valor</t>
  </si>
  <si>
    <t>Status</t>
  </si>
  <si>
    <t xml:space="preserve">Recebida? </t>
  </si>
  <si>
    <t>Total de contas pagas:</t>
  </si>
  <si>
    <t>Pagar nos próximos 7 dias:</t>
  </si>
  <si>
    <t>Total de contas a pagar:</t>
  </si>
  <si>
    <t>Total Vencida:</t>
  </si>
  <si>
    <t>Valor Pago</t>
  </si>
  <si>
    <t>Colaborador: Flávio</t>
  </si>
  <si>
    <t>PALMA PARAFUSOS</t>
  </si>
  <si>
    <t>RESSEG</t>
  </si>
  <si>
    <t>EPI'S</t>
  </si>
  <si>
    <t>TAMARA</t>
  </si>
  <si>
    <t>ELETRODO</t>
  </si>
  <si>
    <t>ÓLEO HIDRAULICO</t>
  </si>
  <si>
    <t>ELET, D. CORTE, LUVA, ABRAÇADEIRA</t>
  </si>
  <si>
    <t>REBOLO DE ESMERIL, B. ROSCADA, ARRUAELAS</t>
  </si>
  <si>
    <t>HERVAL</t>
  </si>
  <si>
    <t>COMPRA DE MADEIRA</t>
  </si>
  <si>
    <t>Isteviane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</si>
</sst>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[$-F800]dddd\,\ mmmm\ dd\,\ yyyy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Verdana"/>
      <family val="2"/>
    </font>
    <font>
      <sz val="12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 tint="0.249977111117893"/>
      <name val="Calibri"/>
      <family val="2"/>
      <scheme val="minor"/>
    </font>
    <font>
      <b/>
      <sz val="24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theme="0" tint="-0.14996795556505021"/>
      </left>
      <right style="thick">
        <color theme="0"/>
      </right>
      <top style="thick">
        <color theme="0" tint="-0.14996795556505021"/>
      </top>
      <bottom style="thin">
        <color theme="0" tint="-0.14999847407452621"/>
      </bottom>
      <diagonal/>
    </border>
    <border>
      <left style="thick">
        <color theme="0"/>
      </left>
      <right style="thick">
        <color theme="0"/>
      </right>
      <top style="thick">
        <color theme="0" tint="-0.14996795556505021"/>
      </top>
      <bottom style="thin">
        <color theme="0" tint="-0.14999847407452621"/>
      </bottom>
      <diagonal/>
    </border>
    <border>
      <left style="thick">
        <color theme="0"/>
      </left>
      <right style="thick">
        <color theme="0" tint="-0.14996795556505021"/>
      </right>
      <top style="thick">
        <color theme="0" tint="-0.149967955565050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dashDotDot">
        <color theme="0" tint="-0.14999847407452621"/>
      </bottom>
      <diagonal/>
    </border>
    <border>
      <left/>
      <right/>
      <top/>
      <bottom style="thick">
        <color theme="0" tint="-0.14996795556505021"/>
      </bottom>
      <diagonal/>
    </border>
    <border>
      <left/>
      <right style="medium">
        <color theme="0" tint="-0.14996795556505021"/>
      </right>
      <top/>
      <bottom/>
      <diagonal/>
    </border>
    <border>
      <left/>
      <right/>
      <top/>
      <bottom style="thick">
        <color theme="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Protection="1">
      <protection locked="0"/>
    </xf>
    <xf numFmtId="0" fontId="2" fillId="0" borderId="0" xfId="0" applyFont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0" borderId="2" xfId="0" applyFont="1" applyBorder="1" applyProtection="1">
      <protection locked="0"/>
    </xf>
    <xf numFmtId="0" fontId="2" fillId="0" borderId="2" xfId="0" applyFont="1" applyBorder="1" applyAlignment="1" applyProtection="1">
      <alignment horizont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0" fillId="0" borderId="0" xfId="0" applyAlignment="1" applyProtection="1">
      <alignment vertical="center"/>
      <protection locked="0"/>
    </xf>
    <xf numFmtId="0" fontId="2" fillId="0" borderId="4" xfId="0" applyFont="1" applyBorder="1" applyProtection="1">
      <protection locked="0"/>
    </xf>
    <xf numFmtId="0" fontId="6" fillId="3" borderId="5" xfId="0" applyFont="1" applyFill="1" applyBorder="1" applyAlignment="1" applyProtection="1">
      <alignment horizontal="right"/>
      <protection locked="0"/>
    </xf>
    <xf numFmtId="0" fontId="6" fillId="0" borderId="0" xfId="0" applyFont="1" applyAlignment="1" applyProtection="1">
      <alignment vertical="center"/>
      <protection locked="0"/>
    </xf>
    <xf numFmtId="0" fontId="2" fillId="0" borderId="7" xfId="0" applyFont="1" applyBorder="1" applyAlignment="1" applyProtection="1">
      <alignment horizontal="center" vertical="center"/>
      <protection locked="0"/>
    </xf>
    <xf numFmtId="0" fontId="2" fillId="0" borderId="7" xfId="0" applyFont="1" applyBorder="1" applyAlignment="1" applyProtection="1">
      <alignment vertical="center"/>
      <protection locked="0"/>
    </xf>
    <xf numFmtId="0" fontId="0" fillId="0" borderId="0" xfId="0" applyAlignment="1" applyProtection="1">
      <alignment horizontal="center"/>
      <protection locked="0"/>
    </xf>
    <xf numFmtId="4" fontId="5" fillId="2" borderId="0" xfId="0" applyNumberFormat="1" applyFont="1" applyFill="1" applyBorder="1" applyAlignment="1" applyProtection="1">
      <alignment vertical="center"/>
      <protection locked="0"/>
    </xf>
    <xf numFmtId="4" fontId="5" fillId="2" borderId="0" xfId="0" applyNumberFormat="1" applyFont="1" applyFill="1" applyBorder="1" applyAlignment="1" applyProtection="1">
      <alignment horizontal="center" vertical="center"/>
      <protection locked="0"/>
    </xf>
    <xf numFmtId="164" fontId="6" fillId="0" borderId="0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Border="1" applyProtection="1">
      <protection locked="0"/>
    </xf>
    <xf numFmtId="0" fontId="2" fillId="0" borderId="0" xfId="0" applyFont="1" applyBorder="1" applyAlignment="1" applyProtection="1">
      <alignment horizontal="center"/>
      <protection locked="0"/>
    </xf>
    <xf numFmtId="0" fontId="2" fillId="3" borderId="0" xfId="0" applyFont="1" applyFill="1" applyBorder="1" applyProtection="1">
      <protection locked="0"/>
    </xf>
    <xf numFmtId="0" fontId="2" fillId="0" borderId="0" xfId="0" applyFont="1" applyBorder="1" applyAlignment="1" applyProtection="1">
      <alignment horizontal="center" vertical="center"/>
      <protection locked="0"/>
    </xf>
    <xf numFmtId="0" fontId="2" fillId="0" borderId="0" xfId="0" applyFont="1" applyBorder="1" applyAlignment="1" applyProtection="1">
      <alignment vertical="center"/>
      <protection locked="0"/>
    </xf>
    <xf numFmtId="0" fontId="0" fillId="0" borderId="2" xfId="0" applyBorder="1" applyProtection="1">
      <protection locked="0"/>
    </xf>
    <xf numFmtId="0" fontId="0" fillId="0" borderId="3" xfId="0" applyBorder="1" applyProtection="1">
      <protection locked="0"/>
    </xf>
    <xf numFmtId="0" fontId="0" fillId="0" borderId="0" xfId="0" applyBorder="1" applyAlignment="1" applyProtection="1">
      <alignment vertical="center"/>
      <protection locked="0"/>
    </xf>
    <xf numFmtId="0" fontId="0" fillId="0" borderId="5" xfId="0" applyBorder="1" applyAlignment="1" applyProtection="1">
      <alignment vertical="center"/>
      <protection locked="0"/>
    </xf>
    <xf numFmtId="0" fontId="0" fillId="0" borderId="0" xfId="0" applyBorder="1" applyProtection="1">
      <protection locked="0"/>
    </xf>
    <xf numFmtId="0" fontId="0" fillId="0" borderId="7" xfId="0" applyBorder="1" applyProtection="1">
      <protection locked="0"/>
    </xf>
    <xf numFmtId="0" fontId="0" fillId="0" borderId="8" xfId="0" applyBorder="1" applyProtection="1">
      <protection locked="0"/>
    </xf>
    <xf numFmtId="0" fontId="0" fillId="2" borderId="0" xfId="0" applyFill="1" applyProtection="1">
      <protection locked="0"/>
    </xf>
    <xf numFmtId="0" fontId="6" fillId="2" borderId="0" xfId="0" applyFont="1" applyFill="1" applyAlignment="1" applyProtection="1">
      <alignment vertical="center"/>
      <protection locked="0"/>
    </xf>
    <xf numFmtId="44" fontId="2" fillId="2" borderId="0" xfId="1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Border="1" applyAlignment="1" applyProtection="1">
      <alignment vertical="center"/>
      <protection locked="0"/>
    </xf>
    <xf numFmtId="44" fontId="2" fillId="2" borderId="2" xfId="1" applyFont="1" applyFill="1" applyBorder="1" applyAlignment="1" applyProtection="1">
      <alignment horizontal="center" vertical="center"/>
      <protection locked="0"/>
    </xf>
    <xf numFmtId="0" fontId="2" fillId="2" borderId="2" xfId="0" applyFont="1" applyFill="1" applyBorder="1" applyAlignment="1" applyProtection="1">
      <alignment vertical="center"/>
      <protection locked="0"/>
    </xf>
    <xf numFmtId="0" fontId="2" fillId="0" borderId="15" xfId="0" applyFont="1" applyBorder="1" applyAlignment="1" applyProtection="1">
      <alignment vertical="center"/>
      <protection locked="0"/>
    </xf>
    <xf numFmtId="44" fontId="9" fillId="3" borderId="12" xfId="0" applyNumberFormat="1" applyFont="1" applyFill="1" applyBorder="1" applyAlignment="1" applyProtection="1">
      <alignment horizontal="left" vertical="center" indent="1"/>
      <protection locked="0"/>
    </xf>
    <xf numFmtId="0" fontId="7" fillId="2" borderId="0" xfId="0" applyFont="1" applyFill="1" applyBorder="1" applyAlignment="1" applyProtection="1">
      <alignment horizontal="left" vertical="center" wrapText="1" indent="1"/>
    </xf>
    <xf numFmtId="44" fontId="1" fillId="2" borderId="0" xfId="0" applyNumberFormat="1" applyFont="1" applyFill="1" applyBorder="1" applyAlignment="1" applyProtection="1">
      <alignment horizontal="left" indent="1"/>
    </xf>
    <xf numFmtId="0" fontId="6" fillId="0" borderId="0" xfId="0" applyFont="1" applyAlignment="1" applyProtection="1">
      <alignment vertical="center"/>
    </xf>
    <xf numFmtId="0" fontId="2" fillId="0" borderId="0" xfId="0" applyFont="1" applyProtection="1"/>
    <xf numFmtId="0" fontId="2" fillId="0" borderId="2" xfId="0" applyFont="1" applyBorder="1" applyProtection="1"/>
    <xf numFmtId="4" fontId="5" fillId="2" borderId="0" xfId="0" applyNumberFormat="1" applyFont="1" applyFill="1" applyBorder="1" applyAlignment="1" applyProtection="1">
      <alignment vertical="center"/>
    </xf>
    <xf numFmtId="0" fontId="2" fillId="0" borderId="1" xfId="0" applyFont="1" applyBorder="1" applyProtection="1"/>
    <xf numFmtId="0" fontId="4" fillId="2" borderId="4" xfId="0" applyFont="1" applyFill="1" applyBorder="1" applyAlignment="1" applyProtection="1">
      <alignment vertical="center"/>
    </xf>
    <xf numFmtId="0" fontId="6" fillId="0" borderId="4" xfId="0" applyFont="1" applyBorder="1" applyAlignment="1" applyProtection="1">
      <alignment vertical="center"/>
    </xf>
    <xf numFmtId="0" fontId="6" fillId="0" borderId="6" xfId="0" applyFont="1" applyBorder="1" applyAlignment="1" applyProtection="1">
      <alignment vertical="center"/>
    </xf>
    <xf numFmtId="0" fontId="6" fillId="0" borderId="7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vertical="center"/>
    </xf>
    <xf numFmtId="0" fontId="2" fillId="0" borderId="0" xfId="0" applyFont="1" applyBorder="1" applyProtection="1"/>
    <xf numFmtId="0" fontId="7" fillId="4" borderId="9" xfId="0" applyFont="1" applyFill="1" applyBorder="1" applyAlignment="1" applyProtection="1">
      <alignment horizontal="center" vertical="center" wrapText="1"/>
      <protection locked="0"/>
    </xf>
    <xf numFmtId="0" fontId="7" fillId="4" borderId="10" xfId="0" applyFont="1" applyFill="1" applyBorder="1" applyAlignment="1" applyProtection="1">
      <alignment horizontal="center" vertical="center" wrapText="1"/>
      <protection locked="0"/>
    </xf>
    <xf numFmtId="0" fontId="7" fillId="4" borderId="11" xfId="0" applyFont="1" applyFill="1" applyBorder="1" applyAlignment="1" applyProtection="1">
      <alignment horizontal="center" vertical="center" wrapText="1"/>
      <protection locked="0"/>
    </xf>
    <xf numFmtId="14" fontId="0" fillId="2" borderId="12" xfId="0" applyNumberFormat="1" applyFill="1" applyBorder="1" applyAlignment="1" applyProtection="1">
      <alignment horizontal="left" vertical="center" indent="1"/>
      <protection locked="0"/>
    </xf>
    <xf numFmtId="0" fontId="1" fillId="2" borderId="12" xfId="0" applyFont="1" applyFill="1" applyBorder="1" applyAlignment="1" applyProtection="1">
      <alignment horizontal="left" vertical="center"/>
      <protection locked="0"/>
    </xf>
    <xf numFmtId="0" fontId="1" fillId="2" borderId="12" xfId="0" applyFont="1" applyFill="1" applyBorder="1" applyAlignment="1" applyProtection="1">
      <alignment horizontal="center" vertical="center"/>
      <protection locked="0"/>
    </xf>
    <xf numFmtId="44" fontId="1" fillId="2" borderId="12" xfId="1" applyFont="1" applyFill="1" applyBorder="1" applyAlignment="1" applyProtection="1">
      <alignment horizontal="left" vertical="center" indent="1"/>
      <protection locked="0"/>
    </xf>
    <xf numFmtId="44" fontId="1" fillId="2" borderId="12" xfId="0" applyNumberFormat="1" applyFont="1" applyFill="1" applyBorder="1" applyAlignment="1" applyProtection="1">
      <alignment horizontal="left" vertical="center" indent="1"/>
      <protection locked="0"/>
    </xf>
    <xf numFmtId="14" fontId="6" fillId="3" borderId="5" xfId="0" applyNumberFormat="1" applyFont="1" applyFill="1" applyBorder="1" applyAlignment="1" applyProtection="1">
      <alignment horizontal="right"/>
      <protection locked="0"/>
    </xf>
    <xf numFmtId="44" fontId="2" fillId="4" borderId="13" xfId="1" applyFont="1" applyFill="1" applyBorder="1" applyAlignment="1" applyProtection="1">
      <alignment horizontal="center" vertical="center"/>
    </xf>
    <xf numFmtId="0" fontId="8" fillId="0" borderId="4" xfId="0" applyFont="1" applyBorder="1" applyAlignment="1" applyProtection="1">
      <alignment horizontal="center" vertical="center"/>
    </xf>
    <xf numFmtId="0" fontId="8" fillId="0" borderId="0" xfId="0" applyFont="1" applyBorder="1" applyAlignment="1" applyProtection="1">
      <alignment horizontal="center" vertical="center"/>
    </xf>
    <xf numFmtId="0" fontId="8" fillId="0" borderId="5" xfId="0" applyFont="1" applyBorder="1" applyAlignment="1" applyProtection="1">
      <alignment horizontal="center" vertical="center"/>
    </xf>
    <xf numFmtId="164" fontId="6" fillId="3" borderId="0" xfId="0" applyNumberFormat="1" applyFont="1" applyFill="1" applyBorder="1" applyAlignment="1" applyProtection="1">
      <alignment horizontal="right" vertical="center"/>
      <protection locked="0"/>
    </xf>
    <xf numFmtId="164" fontId="6" fillId="3" borderId="5" xfId="0" applyNumberFormat="1" applyFont="1" applyFill="1" applyBorder="1" applyAlignment="1" applyProtection="1">
      <alignment horizontal="right" vertical="center"/>
      <protection locked="0"/>
    </xf>
    <xf numFmtId="44" fontId="2" fillId="4" borderId="0" xfId="1" applyFont="1" applyFill="1" applyBorder="1" applyAlignment="1" applyProtection="1">
      <alignment horizontal="center" vertical="center"/>
    </xf>
    <xf numFmtId="44" fontId="2" fillId="4" borderId="14" xfId="1" applyFont="1" applyFill="1" applyBorder="1" applyAlignment="1" applyProtection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158750</xdr:colOff>
      <xdr:row>2</xdr:row>
      <xdr:rowOff>52918</xdr:rowOff>
    </xdr:from>
    <xdr:to>
      <xdr:col>3</xdr:col>
      <xdr:colOff>1789289</xdr:colOff>
      <xdr:row>5</xdr:row>
      <xdr:rowOff>137584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8541E889-0A25-48EC-A360-BF8945E53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1583" y="412751"/>
          <a:ext cx="2487789" cy="1301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1F7C4-C7BA-4DFB-863F-EE69EA488BF6}">
  <dimension ref="A1:K775"/>
  <sheetViews>
    <sheetView showGridLines="0" tabSelected="1" zoomScale="90" zoomScaleNormal="90" zoomScaleSheetLayoutView="115" workbookViewId="0">
      <selection activeCell="H21" sqref="H15:H21"/>
    </sheetView>
  </sheetViews>
  <sheetFormatPr defaultColWidth="9.140625" defaultRowHeight="15" x14ac:dyDescent="0.25"/>
  <cols>
    <col min="1" max="2" width="1.7109375" style="1" customWidth="1"/>
    <col min="3" max="3" width="12.85546875" style="1" customWidth="1"/>
    <col min="4" max="4" width="35" style="1" customWidth="1"/>
    <col min="5" max="5" width="29" style="13" customWidth="1"/>
    <col min="6" max="6" width="15.85546875" style="1" bestFit="1" customWidth="1"/>
    <col min="7" max="11" width="18.7109375" style="1" customWidth="1"/>
    <col min="12" max="16384" width="9.140625" style="1"/>
  </cols>
  <sheetData>
    <row r="1" spans="1:11" ht="16.5" thickBot="1" x14ac:dyDescent="0.3">
      <c r="C1" s="40"/>
      <c r="D1" s="40"/>
      <c r="E1" s="3"/>
      <c r="F1" s="2"/>
      <c r="G1" s="2"/>
      <c r="H1" s="2"/>
    </row>
    <row r="2" spans="1:11" ht="11.25" customHeight="1" x14ac:dyDescent="0.25">
      <c r="C2" s="43"/>
      <c r="D2" s="41"/>
      <c r="E2" s="5"/>
      <c r="F2" s="4"/>
      <c r="G2" s="4"/>
      <c r="H2" s="4"/>
      <c r="I2" s="22"/>
      <c r="J2" s="22"/>
      <c r="K2" s="23"/>
    </row>
    <row r="3" spans="1:11" s="7" customFormat="1" ht="39.950000000000003" customHeight="1" x14ac:dyDescent="0.25">
      <c r="A3" s="6"/>
      <c r="B3" s="6"/>
      <c r="C3" s="44"/>
      <c r="D3" s="42"/>
      <c r="E3" s="15"/>
      <c r="F3" s="14"/>
      <c r="G3" s="14"/>
      <c r="H3" s="16"/>
      <c r="I3" s="24"/>
      <c r="J3" s="24"/>
      <c r="K3" s="25"/>
    </row>
    <row r="4" spans="1:11" s="7" customFormat="1" ht="39.950000000000003" customHeight="1" x14ac:dyDescent="0.25">
      <c r="A4" s="6"/>
      <c r="B4" s="6"/>
      <c r="C4" s="60" t="s">
        <v>3</v>
      </c>
      <c r="D4" s="61"/>
      <c r="E4" s="61"/>
      <c r="F4" s="61"/>
      <c r="G4" s="61"/>
      <c r="H4" s="61"/>
      <c r="I4" s="61"/>
      <c r="J4" s="61"/>
      <c r="K4" s="62"/>
    </row>
    <row r="5" spans="1:11" ht="15.75" x14ac:dyDescent="0.25">
      <c r="C5" s="8"/>
      <c r="D5" s="49"/>
      <c r="E5" s="18"/>
      <c r="F5" s="17"/>
      <c r="G5" s="17"/>
      <c r="I5" s="26"/>
      <c r="J5" s="19"/>
      <c r="K5" s="9" t="s">
        <v>0</v>
      </c>
    </row>
    <row r="6" spans="1:11" ht="15.75" x14ac:dyDescent="0.25">
      <c r="C6" s="45"/>
      <c r="D6" s="48"/>
      <c r="E6" s="20"/>
      <c r="F6" s="21"/>
      <c r="G6" s="21"/>
      <c r="I6" s="26"/>
      <c r="J6" s="63"/>
      <c r="K6" s="64"/>
    </row>
    <row r="7" spans="1:11" ht="16.5" thickBot="1" x14ac:dyDescent="0.3">
      <c r="C7" s="46"/>
      <c r="D7" s="47"/>
      <c r="E7" s="11"/>
      <c r="F7" s="12"/>
      <c r="G7" s="12"/>
      <c r="H7" s="12"/>
      <c r="I7" s="27"/>
      <c r="J7" s="27"/>
      <c r="K7" s="28"/>
    </row>
    <row r="8" spans="1:11" s="29" customFormat="1" ht="7.5" customHeight="1" x14ac:dyDescent="0.25">
      <c r="C8" s="30"/>
      <c r="D8" s="30"/>
      <c r="E8" s="30"/>
      <c r="F8" s="33"/>
      <c r="G8" s="33"/>
      <c r="H8" s="34"/>
      <c r="I8" s="30"/>
    </row>
    <row r="9" spans="1:11" ht="15.75" x14ac:dyDescent="0.25">
      <c r="C9" s="39"/>
      <c r="D9" s="39"/>
      <c r="E9" s="39" t="s">
        <v>11</v>
      </c>
      <c r="F9" s="65">
        <f>SUM(H15:H740)</f>
        <v>0</v>
      </c>
      <c r="G9" s="65"/>
      <c r="H9" s="21"/>
    </row>
    <row r="10" spans="1:11" ht="15.75" x14ac:dyDescent="0.25">
      <c r="C10" s="39" t="s">
        <v>1</v>
      </c>
      <c r="D10" s="39"/>
      <c r="E10" s="39" t="s">
        <v>13</v>
      </c>
      <c r="F10" s="65">
        <f>SUMIF(I15:I740,"&lt;&gt;Sim",J15:J740)</f>
        <v>0</v>
      </c>
      <c r="G10" s="66"/>
      <c r="H10" s="37"/>
    </row>
    <row r="11" spans="1:11" ht="15.75" x14ac:dyDescent="0.25">
      <c r="C11" s="39" t="s">
        <v>16</v>
      </c>
      <c r="D11" s="39"/>
      <c r="E11" s="39" t="s">
        <v>12</v>
      </c>
      <c r="F11" s="65">
        <f ca="1">SUMIF(K15:K740,"=Próximos sete dias",J15:J740)</f>
        <v>0</v>
      </c>
      <c r="G11" s="66"/>
      <c r="H11" s="38"/>
    </row>
    <row r="12" spans="1:11" ht="16.5" thickBot="1" x14ac:dyDescent="0.3">
      <c r="C12" s="10"/>
      <c r="D12" s="10"/>
      <c r="E12" s="39" t="s">
        <v>14</v>
      </c>
      <c r="F12" s="59">
        <v>0</v>
      </c>
      <c r="G12" s="59"/>
      <c r="H12" s="35"/>
      <c r="I12" s="10"/>
    </row>
    <row r="13" spans="1:11" s="29" customFormat="1" ht="7.5" customHeight="1" thickTop="1" thickBot="1" x14ac:dyDescent="0.3">
      <c r="C13" s="30"/>
      <c r="D13" s="30"/>
      <c r="E13" s="30"/>
      <c r="F13" s="31"/>
      <c r="G13" s="31"/>
      <c r="H13" s="32"/>
      <c r="I13" s="30"/>
    </row>
    <row r="14" spans="1:11" ht="15.75" thickTop="1" x14ac:dyDescent="0.25">
      <c r="C14" s="50" t="s">
        <v>4</v>
      </c>
      <c r="D14" s="51" t="s">
        <v>5</v>
      </c>
      <c r="E14" s="51" t="s">
        <v>7</v>
      </c>
      <c r="F14" s="51" t="s">
        <v>6</v>
      </c>
      <c r="G14" s="51" t="s">
        <v>8</v>
      </c>
      <c r="H14" s="51" t="s">
        <v>15</v>
      </c>
      <c r="I14" s="51" t="s">
        <v>10</v>
      </c>
      <c r="J14" s="51" t="s">
        <v>2</v>
      </c>
      <c r="K14" s="52" t="s">
        <v>9</v>
      </c>
    </row>
    <row r="15" spans="1:11" x14ac:dyDescent="0.25">
      <c r="C15" s="53"/>
      <c r="D15" s="54"/>
      <c r="E15" s="55"/>
      <c r="F15" s="54"/>
      <c r="G15" s="56"/>
      <c r="H15" s="57"/>
      <c r="I15" s="36" t="str">
        <f>IF(C15="","",IF(H15&lt;=0,"Em aberto",IF(H15&gt;=G15,"Pagamento Total",IF(H15&lt;G15,"Pagamento Parcial"))))</f>
        <v/>
      </c>
      <c r="J15" s="36">
        <f>IF(C15&gt;0,G15-H15,0)</f>
        <v>0</v>
      </c>
      <c r="K15" s="36" t="str">
        <f ca="1">IF(ISBLANK(C15),"",IF(H15=G15,"Pago",IF(C15=TODAY(),"Vence Hoje",IF(TRIM(UPPER(G14))&lt;&gt;"S",IF(C15-TODAY()&lt;0,"Vencida",IF(C15-TODAY()&lt;8,"Próximos sete dias","Em aberto"))))))</f>
        <v/>
      </c>
    </row>
    <row r="16" spans="1:11" x14ac:dyDescent="0.25">
      <c r="C16" s="53"/>
      <c r="D16" s="54"/>
      <c r="E16" s="55"/>
      <c r="F16" s="54"/>
      <c r="G16" s="56"/>
      <c r="H16" s="57"/>
      <c r="I16" s="36" t="str">
        <f t="shared" ref="I16:I79" si="0">IF(C16="","",IF(H16&lt;=0,"Em aberto",IF(H16&gt;=G16,"Pagamento Total",IF(H16&lt;G16,"Pagamento Parcial"))))</f>
        <v/>
      </c>
      <c r="J16" s="36">
        <f t="shared" ref="J16:J79" si="1">IF(C16&gt;0,G16-H16,0)</f>
        <v>0</v>
      </c>
      <c r="K16" s="36" t="str">
        <f t="shared" ref="K16:K79" ca="1" si="2">IF(ISBLANK(C16),"",IF(H16=G16,"Pago",IF(C16=TODAY(),"Vence Hoje",IF(TRIM(UPPER(G15))&lt;&gt;"S",IF(C16-TODAY()&lt;0,"Vencida",IF(C16-TODAY()&lt;8,"Próximos sete dias","Em aberto"))))))</f>
        <v/>
      </c>
    </row>
    <row r="17" spans="3:11" x14ac:dyDescent="0.25">
      <c r="C17" s="53"/>
      <c r="D17" s="54"/>
      <c r="E17" s="55"/>
      <c r="F17" s="54"/>
      <c r="G17" s="56"/>
      <c r="H17" s="57"/>
      <c r="I17" s="36" t="str">
        <f t="shared" si="0"/>
        <v/>
      </c>
      <c r="J17" s="36">
        <f t="shared" si="1"/>
        <v>0</v>
      </c>
      <c r="K17" s="36" t="str">
        <f t="shared" ca="1" si="2"/>
        <v/>
      </c>
    </row>
    <row r="18" spans="3:11" x14ac:dyDescent="0.25">
      <c r="C18" s="53"/>
      <c r="D18" s="54"/>
      <c r="E18" s="55"/>
      <c r="F18" s="54"/>
      <c r="G18" s="56"/>
      <c r="H18" s="57"/>
      <c r="I18" s="36" t="str">
        <f t="shared" si="0"/>
        <v/>
      </c>
      <c r="J18" s="36">
        <f t="shared" si="1"/>
        <v>0</v>
      </c>
      <c r="K18" s="36" t="str">
        <f t="shared" ca="1" si="2"/>
        <v/>
      </c>
    </row>
    <row r="19" spans="3:11" x14ac:dyDescent="0.25">
      <c r="C19" s="53"/>
      <c r="D19" s="54"/>
      <c r="E19" s="55"/>
      <c r="F19" s="54"/>
      <c r="G19" s="56"/>
      <c r="H19" s="57"/>
      <c r="I19" s="36" t="str">
        <f t="shared" si="0"/>
        <v/>
      </c>
      <c r="J19" s="36">
        <f t="shared" si="1"/>
        <v>0</v>
      </c>
      <c r="K19" s="36" t="str">
        <f t="shared" ca="1" si="2"/>
        <v/>
      </c>
    </row>
    <row r="20" spans="3:11" x14ac:dyDescent="0.25">
      <c r="C20" s="53"/>
      <c r="D20" s="54"/>
      <c r="E20" s="55"/>
      <c r="F20" s="54"/>
      <c r="G20" s="56"/>
      <c r="H20" s="57"/>
      <c r="I20" s="36" t="str">
        <f t="shared" si="0"/>
        <v/>
      </c>
      <c r="J20" s="36">
        <f t="shared" si="1"/>
        <v>0</v>
      </c>
      <c r="K20" s="36" t="str">
        <f t="shared" ca="1" si="2"/>
        <v/>
      </c>
    </row>
    <row r="21" spans="3:11" x14ac:dyDescent="0.25">
      <c r="C21" s="53"/>
      <c r="D21" s="54"/>
      <c r="E21" s="55"/>
      <c r="F21" s="54"/>
      <c r="G21" s="56"/>
      <c r="H21" s="57"/>
      <c r="I21" s="36" t="str">
        <f t="shared" si="0"/>
        <v/>
      </c>
      <c r="J21" s="36">
        <f t="shared" si="1"/>
        <v>0</v>
      </c>
      <c r="K21" s="36" t="str">
        <f t="shared" ca="1" si="2"/>
        <v/>
      </c>
    </row>
    <row r="22" spans="3:11" x14ac:dyDescent="0.25">
      <c r="C22" s="53"/>
      <c r="D22" s="54"/>
      <c r="E22" s="55"/>
      <c r="F22" s="54"/>
      <c r="G22" s="56"/>
      <c r="H22" s="57"/>
      <c r="I22" s="36" t="str">
        <f t="shared" si="0"/>
        <v/>
      </c>
      <c r="J22" s="36">
        <f t="shared" si="1"/>
        <v>0</v>
      </c>
      <c r="K22" s="36" t="str">
        <f t="shared" ca="1" si="2"/>
        <v/>
      </c>
    </row>
    <row r="23" spans="3:11" x14ac:dyDescent="0.25">
      <c r="C23" s="53"/>
      <c r="D23" s="54"/>
      <c r="E23" s="55"/>
      <c r="F23" s="54"/>
      <c r="G23" s="56"/>
      <c r="H23" s="57"/>
      <c r="I23" s="36" t="str">
        <f t="shared" si="0"/>
        <v/>
      </c>
      <c r="J23" s="36">
        <f t="shared" si="1"/>
        <v>0</v>
      </c>
      <c r="K23" s="36" t="str">
        <f t="shared" ca="1" si="2"/>
        <v/>
      </c>
    </row>
    <row r="24" spans="3:11" x14ac:dyDescent="0.25">
      <c r="C24" s="53"/>
      <c r="D24" s="54"/>
      <c r="E24" s="55"/>
      <c r="F24" s="54"/>
      <c r="G24" s="56"/>
      <c r="H24" s="57"/>
      <c r="I24" s="36" t="str">
        <f t="shared" si="0"/>
        <v/>
      </c>
      <c r="J24" s="36">
        <f t="shared" si="1"/>
        <v>0</v>
      </c>
      <c r="K24" s="36" t="str">
        <f t="shared" ca="1" si="2"/>
        <v/>
      </c>
    </row>
    <row r="25" spans="3:11" x14ac:dyDescent="0.25">
      <c r="C25" s="53"/>
      <c r="D25" s="54"/>
      <c r="E25" s="55"/>
      <c r="F25" s="54"/>
      <c r="G25" s="56"/>
      <c r="H25" s="57"/>
      <c r="I25" s="36" t="str">
        <f t="shared" si="0"/>
        <v/>
      </c>
      <c r="J25" s="36">
        <f t="shared" si="1"/>
        <v>0</v>
      </c>
      <c r="K25" s="36" t="str">
        <f t="shared" ca="1" si="2"/>
        <v/>
      </c>
    </row>
    <row r="26" spans="3:11" x14ac:dyDescent="0.25">
      <c r="C26" s="53"/>
      <c r="D26" s="54"/>
      <c r="E26" s="55"/>
      <c r="F26" s="54"/>
      <c r="G26" s="56"/>
      <c r="H26" s="57"/>
      <c r="I26" s="36" t="str">
        <f t="shared" si="0"/>
        <v/>
      </c>
      <c r="J26" s="36">
        <f t="shared" si="1"/>
        <v>0</v>
      </c>
      <c r="K26" s="36" t="str">
        <f t="shared" ca="1" si="2"/>
        <v/>
      </c>
    </row>
    <row r="27" spans="3:11" x14ac:dyDescent="0.25">
      <c r="C27" s="53"/>
      <c r="D27" s="54"/>
      <c r="E27" s="55"/>
      <c r="F27" s="54"/>
      <c r="G27" s="56"/>
      <c r="H27" s="57"/>
      <c r="I27" s="36" t="str">
        <f t="shared" si="0"/>
        <v/>
      </c>
      <c r="J27" s="36">
        <f t="shared" si="1"/>
        <v>0</v>
      </c>
      <c r="K27" s="36" t="str">
        <f t="shared" ca="1" si="2"/>
        <v/>
      </c>
    </row>
    <row r="28" spans="3:11" x14ac:dyDescent="0.25">
      <c r="C28" s="53"/>
      <c r="D28" s="54"/>
      <c r="E28" s="55"/>
      <c r="F28" s="54"/>
      <c r="G28" s="56"/>
      <c r="H28" s="57"/>
      <c r="I28" s="36" t="str">
        <f t="shared" si="0"/>
        <v/>
      </c>
      <c r="J28" s="36">
        <f t="shared" si="1"/>
        <v>0</v>
      </c>
      <c r="K28" s="36" t="str">
        <f t="shared" ca="1" si="2"/>
        <v/>
      </c>
    </row>
    <row r="29" spans="3:11" x14ac:dyDescent="0.25">
      <c r="C29" s="53"/>
      <c r="D29" s="54"/>
      <c r="E29" s="55"/>
      <c r="F29" s="54"/>
      <c r="G29" s="56"/>
      <c r="H29" s="57"/>
      <c r="I29" s="36" t="str">
        <f t="shared" si="0"/>
        <v/>
      </c>
      <c r="J29" s="36">
        <f t="shared" si="1"/>
        <v>0</v>
      </c>
      <c r="K29" s="36" t="str">
        <f t="shared" ca="1" si="2"/>
        <v/>
      </c>
    </row>
    <row r="30" spans="3:11" x14ac:dyDescent="0.25">
      <c r="C30" s="53"/>
      <c r="D30" s="54"/>
      <c r="E30" s="55"/>
      <c r="F30" s="54"/>
      <c r="G30" s="56"/>
      <c r="H30" s="57"/>
      <c r="I30" s="36" t="str">
        <f t="shared" si="0"/>
        <v/>
      </c>
      <c r="J30" s="36">
        <f t="shared" si="1"/>
        <v>0</v>
      </c>
      <c r="K30" s="36" t="str">
        <f t="shared" ca="1" si="2"/>
        <v/>
      </c>
    </row>
    <row r="31" spans="3:11" x14ac:dyDescent="0.25">
      <c r="C31" s="53"/>
      <c r="D31" s="54"/>
      <c r="E31" s="55"/>
      <c r="F31" s="54"/>
      <c r="G31" s="56"/>
      <c r="H31" s="57"/>
      <c r="I31" s="36" t="str">
        <f t="shared" si="0"/>
        <v/>
      </c>
      <c r="J31" s="36">
        <f t="shared" si="1"/>
        <v>0</v>
      </c>
      <c r="K31" s="36" t="str">
        <f t="shared" ca="1" si="2"/>
        <v/>
      </c>
    </row>
    <row r="32" spans="3:11" x14ac:dyDescent="0.25">
      <c r="C32" s="53"/>
      <c r="D32" s="54"/>
      <c r="E32" s="55"/>
      <c r="F32" s="54"/>
      <c r="G32" s="56"/>
      <c r="H32" s="57"/>
      <c r="I32" s="36" t="str">
        <f t="shared" si="0"/>
        <v/>
      </c>
      <c r="J32" s="36">
        <f t="shared" si="1"/>
        <v>0</v>
      </c>
      <c r="K32" s="36" t="str">
        <f t="shared" ca="1" si="2"/>
        <v/>
      </c>
    </row>
    <row r="33" spans="3:11" x14ac:dyDescent="0.25">
      <c r="C33" s="53"/>
      <c r="D33" s="54"/>
      <c r="E33" s="55"/>
      <c r="F33" s="54"/>
      <c r="G33" s="56"/>
      <c r="H33" s="57"/>
      <c r="I33" s="36" t="str">
        <f t="shared" si="0"/>
        <v/>
      </c>
      <c r="J33" s="36">
        <f t="shared" si="1"/>
        <v>0</v>
      </c>
      <c r="K33" s="36" t="str">
        <f t="shared" ca="1" si="2"/>
        <v/>
      </c>
    </row>
    <row r="34" spans="3:11" x14ac:dyDescent="0.25">
      <c r="C34" s="53"/>
      <c r="D34" s="54"/>
      <c r="E34" s="55"/>
      <c r="F34" s="54"/>
      <c r="G34" s="56"/>
      <c r="H34" s="57"/>
      <c r="I34" s="36" t="str">
        <f t="shared" si="0"/>
        <v/>
      </c>
      <c r="J34" s="36">
        <f t="shared" si="1"/>
        <v>0</v>
      </c>
      <c r="K34" s="36" t="str">
        <f t="shared" ca="1" si="2"/>
        <v/>
      </c>
    </row>
    <row r="35" spans="3:11" x14ac:dyDescent="0.25">
      <c r="C35" s="53"/>
      <c r="D35" s="54"/>
      <c r="E35" s="55"/>
      <c r="F35" s="54"/>
      <c r="G35" s="56"/>
      <c r="H35" s="57"/>
      <c r="I35" s="36" t="str">
        <f t="shared" si="0"/>
        <v/>
      </c>
      <c r="J35" s="36">
        <f t="shared" si="1"/>
        <v>0</v>
      </c>
      <c r="K35" s="36" t="str">
        <f t="shared" ca="1" si="2"/>
        <v/>
      </c>
    </row>
    <row r="36" spans="3:11" x14ac:dyDescent="0.25">
      <c r="C36" s="53"/>
      <c r="D36" s="54"/>
      <c r="E36" s="55"/>
      <c r="F36" s="54"/>
      <c r="G36" s="56"/>
      <c r="H36" s="57"/>
      <c r="I36" s="36" t="str">
        <f t="shared" si="0"/>
        <v/>
      </c>
      <c r="J36" s="36">
        <f t="shared" si="1"/>
        <v>0</v>
      </c>
      <c r="K36" s="36" t="str">
        <f t="shared" ca="1" si="2"/>
        <v/>
      </c>
    </row>
    <row r="37" spans="3:11" x14ac:dyDescent="0.25">
      <c r="C37" s="53"/>
      <c r="D37" s="54"/>
      <c r="E37" s="55"/>
      <c r="F37" s="54"/>
      <c r="G37" s="56"/>
      <c r="H37" s="57"/>
      <c r="I37" s="36" t="str">
        <f t="shared" si="0"/>
        <v/>
      </c>
      <c r="J37" s="36">
        <f t="shared" si="1"/>
        <v>0</v>
      </c>
      <c r="K37" s="36" t="str">
        <f t="shared" ca="1" si="2"/>
        <v/>
      </c>
    </row>
    <row r="38" spans="3:11" x14ac:dyDescent="0.25">
      <c r="C38" s="53"/>
      <c r="D38" s="54"/>
      <c r="E38" s="55"/>
      <c r="F38" s="54"/>
      <c r="G38" s="56"/>
      <c r="H38" s="57"/>
      <c r="I38" s="36" t="str">
        <f t="shared" si="0"/>
        <v/>
      </c>
      <c r="J38" s="36">
        <f t="shared" si="1"/>
        <v>0</v>
      </c>
      <c r="K38" s="36" t="str">
        <f t="shared" ca="1" si="2"/>
        <v/>
      </c>
    </row>
    <row r="39" spans="3:11" x14ac:dyDescent="0.25">
      <c r="C39" s="53"/>
      <c r="D39" s="54"/>
      <c r="E39" s="55"/>
      <c r="F39" s="54"/>
      <c r="G39" s="56"/>
      <c r="H39" s="57"/>
      <c r="I39" s="36" t="str">
        <f t="shared" si="0"/>
        <v/>
      </c>
      <c r="J39" s="36">
        <f t="shared" si="1"/>
        <v>0</v>
      </c>
      <c r="K39" s="36" t="str">
        <f t="shared" ca="1" si="2"/>
        <v/>
      </c>
    </row>
    <row r="40" spans="3:11" x14ac:dyDescent="0.25">
      <c r="C40" s="53"/>
      <c r="D40" s="54"/>
      <c r="E40" s="55"/>
      <c r="F40" s="54"/>
      <c r="G40" s="56"/>
      <c r="H40" s="57"/>
      <c r="I40" s="36" t="str">
        <f t="shared" si="0"/>
        <v/>
      </c>
      <c r="J40" s="36">
        <f t="shared" si="1"/>
        <v>0</v>
      </c>
      <c r="K40" s="36" t="str">
        <f t="shared" ca="1" si="2"/>
        <v/>
      </c>
    </row>
    <row r="41" spans="3:11" x14ac:dyDescent="0.25">
      <c r="C41" s="53"/>
      <c r="D41" s="54"/>
      <c r="E41" s="55"/>
      <c r="F41" s="54"/>
      <c r="G41" s="56"/>
      <c r="H41" s="57"/>
      <c r="I41" s="36" t="str">
        <f t="shared" si="0"/>
        <v/>
      </c>
      <c r="J41" s="36">
        <f t="shared" si="1"/>
        <v>0</v>
      </c>
      <c r="K41" s="36" t="str">
        <f t="shared" ca="1" si="2"/>
        <v/>
      </c>
    </row>
    <row r="42" spans="3:11" x14ac:dyDescent="0.25">
      <c r="C42" s="53"/>
      <c r="D42" s="54"/>
      <c r="E42" s="55"/>
      <c r="F42" s="54"/>
      <c r="G42" s="56"/>
      <c r="H42" s="57"/>
      <c r="I42" s="36" t="str">
        <f t="shared" si="0"/>
        <v/>
      </c>
      <c r="J42" s="36">
        <f t="shared" si="1"/>
        <v>0</v>
      </c>
      <c r="K42" s="36" t="str">
        <f t="shared" ca="1" si="2"/>
        <v/>
      </c>
    </row>
    <row r="43" spans="3:11" x14ac:dyDescent="0.25">
      <c r="C43" s="53"/>
      <c r="D43" s="54"/>
      <c r="E43" s="55"/>
      <c r="F43" s="54"/>
      <c r="G43" s="56"/>
      <c r="H43" s="57"/>
      <c r="I43" s="36" t="str">
        <f t="shared" si="0"/>
        <v/>
      </c>
      <c r="J43" s="36">
        <f t="shared" si="1"/>
        <v>0</v>
      </c>
      <c r="K43" s="36" t="str">
        <f t="shared" ca="1" si="2"/>
        <v/>
      </c>
    </row>
    <row r="44" spans="3:11" x14ac:dyDescent="0.25">
      <c r="C44" s="53"/>
      <c r="D44" s="54"/>
      <c r="E44" s="55"/>
      <c r="F44" s="54"/>
      <c r="G44" s="56"/>
      <c r="H44" s="57"/>
      <c r="I44" s="36" t="str">
        <f t="shared" si="0"/>
        <v/>
      </c>
      <c r="J44" s="36">
        <f t="shared" si="1"/>
        <v>0</v>
      </c>
      <c r="K44" s="36" t="str">
        <f t="shared" ca="1" si="2"/>
        <v/>
      </c>
    </row>
    <row r="45" spans="3:11" x14ac:dyDescent="0.25">
      <c r="C45" s="53"/>
      <c r="D45" s="54"/>
      <c r="E45" s="55"/>
      <c r="F45" s="54"/>
      <c r="G45" s="56"/>
      <c r="H45" s="57"/>
      <c r="I45" s="36" t="str">
        <f t="shared" si="0"/>
        <v/>
      </c>
      <c r="J45" s="36">
        <f t="shared" si="1"/>
        <v>0</v>
      </c>
      <c r="K45" s="36" t="str">
        <f t="shared" ca="1" si="2"/>
        <v/>
      </c>
    </row>
    <row r="46" spans="3:11" x14ac:dyDescent="0.25">
      <c r="C46" s="53"/>
      <c r="D46" s="54"/>
      <c r="E46" s="55"/>
      <c r="F46" s="54"/>
      <c r="G46" s="56"/>
      <c r="H46" s="57"/>
      <c r="I46" s="36" t="str">
        <f t="shared" si="0"/>
        <v/>
      </c>
      <c r="J46" s="36">
        <f t="shared" si="1"/>
        <v>0</v>
      </c>
      <c r="K46" s="36" t="str">
        <f t="shared" ca="1" si="2"/>
        <v/>
      </c>
    </row>
    <row r="47" spans="3:11" x14ac:dyDescent="0.25">
      <c r="C47" s="53"/>
      <c r="D47" s="54"/>
      <c r="E47" s="55"/>
      <c r="F47" s="54"/>
      <c r="G47" s="56"/>
      <c r="H47" s="57"/>
      <c r="I47" s="36" t="str">
        <f t="shared" si="0"/>
        <v/>
      </c>
      <c r="J47" s="36">
        <f t="shared" si="1"/>
        <v>0</v>
      </c>
      <c r="K47" s="36" t="str">
        <f t="shared" ca="1" si="2"/>
        <v/>
      </c>
    </row>
    <row r="48" spans="3:11" x14ac:dyDescent="0.25">
      <c r="C48" s="53"/>
      <c r="D48" s="54"/>
      <c r="E48" s="55"/>
      <c r="F48" s="54"/>
      <c r="G48" s="56"/>
      <c r="H48" s="57"/>
      <c r="I48" s="36" t="str">
        <f t="shared" si="0"/>
        <v/>
      </c>
      <c r="J48" s="36">
        <f t="shared" si="1"/>
        <v>0</v>
      </c>
      <c r="K48" s="36" t="str">
        <f t="shared" ca="1" si="2"/>
        <v/>
      </c>
    </row>
    <row r="49" spans="3:11" x14ac:dyDescent="0.25">
      <c r="C49" s="53"/>
      <c r="D49" s="54"/>
      <c r="E49" s="55"/>
      <c r="F49" s="54"/>
      <c r="G49" s="56"/>
      <c r="H49" s="57"/>
      <c r="I49" s="36" t="str">
        <f t="shared" si="0"/>
        <v/>
      </c>
      <c r="J49" s="36">
        <f t="shared" si="1"/>
        <v>0</v>
      </c>
      <c r="K49" s="36" t="str">
        <f t="shared" ca="1" si="2"/>
        <v/>
      </c>
    </row>
    <row r="50" spans="3:11" x14ac:dyDescent="0.25">
      <c r="C50" s="53"/>
      <c r="D50" s="54"/>
      <c r="E50" s="55"/>
      <c r="F50" s="54"/>
      <c r="G50" s="56"/>
      <c r="H50" s="57"/>
      <c r="I50" s="36" t="str">
        <f t="shared" si="0"/>
        <v/>
      </c>
      <c r="J50" s="36">
        <f t="shared" si="1"/>
        <v>0</v>
      </c>
      <c r="K50" s="36" t="str">
        <f t="shared" ca="1" si="2"/>
        <v/>
      </c>
    </row>
    <row r="51" spans="3:11" x14ac:dyDescent="0.25">
      <c r="C51" s="53"/>
      <c r="D51" s="54"/>
      <c r="E51" s="55"/>
      <c r="F51" s="54"/>
      <c r="G51" s="56"/>
      <c r="H51" s="57"/>
      <c r="I51" s="36" t="str">
        <f t="shared" si="0"/>
        <v/>
      </c>
      <c r="J51" s="36">
        <f t="shared" si="1"/>
        <v>0</v>
      </c>
      <c r="K51" s="36" t="str">
        <f t="shared" ca="1" si="2"/>
        <v/>
      </c>
    </row>
    <row r="52" spans="3:11" x14ac:dyDescent="0.25">
      <c r="C52" s="53"/>
      <c r="D52" s="54"/>
      <c r="E52" s="55"/>
      <c r="F52" s="54"/>
      <c r="G52" s="56"/>
      <c r="H52" s="57"/>
      <c r="I52" s="36" t="str">
        <f t="shared" si="0"/>
        <v/>
      </c>
      <c r="J52" s="36">
        <f t="shared" si="1"/>
        <v>0</v>
      </c>
      <c r="K52" s="36" t="str">
        <f t="shared" ca="1" si="2"/>
        <v/>
      </c>
    </row>
    <row r="53" spans="3:11" x14ac:dyDescent="0.25">
      <c r="C53" s="53"/>
      <c r="D53" s="54"/>
      <c r="E53" s="55"/>
      <c r="F53" s="54"/>
      <c r="G53" s="56"/>
      <c r="H53" s="57"/>
      <c r="I53" s="36" t="str">
        <f t="shared" si="0"/>
        <v/>
      </c>
      <c r="J53" s="36">
        <f t="shared" si="1"/>
        <v>0</v>
      </c>
      <c r="K53" s="36" t="str">
        <f t="shared" ca="1" si="2"/>
        <v/>
      </c>
    </row>
    <row r="54" spans="3:11" x14ac:dyDescent="0.25">
      <c r="C54" s="53"/>
      <c r="D54" s="54"/>
      <c r="E54" s="55"/>
      <c r="F54" s="54"/>
      <c r="G54" s="56"/>
      <c r="H54" s="57"/>
      <c r="I54" s="36" t="str">
        <f t="shared" si="0"/>
        <v/>
      </c>
      <c r="J54" s="36">
        <f t="shared" si="1"/>
        <v>0</v>
      </c>
      <c r="K54" s="36" t="str">
        <f t="shared" ca="1" si="2"/>
        <v/>
      </c>
    </row>
    <row r="55" spans="3:11" x14ac:dyDescent="0.25">
      <c r="C55" s="53"/>
      <c r="D55" s="54"/>
      <c r="E55" s="55"/>
      <c r="F55" s="54"/>
      <c r="G55" s="56"/>
      <c r="H55" s="57"/>
      <c r="I55" s="36" t="str">
        <f t="shared" si="0"/>
        <v/>
      </c>
      <c r="J55" s="36">
        <f t="shared" si="1"/>
        <v>0</v>
      </c>
      <c r="K55" s="36" t="str">
        <f t="shared" ca="1" si="2"/>
        <v/>
      </c>
    </row>
    <row r="56" spans="3:11" x14ac:dyDescent="0.25">
      <c r="C56" s="53"/>
      <c r="D56" s="54"/>
      <c r="E56" s="55"/>
      <c r="F56" s="54"/>
      <c r="G56" s="56"/>
      <c r="H56" s="56"/>
      <c r="I56" s="36" t="str">
        <f t="shared" si="0"/>
        <v/>
      </c>
      <c r="J56" s="36">
        <f t="shared" si="1"/>
        <v>0</v>
      </c>
      <c r="K56" s="36" t="str">
        <f t="shared" ca="1" si="2"/>
        <v/>
      </c>
    </row>
    <row r="57" spans="3:11" x14ac:dyDescent="0.25">
      <c r="C57" s="53"/>
      <c r="D57" s="54"/>
      <c r="E57" s="55"/>
      <c r="F57" s="54"/>
      <c r="G57" s="56"/>
      <c r="H57" s="56"/>
      <c r="I57" s="36" t="str">
        <f t="shared" si="0"/>
        <v/>
      </c>
      <c r="J57" s="36">
        <f t="shared" si="1"/>
        <v>0</v>
      </c>
      <c r="K57" s="36" t="str">
        <f t="shared" ca="1" si="2"/>
        <v/>
      </c>
    </row>
    <row r="58" spans="3:11" x14ac:dyDescent="0.25">
      <c r="C58" s="53"/>
      <c r="D58" s="54"/>
      <c r="E58" s="55"/>
      <c r="F58" s="54"/>
      <c r="G58" s="56"/>
      <c r="H58" s="56"/>
      <c r="I58" s="36" t="str">
        <f t="shared" si="0"/>
        <v/>
      </c>
      <c r="J58" s="36">
        <f t="shared" si="1"/>
        <v>0</v>
      </c>
      <c r="K58" s="36" t="str">
        <f t="shared" ca="1" si="2"/>
        <v/>
      </c>
    </row>
    <row r="59" spans="3:11" x14ac:dyDescent="0.25">
      <c r="C59" s="53"/>
      <c r="D59" s="54"/>
      <c r="E59" s="55"/>
      <c r="F59" s="54"/>
      <c r="G59" s="56"/>
      <c r="H59" s="56"/>
      <c r="I59" s="36" t="str">
        <f t="shared" si="0"/>
        <v/>
      </c>
      <c r="J59" s="36">
        <f t="shared" si="1"/>
        <v>0</v>
      </c>
      <c r="K59" s="36" t="str">
        <f t="shared" ca="1" si="2"/>
        <v/>
      </c>
    </row>
    <row r="60" spans="3:11" x14ac:dyDescent="0.25">
      <c r="C60" s="53"/>
      <c r="D60" s="54"/>
      <c r="E60" s="55"/>
      <c r="F60" s="54"/>
      <c r="G60" s="56"/>
      <c r="H60" s="56"/>
      <c r="I60" s="36" t="str">
        <f t="shared" si="0"/>
        <v/>
      </c>
      <c r="J60" s="36">
        <f t="shared" si="1"/>
        <v>0</v>
      </c>
      <c r="K60" s="36" t="str">
        <f t="shared" ca="1" si="2"/>
        <v/>
      </c>
    </row>
    <row r="61" spans="3:11" x14ac:dyDescent="0.25">
      <c r="C61" s="53"/>
      <c r="D61" s="54"/>
      <c r="E61" s="55"/>
      <c r="F61" s="54"/>
      <c r="G61" s="56"/>
      <c r="H61" s="56"/>
      <c r="I61" s="36" t="str">
        <f t="shared" si="0"/>
        <v/>
      </c>
      <c r="J61" s="36">
        <f t="shared" si="1"/>
        <v>0</v>
      </c>
      <c r="K61" s="36" t="str">
        <f t="shared" ca="1" si="2"/>
        <v/>
      </c>
    </row>
    <row r="62" spans="3:11" x14ac:dyDescent="0.25">
      <c r="C62" s="53"/>
      <c r="D62" s="54"/>
      <c r="E62" s="55"/>
      <c r="F62" s="54"/>
      <c r="G62" s="56"/>
      <c r="H62" s="56"/>
      <c r="I62" s="36" t="str">
        <f t="shared" si="0"/>
        <v/>
      </c>
      <c r="J62" s="36">
        <f t="shared" si="1"/>
        <v>0</v>
      </c>
      <c r="K62" s="36" t="str">
        <f t="shared" ca="1" si="2"/>
        <v/>
      </c>
    </row>
    <row r="63" spans="3:11" x14ac:dyDescent="0.25">
      <c r="C63" s="53"/>
      <c r="D63" s="54"/>
      <c r="E63" s="55"/>
      <c r="F63" s="54"/>
      <c r="G63" s="56"/>
      <c r="H63" s="56"/>
      <c r="I63" s="36" t="str">
        <f t="shared" si="0"/>
        <v/>
      </c>
      <c r="J63" s="36">
        <f t="shared" si="1"/>
        <v>0</v>
      </c>
      <c r="K63" s="36" t="str">
        <f t="shared" ca="1" si="2"/>
        <v/>
      </c>
    </row>
    <row r="64" spans="3:11" x14ac:dyDescent="0.25">
      <c r="C64" s="53"/>
      <c r="D64" s="54"/>
      <c r="E64" s="55"/>
      <c r="F64" s="54"/>
      <c r="G64" s="56"/>
      <c r="H64" s="56"/>
      <c r="I64" s="36" t="str">
        <f t="shared" si="0"/>
        <v/>
      </c>
      <c r="J64" s="36">
        <f t="shared" si="1"/>
        <v>0</v>
      </c>
      <c r="K64" s="36" t="str">
        <f t="shared" ca="1" si="2"/>
        <v/>
      </c>
    </row>
    <row r="65" spans="3:11" x14ac:dyDescent="0.25">
      <c r="C65" s="53"/>
      <c r="D65" s="54"/>
      <c r="E65" s="55"/>
      <c r="F65" s="54"/>
      <c r="G65" s="56"/>
      <c r="H65" s="56"/>
      <c r="I65" s="36" t="str">
        <f t="shared" si="0"/>
        <v/>
      </c>
      <c r="J65" s="36">
        <f t="shared" si="1"/>
        <v>0</v>
      </c>
      <c r="K65" s="36" t="str">
        <f t="shared" ca="1" si="2"/>
        <v/>
      </c>
    </row>
    <row r="66" spans="3:11" x14ac:dyDescent="0.25">
      <c r="C66" s="53"/>
      <c r="D66" s="54"/>
      <c r="E66" s="55"/>
      <c r="F66" s="54"/>
      <c r="G66" s="56"/>
      <c r="H66" s="56"/>
      <c r="I66" s="36" t="str">
        <f t="shared" si="0"/>
        <v/>
      </c>
      <c r="J66" s="36">
        <f t="shared" si="1"/>
        <v>0</v>
      </c>
      <c r="K66" s="36" t="str">
        <f t="shared" ca="1" si="2"/>
        <v/>
      </c>
    </row>
    <row r="67" spans="3:11" x14ac:dyDescent="0.25">
      <c r="C67" s="53"/>
      <c r="D67" s="54"/>
      <c r="E67" s="55"/>
      <c r="F67" s="54"/>
      <c r="G67" s="56"/>
      <c r="H67" s="56"/>
      <c r="I67" s="36" t="str">
        <f t="shared" si="0"/>
        <v/>
      </c>
      <c r="J67" s="36">
        <f t="shared" si="1"/>
        <v>0</v>
      </c>
      <c r="K67" s="36" t="str">
        <f t="shared" ca="1" si="2"/>
        <v/>
      </c>
    </row>
    <row r="68" spans="3:11" x14ac:dyDescent="0.25">
      <c r="C68" s="53"/>
      <c r="D68" s="54"/>
      <c r="E68" s="55"/>
      <c r="F68" s="54"/>
      <c r="G68" s="56"/>
      <c r="H68" s="56"/>
      <c r="I68" s="36" t="str">
        <f t="shared" si="0"/>
        <v/>
      </c>
      <c r="J68" s="36">
        <f t="shared" si="1"/>
        <v>0</v>
      </c>
      <c r="K68" s="36" t="str">
        <f t="shared" ca="1" si="2"/>
        <v/>
      </c>
    </row>
    <row r="69" spans="3:11" x14ac:dyDescent="0.25">
      <c r="C69" s="53"/>
      <c r="D69" s="54"/>
      <c r="E69" s="55"/>
      <c r="F69" s="54"/>
      <c r="G69" s="56"/>
      <c r="H69" s="56"/>
      <c r="I69" s="36" t="str">
        <f t="shared" si="0"/>
        <v/>
      </c>
      <c r="J69" s="36">
        <f t="shared" si="1"/>
        <v>0</v>
      </c>
      <c r="K69" s="36" t="str">
        <f t="shared" ca="1" si="2"/>
        <v/>
      </c>
    </row>
    <row r="70" spans="3:11" x14ac:dyDescent="0.25">
      <c r="C70" s="53"/>
      <c r="D70" s="54"/>
      <c r="E70" s="55"/>
      <c r="F70" s="54"/>
      <c r="G70" s="56"/>
      <c r="H70" s="56"/>
      <c r="I70" s="36" t="str">
        <f t="shared" si="0"/>
        <v/>
      </c>
      <c r="J70" s="36">
        <f t="shared" si="1"/>
        <v>0</v>
      </c>
      <c r="K70" s="36" t="str">
        <f t="shared" ca="1" si="2"/>
        <v/>
      </c>
    </row>
    <row r="71" spans="3:11" x14ac:dyDescent="0.25">
      <c r="C71" s="53"/>
      <c r="D71" s="54"/>
      <c r="E71" s="55"/>
      <c r="F71" s="54"/>
      <c r="G71" s="56"/>
      <c r="H71" s="56"/>
      <c r="I71" s="36" t="str">
        <f t="shared" si="0"/>
        <v/>
      </c>
      <c r="J71" s="36">
        <f t="shared" si="1"/>
        <v>0</v>
      </c>
      <c r="K71" s="36" t="str">
        <f t="shared" ca="1" si="2"/>
        <v/>
      </c>
    </row>
    <row r="72" spans="3:11" x14ac:dyDescent="0.25">
      <c r="C72" s="53"/>
      <c r="D72" s="54"/>
      <c r="E72" s="55"/>
      <c r="F72" s="54"/>
      <c r="G72" s="56"/>
      <c r="H72" s="56"/>
      <c r="I72" s="36" t="str">
        <f t="shared" si="0"/>
        <v/>
      </c>
      <c r="J72" s="36">
        <f t="shared" si="1"/>
        <v>0</v>
      </c>
      <c r="K72" s="36" t="str">
        <f t="shared" ca="1" si="2"/>
        <v/>
      </c>
    </row>
    <row r="73" spans="3:11" x14ac:dyDescent="0.25">
      <c r="C73" s="53"/>
      <c r="D73" s="54"/>
      <c r="E73" s="55"/>
      <c r="F73" s="54"/>
      <c r="G73" s="56"/>
      <c r="H73" s="56"/>
      <c r="I73" s="36" t="str">
        <f t="shared" si="0"/>
        <v/>
      </c>
      <c r="J73" s="36">
        <f t="shared" si="1"/>
        <v>0</v>
      </c>
      <c r="K73" s="36" t="str">
        <f t="shared" ca="1" si="2"/>
        <v/>
      </c>
    </row>
    <row r="74" spans="3:11" x14ac:dyDescent="0.25">
      <c r="C74" s="53"/>
      <c r="D74" s="54"/>
      <c r="E74" s="55"/>
      <c r="F74" s="54"/>
      <c r="G74" s="56"/>
      <c r="H74" s="56"/>
      <c r="I74" s="36" t="str">
        <f t="shared" si="0"/>
        <v/>
      </c>
      <c r="J74" s="36">
        <f t="shared" si="1"/>
        <v>0</v>
      </c>
      <c r="K74" s="36" t="str">
        <f t="shared" ca="1" si="2"/>
        <v/>
      </c>
    </row>
    <row r="75" spans="3:11" x14ac:dyDescent="0.25">
      <c r="C75" s="53"/>
      <c r="D75" s="54"/>
      <c r="E75" s="55"/>
      <c r="F75" s="54"/>
      <c r="G75" s="56"/>
      <c r="H75" s="56"/>
      <c r="I75" s="36" t="str">
        <f t="shared" si="0"/>
        <v/>
      </c>
      <c r="J75" s="36">
        <f t="shared" si="1"/>
        <v>0</v>
      </c>
      <c r="K75" s="36" t="str">
        <f t="shared" ca="1" si="2"/>
        <v/>
      </c>
    </row>
    <row r="76" spans="3:11" x14ac:dyDescent="0.25">
      <c r="C76" s="53"/>
      <c r="D76" s="54"/>
      <c r="E76" s="55"/>
      <c r="F76" s="54"/>
      <c r="G76" s="56"/>
      <c r="H76" s="56"/>
      <c r="I76" s="36" t="str">
        <f t="shared" si="0"/>
        <v/>
      </c>
      <c r="J76" s="36">
        <f t="shared" si="1"/>
        <v>0</v>
      </c>
      <c r="K76" s="36" t="str">
        <f t="shared" ca="1" si="2"/>
        <v/>
      </c>
    </row>
    <row r="77" spans="3:11" x14ac:dyDescent="0.25">
      <c r="C77" s="53"/>
      <c r="D77" s="54"/>
      <c r="E77" s="55"/>
      <c r="F77" s="54"/>
      <c r="G77" s="56"/>
      <c r="H77" s="56"/>
      <c r="I77" s="36" t="str">
        <f t="shared" si="0"/>
        <v/>
      </c>
      <c r="J77" s="36">
        <f t="shared" si="1"/>
        <v>0</v>
      </c>
      <c r="K77" s="36" t="str">
        <f t="shared" ca="1" si="2"/>
        <v/>
      </c>
    </row>
    <row r="78" spans="3:11" x14ac:dyDescent="0.25">
      <c r="C78" s="53"/>
      <c r="D78" s="54"/>
      <c r="E78" s="55"/>
      <c r="F78" s="54"/>
      <c r="G78" s="56"/>
      <c r="H78" s="56"/>
      <c r="I78" s="36" t="str">
        <f t="shared" si="0"/>
        <v/>
      </c>
      <c r="J78" s="36">
        <f t="shared" si="1"/>
        <v>0</v>
      </c>
      <c r="K78" s="36" t="str">
        <f t="shared" ca="1" si="2"/>
        <v/>
      </c>
    </row>
    <row r="79" spans="3:11" x14ac:dyDescent="0.25">
      <c r="C79" s="53"/>
      <c r="D79" s="54"/>
      <c r="E79" s="55"/>
      <c r="F79" s="54"/>
      <c r="G79" s="56"/>
      <c r="H79" s="56"/>
      <c r="I79" s="36" t="str">
        <f t="shared" si="0"/>
        <v/>
      </c>
      <c r="J79" s="36">
        <f t="shared" si="1"/>
        <v>0</v>
      </c>
      <c r="K79" s="36" t="str">
        <f t="shared" ca="1" si="2"/>
        <v/>
      </c>
    </row>
    <row r="80" spans="3:11" x14ac:dyDescent="0.25">
      <c r="C80" s="53"/>
      <c r="D80" s="54"/>
      <c r="E80" s="55"/>
      <c r="F80" s="54"/>
      <c r="G80" s="56"/>
      <c r="H80" s="56"/>
      <c r="I80" s="36" t="str">
        <f t="shared" ref="I80:I143" si="3">IF(C80="","",IF(H80&lt;=0,"Em aberto",IF(H80&gt;=G80,"Pagamento Total",IF(H80&lt;G80,"Pagamento Parcial"))))</f>
        <v/>
      </c>
      <c r="J80" s="36">
        <f t="shared" ref="J80:J143" si="4">IF(C80&gt;0,G80-H80,0)</f>
        <v>0</v>
      </c>
      <c r="K80" s="36" t="str">
        <f t="shared" ref="K80:K143" ca="1" si="5">IF(ISBLANK(C80),"",IF(H80=G80,"Pago",IF(C80=TODAY(),"Vence Hoje",IF(TRIM(UPPER(G79))&lt;&gt;"S",IF(C80-TODAY()&lt;0,"Vencida",IF(C80-TODAY()&lt;8,"Próximos sete dias","Em aberto"))))))</f>
        <v/>
      </c>
    </row>
    <row r="81" spans="3:11" x14ac:dyDescent="0.25">
      <c r="C81" s="53"/>
      <c r="D81" s="54"/>
      <c r="E81" s="55"/>
      <c r="F81" s="54"/>
      <c r="G81" s="56"/>
      <c r="H81" s="56"/>
      <c r="I81" s="36" t="str">
        <f t="shared" si="3"/>
        <v/>
      </c>
      <c r="J81" s="36">
        <f t="shared" si="4"/>
        <v>0</v>
      </c>
      <c r="K81" s="36" t="str">
        <f t="shared" ca="1" si="5"/>
        <v/>
      </c>
    </row>
    <row r="82" spans="3:11" x14ac:dyDescent="0.25">
      <c r="C82" s="53"/>
      <c r="D82" s="54"/>
      <c r="E82" s="55"/>
      <c r="F82" s="54"/>
      <c r="G82" s="56"/>
      <c r="H82" s="56"/>
      <c r="I82" s="36" t="str">
        <f t="shared" si="3"/>
        <v/>
      </c>
      <c r="J82" s="36">
        <f t="shared" si="4"/>
        <v>0</v>
      </c>
      <c r="K82" s="36" t="str">
        <f t="shared" ca="1" si="5"/>
        <v/>
      </c>
    </row>
    <row r="83" spans="3:11" x14ac:dyDescent="0.25">
      <c r="C83" s="53"/>
      <c r="D83" s="54"/>
      <c r="E83" s="55"/>
      <c r="F83" s="54"/>
      <c r="G83" s="56"/>
      <c r="H83" s="56"/>
      <c r="I83" s="36" t="str">
        <f t="shared" si="3"/>
        <v/>
      </c>
      <c r="J83" s="36">
        <f t="shared" si="4"/>
        <v>0</v>
      </c>
      <c r="K83" s="36" t="str">
        <f t="shared" ca="1" si="5"/>
        <v/>
      </c>
    </row>
    <row r="84" spans="3:11" x14ac:dyDescent="0.25">
      <c r="C84" s="53"/>
      <c r="D84" s="54"/>
      <c r="E84" s="55"/>
      <c r="F84" s="54"/>
      <c r="G84" s="56"/>
      <c r="H84" s="56"/>
      <c r="I84" s="36" t="str">
        <f t="shared" si="3"/>
        <v/>
      </c>
      <c r="J84" s="36">
        <f t="shared" si="4"/>
        <v>0</v>
      </c>
      <c r="K84" s="36" t="str">
        <f t="shared" ca="1" si="5"/>
        <v/>
      </c>
    </row>
    <row r="85" spans="3:11" x14ac:dyDescent="0.25">
      <c r="C85" s="53"/>
      <c r="D85" s="54"/>
      <c r="E85" s="55"/>
      <c r="F85" s="54"/>
      <c r="G85" s="56"/>
      <c r="H85" s="56"/>
      <c r="I85" s="36" t="str">
        <f t="shared" si="3"/>
        <v/>
      </c>
      <c r="J85" s="36">
        <f t="shared" si="4"/>
        <v>0</v>
      </c>
      <c r="K85" s="36" t="str">
        <f t="shared" ca="1" si="5"/>
        <v/>
      </c>
    </row>
    <row r="86" spans="3:11" x14ac:dyDescent="0.25">
      <c r="C86" s="53"/>
      <c r="D86" s="54"/>
      <c r="E86" s="55"/>
      <c r="F86" s="54"/>
      <c r="G86" s="56"/>
      <c r="H86" s="56"/>
      <c r="I86" s="36" t="str">
        <f t="shared" si="3"/>
        <v/>
      </c>
      <c r="J86" s="36">
        <f t="shared" si="4"/>
        <v>0</v>
      </c>
      <c r="K86" s="36" t="str">
        <f t="shared" ca="1" si="5"/>
        <v/>
      </c>
    </row>
    <row r="87" spans="3:11" x14ac:dyDescent="0.25">
      <c r="C87" s="53"/>
      <c r="D87" s="54"/>
      <c r="E87" s="55"/>
      <c r="F87" s="54"/>
      <c r="G87" s="56"/>
      <c r="H87" s="56"/>
      <c r="I87" s="36" t="str">
        <f t="shared" si="3"/>
        <v/>
      </c>
      <c r="J87" s="36">
        <f t="shared" si="4"/>
        <v>0</v>
      </c>
      <c r="K87" s="36" t="str">
        <f t="shared" ca="1" si="5"/>
        <v/>
      </c>
    </row>
    <row r="88" spans="3:11" x14ac:dyDescent="0.25">
      <c r="C88" s="53"/>
      <c r="D88" s="54"/>
      <c r="E88" s="55"/>
      <c r="F88" s="54"/>
      <c r="G88" s="56"/>
      <c r="H88" s="56"/>
      <c r="I88" s="36" t="str">
        <f t="shared" si="3"/>
        <v/>
      </c>
      <c r="J88" s="36">
        <f t="shared" si="4"/>
        <v>0</v>
      </c>
      <c r="K88" s="36" t="str">
        <f t="shared" ca="1" si="5"/>
        <v/>
      </c>
    </row>
    <row r="89" spans="3:11" x14ac:dyDescent="0.25">
      <c r="C89" s="53"/>
      <c r="D89" s="54"/>
      <c r="E89" s="55"/>
      <c r="F89" s="54"/>
      <c r="G89" s="56"/>
      <c r="H89" s="56"/>
      <c r="I89" s="36" t="str">
        <f t="shared" si="3"/>
        <v/>
      </c>
      <c r="J89" s="36">
        <f t="shared" si="4"/>
        <v>0</v>
      </c>
      <c r="K89" s="36" t="str">
        <f t="shared" ca="1" si="5"/>
        <v/>
      </c>
    </row>
    <row r="90" spans="3:11" x14ac:dyDescent="0.25">
      <c r="C90" s="53"/>
      <c r="D90" s="54"/>
      <c r="E90" s="55"/>
      <c r="F90" s="54"/>
      <c r="G90" s="56"/>
      <c r="H90" s="56"/>
      <c r="I90" s="36" t="str">
        <f t="shared" si="3"/>
        <v/>
      </c>
      <c r="J90" s="36">
        <f t="shared" si="4"/>
        <v>0</v>
      </c>
      <c r="K90" s="36" t="str">
        <f t="shared" ca="1" si="5"/>
        <v/>
      </c>
    </row>
    <row r="91" spans="3:11" x14ac:dyDescent="0.25">
      <c r="C91" s="53"/>
      <c r="D91" s="54"/>
      <c r="E91" s="55"/>
      <c r="F91" s="54"/>
      <c r="G91" s="56"/>
      <c r="H91" s="56"/>
      <c r="I91" s="36" t="str">
        <f t="shared" si="3"/>
        <v/>
      </c>
      <c r="J91" s="36">
        <f t="shared" si="4"/>
        <v>0</v>
      </c>
      <c r="K91" s="36" t="str">
        <f t="shared" ca="1" si="5"/>
        <v/>
      </c>
    </row>
    <row r="92" spans="3:11" x14ac:dyDescent="0.25">
      <c r="C92" s="53"/>
      <c r="D92" s="54"/>
      <c r="E92" s="55"/>
      <c r="F92" s="54"/>
      <c r="G92" s="56"/>
      <c r="H92" s="56"/>
      <c r="I92" s="36" t="str">
        <f t="shared" si="3"/>
        <v/>
      </c>
      <c r="J92" s="36">
        <f t="shared" si="4"/>
        <v>0</v>
      </c>
      <c r="K92" s="36" t="str">
        <f t="shared" ca="1" si="5"/>
        <v/>
      </c>
    </row>
    <row r="93" spans="3:11" x14ac:dyDescent="0.25">
      <c r="C93" s="53"/>
      <c r="D93" s="54"/>
      <c r="E93" s="55"/>
      <c r="F93" s="54"/>
      <c r="G93" s="56"/>
      <c r="H93" s="56"/>
      <c r="I93" s="36" t="str">
        <f t="shared" si="3"/>
        <v/>
      </c>
      <c r="J93" s="36">
        <f t="shared" si="4"/>
        <v>0</v>
      </c>
      <c r="K93" s="36" t="str">
        <f t="shared" ca="1" si="5"/>
        <v/>
      </c>
    </row>
    <row r="94" spans="3:11" x14ac:dyDescent="0.25">
      <c r="C94" s="53"/>
      <c r="D94" s="54"/>
      <c r="E94" s="55"/>
      <c r="F94" s="54"/>
      <c r="G94" s="56"/>
      <c r="H94" s="56"/>
      <c r="I94" s="36" t="str">
        <f t="shared" si="3"/>
        <v/>
      </c>
      <c r="J94" s="36">
        <f t="shared" si="4"/>
        <v>0</v>
      </c>
      <c r="K94" s="36" t="str">
        <f t="shared" ca="1" si="5"/>
        <v/>
      </c>
    </row>
    <row r="95" spans="3:11" x14ac:dyDescent="0.25">
      <c r="C95" s="53"/>
      <c r="D95" s="54"/>
      <c r="E95" s="55"/>
      <c r="F95" s="54"/>
      <c r="G95" s="56"/>
      <c r="H95" s="56"/>
      <c r="I95" s="36" t="str">
        <f t="shared" si="3"/>
        <v/>
      </c>
      <c r="J95" s="36">
        <f t="shared" si="4"/>
        <v>0</v>
      </c>
      <c r="K95" s="36" t="str">
        <f t="shared" ca="1" si="5"/>
        <v/>
      </c>
    </row>
    <row r="96" spans="3:11" x14ac:dyDescent="0.25">
      <c r="C96" s="53"/>
      <c r="D96" s="54"/>
      <c r="E96" s="55"/>
      <c r="F96" s="54"/>
      <c r="G96" s="56"/>
      <c r="H96" s="56"/>
      <c r="I96" s="36" t="str">
        <f t="shared" si="3"/>
        <v/>
      </c>
      <c r="J96" s="36">
        <f t="shared" si="4"/>
        <v>0</v>
      </c>
      <c r="K96" s="36" t="str">
        <f t="shared" ca="1" si="5"/>
        <v/>
      </c>
    </row>
    <row r="97" spans="3:11" x14ac:dyDescent="0.25">
      <c r="C97" s="53"/>
      <c r="D97" s="54"/>
      <c r="E97" s="55"/>
      <c r="F97" s="54"/>
      <c r="G97" s="56"/>
      <c r="H97" s="56"/>
      <c r="I97" s="36" t="str">
        <f t="shared" si="3"/>
        <v/>
      </c>
      <c r="J97" s="36">
        <f t="shared" si="4"/>
        <v>0</v>
      </c>
      <c r="K97" s="36" t="str">
        <f t="shared" ca="1" si="5"/>
        <v/>
      </c>
    </row>
    <row r="98" spans="3:11" x14ac:dyDescent="0.25">
      <c r="C98" s="53"/>
      <c r="D98" s="54"/>
      <c r="E98" s="55"/>
      <c r="F98" s="54"/>
      <c r="G98" s="56"/>
      <c r="H98" s="56"/>
      <c r="I98" s="36" t="str">
        <f t="shared" si="3"/>
        <v/>
      </c>
      <c r="J98" s="36">
        <f t="shared" si="4"/>
        <v>0</v>
      </c>
      <c r="K98" s="36" t="str">
        <f t="shared" ca="1" si="5"/>
        <v/>
      </c>
    </row>
    <row r="99" spans="3:11" x14ac:dyDescent="0.25">
      <c r="C99" s="53"/>
      <c r="D99" s="54"/>
      <c r="E99" s="55"/>
      <c r="F99" s="54"/>
      <c r="G99" s="56"/>
      <c r="H99" s="56"/>
      <c r="I99" s="36" t="str">
        <f t="shared" si="3"/>
        <v/>
      </c>
      <c r="J99" s="36">
        <f t="shared" si="4"/>
        <v>0</v>
      </c>
      <c r="K99" s="36" t="str">
        <f t="shared" ca="1" si="5"/>
        <v/>
      </c>
    </row>
    <row r="100" spans="3:11" x14ac:dyDescent="0.25">
      <c r="C100" s="53"/>
      <c r="D100" s="54"/>
      <c r="E100" s="55"/>
      <c r="F100" s="54"/>
      <c r="G100" s="56"/>
      <c r="H100" s="56"/>
      <c r="I100" s="36" t="str">
        <f t="shared" si="3"/>
        <v/>
      </c>
      <c r="J100" s="36">
        <f t="shared" si="4"/>
        <v>0</v>
      </c>
      <c r="K100" s="36" t="str">
        <f t="shared" ca="1" si="5"/>
        <v/>
      </c>
    </row>
    <row r="101" spans="3:11" x14ac:dyDescent="0.25">
      <c r="C101" s="53"/>
      <c r="D101" s="54"/>
      <c r="E101" s="55"/>
      <c r="F101" s="54"/>
      <c r="G101" s="56"/>
      <c r="H101" s="56"/>
      <c r="I101" s="36" t="str">
        <f t="shared" si="3"/>
        <v/>
      </c>
      <c r="J101" s="36">
        <f t="shared" si="4"/>
        <v>0</v>
      </c>
      <c r="K101" s="36" t="str">
        <f t="shared" ca="1" si="5"/>
        <v/>
      </c>
    </row>
    <row r="102" spans="3:11" x14ac:dyDescent="0.25">
      <c r="C102" s="53"/>
      <c r="D102" s="54"/>
      <c r="E102" s="55"/>
      <c r="F102" s="54"/>
      <c r="G102" s="56"/>
      <c r="H102" s="56"/>
      <c r="I102" s="36" t="str">
        <f t="shared" si="3"/>
        <v/>
      </c>
      <c r="J102" s="36">
        <f t="shared" si="4"/>
        <v>0</v>
      </c>
      <c r="K102" s="36" t="str">
        <f t="shared" ca="1" si="5"/>
        <v/>
      </c>
    </row>
    <row r="103" spans="3:11" x14ac:dyDescent="0.25">
      <c r="C103" s="53"/>
      <c r="D103" s="54"/>
      <c r="E103" s="55"/>
      <c r="F103" s="54"/>
      <c r="G103" s="56"/>
      <c r="H103" s="56"/>
      <c r="I103" s="36" t="str">
        <f t="shared" si="3"/>
        <v/>
      </c>
      <c r="J103" s="36">
        <f t="shared" si="4"/>
        <v>0</v>
      </c>
      <c r="K103" s="36" t="str">
        <f t="shared" ca="1" si="5"/>
        <v/>
      </c>
    </row>
    <row r="104" spans="3:11" x14ac:dyDescent="0.25">
      <c r="C104" s="53"/>
      <c r="D104" s="54"/>
      <c r="E104" s="55"/>
      <c r="F104" s="54"/>
      <c r="G104" s="56"/>
      <c r="H104" s="56"/>
      <c r="I104" s="36" t="str">
        <f t="shared" si="3"/>
        <v/>
      </c>
      <c r="J104" s="36">
        <f t="shared" si="4"/>
        <v>0</v>
      </c>
      <c r="K104" s="36" t="str">
        <f t="shared" ca="1" si="5"/>
        <v/>
      </c>
    </row>
    <row r="105" spans="3:11" x14ac:dyDescent="0.25">
      <c r="C105" s="53"/>
      <c r="D105" s="54"/>
      <c r="E105" s="55"/>
      <c r="F105" s="54"/>
      <c r="G105" s="56"/>
      <c r="H105" s="56"/>
      <c r="I105" s="36" t="str">
        <f t="shared" si="3"/>
        <v/>
      </c>
      <c r="J105" s="36">
        <f t="shared" si="4"/>
        <v>0</v>
      </c>
      <c r="K105" s="36" t="str">
        <f t="shared" ca="1" si="5"/>
        <v/>
      </c>
    </row>
    <row r="106" spans="3:11" x14ac:dyDescent="0.25">
      <c r="C106" s="53"/>
      <c r="D106" s="54"/>
      <c r="E106" s="55"/>
      <c r="F106" s="54"/>
      <c r="G106" s="56"/>
      <c r="H106" s="56"/>
      <c r="I106" s="36" t="str">
        <f t="shared" si="3"/>
        <v/>
      </c>
      <c r="J106" s="36">
        <f t="shared" si="4"/>
        <v>0</v>
      </c>
      <c r="K106" s="36" t="str">
        <f t="shared" ca="1" si="5"/>
        <v/>
      </c>
    </row>
    <row r="107" spans="3:11" x14ac:dyDescent="0.25">
      <c r="C107" s="53"/>
      <c r="D107" s="54"/>
      <c r="E107" s="55"/>
      <c r="F107" s="54"/>
      <c r="G107" s="56"/>
      <c r="H107" s="56"/>
      <c r="I107" s="36" t="str">
        <f t="shared" si="3"/>
        <v/>
      </c>
      <c r="J107" s="36">
        <f t="shared" si="4"/>
        <v>0</v>
      </c>
      <c r="K107" s="36" t="str">
        <f t="shared" ca="1" si="5"/>
        <v/>
      </c>
    </row>
    <row r="108" spans="3:11" x14ac:dyDescent="0.25">
      <c r="C108" s="53"/>
      <c r="D108" s="54"/>
      <c r="E108" s="55"/>
      <c r="F108" s="54"/>
      <c r="G108" s="56"/>
      <c r="H108" s="56"/>
      <c r="I108" s="36" t="str">
        <f t="shared" si="3"/>
        <v/>
      </c>
      <c r="J108" s="36">
        <f t="shared" si="4"/>
        <v>0</v>
      </c>
      <c r="K108" s="36" t="str">
        <f t="shared" ca="1" si="5"/>
        <v/>
      </c>
    </row>
    <row r="109" spans="3:11" x14ac:dyDescent="0.25">
      <c r="C109" s="53"/>
      <c r="D109" s="54"/>
      <c r="E109" s="55"/>
      <c r="F109" s="54"/>
      <c r="G109" s="56"/>
      <c r="H109" s="56"/>
      <c r="I109" s="36" t="str">
        <f t="shared" si="3"/>
        <v/>
      </c>
      <c r="J109" s="36">
        <f t="shared" si="4"/>
        <v>0</v>
      </c>
      <c r="K109" s="36" t="str">
        <f t="shared" ca="1" si="5"/>
        <v/>
      </c>
    </row>
    <row r="110" spans="3:11" x14ac:dyDescent="0.25">
      <c r="C110" s="53"/>
      <c r="D110" s="54"/>
      <c r="E110" s="55"/>
      <c r="F110" s="54"/>
      <c r="G110" s="56"/>
      <c r="H110" s="56"/>
      <c r="I110" s="36" t="str">
        <f t="shared" si="3"/>
        <v/>
      </c>
      <c r="J110" s="36">
        <f t="shared" si="4"/>
        <v>0</v>
      </c>
      <c r="K110" s="36" t="str">
        <f t="shared" ca="1" si="5"/>
        <v/>
      </c>
    </row>
    <row r="111" spans="3:11" x14ac:dyDescent="0.25">
      <c r="C111" s="53"/>
      <c r="D111" s="54"/>
      <c r="E111" s="55"/>
      <c r="F111" s="54"/>
      <c r="G111" s="56"/>
      <c r="H111" s="56"/>
      <c r="I111" s="36" t="str">
        <f t="shared" si="3"/>
        <v/>
      </c>
      <c r="J111" s="36">
        <f t="shared" si="4"/>
        <v>0</v>
      </c>
      <c r="K111" s="36" t="str">
        <f t="shared" ca="1" si="5"/>
        <v/>
      </c>
    </row>
    <row r="112" spans="3:11" x14ac:dyDescent="0.25">
      <c r="C112" s="53"/>
      <c r="D112" s="54"/>
      <c r="E112" s="55"/>
      <c r="F112" s="54"/>
      <c r="G112" s="56"/>
      <c r="H112" s="56"/>
      <c r="I112" s="36" t="str">
        <f t="shared" si="3"/>
        <v/>
      </c>
      <c r="J112" s="36">
        <f t="shared" si="4"/>
        <v>0</v>
      </c>
      <c r="K112" s="36" t="str">
        <f t="shared" ca="1" si="5"/>
        <v/>
      </c>
    </row>
    <row r="113" spans="3:11" x14ac:dyDescent="0.25">
      <c r="C113" s="53"/>
      <c r="D113" s="54"/>
      <c r="E113" s="55"/>
      <c r="F113" s="54"/>
      <c r="G113" s="56"/>
      <c r="H113" s="56"/>
      <c r="I113" s="36" t="str">
        <f t="shared" si="3"/>
        <v/>
      </c>
      <c r="J113" s="36">
        <f t="shared" si="4"/>
        <v>0</v>
      </c>
      <c r="K113" s="36" t="str">
        <f t="shared" ca="1" si="5"/>
        <v/>
      </c>
    </row>
    <row r="114" spans="3:11" x14ac:dyDescent="0.25">
      <c r="C114" s="53"/>
      <c r="D114" s="54"/>
      <c r="E114" s="55"/>
      <c r="F114" s="54"/>
      <c r="G114" s="56"/>
      <c r="H114" s="56"/>
      <c r="I114" s="36" t="str">
        <f t="shared" si="3"/>
        <v/>
      </c>
      <c r="J114" s="36">
        <f t="shared" si="4"/>
        <v>0</v>
      </c>
      <c r="K114" s="36" t="str">
        <f t="shared" ca="1" si="5"/>
        <v/>
      </c>
    </row>
    <row r="115" spans="3:11" x14ac:dyDescent="0.25">
      <c r="C115" s="53"/>
      <c r="D115" s="54"/>
      <c r="E115" s="55"/>
      <c r="F115" s="54"/>
      <c r="G115" s="56"/>
      <c r="H115" s="56"/>
      <c r="I115" s="36" t="str">
        <f t="shared" si="3"/>
        <v/>
      </c>
      <c r="J115" s="36">
        <f t="shared" si="4"/>
        <v>0</v>
      </c>
      <c r="K115" s="36" t="str">
        <f t="shared" ca="1" si="5"/>
        <v/>
      </c>
    </row>
    <row r="116" spans="3:11" x14ac:dyDescent="0.25">
      <c r="C116" s="53"/>
      <c r="D116" s="54"/>
      <c r="E116" s="55"/>
      <c r="F116" s="54"/>
      <c r="G116" s="56"/>
      <c r="H116" s="56"/>
      <c r="I116" s="36" t="str">
        <f t="shared" si="3"/>
        <v/>
      </c>
      <c r="J116" s="36">
        <f t="shared" si="4"/>
        <v>0</v>
      </c>
      <c r="K116" s="36" t="str">
        <f t="shared" ca="1" si="5"/>
        <v/>
      </c>
    </row>
    <row r="117" spans="3:11" x14ac:dyDescent="0.25">
      <c r="C117" s="53"/>
      <c r="D117" s="54"/>
      <c r="E117" s="55"/>
      <c r="F117" s="54"/>
      <c r="G117" s="56"/>
      <c r="H117" s="56"/>
      <c r="I117" s="36" t="str">
        <f t="shared" si="3"/>
        <v/>
      </c>
      <c r="J117" s="36">
        <f t="shared" si="4"/>
        <v>0</v>
      </c>
      <c r="K117" s="36" t="str">
        <f t="shared" ca="1" si="5"/>
        <v/>
      </c>
    </row>
    <row r="118" spans="3:11" x14ac:dyDescent="0.25">
      <c r="C118" s="53"/>
      <c r="D118" s="54"/>
      <c r="E118" s="55"/>
      <c r="F118" s="54"/>
      <c r="G118" s="56"/>
      <c r="H118" s="56"/>
      <c r="I118" s="36" t="str">
        <f t="shared" si="3"/>
        <v/>
      </c>
      <c r="J118" s="36">
        <f t="shared" si="4"/>
        <v>0</v>
      </c>
      <c r="K118" s="36" t="str">
        <f t="shared" ca="1" si="5"/>
        <v/>
      </c>
    </row>
    <row r="119" spans="3:11" x14ac:dyDescent="0.25">
      <c r="C119" s="53"/>
      <c r="D119" s="54"/>
      <c r="E119" s="55"/>
      <c r="F119" s="54"/>
      <c r="G119" s="56"/>
      <c r="H119" s="56"/>
      <c r="I119" s="36" t="str">
        <f t="shared" si="3"/>
        <v/>
      </c>
      <c r="J119" s="36">
        <f t="shared" si="4"/>
        <v>0</v>
      </c>
      <c r="K119" s="36" t="str">
        <f t="shared" ca="1" si="5"/>
        <v/>
      </c>
    </row>
    <row r="120" spans="3:11" x14ac:dyDescent="0.25">
      <c r="C120" s="53"/>
      <c r="D120" s="54"/>
      <c r="E120" s="55"/>
      <c r="F120" s="54"/>
      <c r="G120" s="56"/>
      <c r="H120" s="56"/>
      <c r="I120" s="36" t="str">
        <f t="shared" si="3"/>
        <v/>
      </c>
      <c r="J120" s="36">
        <f t="shared" si="4"/>
        <v>0</v>
      </c>
      <c r="K120" s="36" t="str">
        <f t="shared" ca="1" si="5"/>
        <v/>
      </c>
    </row>
    <row r="121" spans="3:11" x14ac:dyDescent="0.25">
      <c r="C121" s="53"/>
      <c r="D121" s="54"/>
      <c r="E121" s="55"/>
      <c r="F121" s="54"/>
      <c r="G121" s="56"/>
      <c r="H121" s="56"/>
      <c r="I121" s="36" t="str">
        <f t="shared" si="3"/>
        <v/>
      </c>
      <c r="J121" s="36">
        <f t="shared" si="4"/>
        <v>0</v>
      </c>
      <c r="K121" s="36" t="str">
        <f t="shared" ca="1" si="5"/>
        <v/>
      </c>
    </row>
    <row r="122" spans="3:11" x14ac:dyDescent="0.25">
      <c r="C122" s="53"/>
      <c r="D122" s="54"/>
      <c r="E122" s="55"/>
      <c r="F122" s="54"/>
      <c r="G122" s="56"/>
      <c r="H122" s="56"/>
      <c r="I122" s="36" t="str">
        <f t="shared" si="3"/>
        <v/>
      </c>
      <c r="J122" s="36">
        <f t="shared" si="4"/>
        <v>0</v>
      </c>
      <c r="K122" s="36" t="str">
        <f t="shared" ca="1" si="5"/>
        <v/>
      </c>
    </row>
    <row r="123" spans="3:11" x14ac:dyDescent="0.25">
      <c r="C123" s="53"/>
      <c r="D123" s="54"/>
      <c r="E123" s="55"/>
      <c r="F123" s="54"/>
      <c r="G123" s="56"/>
      <c r="H123" s="56"/>
      <c r="I123" s="36" t="str">
        <f t="shared" si="3"/>
        <v/>
      </c>
      <c r="J123" s="36">
        <f t="shared" si="4"/>
        <v>0</v>
      </c>
      <c r="K123" s="36" t="str">
        <f t="shared" ca="1" si="5"/>
        <v/>
      </c>
    </row>
    <row r="124" spans="3:11" x14ac:dyDescent="0.25">
      <c r="C124" s="53"/>
      <c r="D124" s="54"/>
      <c r="E124" s="55"/>
      <c r="F124" s="54"/>
      <c r="G124" s="56"/>
      <c r="H124" s="56"/>
      <c r="I124" s="36" t="str">
        <f t="shared" si="3"/>
        <v/>
      </c>
      <c r="J124" s="36">
        <f t="shared" si="4"/>
        <v>0</v>
      </c>
      <c r="K124" s="36" t="str">
        <f t="shared" ca="1" si="5"/>
        <v/>
      </c>
    </row>
    <row r="125" spans="3:11" x14ac:dyDescent="0.25">
      <c r="C125" s="53"/>
      <c r="D125" s="54"/>
      <c r="E125" s="55"/>
      <c r="F125" s="54"/>
      <c r="G125" s="56"/>
      <c r="H125" s="56"/>
      <c r="I125" s="36" t="str">
        <f t="shared" si="3"/>
        <v/>
      </c>
      <c r="J125" s="36">
        <f t="shared" si="4"/>
        <v>0</v>
      </c>
      <c r="K125" s="36" t="str">
        <f t="shared" ca="1" si="5"/>
        <v/>
      </c>
    </row>
    <row r="126" spans="3:11" x14ac:dyDescent="0.25">
      <c r="C126" s="53"/>
      <c r="D126" s="54"/>
      <c r="E126" s="55"/>
      <c r="F126" s="54"/>
      <c r="G126" s="56"/>
      <c r="H126" s="56"/>
      <c r="I126" s="36" t="str">
        <f t="shared" si="3"/>
        <v/>
      </c>
      <c r="J126" s="36">
        <f t="shared" si="4"/>
        <v>0</v>
      </c>
      <c r="K126" s="36" t="str">
        <f t="shared" ca="1" si="5"/>
        <v/>
      </c>
    </row>
    <row r="127" spans="3:11" x14ac:dyDescent="0.25">
      <c r="C127" s="53"/>
      <c r="D127" s="54"/>
      <c r="E127" s="55"/>
      <c r="F127" s="54"/>
      <c r="G127" s="56"/>
      <c r="H127" s="56"/>
      <c r="I127" s="36" t="str">
        <f t="shared" si="3"/>
        <v/>
      </c>
      <c r="J127" s="36">
        <f t="shared" si="4"/>
        <v>0</v>
      </c>
      <c r="K127" s="36" t="str">
        <f t="shared" ca="1" si="5"/>
        <v/>
      </c>
    </row>
    <row r="128" spans="3:11" x14ac:dyDescent="0.25">
      <c r="C128" s="53"/>
      <c r="D128" s="54"/>
      <c r="E128" s="55"/>
      <c r="F128" s="54"/>
      <c r="G128" s="56"/>
      <c r="H128" s="56"/>
      <c r="I128" s="36" t="str">
        <f t="shared" si="3"/>
        <v/>
      </c>
      <c r="J128" s="36">
        <f t="shared" si="4"/>
        <v>0</v>
      </c>
      <c r="K128" s="36" t="str">
        <f t="shared" ca="1" si="5"/>
        <v/>
      </c>
    </row>
    <row r="129" spans="3:11" x14ac:dyDescent="0.25">
      <c r="C129" s="53"/>
      <c r="D129" s="54"/>
      <c r="E129" s="55"/>
      <c r="F129" s="54"/>
      <c r="G129" s="56"/>
      <c r="H129" s="56"/>
      <c r="I129" s="36" t="str">
        <f t="shared" si="3"/>
        <v/>
      </c>
      <c r="J129" s="36">
        <f t="shared" si="4"/>
        <v>0</v>
      </c>
      <c r="K129" s="36" t="str">
        <f t="shared" ca="1" si="5"/>
        <v/>
      </c>
    </row>
    <row r="130" spans="3:11" x14ac:dyDescent="0.25">
      <c r="C130" s="53"/>
      <c r="D130" s="54"/>
      <c r="E130" s="55"/>
      <c r="F130" s="54"/>
      <c r="G130" s="56"/>
      <c r="H130" s="56"/>
      <c r="I130" s="36" t="str">
        <f t="shared" si="3"/>
        <v/>
      </c>
      <c r="J130" s="36">
        <f t="shared" si="4"/>
        <v>0</v>
      </c>
      <c r="K130" s="36" t="str">
        <f t="shared" ca="1" si="5"/>
        <v/>
      </c>
    </row>
    <row r="131" spans="3:11" x14ac:dyDescent="0.25">
      <c r="C131" s="53"/>
      <c r="D131" s="54"/>
      <c r="E131" s="55"/>
      <c r="F131" s="54"/>
      <c r="G131" s="56"/>
      <c r="H131" s="56"/>
      <c r="I131" s="36" t="str">
        <f t="shared" si="3"/>
        <v/>
      </c>
      <c r="J131" s="36">
        <f t="shared" si="4"/>
        <v>0</v>
      </c>
      <c r="K131" s="36" t="str">
        <f t="shared" ca="1" si="5"/>
        <v/>
      </c>
    </row>
    <row r="132" spans="3:11" x14ac:dyDescent="0.25">
      <c r="C132" s="53"/>
      <c r="D132" s="54"/>
      <c r="E132" s="55"/>
      <c r="F132" s="54"/>
      <c r="G132" s="56"/>
      <c r="H132" s="56"/>
      <c r="I132" s="36" t="str">
        <f t="shared" si="3"/>
        <v/>
      </c>
      <c r="J132" s="36">
        <f t="shared" si="4"/>
        <v>0</v>
      </c>
      <c r="K132" s="36" t="str">
        <f t="shared" ca="1" si="5"/>
        <v/>
      </c>
    </row>
    <row r="133" spans="3:11" x14ac:dyDescent="0.25">
      <c r="C133" s="53"/>
      <c r="D133" s="54"/>
      <c r="E133" s="55"/>
      <c r="F133" s="54"/>
      <c r="G133" s="56"/>
      <c r="H133" s="56"/>
      <c r="I133" s="36" t="str">
        <f t="shared" si="3"/>
        <v/>
      </c>
      <c r="J133" s="36">
        <f t="shared" si="4"/>
        <v>0</v>
      </c>
      <c r="K133" s="36" t="str">
        <f t="shared" ca="1" si="5"/>
        <v/>
      </c>
    </row>
    <row r="134" spans="3:11" x14ac:dyDescent="0.25">
      <c r="C134" s="53"/>
      <c r="D134" s="54"/>
      <c r="E134" s="55"/>
      <c r="F134" s="54"/>
      <c r="G134" s="56"/>
      <c r="H134" s="56"/>
      <c r="I134" s="36" t="str">
        <f t="shared" si="3"/>
        <v/>
      </c>
      <c r="J134" s="36">
        <f t="shared" si="4"/>
        <v>0</v>
      </c>
      <c r="K134" s="36" t="str">
        <f t="shared" ca="1" si="5"/>
        <v/>
      </c>
    </row>
    <row r="135" spans="3:11" x14ac:dyDescent="0.25">
      <c r="C135" s="53"/>
      <c r="D135" s="54"/>
      <c r="E135" s="55"/>
      <c r="F135" s="54"/>
      <c r="G135" s="56"/>
      <c r="H135" s="56"/>
      <c r="I135" s="36" t="str">
        <f t="shared" si="3"/>
        <v/>
      </c>
      <c r="J135" s="36">
        <f t="shared" si="4"/>
        <v>0</v>
      </c>
      <c r="K135" s="36" t="str">
        <f t="shared" ca="1" si="5"/>
        <v/>
      </c>
    </row>
    <row r="136" spans="3:11" x14ac:dyDescent="0.25">
      <c r="C136" s="53"/>
      <c r="D136" s="54"/>
      <c r="E136" s="55"/>
      <c r="F136" s="54"/>
      <c r="G136" s="56"/>
      <c r="H136" s="56"/>
      <c r="I136" s="36" t="str">
        <f t="shared" si="3"/>
        <v/>
      </c>
      <c r="J136" s="36">
        <f t="shared" si="4"/>
        <v>0</v>
      </c>
      <c r="K136" s="36" t="str">
        <f t="shared" ca="1" si="5"/>
        <v/>
      </c>
    </row>
    <row r="137" spans="3:11" x14ac:dyDescent="0.25">
      <c r="C137" s="53"/>
      <c r="D137" s="54"/>
      <c r="E137" s="55"/>
      <c r="F137" s="54"/>
      <c r="G137" s="56"/>
      <c r="H137" s="56"/>
      <c r="I137" s="36" t="str">
        <f t="shared" si="3"/>
        <v/>
      </c>
      <c r="J137" s="36">
        <f t="shared" si="4"/>
        <v>0</v>
      </c>
      <c r="K137" s="36" t="str">
        <f t="shared" ca="1" si="5"/>
        <v/>
      </c>
    </row>
    <row r="138" spans="3:11" x14ac:dyDescent="0.25">
      <c r="C138" s="53"/>
      <c r="D138" s="54"/>
      <c r="E138" s="55"/>
      <c r="F138" s="54"/>
      <c r="G138" s="56"/>
      <c r="H138" s="56"/>
      <c r="I138" s="36" t="str">
        <f t="shared" si="3"/>
        <v/>
      </c>
      <c r="J138" s="36">
        <f t="shared" si="4"/>
        <v>0</v>
      </c>
      <c r="K138" s="36" t="str">
        <f t="shared" ca="1" si="5"/>
        <v/>
      </c>
    </row>
    <row r="139" spans="3:11" x14ac:dyDescent="0.25">
      <c r="C139" s="53"/>
      <c r="D139" s="54"/>
      <c r="E139" s="55"/>
      <c r="F139" s="54"/>
      <c r="G139" s="56"/>
      <c r="H139" s="56"/>
      <c r="I139" s="36" t="str">
        <f t="shared" si="3"/>
        <v/>
      </c>
      <c r="J139" s="36">
        <f t="shared" si="4"/>
        <v>0</v>
      </c>
      <c r="K139" s="36" t="str">
        <f t="shared" ca="1" si="5"/>
        <v/>
      </c>
    </row>
    <row r="140" spans="3:11" x14ac:dyDescent="0.25">
      <c r="C140" s="53"/>
      <c r="D140" s="54"/>
      <c r="E140" s="55"/>
      <c r="F140" s="54"/>
      <c r="G140" s="56"/>
      <c r="H140" s="56"/>
      <c r="I140" s="36" t="str">
        <f t="shared" si="3"/>
        <v/>
      </c>
      <c r="J140" s="36">
        <f t="shared" si="4"/>
        <v>0</v>
      </c>
      <c r="K140" s="36" t="str">
        <f t="shared" ca="1" si="5"/>
        <v/>
      </c>
    </row>
    <row r="141" spans="3:11" x14ac:dyDescent="0.25">
      <c r="C141" s="53"/>
      <c r="D141" s="54"/>
      <c r="E141" s="55"/>
      <c r="F141" s="54"/>
      <c r="G141" s="56"/>
      <c r="H141" s="56"/>
      <c r="I141" s="36" t="str">
        <f t="shared" si="3"/>
        <v/>
      </c>
      <c r="J141" s="36">
        <f t="shared" si="4"/>
        <v>0</v>
      </c>
      <c r="K141" s="36" t="str">
        <f t="shared" ca="1" si="5"/>
        <v/>
      </c>
    </row>
    <row r="142" spans="3:11" x14ac:dyDescent="0.25">
      <c r="C142" s="53"/>
      <c r="D142" s="54"/>
      <c r="E142" s="55"/>
      <c r="F142" s="54"/>
      <c r="G142" s="56"/>
      <c r="H142" s="56"/>
      <c r="I142" s="36" t="str">
        <f t="shared" si="3"/>
        <v/>
      </c>
      <c r="J142" s="36">
        <f t="shared" si="4"/>
        <v>0</v>
      </c>
      <c r="K142" s="36" t="str">
        <f t="shared" ca="1" si="5"/>
        <v/>
      </c>
    </row>
    <row r="143" spans="3:11" x14ac:dyDescent="0.25">
      <c r="C143" s="53"/>
      <c r="D143" s="54"/>
      <c r="E143" s="55"/>
      <c r="F143" s="54"/>
      <c r="G143" s="56"/>
      <c r="H143" s="56"/>
      <c r="I143" s="36" t="str">
        <f t="shared" si="3"/>
        <v/>
      </c>
      <c r="J143" s="36">
        <f t="shared" si="4"/>
        <v>0</v>
      </c>
      <c r="K143" s="36" t="str">
        <f t="shared" ca="1" si="5"/>
        <v/>
      </c>
    </row>
    <row r="144" spans="3:11" x14ac:dyDescent="0.25">
      <c r="C144" s="53"/>
      <c r="D144" s="54"/>
      <c r="E144" s="55"/>
      <c r="F144" s="54"/>
      <c r="G144" s="56"/>
      <c r="H144" s="56"/>
      <c r="I144" s="36" t="str">
        <f t="shared" ref="I144:I207" si="6">IF(C144="","",IF(H144&lt;=0,"Em aberto",IF(H144&gt;=G144,"Pagamento Total",IF(H144&lt;G144,"Pagamento Parcial"))))</f>
        <v/>
      </c>
      <c r="J144" s="36">
        <f t="shared" ref="J144:J207" si="7">IF(C144&gt;0,G144-H144,0)</f>
        <v>0</v>
      </c>
      <c r="K144" s="36" t="str">
        <f t="shared" ref="K144:K207" ca="1" si="8">IF(ISBLANK(C144),"",IF(H144=G144,"Pago",IF(C144=TODAY(),"Vence Hoje",IF(TRIM(UPPER(G143))&lt;&gt;"S",IF(C144-TODAY()&lt;0,"Vencida",IF(C144-TODAY()&lt;8,"Próximos sete dias","Em aberto"))))))</f>
        <v/>
      </c>
    </row>
    <row r="145" spans="3:11" x14ac:dyDescent="0.25">
      <c r="C145" s="53"/>
      <c r="D145" s="54"/>
      <c r="E145" s="55"/>
      <c r="F145" s="54"/>
      <c r="G145" s="56"/>
      <c r="H145" s="56"/>
      <c r="I145" s="36" t="str">
        <f t="shared" si="6"/>
        <v/>
      </c>
      <c r="J145" s="36">
        <f t="shared" si="7"/>
        <v>0</v>
      </c>
      <c r="K145" s="36" t="str">
        <f t="shared" ca="1" si="8"/>
        <v/>
      </c>
    </row>
    <row r="146" spans="3:11" x14ac:dyDescent="0.25">
      <c r="C146" s="53"/>
      <c r="D146" s="54"/>
      <c r="E146" s="55"/>
      <c r="F146" s="54"/>
      <c r="G146" s="56"/>
      <c r="H146" s="56"/>
      <c r="I146" s="36" t="str">
        <f t="shared" si="6"/>
        <v/>
      </c>
      <c r="J146" s="36">
        <f t="shared" si="7"/>
        <v>0</v>
      </c>
      <c r="K146" s="36" t="str">
        <f t="shared" ca="1" si="8"/>
        <v/>
      </c>
    </row>
    <row r="147" spans="3:11" x14ac:dyDescent="0.25">
      <c r="C147" s="53"/>
      <c r="D147" s="54"/>
      <c r="E147" s="55"/>
      <c r="F147" s="54"/>
      <c r="G147" s="56"/>
      <c r="H147" s="56"/>
      <c r="I147" s="36" t="str">
        <f t="shared" si="6"/>
        <v/>
      </c>
      <c r="J147" s="36">
        <f t="shared" si="7"/>
        <v>0</v>
      </c>
      <c r="K147" s="36" t="str">
        <f t="shared" ca="1" si="8"/>
        <v/>
      </c>
    </row>
    <row r="148" spans="3:11" x14ac:dyDescent="0.25">
      <c r="C148" s="53"/>
      <c r="D148" s="54"/>
      <c r="E148" s="55"/>
      <c r="F148" s="54"/>
      <c r="G148" s="56"/>
      <c r="H148" s="56"/>
      <c r="I148" s="36" t="str">
        <f t="shared" si="6"/>
        <v/>
      </c>
      <c r="J148" s="36">
        <f t="shared" si="7"/>
        <v>0</v>
      </c>
      <c r="K148" s="36" t="str">
        <f t="shared" ca="1" si="8"/>
        <v/>
      </c>
    </row>
    <row r="149" spans="3:11" x14ac:dyDescent="0.25">
      <c r="C149" s="53"/>
      <c r="D149" s="54"/>
      <c r="E149" s="55"/>
      <c r="F149" s="54"/>
      <c r="G149" s="56"/>
      <c r="H149" s="56"/>
      <c r="I149" s="36" t="str">
        <f t="shared" si="6"/>
        <v/>
      </c>
      <c r="J149" s="36">
        <f t="shared" si="7"/>
        <v>0</v>
      </c>
      <c r="K149" s="36" t="str">
        <f t="shared" ca="1" si="8"/>
        <v/>
      </c>
    </row>
    <row r="150" spans="3:11" x14ac:dyDescent="0.25">
      <c r="C150" s="53"/>
      <c r="D150" s="54"/>
      <c r="E150" s="55"/>
      <c r="F150" s="54"/>
      <c r="G150" s="56"/>
      <c r="H150" s="56"/>
      <c r="I150" s="36" t="str">
        <f t="shared" si="6"/>
        <v/>
      </c>
      <c r="J150" s="36">
        <f t="shared" si="7"/>
        <v>0</v>
      </c>
      <c r="K150" s="36" t="str">
        <f t="shared" ca="1" si="8"/>
        <v/>
      </c>
    </row>
    <row r="151" spans="3:11" x14ac:dyDescent="0.25">
      <c r="C151" s="53"/>
      <c r="D151" s="54"/>
      <c r="E151" s="55"/>
      <c r="F151" s="54"/>
      <c r="G151" s="56"/>
      <c r="H151" s="56"/>
      <c r="I151" s="36" t="str">
        <f t="shared" si="6"/>
        <v/>
      </c>
      <c r="J151" s="36">
        <f t="shared" si="7"/>
        <v>0</v>
      </c>
      <c r="K151" s="36" t="str">
        <f t="shared" ca="1" si="8"/>
        <v/>
      </c>
    </row>
    <row r="152" spans="3:11" x14ac:dyDescent="0.25">
      <c r="C152" s="53"/>
      <c r="D152" s="54"/>
      <c r="E152" s="55"/>
      <c r="F152" s="54"/>
      <c r="G152" s="56"/>
      <c r="H152" s="56"/>
      <c r="I152" s="36" t="str">
        <f t="shared" si="6"/>
        <v/>
      </c>
      <c r="J152" s="36">
        <f t="shared" si="7"/>
        <v>0</v>
      </c>
      <c r="K152" s="36" t="str">
        <f t="shared" ca="1" si="8"/>
        <v/>
      </c>
    </row>
    <row r="153" spans="3:11" x14ac:dyDescent="0.25">
      <c r="C153" s="53"/>
      <c r="D153" s="54"/>
      <c r="E153" s="55"/>
      <c r="F153" s="54"/>
      <c r="G153" s="56"/>
      <c r="H153" s="56"/>
      <c r="I153" s="36" t="str">
        <f t="shared" si="6"/>
        <v/>
      </c>
      <c r="J153" s="36">
        <f t="shared" si="7"/>
        <v>0</v>
      </c>
      <c r="K153" s="36" t="str">
        <f t="shared" ca="1" si="8"/>
        <v/>
      </c>
    </row>
    <row r="154" spans="3:11" x14ac:dyDescent="0.25">
      <c r="C154" s="53"/>
      <c r="D154" s="54"/>
      <c r="E154" s="55"/>
      <c r="F154" s="54"/>
      <c r="G154" s="56"/>
      <c r="H154" s="56"/>
      <c r="I154" s="36" t="str">
        <f t="shared" si="6"/>
        <v/>
      </c>
      <c r="J154" s="36">
        <f t="shared" si="7"/>
        <v>0</v>
      </c>
      <c r="K154" s="36" t="str">
        <f t="shared" ca="1" si="8"/>
        <v/>
      </c>
    </row>
    <row r="155" spans="3:11" x14ac:dyDescent="0.25">
      <c r="C155" s="53"/>
      <c r="D155" s="54"/>
      <c r="E155" s="55"/>
      <c r="F155" s="54"/>
      <c r="G155" s="56"/>
      <c r="H155" s="56"/>
      <c r="I155" s="36" t="str">
        <f t="shared" si="6"/>
        <v/>
      </c>
      <c r="J155" s="36">
        <f t="shared" si="7"/>
        <v>0</v>
      </c>
      <c r="K155" s="36" t="str">
        <f t="shared" ca="1" si="8"/>
        <v/>
      </c>
    </row>
    <row r="156" spans="3:11" x14ac:dyDescent="0.25">
      <c r="C156" s="53"/>
      <c r="D156" s="54"/>
      <c r="E156" s="55"/>
      <c r="F156" s="54"/>
      <c r="G156" s="56"/>
      <c r="H156" s="56"/>
      <c r="I156" s="36" t="str">
        <f t="shared" si="6"/>
        <v/>
      </c>
      <c r="J156" s="36">
        <f t="shared" si="7"/>
        <v>0</v>
      </c>
      <c r="K156" s="36" t="str">
        <f t="shared" ca="1" si="8"/>
        <v/>
      </c>
    </row>
    <row r="157" spans="3:11" x14ac:dyDescent="0.25">
      <c r="C157" s="53"/>
      <c r="D157" s="54"/>
      <c r="E157" s="55"/>
      <c r="F157" s="54"/>
      <c r="G157" s="56"/>
      <c r="H157" s="56"/>
      <c r="I157" s="36" t="str">
        <f t="shared" si="6"/>
        <v/>
      </c>
      <c r="J157" s="36">
        <f t="shared" si="7"/>
        <v>0</v>
      </c>
      <c r="K157" s="36" t="str">
        <f t="shared" ca="1" si="8"/>
        <v/>
      </c>
    </row>
    <row r="158" spans="3:11" x14ac:dyDescent="0.25">
      <c r="C158" s="53"/>
      <c r="D158" s="54"/>
      <c r="E158" s="55"/>
      <c r="F158" s="54"/>
      <c r="G158" s="56"/>
      <c r="H158" s="56"/>
      <c r="I158" s="36" t="str">
        <f t="shared" si="6"/>
        <v/>
      </c>
      <c r="J158" s="36">
        <f t="shared" si="7"/>
        <v>0</v>
      </c>
      <c r="K158" s="36" t="str">
        <f t="shared" ca="1" si="8"/>
        <v/>
      </c>
    </row>
    <row r="159" spans="3:11" x14ac:dyDescent="0.25">
      <c r="C159" s="53"/>
      <c r="D159" s="54"/>
      <c r="E159" s="55"/>
      <c r="F159" s="54"/>
      <c r="G159" s="56"/>
      <c r="H159" s="56"/>
      <c r="I159" s="36" t="str">
        <f t="shared" si="6"/>
        <v/>
      </c>
      <c r="J159" s="36">
        <f t="shared" si="7"/>
        <v>0</v>
      </c>
      <c r="K159" s="36" t="str">
        <f t="shared" ca="1" si="8"/>
        <v/>
      </c>
    </row>
    <row r="160" spans="3:11" x14ac:dyDescent="0.25">
      <c r="C160" s="53"/>
      <c r="D160" s="54"/>
      <c r="E160" s="55"/>
      <c r="F160" s="54"/>
      <c r="G160" s="56"/>
      <c r="H160" s="56"/>
      <c r="I160" s="36" t="str">
        <f t="shared" si="6"/>
        <v/>
      </c>
      <c r="J160" s="36">
        <f t="shared" si="7"/>
        <v>0</v>
      </c>
      <c r="K160" s="36" t="str">
        <f t="shared" ca="1" si="8"/>
        <v/>
      </c>
    </row>
    <row r="161" spans="3:11" x14ac:dyDescent="0.25">
      <c r="C161" s="53"/>
      <c r="D161" s="54"/>
      <c r="E161" s="55"/>
      <c r="F161" s="54"/>
      <c r="G161" s="56"/>
      <c r="H161" s="56"/>
      <c r="I161" s="36" t="str">
        <f t="shared" si="6"/>
        <v/>
      </c>
      <c r="J161" s="36">
        <f t="shared" si="7"/>
        <v>0</v>
      </c>
      <c r="K161" s="36" t="str">
        <f t="shared" ca="1" si="8"/>
        <v/>
      </c>
    </row>
    <row r="162" spans="3:11" x14ac:dyDescent="0.25">
      <c r="C162" s="53"/>
      <c r="D162" s="54"/>
      <c r="E162" s="55"/>
      <c r="F162" s="54"/>
      <c r="G162" s="56"/>
      <c r="H162" s="56"/>
      <c r="I162" s="36" t="str">
        <f t="shared" si="6"/>
        <v/>
      </c>
      <c r="J162" s="36">
        <f t="shared" si="7"/>
        <v>0</v>
      </c>
      <c r="K162" s="36" t="str">
        <f t="shared" ca="1" si="8"/>
        <v/>
      </c>
    </row>
    <row r="163" spans="3:11" x14ac:dyDescent="0.25">
      <c r="C163" s="53"/>
      <c r="D163" s="54"/>
      <c r="E163" s="55"/>
      <c r="F163" s="54"/>
      <c r="G163" s="56"/>
      <c r="H163" s="56"/>
      <c r="I163" s="36" t="str">
        <f t="shared" si="6"/>
        <v/>
      </c>
      <c r="J163" s="36">
        <f t="shared" si="7"/>
        <v>0</v>
      </c>
      <c r="K163" s="36" t="str">
        <f t="shared" ca="1" si="8"/>
        <v/>
      </c>
    </row>
    <row r="164" spans="3:11" x14ac:dyDescent="0.25">
      <c r="C164" s="53"/>
      <c r="D164" s="54"/>
      <c r="E164" s="55"/>
      <c r="F164" s="54"/>
      <c r="G164" s="56"/>
      <c r="H164" s="56"/>
      <c r="I164" s="36" t="str">
        <f t="shared" si="6"/>
        <v/>
      </c>
      <c r="J164" s="36">
        <f t="shared" si="7"/>
        <v>0</v>
      </c>
      <c r="K164" s="36" t="str">
        <f t="shared" ca="1" si="8"/>
        <v/>
      </c>
    </row>
    <row r="165" spans="3:11" x14ac:dyDescent="0.25">
      <c r="C165" s="53"/>
      <c r="D165" s="54"/>
      <c r="E165" s="55"/>
      <c r="F165" s="54"/>
      <c r="G165" s="56"/>
      <c r="H165" s="56"/>
      <c r="I165" s="36" t="str">
        <f t="shared" si="6"/>
        <v/>
      </c>
      <c r="J165" s="36">
        <f t="shared" si="7"/>
        <v>0</v>
      </c>
      <c r="K165" s="36" t="str">
        <f t="shared" ca="1" si="8"/>
        <v/>
      </c>
    </row>
    <row r="166" spans="3:11" x14ac:dyDescent="0.25">
      <c r="C166" s="53"/>
      <c r="D166" s="54"/>
      <c r="E166" s="55"/>
      <c r="F166" s="54"/>
      <c r="G166" s="56"/>
      <c r="H166" s="56"/>
      <c r="I166" s="36" t="str">
        <f t="shared" si="6"/>
        <v/>
      </c>
      <c r="J166" s="36">
        <f t="shared" si="7"/>
        <v>0</v>
      </c>
      <c r="K166" s="36" t="str">
        <f t="shared" ca="1" si="8"/>
        <v/>
      </c>
    </row>
    <row r="167" spans="3:11" x14ac:dyDescent="0.25">
      <c r="C167" s="53"/>
      <c r="D167" s="54"/>
      <c r="E167" s="55"/>
      <c r="F167" s="54"/>
      <c r="G167" s="56"/>
      <c r="H167" s="56"/>
      <c r="I167" s="36" t="str">
        <f t="shared" si="6"/>
        <v/>
      </c>
      <c r="J167" s="36">
        <f t="shared" si="7"/>
        <v>0</v>
      </c>
      <c r="K167" s="36" t="str">
        <f t="shared" ca="1" si="8"/>
        <v/>
      </c>
    </row>
    <row r="168" spans="3:11" x14ac:dyDescent="0.25">
      <c r="C168" s="53"/>
      <c r="D168" s="54"/>
      <c r="E168" s="55"/>
      <c r="F168" s="54"/>
      <c r="G168" s="56"/>
      <c r="H168" s="56"/>
      <c r="I168" s="36" t="str">
        <f t="shared" si="6"/>
        <v/>
      </c>
      <c r="J168" s="36">
        <f t="shared" si="7"/>
        <v>0</v>
      </c>
      <c r="K168" s="36" t="str">
        <f t="shared" ca="1" si="8"/>
        <v/>
      </c>
    </row>
    <row r="169" spans="3:11" x14ac:dyDescent="0.25">
      <c r="C169" s="53"/>
      <c r="D169" s="54"/>
      <c r="E169" s="55"/>
      <c r="F169" s="54"/>
      <c r="G169" s="56"/>
      <c r="H169" s="56"/>
      <c r="I169" s="36" t="str">
        <f t="shared" si="6"/>
        <v/>
      </c>
      <c r="J169" s="36">
        <f t="shared" si="7"/>
        <v>0</v>
      </c>
      <c r="K169" s="36" t="str">
        <f t="shared" ca="1" si="8"/>
        <v/>
      </c>
    </row>
    <row r="170" spans="3:11" x14ac:dyDescent="0.25">
      <c r="C170" s="53"/>
      <c r="D170" s="54"/>
      <c r="E170" s="55"/>
      <c r="F170" s="54"/>
      <c r="G170" s="56"/>
      <c r="H170" s="56"/>
      <c r="I170" s="36" t="str">
        <f t="shared" si="6"/>
        <v/>
      </c>
      <c r="J170" s="36">
        <f t="shared" si="7"/>
        <v>0</v>
      </c>
      <c r="K170" s="36" t="str">
        <f t="shared" ca="1" si="8"/>
        <v/>
      </c>
    </row>
    <row r="171" spans="3:11" x14ac:dyDescent="0.25">
      <c r="C171" s="53"/>
      <c r="D171" s="54"/>
      <c r="E171" s="55"/>
      <c r="F171" s="54"/>
      <c r="G171" s="56"/>
      <c r="H171" s="56"/>
      <c r="I171" s="36" t="str">
        <f t="shared" si="6"/>
        <v/>
      </c>
      <c r="J171" s="36">
        <f t="shared" si="7"/>
        <v>0</v>
      </c>
      <c r="K171" s="36" t="str">
        <f t="shared" ca="1" si="8"/>
        <v/>
      </c>
    </row>
    <row r="172" spans="3:11" x14ac:dyDescent="0.25">
      <c r="C172" s="53"/>
      <c r="D172" s="54"/>
      <c r="E172" s="55"/>
      <c r="F172" s="54"/>
      <c r="G172" s="56"/>
      <c r="H172" s="56"/>
      <c r="I172" s="36" t="str">
        <f t="shared" si="6"/>
        <v/>
      </c>
      <c r="J172" s="36">
        <f t="shared" si="7"/>
        <v>0</v>
      </c>
      <c r="K172" s="36" t="str">
        <f t="shared" ca="1" si="8"/>
        <v/>
      </c>
    </row>
    <row r="173" spans="3:11" x14ac:dyDescent="0.25">
      <c r="C173" s="53"/>
      <c r="D173" s="54"/>
      <c r="E173" s="55"/>
      <c r="F173" s="54"/>
      <c r="G173" s="56"/>
      <c r="H173" s="56"/>
      <c r="I173" s="36" t="str">
        <f t="shared" si="6"/>
        <v/>
      </c>
      <c r="J173" s="36">
        <f t="shared" si="7"/>
        <v>0</v>
      </c>
      <c r="K173" s="36" t="str">
        <f t="shared" ca="1" si="8"/>
        <v/>
      </c>
    </row>
    <row r="174" spans="3:11" x14ac:dyDescent="0.25">
      <c r="C174" s="53"/>
      <c r="D174" s="54"/>
      <c r="E174" s="55"/>
      <c r="F174" s="54"/>
      <c r="G174" s="56"/>
      <c r="H174" s="56"/>
      <c r="I174" s="36" t="str">
        <f t="shared" si="6"/>
        <v/>
      </c>
      <c r="J174" s="36">
        <f t="shared" si="7"/>
        <v>0</v>
      </c>
      <c r="K174" s="36" t="str">
        <f t="shared" ca="1" si="8"/>
        <v/>
      </c>
    </row>
    <row r="175" spans="3:11" x14ac:dyDescent="0.25">
      <c r="C175" s="53"/>
      <c r="D175" s="54"/>
      <c r="E175" s="55"/>
      <c r="F175" s="54"/>
      <c r="G175" s="56"/>
      <c r="H175" s="56"/>
      <c r="I175" s="36" t="str">
        <f t="shared" si="6"/>
        <v/>
      </c>
      <c r="J175" s="36">
        <f t="shared" si="7"/>
        <v>0</v>
      </c>
      <c r="K175" s="36" t="str">
        <f t="shared" ca="1" si="8"/>
        <v/>
      </c>
    </row>
    <row r="176" spans="3:11" x14ac:dyDescent="0.25">
      <c r="C176" s="53"/>
      <c r="D176" s="54"/>
      <c r="E176" s="55"/>
      <c r="F176" s="54"/>
      <c r="G176" s="56"/>
      <c r="H176" s="56"/>
      <c r="I176" s="36" t="str">
        <f t="shared" si="6"/>
        <v/>
      </c>
      <c r="J176" s="36">
        <f t="shared" si="7"/>
        <v>0</v>
      </c>
      <c r="K176" s="36" t="str">
        <f t="shared" ca="1" si="8"/>
        <v/>
      </c>
    </row>
    <row r="177" spans="3:11" x14ac:dyDescent="0.25">
      <c r="C177" s="53"/>
      <c r="D177" s="54"/>
      <c r="E177" s="55"/>
      <c r="F177" s="54"/>
      <c r="G177" s="56"/>
      <c r="H177" s="56"/>
      <c r="I177" s="36" t="str">
        <f t="shared" si="6"/>
        <v/>
      </c>
      <c r="J177" s="36">
        <f t="shared" si="7"/>
        <v>0</v>
      </c>
      <c r="K177" s="36" t="str">
        <f t="shared" ca="1" si="8"/>
        <v/>
      </c>
    </row>
    <row r="178" spans="3:11" x14ac:dyDescent="0.25">
      <c r="C178" s="53"/>
      <c r="D178" s="54"/>
      <c r="E178" s="55"/>
      <c r="F178" s="54"/>
      <c r="G178" s="56"/>
      <c r="H178" s="56"/>
      <c r="I178" s="36" t="str">
        <f t="shared" si="6"/>
        <v/>
      </c>
      <c r="J178" s="36">
        <f t="shared" si="7"/>
        <v>0</v>
      </c>
      <c r="K178" s="36" t="str">
        <f t="shared" ca="1" si="8"/>
        <v/>
      </c>
    </row>
    <row r="179" spans="3:11" x14ac:dyDescent="0.25">
      <c r="C179" s="53"/>
      <c r="D179" s="54"/>
      <c r="E179" s="55"/>
      <c r="F179" s="54"/>
      <c r="G179" s="56"/>
      <c r="H179" s="56"/>
      <c r="I179" s="36" t="str">
        <f t="shared" si="6"/>
        <v/>
      </c>
      <c r="J179" s="36">
        <f t="shared" si="7"/>
        <v>0</v>
      </c>
      <c r="K179" s="36" t="str">
        <f t="shared" ca="1" si="8"/>
        <v/>
      </c>
    </row>
    <row r="180" spans="3:11" x14ac:dyDescent="0.25">
      <c r="C180" s="53"/>
      <c r="D180" s="54"/>
      <c r="E180" s="55"/>
      <c r="F180" s="54"/>
      <c r="G180" s="56"/>
      <c r="H180" s="56"/>
      <c r="I180" s="36" t="str">
        <f t="shared" si="6"/>
        <v/>
      </c>
      <c r="J180" s="36">
        <f t="shared" si="7"/>
        <v>0</v>
      </c>
      <c r="K180" s="36" t="str">
        <f t="shared" ca="1" si="8"/>
        <v/>
      </c>
    </row>
    <row r="181" spans="3:11" x14ac:dyDescent="0.25">
      <c r="C181" s="53"/>
      <c r="D181" s="54"/>
      <c r="E181" s="55"/>
      <c r="F181" s="54"/>
      <c r="G181" s="56"/>
      <c r="H181" s="56"/>
      <c r="I181" s="36" t="str">
        <f t="shared" si="6"/>
        <v/>
      </c>
      <c r="J181" s="36">
        <f t="shared" si="7"/>
        <v>0</v>
      </c>
      <c r="K181" s="36" t="str">
        <f t="shared" ca="1" si="8"/>
        <v/>
      </c>
    </row>
    <row r="182" spans="3:11" x14ac:dyDescent="0.25">
      <c r="C182" s="53"/>
      <c r="D182" s="54"/>
      <c r="E182" s="55"/>
      <c r="F182" s="54"/>
      <c r="G182" s="56"/>
      <c r="H182" s="56"/>
      <c r="I182" s="36" t="str">
        <f t="shared" si="6"/>
        <v/>
      </c>
      <c r="J182" s="36">
        <f t="shared" si="7"/>
        <v>0</v>
      </c>
      <c r="K182" s="36" t="str">
        <f t="shared" ca="1" si="8"/>
        <v/>
      </c>
    </row>
    <row r="183" spans="3:11" x14ac:dyDescent="0.25">
      <c r="C183" s="53"/>
      <c r="D183" s="54"/>
      <c r="E183" s="55"/>
      <c r="F183" s="54"/>
      <c r="G183" s="56"/>
      <c r="H183" s="56"/>
      <c r="I183" s="36" t="str">
        <f t="shared" si="6"/>
        <v/>
      </c>
      <c r="J183" s="36">
        <f t="shared" si="7"/>
        <v>0</v>
      </c>
      <c r="K183" s="36" t="str">
        <f t="shared" ca="1" si="8"/>
        <v/>
      </c>
    </row>
    <row r="184" spans="3:11" x14ac:dyDescent="0.25">
      <c r="C184" s="53"/>
      <c r="D184" s="54"/>
      <c r="E184" s="55"/>
      <c r="F184" s="54"/>
      <c r="G184" s="56"/>
      <c r="H184" s="56"/>
      <c r="I184" s="36" t="str">
        <f t="shared" si="6"/>
        <v/>
      </c>
      <c r="J184" s="36">
        <f t="shared" si="7"/>
        <v>0</v>
      </c>
      <c r="K184" s="36" t="str">
        <f t="shared" ca="1" si="8"/>
        <v/>
      </c>
    </row>
    <row r="185" spans="3:11" x14ac:dyDescent="0.25">
      <c r="C185" s="53"/>
      <c r="D185" s="54"/>
      <c r="E185" s="55"/>
      <c r="F185" s="54"/>
      <c r="G185" s="56"/>
      <c r="H185" s="56"/>
      <c r="I185" s="36" t="str">
        <f t="shared" si="6"/>
        <v/>
      </c>
      <c r="J185" s="36">
        <f t="shared" si="7"/>
        <v>0</v>
      </c>
      <c r="K185" s="36" t="str">
        <f t="shared" ca="1" si="8"/>
        <v/>
      </c>
    </row>
    <row r="186" spans="3:11" x14ac:dyDescent="0.25">
      <c r="C186" s="53"/>
      <c r="D186" s="54"/>
      <c r="E186" s="55"/>
      <c r="F186" s="54"/>
      <c r="G186" s="56"/>
      <c r="H186" s="56"/>
      <c r="I186" s="36" t="str">
        <f t="shared" si="6"/>
        <v/>
      </c>
      <c r="J186" s="36">
        <f t="shared" si="7"/>
        <v>0</v>
      </c>
      <c r="K186" s="36" t="str">
        <f t="shared" ca="1" si="8"/>
        <v/>
      </c>
    </row>
    <row r="187" spans="3:11" x14ac:dyDescent="0.25">
      <c r="C187" s="53"/>
      <c r="D187" s="54"/>
      <c r="E187" s="55"/>
      <c r="F187" s="54"/>
      <c r="G187" s="56"/>
      <c r="H187" s="56"/>
      <c r="I187" s="36" t="str">
        <f t="shared" si="6"/>
        <v/>
      </c>
      <c r="J187" s="36">
        <f t="shared" si="7"/>
        <v>0</v>
      </c>
      <c r="K187" s="36" t="str">
        <f t="shared" ca="1" si="8"/>
        <v/>
      </c>
    </row>
    <row r="188" spans="3:11" x14ac:dyDescent="0.25">
      <c r="C188" s="53"/>
      <c r="D188" s="54"/>
      <c r="E188" s="55"/>
      <c r="F188" s="54"/>
      <c r="G188" s="56"/>
      <c r="H188" s="56"/>
      <c r="I188" s="36" t="str">
        <f t="shared" si="6"/>
        <v/>
      </c>
      <c r="J188" s="36">
        <f t="shared" si="7"/>
        <v>0</v>
      </c>
      <c r="K188" s="36" t="str">
        <f t="shared" ca="1" si="8"/>
        <v/>
      </c>
    </row>
    <row r="189" spans="3:11" x14ac:dyDescent="0.25">
      <c r="C189" s="53"/>
      <c r="D189" s="54"/>
      <c r="E189" s="55"/>
      <c r="F189" s="54"/>
      <c r="G189" s="56"/>
      <c r="H189" s="56"/>
      <c r="I189" s="36" t="str">
        <f t="shared" si="6"/>
        <v/>
      </c>
      <c r="J189" s="36">
        <f t="shared" si="7"/>
        <v>0</v>
      </c>
      <c r="K189" s="36" t="str">
        <f t="shared" ca="1" si="8"/>
        <v/>
      </c>
    </row>
    <row r="190" spans="3:11" x14ac:dyDescent="0.25">
      <c r="C190" s="53"/>
      <c r="D190" s="54"/>
      <c r="E190" s="55"/>
      <c r="F190" s="54"/>
      <c r="G190" s="56"/>
      <c r="H190" s="56"/>
      <c r="I190" s="36" t="str">
        <f t="shared" si="6"/>
        <v/>
      </c>
      <c r="J190" s="36">
        <f t="shared" si="7"/>
        <v>0</v>
      </c>
      <c r="K190" s="36" t="str">
        <f t="shared" ca="1" si="8"/>
        <v/>
      </c>
    </row>
    <row r="191" spans="3:11" x14ac:dyDescent="0.25">
      <c r="C191" s="53"/>
      <c r="D191" s="54"/>
      <c r="E191" s="55"/>
      <c r="F191" s="54"/>
      <c r="G191" s="56"/>
      <c r="H191" s="56"/>
      <c r="I191" s="36" t="str">
        <f t="shared" si="6"/>
        <v/>
      </c>
      <c r="J191" s="36">
        <f t="shared" si="7"/>
        <v>0</v>
      </c>
      <c r="K191" s="36" t="str">
        <f t="shared" ca="1" si="8"/>
        <v/>
      </c>
    </row>
    <row r="192" spans="3:11" x14ac:dyDescent="0.25">
      <c r="C192" s="53"/>
      <c r="D192" s="54"/>
      <c r="E192" s="55"/>
      <c r="F192" s="54"/>
      <c r="G192" s="56"/>
      <c r="H192" s="56"/>
      <c r="I192" s="36" t="str">
        <f t="shared" si="6"/>
        <v/>
      </c>
      <c r="J192" s="36">
        <f t="shared" si="7"/>
        <v>0</v>
      </c>
      <c r="K192" s="36" t="str">
        <f t="shared" ca="1" si="8"/>
        <v/>
      </c>
    </row>
    <row r="193" spans="3:11" x14ac:dyDescent="0.25">
      <c r="C193" s="53"/>
      <c r="D193" s="54"/>
      <c r="E193" s="55"/>
      <c r="F193" s="54"/>
      <c r="G193" s="56"/>
      <c r="H193" s="56"/>
      <c r="I193" s="36" t="str">
        <f t="shared" si="6"/>
        <v/>
      </c>
      <c r="J193" s="36">
        <f t="shared" si="7"/>
        <v>0</v>
      </c>
      <c r="K193" s="36" t="str">
        <f t="shared" ca="1" si="8"/>
        <v/>
      </c>
    </row>
    <row r="194" spans="3:11" x14ac:dyDescent="0.25">
      <c r="C194" s="53"/>
      <c r="D194" s="54"/>
      <c r="E194" s="55"/>
      <c r="F194" s="54"/>
      <c r="G194" s="56"/>
      <c r="H194" s="56"/>
      <c r="I194" s="36" t="str">
        <f t="shared" si="6"/>
        <v/>
      </c>
      <c r="J194" s="36">
        <f t="shared" si="7"/>
        <v>0</v>
      </c>
      <c r="K194" s="36" t="str">
        <f t="shared" ca="1" si="8"/>
        <v/>
      </c>
    </row>
    <row r="195" spans="3:11" x14ac:dyDescent="0.25">
      <c r="C195" s="53"/>
      <c r="D195" s="54"/>
      <c r="E195" s="55"/>
      <c r="F195" s="54"/>
      <c r="G195" s="56"/>
      <c r="H195" s="56"/>
      <c r="I195" s="36" t="str">
        <f t="shared" si="6"/>
        <v/>
      </c>
      <c r="J195" s="36">
        <f t="shared" si="7"/>
        <v>0</v>
      </c>
      <c r="K195" s="36" t="str">
        <f t="shared" ca="1" si="8"/>
        <v/>
      </c>
    </row>
    <row r="196" spans="3:11" x14ac:dyDescent="0.25">
      <c r="C196" s="53"/>
      <c r="D196" s="54"/>
      <c r="E196" s="55"/>
      <c r="F196" s="54"/>
      <c r="G196" s="56"/>
      <c r="H196" s="56"/>
      <c r="I196" s="36" t="str">
        <f t="shared" si="6"/>
        <v/>
      </c>
      <c r="J196" s="36">
        <f t="shared" si="7"/>
        <v>0</v>
      </c>
      <c r="K196" s="36" t="str">
        <f t="shared" ca="1" si="8"/>
        <v/>
      </c>
    </row>
    <row r="197" spans="3:11" x14ac:dyDescent="0.25">
      <c r="C197" s="53"/>
      <c r="D197" s="54"/>
      <c r="E197" s="55"/>
      <c r="F197" s="54"/>
      <c r="G197" s="56"/>
      <c r="H197" s="56"/>
      <c r="I197" s="36" t="str">
        <f t="shared" si="6"/>
        <v/>
      </c>
      <c r="J197" s="36">
        <f t="shared" si="7"/>
        <v>0</v>
      </c>
      <c r="K197" s="36" t="str">
        <f t="shared" ca="1" si="8"/>
        <v/>
      </c>
    </row>
    <row r="198" spans="3:11" x14ac:dyDescent="0.25">
      <c r="C198" s="53"/>
      <c r="D198" s="54"/>
      <c r="E198" s="55"/>
      <c r="F198" s="54"/>
      <c r="G198" s="56"/>
      <c r="H198" s="56"/>
      <c r="I198" s="36" t="str">
        <f t="shared" si="6"/>
        <v/>
      </c>
      <c r="J198" s="36">
        <f t="shared" si="7"/>
        <v>0</v>
      </c>
      <c r="K198" s="36" t="str">
        <f t="shared" ca="1" si="8"/>
        <v/>
      </c>
    </row>
    <row r="199" spans="3:11" x14ac:dyDescent="0.25">
      <c r="C199" s="53"/>
      <c r="D199" s="54"/>
      <c r="E199" s="55"/>
      <c r="F199" s="54"/>
      <c r="G199" s="56"/>
      <c r="H199" s="56"/>
      <c r="I199" s="36" t="str">
        <f t="shared" si="6"/>
        <v/>
      </c>
      <c r="J199" s="36">
        <f t="shared" si="7"/>
        <v>0</v>
      </c>
      <c r="K199" s="36" t="str">
        <f t="shared" ca="1" si="8"/>
        <v/>
      </c>
    </row>
    <row r="200" spans="3:11" x14ac:dyDescent="0.25">
      <c r="C200" s="53"/>
      <c r="D200" s="54"/>
      <c r="E200" s="55"/>
      <c r="F200" s="54"/>
      <c r="G200" s="56"/>
      <c r="H200" s="56"/>
      <c r="I200" s="36" t="str">
        <f t="shared" si="6"/>
        <v/>
      </c>
      <c r="J200" s="36">
        <f t="shared" si="7"/>
        <v>0</v>
      </c>
      <c r="K200" s="36" t="str">
        <f t="shared" ca="1" si="8"/>
        <v/>
      </c>
    </row>
    <row r="201" spans="3:11" x14ac:dyDescent="0.25">
      <c r="C201" s="53"/>
      <c r="D201" s="54"/>
      <c r="E201" s="55"/>
      <c r="F201" s="54"/>
      <c r="G201" s="56"/>
      <c r="H201" s="56"/>
      <c r="I201" s="36" t="str">
        <f t="shared" si="6"/>
        <v/>
      </c>
      <c r="J201" s="36">
        <f t="shared" si="7"/>
        <v>0</v>
      </c>
      <c r="K201" s="36" t="str">
        <f t="shared" ca="1" si="8"/>
        <v/>
      </c>
    </row>
    <row r="202" spans="3:11" x14ac:dyDescent="0.25">
      <c r="C202" s="53"/>
      <c r="D202" s="54"/>
      <c r="E202" s="55"/>
      <c r="F202" s="54"/>
      <c r="G202" s="56"/>
      <c r="H202" s="56"/>
      <c r="I202" s="36" t="str">
        <f t="shared" si="6"/>
        <v/>
      </c>
      <c r="J202" s="36">
        <f t="shared" si="7"/>
        <v>0</v>
      </c>
      <c r="K202" s="36" t="str">
        <f t="shared" ca="1" si="8"/>
        <v/>
      </c>
    </row>
    <row r="203" spans="3:11" x14ac:dyDescent="0.25">
      <c r="C203" s="53"/>
      <c r="D203" s="54"/>
      <c r="E203" s="55"/>
      <c r="F203" s="54"/>
      <c r="G203" s="56"/>
      <c r="H203" s="56"/>
      <c r="I203" s="36" t="str">
        <f t="shared" si="6"/>
        <v/>
      </c>
      <c r="J203" s="36">
        <f t="shared" si="7"/>
        <v>0</v>
      </c>
      <c r="K203" s="36" t="str">
        <f t="shared" ca="1" si="8"/>
        <v/>
      </c>
    </row>
    <row r="204" spans="3:11" x14ac:dyDescent="0.25">
      <c r="C204" s="53"/>
      <c r="D204" s="54"/>
      <c r="E204" s="55"/>
      <c r="F204" s="54"/>
      <c r="G204" s="56"/>
      <c r="H204" s="56"/>
      <c r="I204" s="36" t="str">
        <f t="shared" si="6"/>
        <v/>
      </c>
      <c r="J204" s="36">
        <f t="shared" si="7"/>
        <v>0</v>
      </c>
      <c r="K204" s="36" t="str">
        <f t="shared" ca="1" si="8"/>
        <v/>
      </c>
    </row>
    <row r="205" spans="3:11" x14ac:dyDescent="0.25">
      <c r="C205" s="53"/>
      <c r="D205" s="54"/>
      <c r="E205" s="55"/>
      <c r="F205" s="54"/>
      <c r="G205" s="56"/>
      <c r="H205" s="56"/>
      <c r="I205" s="36" t="str">
        <f t="shared" si="6"/>
        <v/>
      </c>
      <c r="J205" s="36">
        <f t="shared" si="7"/>
        <v>0</v>
      </c>
      <c r="K205" s="36" t="str">
        <f t="shared" ca="1" si="8"/>
        <v/>
      </c>
    </row>
    <row r="206" spans="3:11" x14ac:dyDescent="0.25">
      <c r="C206" s="53"/>
      <c r="D206" s="54"/>
      <c r="E206" s="55"/>
      <c r="F206" s="54"/>
      <c r="G206" s="56"/>
      <c r="H206" s="56"/>
      <c r="I206" s="36" t="str">
        <f t="shared" si="6"/>
        <v/>
      </c>
      <c r="J206" s="36">
        <f t="shared" si="7"/>
        <v>0</v>
      </c>
      <c r="K206" s="36" t="str">
        <f t="shared" ca="1" si="8"/>
        <v/>
      </c>
    </row>
    <row r="207" spans="3:11" x14ac:dyDescent="0.25">
      <c r="C207" s="53"/>
      <c r="D207" s="54"/>
      <c r="E207" s="55"/>
      <c r="F207" s="54"/>
      <c r="G207" s="56"/>
      <c r="H207" s="56"/>
      <c r="I207" s="36" t="str">
        <f t="shared" si="6"/>
        <v/>
      </c>
      <c r="J207" s="36">
        <f t="shared" si="7"/>
        <v>0</v>
      </c>
      <c r="K207" s="36" t="str">
        <f t="shared" ca="1" si="8"/>
        <v/>
      </c>
    </row>
    <row r="208" spans="3:11" x14ac:dyDescent="0.25">
      <c r="C208" s="53"/>
      <c r="D208" s="54"/>
      <c r="E208" s="55"/>
      <c r="F208" s="54"/>
      <c r="G208" s="56"/>
      <c r="H208" s="56"/>
      <c r="I208" s="36" t="str">
        <f t="shared" ref="I208:I271" si="9">IF(C208="","",IF(H208&lt;=0,"Em aberto",IF(H208&gt;=G208,"Pagamento Total",IF(H208&lt;G208,"Pagamento Parcial"))))</f>
        <v/>
      </c>
      <c r="J208" s="36">
        <f t="shared" ref="J208:J271" si="10">IF(C208&gt;0,G208-H208,0)</f>
        <v>0</v>
      </c>
      <c r="K208" s="36" t="str">
        <f t="shared" ref="K208:K271" ca="1" si="11">IF(ISBLANK(C208),"",IF(H208=G208,"Pago",IF(C208=TODAY(),"Vence Hoje",IF(TRIM(UPPER(G207))&lt;&gt;"S",IF(C208-TODAY()&lt;0,"Vencida",IF(C208-TODAY()&lt;8,"Próximos sete dias","Em aberto"))))))</f>
        <v/>
      </c>
    </row>
    <row r="209" spans="3:11" x14ac:dyDescent="0.25">
      <c r="C209" s="53"/>
      <c r="D209" s="54"/>
      <c r="E209" s="55"/>
      <c r="F209" s="54"/>
      <c r="G209" s="56"/>
      <c r="H209" s="56"/>
      <c r="I209" s="36" t="str">
        <f t="shared" si="9"/>
        <v/>
      </c>
      <c r="J209" s="36">
        <f t="shared" si="10"/>
        <v>0</v>
      </c>
      <c r="K209" s="36" t="str">
        <f t="shared" ca="1" si="11"/>
        <v/>
      </c>
    </row>
    <row r="210" spans="3:11" x14ac:dyDescent="0.25">
      <c r="C210" s="53"/>
      <c r="D210" s="54"/>
      <c r="E210" s="55"/>
      <c r="F210" s="54"/>
      <c r="G210" s="56"/>
      <c r="H210" s="56"/>
      <c r="I210" s="36" t="str">
        <f t="shared" si="9"/>
        <v/>
      </c>
      <c r="J210" s="36">
        <f t="shared" si="10"/>
        <v>0</v>
      </c>
      <c r="K210" s="36" t="str">
        <f t="shared" ca="1" si="11"/>
        <v/>
      </c>
    </row>
    <row r="211" spans="3:11" x14ac:dyDescent="0.25">
      <c r="C211" s="53"/>
      <c r="D211" s="54"/>
      <c r="E211" s="55"/>
      <c r="F211" s="54"/>
      <c r="G211" s="56"/>
      <c r="H211" s="56"/>
      <c r="I211" s="36" t="str">
        <f t="shared" si="9"/>
        <v/>
      </c>
      <c r="J211" s="36">
        <f t="shared" si="10"/>
        <v>0</v>
      </c>
      <c r="K211" s="36" t="str">
        <f t="shared" ca="1" si="11"/>
        <v/>
      </c>
    </row>
    <row r="212" spans="3:11" x14ac:dyDescent="0.25">
      <c r="C212" s="53"/>
      <c r="D212" s="54"/>
      <c r="E212" s="55"/>
      <c r="F212" s="54"/>
      <c r="G212" s="56"/>
      <c r="H212" s="56"/>
      <c r="I212" s="36" t="str">
        <f t="shared" si="9"/>
        <v/>
      </c>
      <c r="J212" s="36">
        <f t="shared" si="10"/>
        <v>0</v>
      </c>
      <c r="K212" s="36" t="str">
        <f t="shared" ca="1" si="11"/>
        <v/>
      </c>
    </row>
    <row r="213" spans="3:11" x14ac:dyDescent="0.25">
      <c r="C213" s="53"/>
      <c r="D213" s="54"/>
      <c r="E213" s="55"/>
      <c r="F213" s="54"/>
      <c r="G213" s="56"/>
      <c r="H213" s="56"/>
      <c r="I213" s="36" t="str">
        <f t="shared" si="9"/>
        <v/>
      </c>
      <c r="J213" s="36">
        <f t="shared" si="10"/>
        <v>0</v>
      </c>
      <c r="K213" s="36" t="str">
        <f t="shared" ca="1" si="11"/>
        <v/>
      </c>
    </row>
    <row r="214" spans="3:11" x14ac:dyDescent="0.25">
      <c r="C214" s="53"/>
      <c r="D214" s="54"/>
      <c r="E214" s="55"/>
      <c r="F214" s="54"/>
      <c r="G214" s="56"/>
      <c r="H214" s="56"/>
      <c r="I214" s="36" t="str">
        <f t="shared" si="9"/>
        <v/>
      </c>
      <c r="J214" s="36">
        <f t="shared" si="10"/>
        <v>0</v>
      </c>
      <c r="K214" s="36" t="str">
        <f t="shared" ca="1" si="11"/>
        <v/>
      </c>
    </row>
    <row r="215" spans="3:11" x14ac:dyDescent="0.25">
      <c r="C215" s="53"/>
      <c r="D215" s="54"/>
      <c r="E215" s="55"/>
      <c r="F215" s="54"/>
      <c r="G215" s="56"/>
      <c r="H215" s="56"/>
      <c r="I215" s="36" t="str">
        <f t="shared" si="9"/>
        <v/>
      </c>
      <c r="J215" s="36">
        <f t="shared" si="10"/>
        <v>0</v>
      </c>
      <c r="K215" s="36" t="str">
        <f t="shared" ca="1" si="11"/>
        <v/>
      </c>
    </row>
    <row r="216" spans="3:11" x14ac:dyDescent="0.25">
      <c r="C216" s="53"/>
      <c r="D216" s="54"/>
      <c r="E216" s="55"/>
      <c r="F216" s="54"/>
      <c r="G216" s="56"/>
      <c r="H216" s="56"/>
      <c r="I216" s="36" t="str">
        <f t="shared" si="9"/>
        <v/>
      </c>
      <c r="J216" s="36">
        <f t="shared" si="10"/>
        <v>0</v>
      </c>
      <c r="K216" s="36" t="str">
        <f t="shared" ca="1" si="11"/>
        <v/>
      </c>
    </row>
    <row r="217" spans="3:11" x14ac:dyDescent="0.25">
      <c r="C217" s="53"/>
      <c r="D217" s="54"/>
      <c r="E217" s="55"/>
      <c r="F217" s="54"/>
      <c r="G217" s="56"/>
      <c r="H217" s="56"/>
      <c r="I217" s="36" t="str">
        <f t="shared" si="9"/>
        <v/>
      </c>
      <c r="J217" s="36">
        <f t="shared" si="10"/>
        <v>0</v>
      </c>
      <c r="K217" s="36" t="str">
        <f t="shared" ca="1" si="11"/>
        <v/>
      </c>
    </row>
    <row r="218" spans="3:11" x14ac:dyDescent="0.25">
      <c r="C218" s="53"/>
      <c r="D218" s="54"/>
      <c r="E218" s="55"/>
      <c r="F218" s="54"/>
      <c r="G218" s="56"/>
      <c r="H218" s="56"/>
      <c r="I218" s="36" t="str">
        <f t="shared" si="9"/>
        <v/>
      </c>
      <c r="J218" s="36">
        <f t="shared" si="10"/>
        <v>0</v>
      </c>
      <c r="K218" s="36" t="str">
        <f t="shared" ca="1" si="11"/>
        <v/>
      </c>
    </row>
    <row r="219" spans="3:11" x14ac:dyDescent="0.25">
      <c r="C219" s="53"/>
      <c r="D219" s="54"/>
      <c r="E219" s="55"/>
      <c r="F219" s="54"/>
      <c r="G219" s="56"/>
      <c r="H219" s="56"/>
      <c r="I219" s="36" t="str">
        <f t="shared" si="9"/>
        <v/>
      </c>
      <c r="J219" s="36">
        <f t="shared" si="10"/>
        <v>0</v>
      </c>
      <c r="K219" s="36" t="str">
        <f t="shared" ca="1" si="11"/>
        <v/>
      </c>
    </row>
    <row r="220" spans="3:11" x14ac:dyDescent="0.25">
      <c r="C220" s="53"/>
      <c r="D220" s="54"/>
      <c r="E220" s="55"/>
      <c r="F220" s="54"/>
      <c r="G220" s="56"/>
      <c r="H220" s="56"/>
      <c r="I220" s="36" t="str">
        <f t="shared" si="9"/>
        <v/>
      </c>
      <c r="J220" s="36">
        <f t="shared" si="10"/>
        <v>0</v>
      </c>
      <c r="K220" s="36" t="str">
        <f t="shared" ca="1" si="11"/>
        <v/>
      </c>
    </row>
    <row r="221" spans="3:11" x14ac:dyDescent="0.25">
      <c r="C221" s="53"/>
      <c r="D221" s="54"/>
      <c r="E221" s="55"/>
      <c r="F221" s="54"/>
      <c r="G221" s="56"/>
      <c r="H221" s="56"/>
      <c r="I221" s="36" t="str">
        <f t="shared" si="9"/>
        <v/>
      </c>
      <c r="J221" s="36">
        <f t="shared" si="10"/>
        <v>0</v>
      </c>
      <c r="K221" s="36" t="str">
        <f t="shared" ca="1" si="11"/>
        <v/>
      </c>
    </row>
    <row r="222" spans="3:11" x14ac:dyDescent="0.25">
      <c r="C222" s="53"/>
      <c r="D222" s="54"/>
      <c r="E222" s="55"/>
      <c r="F222" s="54"/>
      <c r="G222" s="56"/>
      <c r="H222" s="56"/>
      <c r="I222" s="36" t="str">
        <f t="shared" si="9"/>
        <v/>
      </c>
      <c r="J222" s="36">
        <f t="shared" si="10"/>
        <v>0</v>
      </c>
      <c r="K222" s="36" t="str">
        <f t="shared" ca="1" si="11"/>
        <v/>
      </c>
    </row>
    <row r="223" spans="3:11" x14ac:dyDescent="0.25">
      <c r="C223" s="53"/>
      <c r="D223" s="54"/>
      <c r="E223" s="55"/>
      <c r="F223" s="54"/>
      <c r="G223" s="56"/>
      <c r="H223" s="56"/>
      <c r="I223" s="36" t="str">
        <f t="shared" si="9"/>
        <v/>
      </c>
      <c r="J223" s="36">
        <f t="shared" si="10"/>
        <v>0</v>
      </c>
      <c r="K223" s="36" t="str">
        <f t="shared" ca="1" si="11"/>
        <v/>
      </c>
    </row>
    <row r="224" spans="3:11" x14ac:dyDescent="0.25">
      <c r="C224" s="53"/>
      <c r="D224" s="54"/>
      <c r="E224" s="55"/>
      <c r="F224" s="54"/>
      <c r="G224" s="56"/>
      <c r="H224" s="56"/>
      <c r="I224" s="36" t="str">
        <f t="shared" si="9"/>
        <v/>
      </c>
      <c r="J224" s="36">
        <f t="shared" si="10"/>
        <v>0</v>
      </c>
      <c r="K224" s="36" t="str">
        <f t="shared" ca="1" si="11"/>
        <v/>
      </c>
    </row>
    <row r="225" spans="3:11" x14ac:dyDescent="0.25">
      <c r="C225" s="53"/>
      <c r="D225" s="54"/>
      <c r="E225" s="55"/>
      <c r="F225" s="54"/>
      <c r="G225" s="56"/>
      <c r="H225" s="56"/>
      <c r="I225" s="36" t="str">
        <f t="shared" si="9"/>
        <v/>
      </c>
      <c r="J225" s="36">
        <f t="shared" si="10"/>
        <v>0</v>
      </c>
      <c r="K225" s="36" t="str">
        <f t="shared" ca="1" si="11"/>
        <v/>
      </c>
    </row>
    <row r="226" spans="3:11" x14ac:dyDescent="0.25">
      <c r="C226" s="53"/>
      <c r="D226" s="54"/>
      <c r="E226" s="55"/>
      <c r="F226" s="54"/>
      <c r="G226" s="56"/>
      <c r="H226" s="56"/>
      <c r="I226" s="36" t="str">
        <f t="shared" si="9"/>
        <v/>
      </c>
      <c r="J226" s="36">
        <f t="shared" si="10"/>
        <v>0</v>
      </c>
      <c r="K226" s="36" t="str">
        <f t="shared" ca="1" si="11"/>
        <v/>
      </c>
    </row>
    <row r="227" spans="3:11" x14ac:dyDescent="0.25">
      <c r="C227" s="53"/>
      <c r="D227" s="54"/>
      <c r="E227" s="55"/>
      <c r="F227" s="54"/>
      <c r="G227" s="56"/>
      <c r="H227" s="56"/>
      <c r="I227" s="36" t="str">
        <f t="shared" si="9"/>
        <v/>
      </c>
      <c r="J227" s="36">
        <f t="shared" si="10"/>
        <v>0</v>
      </c>
      <c r="K227" s="36" t="str">
        <f t="shared" ca="1" si="11"/>
        <v/>
      </c>
    </row>
    <row r="228" spans="3:11" x14ac:dyDescent="0.25">
      <c r="C228" s="53"/>
      <c r="D228" s="54"/>
      <c r="E228" s="55"/>
      <c r="F228" s="54"/>
      <c r="G228" s="56"/>
      <c r="H228" s="56"/>
      <c r="I228" s="36" t="str">
        <f t="shared" si="9"/>
        <v/>
      </c>
      <c r="J228" s="36">
        <f t="shared" si="10"/>
        <v>0</v>
      </c>
      <c r="K228" s="36" t="str">
        <f t="shared" ca="1" si="11"/>
        <v/>
      </c>
    </row>
    <row r="229" spans="3:11" x14ac:dyDescent="0.25">
      <c r="C229" s="53"/>
      <c r="D229" s="54"/>
      <c r="E229" s="55"/>
      <c r="F229" s="54"/>
      <c r="G229" s="56"/>
      <c r="H229" s="56"/>
      <c r="I229" s="36" t="str">
        <f t="shared" si="9"/>
        <v/>
      </c>
      <c r="J229" s="36">
        <f t="shared" si="10"/>
        <v>0</v>
      </c>
      <c r="K229" s="36" t="str">
        <f t="shared" ca="1" si="11"/>
        <v/>
      </c>
    </row>
    <row r="230" spans="3:11" x14ac:dyDescent="0.25">
      <c r="C230" s="53"/>
      <c r="D230" s="54"/>
      <c r="E230" s="55"/>
      <c r="F230" s="54"/>
      <c r="G230" s="56"/>
      <c r="H230" s="56"/>
      <c r="I230" s="36" t="str">
        <f t="shared" si="9"/>
        <v/>
      </c>
      <c r="J230" s="36">
        <f t="shared" si="10"/>
        <v>0</v>
      </c>
      <c r="K230" s="36" t="str">
        <f t="shared" ca="1" si="11"/>
        <v/>
      </c>
    </row>
    <row r="231" spans="3:11" x14ac:dyDescent="0.25">
      <c r="C231" s="53"/>
      <c r="D231" s="54"/>
      <c r="E231" s="55"/>
      <c r="F231" s="54"/>
      <c r="G231" s="56"/>
      <c r="H231" s="56"/>
      <c r="I231" s="36" t="str">
        <f t="shared" si="9"/>
        <v/>
      </c>
      <c r="J231" s="36">
        <f t="shared" si="10"/>
        <v>0</v>
      </c>
      <c r="K231" s="36" t="str">
        <f t="shared" ca="1" si="11"/>
        <v/>
      </c>
    </row>
    <row r="232" spans="3:11" x14ac:dyDescent="0.25">
      <c r="C232" s="53"/>
      <c r="D232" s="54"/>
      <c r="E232" s="55"/>
      <c r="F232" s="54"/>
      <c r="G232" s="56"/>
      <c r="H232" s="56"/>
      <c r="I232" s="36" t="str">
        <f t="shared" si="9"/>
        <v/>
      </c>
      <c r="J232" s="36">
        <f t="shared" si="10"/>
        <v>0</v>
      </c>
      <c r="K232" s="36" t="str">
        <f t="shared" ca="1" si="11"/>
        <v/>
      </c>
    </row>
    <row r="233" spans="3:11" x14ac:dyDescent="0.25">
      <c r="C233" s="53"/>
      <c r="D233" s="54"/>
      <c r="E233" s="55"/>
      <c r="F233" s="54"/>
      <c r="G233" s="56"/>
      <c r="H233" s="56"/>
      <c r="I233" s="36" t="str">
        <f t="shared" si="9"/>
        <v/>
      </c>
      <c r="J233" s="36">
        <f t="shared" si="10"/>
        <v>0</v>
      </c>
      <c r="K233" s="36" t="str">
        <f t="shared" ca="1" si="11"/>
        <v/>
      </c>
    </row>
    <row r="234" spans="3:11" x14ac:dyDescent="0.25">
      <c r="C234" s="53"/>
      <c r="D234" s="54"/>
      <c r="E234" s="55"/>
      <c r="F234" s="54"/>
      <c r="G234" s="56"/>
      <c r="H234" s="56"/>
      <c r="I234" s="36" t="str">
        <f t="shared" si="9"/>
        <v/>
      </c>
      <c r="J234" s="36">
        <f t="shared" si="10"/>
        <v>0</v>
      </c>
      <c r="K234" s="36" t="str">
        <f t="shared" ca="1" si="11"/>
        <v/>
      </c>
    </row>
    <row r="235" spans="3:11" x14ac:dyDescent="0.25">
      <c r="C235" s="53"/>
      <c r="D235" s="54"/>
      <c r="E235" s="55"/>
      <c r="F235" s="54"/>
      <c r="G235" s="56"/>
      <c r="H235" s="56"/>
      <c r="I235" s="36" t="str">
        <f t="shared" si="9"/>
        <v/>
      </c>
      <c r="J235" s="36">
        <f t="shared" si="10"/>
        <v>0</v>
      </c>
      <c r="K235" s="36" t="str">
        <f t="shared" ca="1" si="11"/>
        <v/>
      </c>
    </row>
    <row r="236" spans="3:11" x14ac:dyDescent="0.25">
      <c r="C236" s="53"/>
      <c r="D236" s="54"/>
      <c r="E236" s="55"/>
      <c r="F236" s="54"/>
      <c r="G236" s="56"/>
      <c r="H236" s="56"/>
      <c r="I236" s="36" t="str">
        <f t="shared" si="9"/>
        <v/>
      </c>
      <c r="J236" s="36">
        <f t="shared" si="10"/>
        <v>0</v>
      </c>
      <c r="K236" s="36" t="str">
        <f t="shared" ca="1" si="11"/>
        <v/>
      </c>
    </row>
    <row r="237" spans="3:11" x14ac:dyDescent="0.25">
      <c r="C237" s="53"/>
      <c r="D237" s="54"/>
      <c r="E237" s="55"/>
      <c r="F237" s="54"/>
      <c r="G237" s="56"/>
      <c r="H237" s="56"/>
      <c r="I237" s="36" t="str">
        <f t="shared" si="9"/>
        <v/>
      </c>
      <c r="J237" s="36">
        <f t="shared" si="10"/>
        <v>0</v>
      </c>
      <c r="K237" s="36" t="str">
        <f t="shared" ca="1" si="11"/>
        <v/>
      </c>
    </row>
    <row r="238" spans="3:11" x14ac:dyDescent="0.25">
      <c r="C238" s="53"/>
      <c r="D238" s="54"/>
      <c r="E238" s="55"/>
      <c r="F238" s="54"/>
      <c r="G238" s="56"/>
      <c r="H238" s="56"/>
      <c r="I238" s="36" t="str">
        <f t="shared" si="9"/>
        <v/>
      </c>
      <c r="J238" s="36">
        <f t="shared" si="10"/>
        <v>0</v>
      </c>
      <c r="K238" s="36" t="str">
        <f t="shared" ca="1" si="11"/>
        <v/>
      </c>
    </row>
    <row r="239" spans="3:11" x14ac:dyDescent="0.25">
      <c r="C239" s="53"/>
      <c r="D239" s="54"/>
      <c r="E239" s="55"/>
      <c r="F239" s="54"/>
      <c r="G239" s="56"/>
      <c r="H239" s="56"/>
      <c r="I239" s="36" t="str">
        <f t="shared" si="9"/>
        <v/>
      </c>
      <c r="J239" s="36">
        <f t="shared" si="10"/>
        <v>0</v>
      </c>
      <c r="K239" s="36" t="str">
        <f t="shared" ca="1" si="11"/>
        <v/>
      </c>
    </row>
    <row r="240" spans="3:11" x14ac:dyDescent="0.25">
      <c r="C240" s="53"/>
      <c r="D240" s="54"/>
      <c r="E240" s="55"/>
      <c r="F240" s="54"/>
      <c r="G240" s="56"/>
      <c r="H240" s="56"/>
      <c r="I240" s="36" t="str">
        <f t="shared" si="9"/>
        <v/>
      </c>
      <c r="J240" s="36">
        <f t="shared" si="10"/>
        <v>0</v>
      </c>
      <c r="K240" s="36" t="str">
        <f t="shared" ca="1" si="11"/>
        <v/>
      </c>
    </row>
    <row r="241" spans="3:11" x14ac:dyDescent="0.25">
      <c r="C241" s="53"/>
      <c r="D241" s="54"/>
      <c r="E241" s="55"/>
      <c r="F241" s="54"/>
      <c r="G241" s="56"/>
      <c r="H241" s="56"/>
      <c r="I241" s="36" t="str">
        <f t="shared" si="9"/>
        <v/>
      </c>
      <c r="J241" s="36">
        <f t="shared" si="10"/>
        <v>0</v>
      </c>
      <c r="K241" s="36" t="str">
        <f t="shared" ca="1" si="11"/>
        <v/>
      </c>
    </row>
    <row r="242" spans="3:11" x14ac:dyDescent="0.25">
      <c r="C242" s="53"/>
      <c r="D242" s="54"/>
      <c r="E242" s="55"/>
      <c r="F242" s="54"/>
      <c r="G242" s="56"/>
      <c r="H242" s="56"/>
      <c r="I242" s="36" t="str">
        <f t="shared" si="9"/>
        <v/>
      </c>
      <c r="J242" s="36">
        <f t="shared" si="10"/>
        <v>0</v>
      </c>
      <c r="K242" s="36" t="str">
        <f t="shared" ca="1" si="11"/>
        <v/>
      </c>
    </row>
    <row r="243" spans="3:11" x14ac:dyDescent="0.25">
      <c r="C243" s="53"/>
      <c r="D243" s="54"/>
      <c r="E243" s="55"/>
      <c r="F243" s="54"/>
      <c r="G243" s="56"/>
      <c r="H243" s="56"/>
      <c r="I243" s="36" t="str">
        <f t="shared" si="9"/>
        <v/>
      </c>
      <c r="J243" s="36">
        <f t="shared" si="10"/>
        <v>0</v>
      </c>
      <c r="K243" s="36" t="str">
        <f t="shared" ca="1" si="11"/>
        <v/>
      </c>
    </row>
    <row r="244" spans="3:11" x14ac:dyDescent="0.25">
      <c r="C244" s="53"/>
      <c r="D244" s="54"/>
      <c r="E244" s="55"/>
      <c r="F244" s="54"/>
      <c r="G244" s="56"/>
      <c r="H244" s="56"/>
      <c r="I244" s="36" t="str">
        <f t="shared" si="9"/>
        <v/>
      </c>
      <c r="J244" s="36">
        <f t="shared" si="10"/>
        <v>0</v>
      </c>
      <c r="K244" s="36" t="str">
        <f t="shared" ca="1" si="11"/>
        <v/>
      </c>
    </row>
    <row r="245" spans="3:11" x14ac:dyDescent="0.25">
      <c r="C245" s="53"/>
      <c r="D245" s="54"/>
      <c r="E245" s="55"/>
      <c r="F245" s="54"/>
      <c r="G245" s="56"/>
      <c r="H245" s="56"/>
      <c r="I245" s="36" t="str">
        <f t="shared" si="9"/>
        <v/>
      </c>
      <c r="J245" s="36">
        <f t="shared" si="10"/>
        <v>0</v>
      </c>
      <c r="K245" s="36" t="str">
        <f t="shared" ca="1" si="11"/>
        <v/>
      </c>
    </row>
    <row r="246" spans="3:11" x14ac:dyDescent="0.25">
      <c r="C246" s="53"/>
      <c r="D246" s="54"/>
      <c r="E246" s="55"/>
      <c r="F246" s="54"/>
      <c r="G246" s="56"/>
      <c r="H246" s="56"/>
      <c r="I246" s="36" t="str">
        <f t="shared" si="9"/>
        <v/>
      </c>
      <c r="J246" s="36">
        <f t="shared" si="10"/>
        <v>0</v>
      </c>
      <c r="K246" s="36" t="str">
        <f t="shared" ca="1" si="11"/>
        <v/>
      </c>
    </row>
    <row r="247" spans="3:11" x14ac:dyDescent="0.25">
      <c r="C247" s="53"/>
      <c r="D247" s="54"/>
      <c r="E247" s="55"/>
      <c r="F247" s="54"/>
      <c r="G247" s="56"/>
      <c r="H247" s="56"/>
      <c r="I247" s="36" t="str">
        <f t="shared" si="9"/>
        <v/>
      </c>
      <c r="J247" s="36">
        <f t="shared" si="10"/>
        <v>0</v>
      </c>
      <c r="K247" s="36" t="str">
        <f t="shared" ca="1" si="11"/>
        <v/>
      </c>
    </row>
    <row r="248" spans="3:11" x14ac:dyDescent="0.25">
      <c r="C248" s="53"/>
      <c r="D248" s="54"/>
      <c r="E248" s="55"/>
      <c r="F248" s="54"/>
      <c r="G248" s="56"/>
      <c r="H248" s="56"/>
      <c r="I248" s="36" t="str">
        <f t="shared" si="9"/>
        <v/>
      </c>
      <c r="J248" s="36">
        <f t="shared" si="10"/>
        <v>0</v>
      </c>
      <c r="K248" s="36" t="str">
        <f t="shared" ca="1" si="11"/>
        <v/>
      </c>
    </row>
    <row r="249" spans="3:11" x14ac:dyDescent="0.25">
      <c r="C249" s="53"/>
      <c r="D249" s="54"/>
      <c r="E249" s="55"/>
      <c r="F249" s="54"/>
      <c r="G249" s="56"/>
      <c r="H249" s="56"/>
      <c r="I249" s="36" t="str">
        <f t="shared" si="9"/>
        <v/>
      </c>
      <c r="J249" s="36">
        <f t="shared" si="10"/>
        <v>0</v>
      </c>
      <c r="K249" s="36" t="str">
        <f t="shared" ca="1" si="11"/>
        <v/>
      </c>
    </row>
    <row r="250" spans="3:11" x14ac:dyDescent="0.25">
      <c r="C250" s="53"/>
      <c r="D250" s="54"/>
      <c r="E250" s="55"/>
      <c r="F250" s="54"/>
      <c r="G250" s="56"/>
      <c r="H250" s="56"/>
      <c r="I250" s="36" t="str">
        <f t="shared" si="9"/>
        <v/>
      </c>
      <c r="J250" s="36">
        <f t="shared" si="10"/>
        <v>0</v>
      </c>
      <c r="K250" s="36" t="str">
        <f t="shared" ca="1" si="11"/>
        <v/>
      </c>
    </row>
    <row r="251" spans="3:11" x14ac:dyDescent="0.25">
      <c r="C251" s="53"/>
      <c r="D251" s="54"/>
      <c r="E251" s="55"/>
      <c r="F251" s="54"/>
      <c r="G251" s="56"/>
      <c r="H251" s="56"/>
      <c r="I251" s="36" t="str">
        <f t="shared" si="9"/>
        <v/>
      </c>
      <c r="J251" s="36">
        <f t="shared" si="10"/>
        <v>0</v>
      </c>
      <c r="K251" s="36" t="str">
        <f t="shared" ca="1" si="11"/>
        <v/>
      </c>
    </row>
    <row r="252" spans="3:11" x14ac:dyDescent="0.25">
      <c r="C252" s="53"/>
      <c r="D252" s="54"/>
      <c r="E252" s="55"/>
      <c r="F252" s="54"/>
      <c r="G252" s="56"/>
      <c r="H252" s="56"/>
      <c r="I252" s="36" t="str">
        <f t="shared" si="9"/>
        <v/>
      </c>
      <c r="J252" s="36">
        <f t="shared" si="10"/>
        <v>0</v>
      </c>
      <c r="K252" s="36" t="str">
        <f t="shared" ca="1" si="11"/>
        <v/>
      </c>
    </row>
    <row r="253" spans="3:11" x14ac:dyDescent="0.25">
      <c r="C253" s="53"/>
      <c r="D253" s="54"/>
      <c r="E253" s="55"/>
      <c r="F253" s="54"/>
      <c r="G253" s="56"/>
      <c r="H253" s="56"/>
      <c r="I253" s="36" t="str">
        <f t="shared" si="9"/>
        <v/>
      </c>
      <c r="J253" s="36">
        <f t="shared" si="10"/>
        <v>0</v>
      </c>
      <c r="K253" s="36" t="str">
        <f t="shared" ca="1" si="11"/>
        <v/>
      </c>
    </row>
    <row r="254" spans="3:11" x14ac:dyDescent="0.25">
      <c r="C254" s="53"/>
      <c r="D254" s="54"/>
      <c r="E254" s="55"/>
      <c r="F254" s="54"/>
      <c r="G254" s="56"/>
      <c r="H254" s="56"/>
      <c r="I254" s="36" t="str">
        <f t="shared" si="9"/>
        <v/>
      </c>
      <c r="J254" s="36">
        <f t="shared" si="10"/>
        <v>0</v>
      </c>
      <c r="K254" s="36" t="str">
        <f t="shared" ca="1" si="11"/>
        <v/>
      </c>
    </row>
    <row r="255" spans="3:11" x14ac:dyDescent="0.25">
      <c r="C255" s="53"/>
      <c r="D255" s="54"/>
      <c r="E255" s="55"/>
      <c r="F255" s="54"/>
      <c r="G255" s="56"/>
      <c r="H255" s="56"/>
      <c r="I255" s="36" t="str">
        <f t="shared" si="9"/>
        <v/>
      </c>
      <c r="J255" s="36">
        <f t="shared" si="10"/>
        <v>0</v>
      </c>
      <c r="K255" s="36" t="str">
        <f t="shared" ca="1" si="11"/>
        <v/>
      </c>
    </row>
    <row r="256" spans="3:11" x14ac:dyDescent="0.25">
      <c r="C256" s="53"/>
      <c r="D256" s="54"/>
      <c r="E256" s="55"/>
      <c r="F256" s="54"/>
      <c r="G256" s="56"/>
      <c r="H256" s="56"/>
      <c r="I256" s="36" t="str">
        <f t="shared" si="9"/>
        <v/>
      </c>
      <c r="J256" s="36">
        <f t="shared" si="10"/>
        <v>0</v>
      </c>
      <c r="K256" s="36" t="str">
        <f t="shared" ca="1" si="11"/>
        <v/>
      </c>
    </row>
    <row r="257" spans="3:11" x14ac:dyDescent="0.25">
      <c r="C257" s="53"/>
      <c r="D257" s="54"/>
      <c r="E257" s="55"/>
      <c r="F257" s="54"/>
      <c r="G257" s="56"/>
      <c r="H257" s="56"/>
      <c r="I257" s="36" t="str">
        <f t="shared" si="9"/>
        <v/>
      </c>
      <c r="J257" s="36">
        <f t="shared" si="10"/>
        <v>0</v>
      </c>
      <c r="K257" s="36" t="str">
        <f t="shared" ca="1" si="11"/>
        <v/>
      </c>
    </row>
    <row r="258" spans="3:11" x14ac:dyDescent="0.25">
      <c r="C258" s="53"/>
      <c r="D258" s="54"/>
      <c r="E258" s="55"/>
      <c r="F258" s="54"/>
      <c r="G258" s="56"/>
      <c r="H258" s="56"/>
      <c r="I258" s="36" t="str">
        <f t="shared" si="9"/>
        <v/>
      </c>
      <c r="J258" s="36">
        <f t="shared" si="10"/>
        <v>0</v>
      </c>
      <c r="K258" s="36" t="str">
        <f t="shared" ca="1" si="11"/>
        <v/>
      </c>
    </row>
    <row r="259" spans="3:11" x14ac:dyDescent="0.25">
      <c r="C259" s="53"/>
      <c r="D259" s="54"/>
      <c r="E259" s="55"/>
      <c r="F259" s="54"/>
      <c r="G259" s="56"/>
      <c r="H259" s="56"/>
      <c r="I259" s="36" t="str">
        <f t="shared" si="9"/>
        <v/>
      </c>
      <c r="J259" s="36">
        <f t="shared" si="10"/>
        <v>0</v>
      </c>
      <c r="K259" s="36" t="str">
        <f t="shared" ca="1" si="11"/>
        <v/>
      </c>
    </row>
    <row r="260" spans="3:11" x14ac:dyDescent="0.25">
      <c r="C260" s="53"/>
      <c r="D260" s="54"/>
      <c r="E260" s="55"/>
      <c r="F260" s="54"/>
      <c r="G260" s="56"/>
      <c r="H260" s="56"/>
      <c r="I260" s="36" t="str">
        <f t="shared" si="9"/>
        <v/>
      </c>
      <c r="J260" s="36">
        <f t="shared" si="10"/>
        <v>0</v>
      </c>
      <c r="K260" s="36" t="str">
        <f t="shared" ca="1" si="11"/>
        <v/>
      </c>
    </row>
    <row r="261" spans="3:11" x14ac:dyDescent="0.25">
      <c r="C261" s="53"/>
      <c r="D261" s="54"/>
      <c r="E261" s="55"/>
      <c r="F261" s="54"/>
      <c r="G261" s="56"/>
      <c r="H261" s="56"/>
      <c r="I261" s="36" t="str">
        <f t="shared" si="9"/>
        <v/>
      </c>
      <c r="J261" s="36">
        <f t="shared" si="10"/>
        <v>0</v>
      </c>
      <c r="K261" s="36" t="str">
        <f t="shared" ca="1" si="11"/>
        <v/>
      </c>
    </row>
    <row r="262" spans="3:11" x14ac:dyDescent="0.25">
      <c r="C262" s="53"/>
      <c r="D262" s="54"/>
      <c r="E262" s="55"/>
      <c r="F262" s="54"/>
      <c r="G262" s="56"/>
      <c r="H262" s="56"/>
      <c r="I262" s="36" t="str">
        <f t="shared" si="9"/>
        <v/>
      </c>
      <c r="J262" s="36">
        <f t="shared" si="10"/>
        <v>0</v>
      </c>
      <c r="K262" s="36" t="str">
        <f t="shared" ca="1" si="11"/>
        <v/>
      </c>
    </row>
    <row r="263" spans="3:11" x14ac:dyDescent="0.25">
      <c r="C263" s="53"/>
      <c r="D263" s="54"/>
      <c r="E263" s="55"/>
      <c r="F263" s="54"/>
      <c r="G263" s="56"/>
      <c r="H263" s="56"/>
      <c r="I263" s="36" t="str">
        <f t="shared" si="9"/>
        <v/>
      </c>
      <c r="J263" s="36">
        <f t="shared" si="10"/>
        <v>0</v>
      </c>
      <c r="K263" s="36" t="str">
        <f t="shared" ca="1" si="11"/>
        <v/>
      </c>
    </row>
    <row r="264" spans="3:11" x14ac:dyDescent="0.25">
      <c r="C264" s="53"/>
      <c r="D264" s="54"/>
      <c r="E264" s="55"/>
      <c r="F264" s="54"/>
      <c r="G264" s="56"/>
      <c r="H264" s="56"/>
      <c r="I264" s="36" t="str">
        <f t="shared" si="9"/>
        <v/>
      </c>
      <c r="J264" s="36">
        <f t="shared" si="10"/>
        <v>0</v>
      </c>
      <c r="K264" s="36" t="str">
        <f t="shared" ca="1" si="11"/>
        <v/>
      </c>
    </row>
    <row r="265" spans="3:11" x14ac:dyDescent="0.25">
      <c r="C265" s="53"/>
      <c r="D265" s="54"/>
      <c r="E265" s="55"/>
      <c r="F265" s="54"/>
      <c r="G265" s="56"/>
      <c r="H265" s="56"/>
      <c r="I265" s="36" t="str">
        <f t="shared" si="9"/>
        <v/>
      </c>
      <c r="J265" s="36">
        <f t="shared" si="10"/>
        <v>0</v>
      </c>
      <c r="K265" s="36" t="str">
        <f t="shared" ca="1" si="11"/>
        <v/>
      </c>
    </row>
    <row r="266" spans="3:11" x14ac:dyDescent="0.25">
      <c r="C266" s="53"/>
      <c r="D266" s="54"/>
      <c r="E266" s="55"/>
      <c r="F266" s="54"/>
      <c r="G266" s="56"/>
      <c r="H266" s="56"/>
      <c r="I266" s="36" t="str">
        <f t="shared" si="9"/>
        <v/>
      </c>
      <c r="J266" s="36">
        <f t="shared" si="10"/>
        <v>0</v>
      </c>
      <c r="K266" s="36" t="str">
        <f t="shared" ca="1" si="11"/>
        <v/>
      </c>
    </row>
    <row r="267" spans="3:11" x14ac:dyDescent="0.25">
      <c r="C267" s="53"/>
      <c r="D267" s="54"/>
      <c r="E267" s="55"/>
      <c r="F267" s="54"/>
      <c r="G267" s="56"/>
      <c r="H267" s="56"/>
      <c r="I267" s="36" t="str">
        <f t="shared" si="9"/>
        <v/>
      </c>
      <c r="J267" s="36">
        <f t="shared" si="10"/>
        <v>0</v>
      </c>
      <c r="K267" s="36" t="str">
        <f t="shared" ca="1" si="11"/>
        <v/>
      </c>
    </row>
    <row r="268" spans="3:11" x14ac:dyDescent="0.25">
      <c r="C268" s="53"/>
      <c r="D268" s="54"/>
      <c r="E268" s="55"/>
      <c r="F268" s="54"/>
      <c r="G268" s="56"/>
      <c r="H268" s="56"/>
      <c r="I268" s="36" t="str">
        <f t="shared" si="9"/>
        <v/>
      </c>
      <c r="J268" s="36">
        <f t="shared" si="10"/>
        <v>0</v>
      </c>
      <c r="K268" s="36" t="str">
        <f t="shared" ca="1" si="11"/>
        <v/>
      </c>
    </row>
    <row r="269" spans="3:11" x14ac:dyDescent="0.25">
      <c r="C269" s="53"/>
      <c r="D269" s="54"/>
      <c r="E269" s="55"/>
      <c r="F269" s="54"/>
      <c r="G269" s="56"/>
      <c r="H269" s="56"/>
      <c r="I269" s="36" t="str">
        <f t="shared" si="9"/>
        <v/>
      </c>
      <c r="J269" s="36">
        <f t="shared" si="10"/>
        <v>0</v>
      </c>
      <c r="K269" s="36" t="str">
        <f t="shared" ca="1" si="11"/>
        <v/>
      </c>
    </row>
    <row r="270" spans="3:11" x14ac:dyDescent="0.25">
      <c r="C270" s="53"/>
      <c r="D270" s="54"/>
      <c r="E270" s="55"/>
      <c r="F270" s="54"/>
      <c r="G270" s="56"/>
      <c r="H270" s="56"/>
      <c r="I270" s="36" t="str">
        <f t="shared" si="9"/>
        <v/>
      </c>
      <c r="J270" s="36">
        <f t="shared" si="10"/>
        <v>0</v>
      </c>
      <c r="K270" s="36" t="str">
        <f t="shared" ca="1" si="11"/>
        <v/>
      </c>
    </row>
    <row r="271" spans="3:11" x14ac:dyDescent="0.25">
      <c r="C271" s="53"/>
      <c r="D271" s="54"/>
      <c r="E271" s="55"/>
      <c r="F271" s="54"/>
      <c r="G271" s="56"/>
      <c r="H271" s="56"/>
      <c r="I271" s="36" t="str">
        <f t="shared" si="9"/>
        <v/>
      </c>
      <c r="J271" s="36">
        <f t="shared" si="10"/>
        <v>0</v>
      </c>
      <c r="K271" s="36" t="str">
        <f t="shared" ca="1" si="11"/>
        <v/>
      </c>
    </row>
    <row r="272" spans="3:11" x14ac:dyDescent="0.25">
      <c r="C272" s="53"/>
      <c r="D272" s="54"/>
      <c r="E272" s="55"/>
      <c r="F272" s="54"/>
      <c r="G272" s="56"/>
      <c r="H272" s="56"/>
      <c r="I272" s="36" t="str">
        <f t="shared" ref="I272:I335" si="12">IF(C272="","",IF(H272&lt;=0,"Em aberto",IF(H272&gt;=G272,"Pagamento Total",IF(H272&lt;G272,"Pagamento Parcial"))))</f>
        <v/>
      </c>
      <c r="J272" s="36">
        <f t="shared" ref="J272:J335" si="13">IF(C272&gt;0,G272-H272,0)</f>
        <v>0</v>
      </c>
      <c r="K272" s="36" t="str">
        <f t="shared" ref="K272:K335" ca="1" si="14">IF(ISBLANK(C272),"",IF(H272=G272,"Pago",IF(C272=TODAY(),"Vence Hoje",IF(TRIM(UPPER(G271))&lt;&gt;"S",IF(C272-TODAY()&lt;0,"Vencida",IF(C272-TODAY()&lt;8,"Próximos sete dias","Em aberto"))))))</f>
        <v/>
      </c>
    </row>
    <row r="273" spans="3:11" x14ac:dyDescent="0.25">
      <c r="C273" s="53"/>
      <c r="D273" s="54"/>
      <c r="E273" s="55"/>
      <c r="F273" s="54"/>
      <c r="G273" s="56"/>
      <c r="H273" s="56"/>
      <c r="I273" s="36" t="str">
        <f t="shared" si="12"/>
        <v/>
      </c>
      <c r="J273" s="36">
        <f t="shared" si="13"/>
        <v>0</v>
      </c>
      <c r="K273" s="36" t="str">
        <f t="shared" ca="1" si="14"/>
        <v/>
      </c>
    </row>
    <row r="274" spans="3:11" x14ac:dyDescent="0.25">
      <c r="C274" s="53"/>
      <c r="D274" s="54"/>
      <c r="E274" s="55"/>
      <c r="F274" s="54"/>
      <c r="G274" s="56"/>
      <c r="H274" s="56"/>
      <c r="I274" s="36" t="str">
        <f t="shared" si="12"/>
        <v/>
      </c>
      <c r="J274" s="36">
        <f t="shared" si="13"/>
        <v>0</v>
      </c>
      <c r="K274" s="36" t="str">
        <f t="shared" ca="1" si="14"/>
        <v/>
      </c>
    </row>
    <row r="275" spans="3:11" x14ac:dyDescent="0.25">
      <c r="C275" s="53"/>
      <c r="D275" s="54"/>
      <c r="E275" s="55"/>
      <c r="F275" s="54"/>
      <c r="G275" s="56"/>
      <c r="H275" s="56"/>
      <c r="I275" s="36" t="str">
        <f t="shared" si="12"/>
        <v/>
      </c>
      <c r="J275" s="36">
        <f t="shared" si="13"/>
        <v>0</v>
      </c>
      <c r="K275" s="36" t="str">
        <f t="shared" ca="1" si="14"/>
        <v/>
      </c>
    </row>
    <row r="276" spans="3:11" x14ac:dyDescent="0.25">
      <c r="C276" s="53"/>
      <c r="D276" s="54"/>
      <c r="E276" s="55"/>
      <c r="F276" s="54"/>
      <c r="G276" s="56"/>
      <c r="H276" s="56"/>
      <c r="I276" s="36" t="str">
        <f t="shared" si="12"/>
        <v/>
      </c>
      <c r="J276" s="36">
        <f t="shared" si="13"/>
        <v>0</v>
      </c>
      <c r="K276" s="36" t="str">
        <f t="shared" ca="1" si="14"/>
        <v/>
      </c>
    </row>
    <row r="277" spans="3:11" x14ac:dyDescent="0.25">
      <c r="C277" s="53"/>
      <c r="D277" s="54"/>
      <c r="E277" s="55"/>
      <c r="F277" s="54"/>
      <c r="G277" s="56"/>
      <c r="H277" s="56"/>
      <c r="I277" s="36" t="str">
        <f t="shared" si="12"/>
        <v/>
      </c>
      <c r="J277" s="36">
        <f t="shared" si="13"/>
        <v>0</v>
      </c>
      <c r="K277" s="36" t="str">
        <f t="shared" ca="1" si="14"/>
        <v/>
      </c>
    </row>
    <row r="278" spans="3:11" x14ac:dyDescent="0.25">
      <c r="C278" s="53"/>
      <c r="D278" s="54"/>
      <c r="E278" s="55"/>
      <c r="F278" s="54"/>
      <c r="G278" s="56"/>
      <c r="H278" s="56"/>
      <c r="I278" s="36" t="str">
        <f t="shared" si="12"/>
        <v/>
      </c>
      <c r="J278" s="36">
        <f t="shared" si="13"/>
        <v>0</v>
      </c>
      <c r="K278" s="36" t="str">
        <f t="shared" ca="1" si="14"/>
        <v/>
      </c>
    </row>
    <row r="279" spans="3:11" x14ac:dyDescent="0.25">
      <c r="C279" s="53"/>
      <c r="D279" s="54"/>
      <c r="E279" s="55"/>
      <c r="F279" s="54"/>
      <c r="G279" s="56"/>
      <c r="H279" s="56"/>
      <c r="I279" s="36" t="str">
        <f t="shared" si="12"/>
        <v/>
      </c>
      <c r="J279" s="36">
        <f t="shared" si="13"/>
        <v>0</v>
      </c>
      <c r="K279" s="36" t="str">
        <f t="shared" ca="1" si="14"/>
        <v/>
      </c>
    </row>
    <row r="280" spans="3:11" x14ac:dyDescent="0.25">
      <c r="C280" s="53"/>
      <c r="D280" s="54"/>
      <c r="E280" s="55"/>
      <c r="F280" s="54"/>
      <c r="G280" s="56"/>
      <c r="H280" s="56"/>
      <c r="I280" s="36" t="str">
        <f t="shared" si="12"/>
        <v/>
      </c>
      <c r="J280" s="36">
        <f t="shared" si="13"/>
        <v>0</v>
      </c>
      <c r="K280" s="36" t="str">
        <f t="shared" ca="1" si="14"/>
        <v/>
      </c>
    </row>
    <row r="281" spans="3:11" x14ac:dyDescent="0.25">
      <c r="C281" s="53"/>
      <c r="D281" s="54"/>
      <c r="E281" s="55"/>
      <c r="F281" s="54"/>
      <c r="G281" s="56"/>
      <c r="H281" s="56"/>
      <c r="I281" s="36" t="str">
        <f t="shared" si="12"/>
        <v/>
      </c>
      <c r="J281" s="36">
        <f t="shared" si="13"/>
        <v>0</v>
      </c>
      <c r="K281" s="36" t="str">
        <f t="shared" ca="1" si="14"/>
        <v/>
      </c>
    </row>
    <row r="282" spans="3:11" x14ac:dyDescent="0.25">
      <c r="C282" s="53"/>
      <c r="D282" s="54"/>
      <c r="E282" s="55"/>
      <c r="F282" s="54"/>
      <c r="G282" s="56"/>
      <c r="H282" s="56"/>
      <c r="I282" s="36" t="str">
        <f t="shared" si="12"/>
        <v/>
      </c>
      <c r="J282" s="36">
        <f t="shared" si="13"/>
        <v>0</v>
      </c>
      <c r="K282" s="36" t="str">
        <f t="shared" ca="1" si="14"/>
        <v/>
      </c>
    </row>
    <row r="283" spans="3:11" x14ac:dyDescent="0.25">
      <c r="C283" s="53"/>
      <c r="D283" s="54"/>
      <c r="E283" s="55"/>
      <c r="F283" s="54"/>
      <c r="G283" s="56"/>
      <c r="H283" s="56"/>
      <c r="I283" s="36" t="str">
        <f t="shared" si="12"/>
        <v/>
      </c>
      <c r="J283" s="36">
        <f t="shared" si="13"/>
        <v>0</v>
      </c>
      <c r="K283" s="36" t="str">
        <f t="shared" ca="1" si="14"/>
        <v/>
      </c>
    </row>
    <row r="284" spans="3:11" x14ac:dyDescent="0.25">
      <c r="C284" s="53"/>
      <c r="D284" s="54"/>
      <c r="E284" s="55"/>
      <c r="F284" s="54"/>
      <c r="G284" s="56"/>
      <c r="H284" s="56"/>
      <c r="I284" s="36" t="str">
        <f t="shared" si="12"/>
        <v/>
      </c>
      <c r="J284" s="36">
        <f t="shared" si="13"/>
        <v>0</v>
      </c>
      <c r="K284" s="36" t="str">
        <f t="shared" ca="1" si="14"/>
        <v/>
      </c>
    </row>
    <row r="285" spans="3:11" x14ac:dyDescent="0.25">
      <c r="C285" s="53"/>
      <c r="D285" s="54"/>
      <c r="E285" s="55"/>
      <c r="F285" s="54"/>
      <c r="G285" s="56"/>
      <c r="H285" s="56"/>
      <c r="I285" s="36" t="str">
        <f t="shared" si="12"/>
        <v/>
      </c>
      <c r="J285" s="36">
        <f t="shared" si="13"/>
        <v>0</v>
      </c>
      <c r="K285" s="36" t="str">
        <f t="shared" ca="1" si="14"/>
        <v/>
      </c>
    </row>
    <row r="286" spans="3:11" x14ac:dyDescent="0.25">
      <c r="C286" s="53"/>
      <c r="D286" s="54"/>
      <c r="E286" s="55"/>
      <c r="F286" s="54"/>
      <c r="G286" s="56"/>
      <c r="H286" s="56"/>
      <c r="I286" s="36" t="str">
        <f t="shared" si="12"/>
        <v/>
      </c>
      <c r="J286" s="36">
        <f t="shared" si="13"/>
        <v>0</v>
      </c>
      <c r="K286" s="36" t="str">
        <f t="shared" ca="1" si="14"/>
        <v/>
      </c>
    </row>
    <row r="287" spans="3:11" x14ac:dyDescent="0.25">
      <c r="C287" s="53"/>
      <c r="D287" s="54"/>
      <c r="E287" s="55"/>
      <c r="F287" s="54"/>
      <c r="G287" s="56"/>
      <c r="H287" s="56"/>
      <c r="I287" s="36" t="str">
        <f t="shared" si="12"/>
        <v/>
      </c>
      <c r="J287" s="36">
        <f t="shared" si="13"/>
        <v>0</v>
      </c>
      <c r="K287" s="36" t="str">
        <f t="shared" ca="1" si="14"/>
        <v/>
      </c>
    </row>
    <row r="288" spans="3:11" x14ac:dyDescent="0.25">
      <c r="C288" s="53"/>
      <c r="D288" s="54"/>
      <c r="E288" s="55"/>
      <c r="F288" s="54"/>
      <c r="G288" s="56"/>
      <c r="H288" s="56"/>
      <c r="I288" s="36" t="str">
        <f t="shared" si="12"/>
        <v/>
      </c>
      <c r="J288" s="36">
        <f t="shared" si="13"/>
        <v>0</v>
      </c>
      <c r="K288" s="36" t="str">
        <f t="shared" ca="1" si="14"/>
        <v/>
      </c>
    </row>
    <row r="289" spans="3:11" x14ac:dyDescent="0.25">
      <c r="C289" s="53"/>
      <c r="D289" s="54"/>
      <c r="E289" s="55"/>
      <c r="F289" s="54"/>
      <c r="G289" s="56"/>
      <c r="H289" s="56"/>
      <c r="I289" s="36" t="str">
        <f t="shared" si="12"/>
        <v/>
      </c>
      <c r="J289" s="36">
        <f t="shared" si="13"/>
        <v>0</v>
      </c>
      <c r="K289" s="36" t="str">
        <f t="shared" ca="1" si="14"/>
        <v/>
      </c>
    </row>
    <row r="290" spans="3:11" x14ac:dyDescent="0.25">
      <c r="C290" s="53"/>
      <c r="D290" s="54"/>
      <c r="E290" s="55"/>
      <c r="F290" s="54"/>
      <c r="G290" s="56"/>
      <c r="H290" s="56"/>
      <c r="I290" s="36" t="str">
        <f t="shared" si="12"/>
        <v/>
      </c>
      <c r="J290" s="36">
        <f t="shared" si="13"/>
        <v>0</v>
      </c>
      <c r="K290" s="36" t="str">
        <f t="shared" ca="1" si="14"/>
        <v/>
      </c>
    </row>
    <row r="291" spans="3:11" x14ac:dyDescent="0.25">
      <c r="C291" s="53"/>
      <c r="D291" s="54"/>
      <c r="E291" s="55"/>
      <c r="F291" s="54"/>
      <c r="G291" s="56"/>
      <c r="H291" s="56"/>
      <c r="I291" s="36" t="str">
        <f t="shared" si="12"/>
        <v/>
      </c>
      <c r="J291" s="36">
        <f t="shared" si="13"/>
        <v>0</v>
      </c>
      <c r="K291" s="36" t="str">
        <f t="shared" ca="1" si="14"/>
        <v/>
      </c>
    </row>
    <row r="292" spans="3:11" x14ac:dyDescent="0.25">
      <c r="C292" s="53"/>
      <c r="D292" s="54"/>
      <c r="E292" s="55"/>
      <c r="F292" s="54"/>
      <c r="G292" s="56"/>
      <c r="H292" s="56"/>
      <c r="I292" s="36" t="str">
        <f t="shared" si="12"/>
        <v/>
      </c>
      <c r="J292" s="36">
        <f t="shared" si="13"/>
        <v>0</v>
      </c>
      <c r="K292" s="36" t="str">
        <f t="shared" ca="1" si="14"/>
        <v/>
      </c>
    </row>
    <row r="293" spans="3:11" x14ac:dyDescent="0.25">
      <c r="C293" s="53"/>
      <c r="D293" s="54"/>
      <c r="E293" s="55"/>
      <c r="F293" s="54"/>
      <c r="G293" s="56"/>
      <c r="H293" s="56"/>
      <c r="I293" s="36" t="str">
        <f t="shared" si="12"/>
        <v/>
      </c>
      <c r="J293" s="36">
        <f t="shared" si="13"/>
        <v>0</v>
      </c>
      <c r="K293" s="36" t="str">
        <f t="shared" ca="1" si="14"/>
        <v/>
      </c>
    </row>
    <row r="294" spans="3:11" x14ac:dyDescent="0.25">
      <c r="C294" s="53"/>
      <c r="D294" s="54"/>
      <c r="E294" s="55"/>
      <c r="F294" s="54"/>
      <c r="G294" s="56"/>
      <c r="H294" s="56"/>
      <c r="I294" s="36" t="str">
        <f t="shared" si="12"/>
        <v/>
      </c>
      <c r="J294" s="36">
        <f t="shared" si="13"/>
        <v>0</v>
      </c>
      <c r="K294" s="36" t="str">
        <f t="shared" ca="1" si="14"/>
        <v/>
      </c>
    </row>
    <row r="295" spans="3:11" x14ac:dyDescent="0.25">
      <c r="C295" s="53"/>
      <c r="D295" s="54"/>
      <c r="E295" s="55"/>
      <c r="F295" s="54"/>
      <c r="G295" s="56"/>
      <c r="H295" s="56"/>
      <c r="I295" s="36" t="str">
        <f t="shared" si="12"/>
        <v/>
      </c>
      <c r="J295" s="36">
        <f t="shared" si="13"/>
        <v>0</v>
      </c>
      <c r="K295" s="36" t="str">
        <f t="shared" ca="1" si="14"/>
        <v/>
      </c>
    </row>
    <row r="296" spans="3:11" x14ac:dyDescent="0.25">
      <c r="C296" s="53"/>
      <c r="D296" s="54"/>
      <c r="E296" s="55"/>
      <c r="F296" s="54"/>
      <c r="G296" s="56"/>
      <c r="H296" s="56"/>
      <c r="I296" s="36" t="str">
        <f t="shared" si="12"/>
        <v/>
      </c>
      <c r="J296" s="36">
        <f t="shared" si="13"/>
        <v>0</v>
      </c>
      <c r="K296" s="36" t="str">
        <f t="shared" ca="1" si="14"/>
        <v/>
      </c>
    </row>
    <row r="297" spans="3:11" x14ac:dyDescent="0.25">
      <c r="C297" s="53"/>
      <c r="D297" s="54"/>
      <c r="E297" s="55"/>
      <c r="F297" s="54"/>
      <c r="G297" s="56"/>
      <c r="H297" s="56"/>
      <c r="I297" s="36" t="str">
        <f t="shared" si="12"/>
        <v/>
      </c>
      <c r="J297" s="36">
        <f t="shared" si="13"/>
        <v>0</v>
      </c>
      <c r="K297" s="36" t="str">
        <f t="shared" ca="1" si="14"/>
        <v/>
      </c>
    </row>
    <row r="298" spans="3:11" x14ac:dyDescent="0.25">
      <c r="C298" s="53"/>
      <c r="D298" s="54"/>
      <c r="E298" s="55"/>
      <c r="F298" s="54"/>
      <c r="G298" s="56"/>
      <c r="H298" s="56"/>
      <c r="I298" s="36" t="str">
        <f t="shared" si="12"/>
        <v/>
      </c>
      <c r="J298" s="36">
        <f t="shared" si="13"/>
        <v>0</v>
      </c>
      <c r="K298" s="36" t="str">
        <f t="shared" ca="1" si="14"/>
        <v/>
      </c>
    </row>
    <row r="299" spans="3:11" x14ac:dyDescent="0.25">
      <c r="C299" s="53"/>
      <c r="D299" s="54"/>
      <c r="E299" s="55"/>
      <c r="F299" s="54"/>
      <c r="G299" s="56"/>
      <c r="H299" s="56"/>
      <c r="I299" s="36" t="str">
        <f t="shared" si="12"/>
        <v/>
      </c>
      <c r="J299" s="36">
        <f t="shared" si="13"/>
        <v>0</v>
      </c>
      <c r="K299" s="36" t="str">
        <f t="shared" ca="1" si="14"/>
        <v/>
      </c>
    </row>
    <row r="300" spans="3:11" x14ac:dyDescent="0.25">
      <c r="C300" s="53"/>
      <c r="D300" s="54"/>
      <c r="E300" s="55"/>
      <c r="F300" s="54"/>
      <c r="G300" s="56"/>
      <c r="H300" s="56"/>
      <c r="I300" s="36" t="str">
        <f t="shared" si="12"/>
        <v/>
      </c>
      <c r="J300" s="36">
        <f t="shared" si="13"/>
        <v>0</v>
      </c>
      <c r="K300" s="36" t="str">
        <f t="shared" ca="1" si="14"/>
        <v/>
      </c>
    </row>
    <row r="301" spans="3:11" x14ac:dyDescent="0.25">
      <c r="C301" s="53"/>
      <c r="D301" s="54"/>
      <c r="E301" s="55"/>
      <c r="F301" s="54"/>
      <c r="G301" s="56"/>
      <c r="H301" s="56"/>
      <c r="I301" s="36" t="str">
        <f t="shared" si="12"/>
        <v/>
      </c>
      <c r="J301" s="36">
        <f t="shared" si="13"/>
        <v>0</v>
      </c>
      <c r="K301" s="36" t="str">
        <f t="shared" ca="1" si="14"/>
        <v/>
      </c>
    </row>
    <row r="302" spans="3:11" x14ac:dyDescent="0.25">
      <c r="C302" s="53"/>
      <c r="D302" s="54"/>
      <c r="E302" s="55"/>
      <c r="F302" s="54"/>
      <c r="G302" s="56"/>
      <c r="H302" s="56"/>
      <c r="I302" s="36" t="str">
        <f t="shared" si="12"/>
        <v/>
      </c>
      <c r="J302" s="36">
        <f t="shared" si="13"/>
        <v>0</v>
      </c>
      <c r="K302" s="36" t="str">
        <f t="shared" ca="1" si="14"/>
        <v/>
      </c>
    </row>
    <row r="303" spans="3:11" x14ac:dyDescent="0.25">
      <c r="C303" s="53"/>
      <c r="D303" s="54"/>
      <c r="E303" s="55"/>
      <c r="F303" s="54"/>
      <c r="G303" s="56"/>
      <c r="H303" s="56"/>
      <c r="I303" s="36" t="str">
        <f t="shared" si="12"/>
        <v/>
      </c>
      <c r="J303" s="36">
        <f t="shared" si="13"/>
        <v>0</v>
      </c>
      <c r="K303" s="36" t="str">
        <f t="shared" ca="1" si="14"/>
        <v/>
      </c>
    </row>
    <row r="304" spans="3:11" x14ac:dyDescent="0.25">
      <c r="C304" s="53"/>
      <c r="D304" s="54"/>
      <c r="E304" s="55"/>
      <c r="F304" s="54"/>
      <c r="G304" s="56"/>
      <c r="H304" s="56"/>
      <c r="I304" s="36" t="str">
        <f t="shared" si="12"/>
        <v/>
      </c>
      <c r="J304" s="36">
        <f t="shared" si="13"/>
        <v>0</v>
      </c>
      <c r="K304" s="36" t="str">
        <f t="shared" ca="1" si="14"/>
        <v/>
      </c>
    </row>
    <row r="305" spans="3:11" x14ac:dyDescent="0.25">
      <c r="C305" s="53"/>
      <c r="D305" s="54"/>
      <c r="E305" s="55"/>
      <c r="F305" s="54"/>
      <c r="G305" s="56"/>
      <c r="H305" s="56"/>
      <c r="I305" s="36" t="str">
        <f t="shared" si="12"/>
        <v/>
      </c>
      <c r="J305" s="36">
        <f t="shared" si="13"/>
        <v>0</v>
      </c>
      <c r="K305" s="36" t="str">
        <f t="shared" ca="1" si="14"/>
        <v/>
      </c>
    </row>
    <row r="306" spans="3:11" x14ac:dyDescent="0.25">
      <c r="C306" s="53"/>
      <c r="D306" s="54"/>
      <c r="E306" s="55"/>
      <c r="F306" s="54"/>
      <c r="G306" s="56"/>
      <c r="H306" s="56"/>
      <c r="I306" s="36" t="str">
        <f t="shared" si="12"/>
        <v/>
      </c>
      <c r="J306" s="36">
        <f t="shared" si="13"/>
        <v>0</v>
      </c>
      <c r="K306" s="36" t="str">
        <f t="shared" ca="1" si="14"/>
        <v/>
      </c>
    </row>
    <row r="307" spans="3:11" x14ac:dyDescent="0.25">
      <c r="C307" s="53"/>
      <c r="D307" s="54"/>
      <c r="E307" s="55"/>
      <c r="F307" s="54"/>
      <c r="G307" s="56"/>
      <c r="H307" s="56"/>
      <c r="I307" s="36" t="str">
        <f t="shared" si="12"/>
        <v/>
      </c>
      <c r="J307" s="36">
        <f t="shared" si="13"/>
        <v>0</v>
      </c>
      <c r="K307" s="36" t="str">
        <f t="shared" ca="1" si="14"/>
        <v/>
      </c>
    </row>
    <row r="308" spans="3:11" x14ac:dyDescent="0.25">
      <c r="C308" s="53"/>
      <c r="D308" s="54"/>
      <c r="E308" s="55"/>
      <c r="F308" s="54"/>
      <c r="G308" s="56"/>
      <c r="H308" s="56"/>
      <c r="I308" s="36" t="str">
        <f t="shared" si="12"/>
        <v/>
      </c>
      <c r="J308" s="36">
        <f t="shared" si="13"/>
        <v>0</v>
      </c>
      <c r="K308" s="36" t="str">
        <f t="shared" ca="1" si="14"/>
        <v/>
      </c>
    </row>
    <row r="309" spans="3:11" x14ac:dyDescent="0.25">
      <c r="C309" s="53"/>
      <c r="D309" s="54"/>
      <c r="E309" s="55"/>
      <c r="F309" s="54"/>
      <c r="G309" s="56"/>
      <c r="H309" s="56"/>
      <c r="I309" s="36" t="str">
        <f t="shared" si="12"/>
        <v/>
      </c>
      <c r="J309" s="36">
        <f t="shared" si="13"/>
        <v>0</v>
      </c>
      <c r="K309" s="36" t="str">
        <f t="shared" ca="1" si="14"/>
        <v/>
      </c>
    </row>
    <row r="310" spans="3:11" x14ac:dyDescent="0.25">
      <c r="C310" s="53"/>
      <c r="D310" s="54"/>
      <c r="E310" s="55"/>
      <c r="F310" s="54"/>
      <c r="G310" s="56"/>
      <c r="H310" s="56"/>
      <c r="I310" s="36" t="str">
        <f t="shared" si="12"/>
        <v/>
      </c>
      <c r="J310" s="36">
        <f t="shared" si="13"/>
        <v>0</v>
      </c>
      <c r="K310" s="36" t="str">
        <f t="shared" ca="1" si="14"/>
        <v/>
      </c>
    </row>
    <row r="311" spans="3:11" x14ac:dyDescent="0.25">
      <c r="C311" s="53"/>
      <c r="D311" s="54"/>
      <c r="E311" s="55"/>
      <c r="F311" s="54"/>
      <c r="G311" s="56"/>
      <c r="H311" s="56"/>
      <c r="I311" s="36" t="str">
        <f t="shared" si="12"/>
        <v/>
      </c>
      <c r="J311" s="36">
        <f t="shared" si="13"/>
        <v>0</v>
      </c>
      <c r="K311" s="36" t="str">
        <f t="shared" ca="1" si="14"/>
        <v/>
      </c>
    </row>
    <row r="312" spans="3:11" x14ac:dyDescent="0.25">
      <c r="C312" s="53"/>
      <c r="D312" s="54"/>
      <c r="E312" s="55"/>
      <c r="F312" s="54"/>
      <c r="G312" s="56"/>
      <c r="H312" s="56"/>
      <c r="I312" s="36" t="str">
        <f t="shared" si="12"/>
        <v/>
      </c>
      <c r="J312" s="36">
        <f t="shared" si="13"/>
        <v>0</v>
      </c>
      <c r="K312" s="36" t="str">
        <f t="shared" ca="1" si="14"/>
        <v/>
      </c>
    </row>
    <row r="313" spans="3:11" x14ac:dyDescent="0.25">
      <c r="C313" s="53"/>
      <c r="D313" s="54"/>
      <c r="E313" s="55"/>
      <c r="F313" s="54"/>
      <c r="G313" s="56"/>
      <c r="H313" s="56"/>
      <c r="I313" s="36" t="str">
        <f t="shared" si="12"/>
        <v/>
      </c>
      <c r="J313" s="36">
        <f t="shared" si="13"/>
        <v>0</v>
      </c>
      <c r="K313" s="36" t="str">
        <f t="shared" ca="1" si="14"/>
        <v/>
      </c>
    </row>
    <row r="314" spans="3:11" x14ac:dyDescent="0.25">
      <c r="C314" s="53"/>
      <c r="D314" s="54"/>
      <c r="E314" s="55"/>
      <c r="F314" s="54"/>
      <c r="G314" s="56"/>
      <c r="H314" s="56"/>
      <c r="I314" s="36" t="str">
        <f t="shared" si="12"/>
        <v/>
      </c>
      <c r="J314" s="36">
        <f t="shared" si="13"/>
        <v>0</v>
      </c>
      <c r="K314" s="36" t="str">
        <f t="shared" ca="1" si="14"/>
        <v/>
      </c>
    </row>
    <row r="315" spans="3:11" x14ac:dyDescent="0.25">
      <c r="C315" s="53"/>
      <c r="D315" s="54"/>
      <c r="E315" s="55"/>
      <c r="F315" s="54"/>
      <c r="G315" s="56"/>
      <c r="H315" s="56"/>
      <c r="I315" s="36" t="str">
        <f t="shared" si="12"/>
        <v/>
      </c>
      <c r="J315" s="36">
        <f t="shared" si="13"/>
        <v>0</v>
      </c>
      <c r="K315" s="36" t="str">
        <f t="shared" ca="1" si="14"/>
        <v/>
      </c>
    </row>
    <row r="316" spans="3:11" x14ac:dyDescent="0.25">
      <c r="C316" s="53"/>
      <c r="D316" s="54"/>
      <c r="E316" s="55"/>
      <c r="F316" s="54"/>
      <c r="G316" s="56"/>
      <c r="H316" s="56"/>
      <c r="I316" s="36" t="str">
        <f t="shared" si="12"/>
        <v/>
      </c>
      <c r="J316" s="36">
        <f t="shared" si="13"/>
        <v>0</v>
      </c>
      <c r="K316" s="36" t="str">
        <f t="shared" ca="1" si="14"/>
        <v/>
      </c>
    </row>
    <row r="317" spans="3:11" x14ac:dyDescent="0.25">
      <c r="C317" s="53"/>
      <c r="D317" s="54"/>
      <c r="E317" s="55"/>
      <c r="F317" s="54"/>
      <c r="G317" s="56"/>
      <c r="H317" s="56"/>
      <c r="I317" s="36" t="str">
        <f t="shared" si="12"/>
        <v/>
      </c>
      <c r="J317" s="36">
        <f t="shared" si="13"/>
        <v>0</v>
      </c>
      <c r="K317" s="36" t="str">
        <f t="shared" ca="1" si="14"/>
        <v/>
      </c>
    </row>
    <row r="318" spans="3:11" x14ac:dyDescent="0.25">
      <c r="C318" s="53"/>
      <c r="D318" s="54"/>
      <c r="E318" s="55"/>
      <c r="F318" s="54"/>
      <c r="G318" s="56"/>
      <c r="H318" s="56"/>
      <c r="I318" s="36" t="str">
        <f t="shared" si="12"/>
        <v/>
      </c>
      <c r="J318" s="36">
        <f t="shared" si="13"/>
        <v>0</v>
      </c>
      <c r="K318" s="36" t="str">
        <f t="shared" ca="1" si="14"/>
        <v/>
      </c>
    </row>
    <row r="319" spans="3:11" x14ac:dyDescent="0.25">
      <c r="C319" s="53"/>
      <c r="D319" s="54"/>
      <c r="E319" s="55"/>
      <c r="F319" s="54"/>
      <c r="G319" s="56"/>
      <c r="H319" s="56"/>
      <c r="I319" s="36" t="str">
        <f t="shared" si="12"/>
        <v/>
      </c>
      <c r="J319" s="36">
        <f t="shared" si="13"/>
        <v>0</v>
      </c>
      <c r="K319" s="36" t="str">
        <f t="shared" ca="1" si="14"/>
        <v/>
      </c>
    </row>
    <row r="320" spans="3:11" x14ac:dyDescent="0.25">
      <c r="C320" s="53"/>
      <c r="D320" s="54"/>
      <c r="E320" s="55"/>
      <c r="F320" s="54"/>
      <c r="G320" s="56"/>
      <c r="H320" s="56"/>
      <c r="I320" s="36" t="str">
        <f t="shared" si="12"/>
        <v/>
      </c>
      <c r="J320" s="36">
        <f t="shared" si="13"/>
        <v>0</v>
      </c>
      <c r="K320" s="36" t="str">
        <f t="shared" ca="1" si="14"/>
        <v/>
      </c>
    </row>
    <row r="321" spans="3:11" x14ac:dyDescent="0.25">
      <c r="C321" s="53"/>
      <c r="D321" s="54"/>
      <c r="E321" s="55"/>
      <c r="F321" s="54"/>
      <c r="G321" s="56"/>
      <c r="H321" s="56"/>
      <c r="I321" s="36" t="str">
        <f t="shared" si="12"/>
        <v/>
      </c>
      <c r="J321" s="36">
        <f t="shared" si="13"/>
        <v>0</v>
      </c>
      <c r="K321" s="36" t="str">
        <f t="shared" ca="1" si="14"/>
        <v/>
      </c>
    </row>
    <row r="322" spans="3:11" x14ac:dyDescent="0.25">
      <c r="C322" s="53"/>
      <c r="D322" s="54"/>
      <c r="E322" s="55"/>
      <c r="F322" s="54"/>
      <c r="G322" s="56"/>
      <c r="H322" s="56"/>
      <c r="I322" s="36" t="str">
        <f t="shared" si="12"/>
        <v/>
      </c>
      <c r="J322" s="36">
        <f t="shared" si="13"/>
        <v>0</v>
      </c>
      <c r="K322" s="36" t="str">
        <f t="shared" ca="1" si="14"/>
        <v/>
      </c>
    </row>
    <row r="323" spans="3:11" x14ac:dyDescent="0.25">
      <c r="C323" s="53"/>
      <c r="D323" s="54"/>
      <c r="E323" s="55"/>
      <c r="F323" s="54"/>
      <c r="G323" s="56"/>
      <c r="H323" s="56"/>
      <c r="I323" s="36" t="str">
        <f t="shared" si="12"/>
        <v/>
      </c>
      <c r="J323" s="36">
        <f t="shared" si="13"/>
        <v>0</v>
      </c>
      <c r="K323" s="36" t="str">
        <f t="shared" ca="1" si="14"/>
        <v/>
      </c>
    </row>
    <row r="324" spans="3:11" x14ac:dyDescent="0.25">
      <c r="C324" s="53"/>
      <c r="D324" s="54"/>
      <c r="E324" s="55"/>
      <c r="F324" s="54"/>
      <c r="G324" s="56"/>
      <c r="H324" s="56"/>
      <c r="I324" s="36" t="str">
        <f t="shared" si="12"/>
        <v/>
      </c>
      <c r="J324" s="36">
        <f t="shared" si="13"/>
        <v>0</v>
      </c>
      <c r="K324" s="36" t="str">
        <f t="shared" ca="1" si="14"/>
        <v/>
      </c>
    </row>
    <row r="325" spans="3:11" x14ac:dyDescent="0.25">
      <c r="C325" s="53"/>
      <c r="D325" s="54"/>
      <c r="E325" s="55"/>
      <c r="F325" s="54"/>
      <c r="G325" s="56"/>
      <c r="H325" s="56"/>
      <c r="I325" s="36" t="str">
        <f t="shared" si="12"/>
        <v/>
      </c>
      <c r="J325" s="36">
        <f t="shared" si="13"/>
        <v>0</v>
      </c>
      <c r="K325" s="36" t="str">
        <f t="shared" ca="1" si="14"/>
        <v/>
      </c>
    </row>
    <row r="326" spans="3:11" x14ac:dyDescent="0.25">
      <c r="C326" s="53"/>
      <c r="D326" s="54"/>
      <c r="E326" s="55"/>
      <c r="F326" s="54"/>
      <c r="G326" s="56"/>
      <c r="H326" s="56"/>
      <c r="I326" s="36" t="str">
        <f t="shared" si="12"/>
        <v/>
      </c>
      <c r="J326" s="36">
        <f t="shared" si="13"/>
        <v>0</v>
      </c>
      <c r="K326" s="36" t="str">
        <f t="shared" ca="1" si="14"/>
        <v/>
      </c>
    </row>
    <row r="327" spans="3:11" x14ac:dyDescent="0.25">
      <c r="C327" s="53"/>
      <c r="D327" s="54"/>
      <c r="E327" s="55"/>
      <c r="F327" s="54"/>
      <c r="G327" s="56"/>
      <c r="H327" s="56"/>
      <c r="I327" s="36" t="str">
        <f t="shared" si="12"/>
        <v/>
      </c>
      <c r="J327" s="36">
        <f t="shared" si="13"/>
        <v>0</v>
      </c>
      <c r="K327" s="36" t="str">
        <f t="shared" ca="1" si="14"/>
        <v/>
      </c>
    </row>
    <row r="328" spans="3:11" x14ac:dyDescent="0.25">
      <c r="C328" s="53"/>
      <c r="D328" s="54"/>
      <c r="E328" s="55"/>
      <c r="F328" s="54"/>
      <c r="G328" s="56"/>
      <c r="H328" s="56"/>
      <c r="I328" s="36" t="str">
        <f t="shared" si="12"/>
        <v/>
      </c>
      <c r="J328" s="36">
        <f t="shared" si="13"/>
        <v>0</v>
      </c>
      <c r="K328" s="36" t="str">
        <f t="shared" ca="1" si="14"/>
        <v/>
      </c>
    </row>
    <row r="329" spans="3:11" x14ac:dyDescent="0.25">
      <c r="C329" s="53"/>
      <c r="D329" s="54"/>
      <c r="E329" s="55"/>
      <c r="F329" s="54"/>
      <c r="G329" s="56"/>
      <c r="H329" s="56"/>
      <c r="I329" s="36" t="str">
        <f t="shared" si="12"/>
        <v/>
      </c>
      <c r="J329" s="36">
        <f t="shared" si="13"/>
        <v>0</v>
      </c>
      <c r="K329" s="36" t="str">
        <f t="shared" ca="1" si="14"/>
        <v/>
      </c>
    </row>
    <row r="330" spans="3:11" x14ac:dyDescent="0.25">
      <c r="C330" s="53"/>
      <c r="D330" s="54"/>
      <c r="E330" s="55"/>
      <c r="F330" s="54"/>
      <c r="G330" s="56"/>
      <c r="H330" s="56"/>
      <c r="I330" s="36" t="str">
        <f t="shared" si="12"/>
        <v/>
      </c>
      <c r="J330" s="36">
        <f t="shared" si="13"/>
        <v>0</v>
      </c>
      <c r="K330" s="36" t="str">
        <f t="shared" ca="1" si="14"/>
        <v/>
      </c>
    </row>
    <row r="331" spans="3:11" x14ac:dyDescent="0.25">
      <c r="C331" s="53"/>
      <c r="D331" s="54"/>
      <c r="E331" s="55"/>
      <c r="F331" s="54"/>
      <c r="G331" s="56"/>
      <c r="H331" s="56"/>
      <c r="I331" s="36" t="str">
        <f t="shared" si="12"/>
        <v/>
      </c>
      <c r="J331" s="36">
        <f t="shared" si="13"/>
        <v>0</v>
      </c>
      <c r="K331" s="36" t="str">
        <f t="shared" ca="1" si="14"/>
        <v/>
      </c>
    </row>
    <row r="332" spans="3:11" x14ac:dyDescent="0.25">
      <c r="C332" s="53"/>
      <c r="D332" s="54"/>
      <c r="E332" s="55"/>
      <c r="F332" s="54"/>
      <c r="G332" s="56"/>
      <c r="H332" s="56"/>
      <c r="I332" s="36" t="str">
        <f t="shared" si="12"/>
        <v/>
      </c>
      <c r="J332" s="36">
        <f t="shared" si="13"/>
        <v>0</v>
      </c>
      <c r="K332" s="36" t="str">
        <f t="shared" ca="1" si="14"/>
        <v/>
      </c>
    </row>
    <row r="333" spans="3:11" x14ac:dyDescent="0.25">
      <c r="C333" s="53"/>
      <c r="D333" s="54"/>
      <c r="E333" s="55"/>
      <c r="F333" s="54"/>
      <c r="G333" s="56"/>
      <c r="H333" s="56"/>
      <c r="I333" s="36" t="str">
        <f t="shared" si="12"/>
        <v/>
      </c>
      <c r="J333" s="36">
        <f t="shared" si="13"/>
        <v>0</v>
      </c>
      <c r="K333" s="36" t="str">
        <f t="shared" ca="1" si="14"/>
        <v/>
      </c>
    </row>
    <row r="334" spans="3:11" x14ac:dyDescent="0.25">
      <c r="C334" s="53"/>
      <c r="D334" s="54"/>
      <c r="E334" s="55"/>
      <c r="F334" s="54"/>
      <c r="G334" s="56"/>
      <c r="H334" s="56"/>
      <c r="I334" s="36" t="str">
        <f t="shared" si="12"/>
        <v/>
      </c>
      <c r="J334" s="36">
        <f t="shared" si="13"/>
        <v>0</v>
      </c>
      <c r="K334" s="36" t="str">
        <f t="shared" ca="1" si="14"/>
        <v/>
      </c>
    </row>
    <row r="335" spans="3:11" x14ac:dyDescent="0.25">
      <c r="C335" s="53"/>
      <c r="D335" s="54"/>
      <c r="E335" s="55"/>
      <c r="F335" s="54"/>
      <c r="G335" s="56"/>
      <c r="H335" s="56"/>
      <c r="I335" s="36" t="str">
        <f t="shared" si="12"/>
        <v/>
      </c>
      <c r="J335" s="36">
        <f t="shared" si="13"/>
        <v>0</v>
      </c>
      <c r="K335" s="36" t="str">
        <f t="shared" ca="1" si="14"/>
        <v/>
      </c>
    </row>
    <row r="336" spans="3:11" x14ac:dyDescent="0.25">
      <c r="C336" s="53"/>
      <c r="D336" s="54"/>
      <c r="E336" s="55"/>
      <c r="F336" s="54"/>
      <c r="G336" s="56"/>
      <c r="H336" s="56"/>
      <c r="I336" s="36" t="str">
        <f t="shared" ref="I336:I399" si="15">IF(C336="","",IF(H336&lt;=0,"Em aberto",IF(H336&gt;=G336,"Pagamento Total",IF(H336&lt;G336,"Pagamento Parcial"))))</f>
        <v/>
      </c>
      <c r="J336" s="36">
        <f t="shared" ref="J336:J399" si="16">IF(C336&gt;0,G336-H336,0)</f>
        <v>0</v>
      </c>
      <c r="K336" s="36" t="str">
        <f t="shared" ref="K336:K399" ca="1" si="17">IF(ISBLANK(C336),"",IF(H336=G336,"Pago",IF(C336=TODAY(),"Vence Hoje",IF(TRIM(UPPER(G335))&lt;&gt;"S",IF(C336-TODAY()&lt;0,"Vencida",IF(C336-TODAY()&lt;8,"Próximos sete dias","Em aberto"))))))</f>
        <v/>
      </c>
    </row>
    <row r="337" spans="3:11" x14ac:dyDescent="0.25">
      <c r="C337" s="53"/>
      <c r="D337" s="54"/>
      <c r="E337" s="55"/>
      <c r="F337" s="54"/>
      <c r="G337" s="56"/>
      <c r="H337" s="56"/>
      <c r="I337" s="36" t="str">
        <f t="shared" si="15"/>
        <v/>
      </c>
      <c r="J337" s="36">
        <f t="shared" si="16"/>
        <v>0</v>
      </c>
      <c r="K337" s="36" t="str">
        <f t="shared" ca="1" si="17"/>
        <v/>
      </c>
    </row>
    <row r="338" spans="3:11" x14ac:dyDescent="0.25">
      <c r="C338" s="53"/>
      <c r="D338" s="54"/>
      <c r="E338" s="55"/>
      <c r="F338" s="54"/>
      <c r="G338" s="56"/>
      <c r="H338" s="56"/>
      <c r="I338" s="36" t="str">
        <f t="shared" si="15"/>
        <v/>
      </c>
      <c r="J338" s="36">
        <f t="shared" si="16"/>
        <v>0</v>
      </c>
      <c r="K338" s="36" t="str">
        <f t="shared" ca="1" si="17"/>
        <v/>
      </c>
    </row>
    <row r="339" spans="3:11" x14ac:dyDescent="0.25">
      <c r="C339" s="53"/>
      <c r="D339" s="54"/>
      <c r="E339" s="55"/>
      <c r="F339" s="54"/>
      <c r="G339" s="56"/>
      <c r="H339" s="56"/>
      <c r="I339" s="36" t="str">
        <f t="shared" si="15"/>
        <v/>
      </c>
      <c r="J339" s="36">
        <f t="shared" si="16"/>
        <v>0</v>
      </c>
      <c r="K339" s="36" t="str">
        <f t="shared" ca="1" si="17"/>
        <v/>
      </c>
    </row>
    <row r="340" spans="3:11" x14ac:dyDescent="0.25">
      <c r="C340" s="53"/>
      <c r="D340" s="54"/>
      <c r="E340" s="55"/>
      <c r="F340" s="54"/>
      <c r="G340" s="56"/>
      <c r="H340" s="56"/>
      <c r="I340" s="36" t="str">
        <f t="shared" si="15"/>
        <v/>
      </c>
      <c r="J340" s="36">
        <f t="shared" si="16"/>
        <v>0</v>
      </c>
      <c r="K340" s="36" t="str">
        <f t="shared" ca="1" si="17"/>
        <v/>
      </c>
    </row>
    <row r="341" spans="3:11" x14ac:dyDescent="0.25">
      <c r="C341" s="53"/>
      <c r="D341" s="54"/>
      <c r="E341" s="55"/>
      <c r="F341" s="54"/>
      <c r="G341" s="56"/>
      <c r="H341" s="56"/>
      <c r="I341" s="36" t="str">
        <f t="shared" si="15"/>
        <v/>
      </c>
      <c r="J341" s="36">
        <f t="shared" si="16"/>
        <v>0</v>
      </c>
      <c r="K341" s="36" t="str">
        <f t="shared" ca="1" si="17"/>
        <v/>
      </c>
    </row>
    <row r="342" spans="3:11" x14ac:dyDescent="0.25">
      <c r="C342" s="53"/>
      <c r="D342" s="54"/>
      <c r="E342" s="55"/>
      <c r="F342" s="54"/>
      <c r="G342" s="56"/>
      <c r="H342" s="56"/>
      <c r="I342" s="36" t="str">
        <f t="shared" si="15"/>
        <v/>
      </c>
      <c r="J342" s="36">
        <f t="shared" si="16"/>
        <v>0</v>
      </c>
      <c r="K342" s="36" t="str">
        <f t="shared" ca="1" si="17"/>
        <v/>
      </c>
    </row>
    <row r="343" spans="3:11" x14ac:dyDescent="0.25">
      <c r="C343" s="53"/>
      <c r="D343" s="54"/>
      <c r="E343" s="55"/>
      <c r="F343" s="54"/>
      <c r="G343" s="56"/>
      <c r="H343" s="56"/>
      <c r="I343" s="36" t="str">
        <f t="shared" si="15"/>
        <v/>
      </c>
      <c r="J343" s="36">
        <f t="shared" si="16"/>
        <v>0</v>
      </c>
      <c r="K343" s="36" t="str">
        <f t="shared" ca="1" si="17"/>
        <v/>
      </c>
    </row>
    <row r="344" spans="3:11" x14ac:dyDescent="0.25">
      <c r="C344" s="53"/>
      <c r="D344" s="54"/>
      <c r="E344" s="55"/>
      <c r="F344" s="54"/>
      <c r="G344" s="56"/>
      <c r="H344" s="56"/>
      <c r="I344" s="36" t="str">
        <f t="shared" si="15"/>
        <v/>
      </c>
      <c r="J344" s="36">
        <f t="shared" si="16"/>
        <v>0</v>
      </c>
      <c r="K344" s="36" t="str">
        <f t="shared" ca="1" si="17"/>
        <v/>
      </c>
    </row>
    <row r="345" spans="3:11" x14ac:dyDescent="0.25">
      <c r="C345" s="53"/>
      <c r="D345" s="54"/>
      <c r="E345" s="55"/>
      <c r="F345" s="54"/>
      <c r="G345" s="56"/>
      <c r="H345" s="56"/>
      <c r="I345" s="36" t="str">
        <f t="shared" si="15"/>
        <v/>
      </c>
      <c r="J345" s="36">
        <f t="shared" si="16"/>
        <v>0</v>
      </c>
      <c r="K345" s="36" t="str">
        <f t="shared" ca="1" si="17"/>
        <v/>
      </c>
    </row>
    <row r="346" spans="3:11" x14ac:dyDescent="0.25">
      <c r="C346" s="53"/>
      <c r="D346" s="54"/>
      <c r="E346" s="55"/>
      <c r="F346" s="54"/>
      <c r="G346" s="56"/>
      <c r="H346" s="56"/>
      <c r="I346" s="36" t="str">
        <f t="shared" si="15"/>
        <v/>
      </c>
      <c r="J346" s="36">
        <f t="shared" si="16"/>
        <v>0</v>
      </c>
      <c r="K346" s="36" t="str">
        <f t="shared" ca="1" si="17"/>
        <v/>
      </c>
    </row>
    <row r="347" spans="3:11" x14ac:dyDescent="0.25">
      <c r="C347" s="53"/>
      <c r="D347" s="54"/>
      <c r="E347" s="55"/>
      <c r="F347" s="54"/>
      <c r="G347" s="56"/>
      <c r="H347" s="56"/>
      <c r="I347" s="36" t="str">
        <f t="shared" si="15"/>
        <v/>
      </c>
      <c r="J347" s="36">
        <f t="shared" si="16"/>
        <v>0</v>
      </c>
      <c r="K347" s="36" t="str">
        <f t="shared" ca="1" si="17"/>
        <v/>
      </c>
    </row>
    <row r="348" spans="3:11" x14ac:dyDescent="0.25">
      <c r="C348" s="53"/>
      <c r="D348" s="54"/>
      <c r="E348" s="55"/>
      <c r="F348" s="54"/>
      <c r="G348" s="56"/>
      <c r="H348" s="56"/>
      <c r="I348" s="36" t="str">
        <f t="shared" si="15"/>
        <v/>
      </c>
      <c r="J348" s="36">
        <f t="shared" si="16"/>
        <v>0</v>
      </c>
      <c r="K348" s="36" t="str">
        <f t="shared" ca="1" si="17"/>
        <v/>
      </c>
    </row>
    <row r="349" spans="3:11" x14ac:dyDescent="0.25">
      <c r="C349" s="53"/>
      <c r="D349" s="54"/>
      <c r="E349" s="55"/>
      <c r="F349" s="54"/>
      <c r="G349" s="56"/>
      <c r="H349" s="56"/>
      <c r="I349" s="36" t="str">
        <f t="shared" si="15"/>
        <v/>
      </c>
      <c r="J349" s="36">
        <f t="shared" si="16"/>
        <v>0</v>
      </c>
      <c r="K349" s="36" t="str">
        <f t="shared" ca="1" si="17"/>
        <v/>
      </c>
    </row>
    <row r="350" spans="3:11" x14ac:dyDescent="0.25">
      <c r="C350" s="53"/>
      <c r="D350" s="54"/>
      <c r="E350" s="55"/>
      <c r="F350" s="54"/>
      <c r="G350" s="56"/>
      <c r="H350" s="56"/>
      <c r="I350" s="36" t="str">
        <f t="shared" si="15"/>
        <v/>
      </c>
      <c r="J350" s="36">
        <f t="shared" si="16"/>
        <v>0</v>
      </c>
      <c r="K350" s="36" t="str">
        <f t="shared" ca="1" si="17"/>
        <v/>
      </c>
    </row>
    <row r="351" spans="3:11" x14ac:dyDescent="0.25">
      <c r="C351" s="53"/>
      <c r="D351" s="54"/>
      <c r="E351" s="55"/>
      <c r="F351" s="54"/>
      <c r="G351" s="56"/>
      <c r="H351" s="56"/>
      <c r="I351" s="36" t="str">
        <f t="shared" si="15"/>
        <v/>
      </c>
      <c r="J351" s="36">
        <f t="shared" si="16"/>
        <v>0</v>
      </c>
      <c r="K351" s="36" t="str">
        <f t="shared" ca="1" si="17"/>
        <v/>
      </c>
    </row>
    <row r="352" spans="3:11" x14ac:dyDescent="0.25">
      <c r="C352" s="53"/>
      <c r="D352" s="54"/>
      <c r="E352" s="55"/>
      <c r="F352" s="54"/>
      <c r="G352" s="56"/>
      <c r="H352" s="56"/>
      <c r="I352" s="36" t="str">
        <f t="shared" si="15"/>
        <v/>
      </c>
      <c r="J352" s="36">
        <f t="shared" si="16"/>
        <v>0</v>
      </c>
      <c r="K352" s="36" t="str">
        <f t="shared" ca="1" si="17"/>
        <v/>
      </c>
    </row>
    <row r="353" spans="3:11" x14ac:dyDescent="0.25">
      <c r="C353" s="53"/>
      <c r="D353" s="54"/>
      <c r="E353" s="55"/>
      <c r="F353" s="54"/>
      <c r="G353" s="56"/>
      <c r="H353" s="56"/>
      <c r="I353" s="36" t="str">
        <f t="shared" si="15"/>
        <v/>
      </c>
      <c r="J353" s="36">
        <f t="shared" si="16"/>
        <v>0</v>
      </c>
      <c r="K353" s="36" t="str">
        <f t="shared" ca="1" si="17"/>
        <v/>
      </c>
    </row>
    <row r="354" spans="3:11" x14ac:dyDescent="0.25">
      <c r="C354" s="53"/>
      <c r="D354" s="54"/>
      <c r="E354" s="55"/>
      <c r="F354" s="54"/>
      <c r="G354" s="56"/>
      <c r="H354" s="56"/>
      <c r="I354" s="36" t="str">
        <f t="shared" si="15"/>
        <v/>
      </c>
      <c r="J354" s="36">
        <f t="shared" si="16"/>
        <v>0</v>
      </c>
      <c r="K354" s="36" t="str">
        <f t="shared" ca="1" si="17"/>
        <v/>
      </c>
    </row>
    <row r="355" spans="3:11" x14ac:dyDescent="0.25">
      <c r="C355" s="53"/>
      <c r="D355" s="54"/>
      <c r="E355" s="55"/>
      <c r="F355" s="54"/>
      <c r="G355" s="56"/>
      <c r="H355" s="56"/>
      <c r="I355" s="36" t="str">
        <f t="shared" si="15"/>
        <v/>
      </c>
      <c r="J355" s="36">
        <f t="shared" si="16"/>
        <v>0</v>
      </c>
      <c r="K355" s="36" t="str">
        <f t="shared" ca="1" si="17"/>
        <v/>
      </c>
    </row>
    <row r="356" spans="3:11" x14ac:dyDescent="0.25">
      <c r="C356" s="53"/>
      <c r="D356" s="54"/>
      <c r="E356" s="55"/>
      <c r="F356" s="54"/>
      <c r="G356" s="56"/>
      <c r="H356" s="56"/>
      <c r="I356" s="36" t="str">
        <f t="shared" si="15"/>
        <v/>
      </c>
      <c r="J356" s="36">
        <f t="shared" si="16"/>
        <v>0</v>
      </c>
      <c r="K356" s="36" t="str">
        <f t="shared" ca="1" si="17"/>
        <v/>
      </c>
    </row>
    <row r="357" spans="3:11" x14ac:dyDescent="0.25">
      <c r="C357" s="53"/>
      <c r="D357" s="54"/>
      <c r="E357" s="55"/>
      <c r="F357" s="54"/>
      <c r="G357" s="56"/>
      <c r="H357" s="56"/>
      <c r="I357" s="36" t="str">
        <f t="shared" si="15"/>
        <v/>
      </c>
      <c r="J357" s="36">
        <f t="shared" si="16"/>
        <v>0</v>
      </c>
      <c r="K357" s="36" t="str">
        <f t="shared" ca="1" si="17"/>
        <v/>
      </c>
    </row>
    <row r="358" spans="3:11" x14ac:dyDescent="0.25">
      <c r="C358" s="53"/>
      <c r="D358" s="54"/>
      <c r="E358" s="55"/>
      <c r="F358" s="54"/>
      <c r="G358" s="56"/>
      <c r="H358" s="56"/>
      <c r="I358" s="36" t="str">
        <f t="shared" si="15"/>
        <v/>
      </c>
      <c r="J358" s="36">
        <f t="shared" si="16"/>
        <v>0</v>
      </c>
      <c r="K358" s="36" t="str">
        <f t="shared" ca="1" si="17"/>
        <v/>
      </c>
    </row>
    <row r="359" spans="3:11" x14ac:dyDescent="0.25">
      <c r="C359" s="53"/>
      <c r="D359" s="54"/>
      <c r="E359" s="55"/>
      <c r="F359" s="54"/>
      <c r="G359" s="56"/>
      <c r="H359" s="56"/>
      <c r="I359" s="36" t="str">
        <f t="shared" si="15"/>
        <v/>
      </c>
      <c r="J359" s="36">
        <f t="shared" si="16"/>
        <v>0</v>
      </c>
      <c r="K359" s="36" t="str">
        <f t="shared" ca="1" si="17"/>
        <v/>
      </c>
    </row>
    <row r="360" spans="3:11" x14ac:dyDescent="0.25">
      <c r="C360" s="53"/>
      <c r="D360" s="54"/>
      <c r="E360" s="55"/>
      <c r="F360" s="54"/>
      <c r="G360" s="56"/>
      <c r="H360" s="56"/>
      <c r="I360" s="36" t="str">
        <f t="shared" si="15"/>
        <v/>
      </c>
      <c r="J360" s="36">
        <f t="shared" si="16"/>
        <v>0</v>
      </c>
      <c r="K360" s="36" t="str">
        <f t="shared" ca="1" si="17"/>
        <v/>
      </c>
    </row>
    <row r="361" spans="3:11" x14ac:dyDescent="0.25">
      <c r="C361" s="53"/>
      <c r="D361" s="54"/>
      <c r="E361" s="55"/>
      <c r="F361" s="54"/>
      <c r="G361" s="56"/>
      <c r="H361" s="56"/>
      <c r="I361" s="36" t="str">
        <f t="shared" si="15"/>
        <v/>
      </c>
      <c r="J361" s="36">
        <f t="shared" si="16"/>
        <v>0</v>
      </c>
      <c r="K361" s="36" t="str">
        <f t="shared" ca="1" si="17"/>
        <v/>
      </c>
    </row>
    <row r="362" spans="3:11" x14ac:dyDescent="0.25">
      <c r="C362" s="53"/>
      <c r="D362" s="54"/>
      <c r="E362" s="55"/>
      <c r="F362" s="54"/>
      <c r="G362" s="56"/>
      <c r="H362" s="56"/>
      <c r="I362" s="36" t="str">
        <f t="shared" si="15"/>
        <v/>
      </c>
      <c r="J362" s="36">
        <f t="shared" si="16"/>
        <v>0</v>
      </c>
      <c r="K362" s="36" t="str">
        <f t="shared" ca="1" si="17"/>
        <v/>
      </c>
    </row>
    <row r="363" spans="3:11" x14ac:dyDescent="0.25">
      <c r="C363" s="53"/>
      <c r="D363" s="54"/>
      <c r="E363" s="55"/>
      <c r="F363" s="54"/>
      <c r="G363" s="56"/>
      <c r="H363" s="56"/>
      <c r="I363" s="36" t="str">
        <f t="shared" si="15"/>
        <v/>
      </c>
      <c r="J363" s="36">
        <f t="shared" si="16"/>
        <v>0</v>
      </c>
      <c r="K363" s="36" t="str">
        <f t="shared" ca="1" si="17"/>
        <v/>
      </c>
    </row>
    <row r="364" spans="3:11" x14ac:dyDescent="0.25">
      <c r="C364" s="53"/>
      <c r="D364" s="54"/>
      <c r="E364" s="55"/>
      <c r="F364" s="54"/>
      <c r="G364" s="56"/>
      <c r="H364" s="56"/>
      <c r="I364" s="36" t="str">
        <f t="shared" si="15"/>
        <v/>
      </c>
      <c r="J364" s="36">
        <f t="shared" si="16"/>
        <v>0</v>
      </c>
      <c r="K364" s="36" t="str">
        <f t="shared" ca="1" si="17"/>
        <v/>
      </c>
    </row>
    <row r="365" spans="3:11" x14ac:dyDescent="0.25">
      <c r="C365" s="53"/>
      <c r="D365" s="54"/>
      <c r="E365" s="55"/>
      <c r="F365" s="54"/>
      <c r="G365" s="56"/>
      <c r="H365" s="56"/>
      <c r="I365" s="36" t="str">
        <f t="shared" si="15"/>
        <v/>
      </c>
      <c r="J365" s="36">
        <f t="shared" si="16"/>
        <v>0</v>
      </c>
      <c r="K365" s="36" t="str">
        <f t="shared" ca="1" si="17"/>
        <v/>
      </c>
    </row>
    <row r="366" spans="3:11" x14ac:dyDescent="0.25">
      <c r="C366" s="53"/>
      <c r="D366" s="54"/>
      <c r="E366" s="55"/>
      <c r="F366" s="54"/>
      <c r="G366" s="56"/>
      <c r="H366" s="56"/>
      <c r="I366" s="36" t="str">
        <f t="shared" si="15"/>
        <v/>
      </c>
      <c r="J366" s="36">
        <f t="shared" si="16"/>
        <v>0</v>
      </c>
      <c r="K366" s="36" t="str">
        <f t="shared" ca="1" si="17"/>
        <v/>
      </c>
    </row>
    <row r="367" spans="3:11" x14ac:dyDescent="0.25">
      <c r="C367" s="53"/>
      <c r="D367" s="54"/>
      <c r="E367" s="55"/>
      <c r="F367" s="54"/>
      <c r="G367" s="56"/>
      <c r="H367" s="56"/>
      <c r="I367" s="36" t="str">
        <f t="shared" si="15"/>
        <v/>
      </c>
      <c r="J367" s="36">
        <f t="shared" si="16"/>
        <v>0</v>
      </c>
      <c r="K367" s="36" t="str">
        <f t="shared" ca="1" si="17"/>
        <v/>
      </c>
    </row>
    <row r="368" spans="3:11" x14ac:dyDescent="0.25">
      <c r="C368" s="53"/>
      <c r="D368" s="54"/>
      <c r="E368" s="55"/>
      <c r="F368" s="54"/>
      <c r="G368" s="56"/>
      <c r="H368" s="56"/>
      <c r="I368" s="36" t="str">
        <f t="shared" si="15"/>
        <v/>
      </c>
      <c r="J368" s="36">
        <f t="shared" si="16"/>
        <v>0</v>
      </c>
      <c r="K368" s="36" t="str">
        <f t="shared" ca="1" si="17"/>
        <v/>
      </c>
    </row>
    <row r="369" spans="3:11" x14ac:dyDescent="0.25">
      <c r="C369" s="53"/>
      <c r="D369" s="54"/>
      <c r="E369" s="55"/>
      <c r="F369" s="54"/>
      <c r="G369" s="56"/>
      <c r="H369" s="56"/>
      <c r="I369" s="36" t="str">
        <f t="shared" si="15"/>
        <v/>
      </c>
      <c r="J369" s="36">
        <f t="shared" si="16"/>
        <v>0</v>
      </c>
      <c r="K369" s="36" t="str">
        <f t="shared" ca="1" si="17"/>
        <v/>
      </c>
    </row>
    <row r="370" spans="3:11" x14ac:dyDescent="0.25">
      <c r="C370" s="53"/>
      <c r="D370" s="54"/>
      <c r="E370" s="55"/>
      <c r="F370" s="54"/>
      <c r="G370" s="56"/>
      <c r="H370" s="56"/>
      <c r="I370" s="36" t="str">
        <f t="shared" si="15"/>
        <v/>
      </c>
      <c r="J370" s="36">
        <f t="shared" si="16"/>
        <v>0</v>
      </c>
      <c r="K370" s="36" t="str">
        <f t="shared" ca="1" si="17"/>
        <v/>
      </c>
    </row>
    <row r="371" spans="3:11" x14ac:dyDescent="0.25">
      <c r="C371" s="53"/>
      <c r="D371" s="54"/>
      <c r="E371" s="55"/>
      <c r="F371" s="54"/>
      <c r="G371" s="56"/>
      <c r="H371" s="56"/>
      <c r="I371" s="36" t="str">
        <f t="shared" si="15"/>
        <v/>
      </c>
      <c r="J371" s="36">
        <f t="shared" si="16"/>
        <v>0</v>
      </c>
      <c r="K371" s="36" t="str">
        <f t="shared" ca="1" si="17"/>
        <v/>
      </c>
    </row>
    <row r="372" spans="3:11" x14ac:dyDescent="0.25">
      <c r="C372" s="53"/>
      <c r="D372" s="54"/>
      <c r="E372" s="55"/>
      <c r="F372" s="54"/>
      <c r="G372" s="56"/>
      <c r="H372" s="56"/>
      <c r="I372" s="36" t="str">
        <f t="shared" si="15"/>
        <v/>
      </c>
      <c r="J372" s="36">
        <f t="shared" si="16"/>
        <v>0</v>
      </c>
      <c r="K372" s="36" t="str">
        <f t="shared" ca="1" si="17"/>
        <v/>
      </c>
    </row>
    <row r="373" spans="3:11" x14ac:dyDescent="0.25">
      <c r="C373" s="53"/>
      <c r="D373" s="54"/>
      <c r="E373" s="55"/>
      <c r="F373" s="54"/>
      <c r="G373" s="56"/>
      <c r="H373" s="56"/>
      <c r="I373" s="36" t="str">
        <f t="shared" si="15"/>
        <v/>
      </c>
      <c r="J373" s="36">
        <f t="shared" si="16"/>
        <v>0</v>
      </c>
      <c r="K373" s="36" t="str">
        <f t="shared" ca="1" si="17"/>
        <v/>
      </c>
    </row>
    <row r="374" spans="3:11" x14ac:dyDescent="0.25">
      <c r="C374" s="53"/>
      <c r="D374" s="54"/>
      <c r="E374" s="55"/>
      <c r="F374" s="54"/>
      <c r="G374" s="56"/>
      <c r="H374" s="56"/>
      <c r="I374" s="36" t="str">
        <f t="shared" si="15"/>
        <v/>
      </c>
      <c r="J374" s="36">
        <f t="shared" si="16"/>
        <v>0</v>
      </c>
      <c r="K374" s="36" t="str">
        <f t="shared" ca="1" si="17"/>
        <v/>
      </c>
    </row>
    <row r="375" spans="3:11" x14ac:dyDescent="0.25">
      <c r="C375" s="53"/>
      <c r="D375" s="54"/>
      <c r="E375" s="55"/>
      <c r="F375" s="54"/>
      <c r="G375" s="56"/>
      <c r="H375" s="56"/>
      <c r="I375" s="36" t="str">
        <f t="shared" si="15"/>
        <v/>
      </c>
      <c r="J375" s="36">
        <f t="shared" si="16"/>
        <v>0</v>
      </c>
      <c r="K375" s="36" t="str">
        <f t="shared" ca="1" si="17"/>
        <v/>
      </c>
    </row>
    <row r="376" spans="3:11" x14ac:dyDescent="0.25">
      <c r="C376" s="53"/>
      <c r="D376" s="54"/>
      <c r="E376" s="55"/>
      <c r="F376" s="54"/>
      <c r="G376" s="56"/>
      <c r="H376" s="56"/>
      <c r="I376" s="36" t="str">
        <f t="shared" si="15"/>
        <v/>
      </c>
      <c r="J376" s="36">
        <f t="shared" si="16"/>
        <v>0</v>
      </c>
      <c r="K376" s="36" t="str">
        <f t="shared" ca="1" si="17"/>
        <v/>
      </c>
    </row>
    <row r="377" spans="3:11" x14ac:dyDescent="0.25">
      <c r="C377" s="53"/>
      <c r="D377" s="54"/>
      <c r="E377" s="55"/>
      <c r="F377" s="54"/>
      <c r="G377" s="56"/>
      <c r="H377" s="56"/>
      <c r="I377" s="36" t="str">
        <f t="shared" si="15"/>
        <v/>
      </c>
      <c r="J377" s="36">
        <f t="shared" si="16"/>
        <v>0</v>
      </c>
      <c r="K377" s="36" t="str">
        <f t="shared" ca="1" si="17"/>
        <v/>
      </c>
    </row>
    <row r="378" spans="3:11" x14ac:dyDescent="0.25">
      <c r="C378" s="53"/>
      <c r="D378" s="54"/>
      <c r="E378" s="55"/>
      <c r="F378" s="54"/>
      <c r="G378" s="56"/>
      <c r="H378" s="56"/>
      <c r="I378" s="36" t="str">
        <f t="shared" si="15"/>
        <v/>
      </c>
      <c r="J378" s="36">
        <f t="shared" si="16"/>
        <v>0</v>
      </c>
      <c r="K378" s="36" t="str">
        <f t="shared" ca="1" si="17"/>
        <v/>
      </c>
    </row>
    <row r="379" spans="3:11" x14ac:dyDescent="0.25">
      <c r="C379" s="53"/>
      <c r="D379" s="54"/>
      <c r="E379" s="55"/>
      <c r="F379" s="54"/>
      <c r="G379" s="56"/>
      <c r="H379" s="56"/>
      <c r="I379" s="36" t="str">
        <f t="shared" si="15"/>
        <v/>
      </c>
      <c r="J379" s="36">
        <f t="shared" si="16"/>
        <v>0</v>
      </c>
      <c r="K379" s="36" t="str">
        <f t="shared" ca="1" si="17"/>
        <v/>
      </c>
    </row>
    <row r="380" spans="3:11" x14ac:dyDescent="0.25">
      <c r="C380" s="53"/>
      <c r="D380" s="54"/>
      <c r="E380" s="55"/>
      <c r="F380" s="54"/>
      <c r="G380" s="56"/>
      <c r="H380" s="56"/>
      <c r="I380" s="36" t="str">
        <f t="shared" si="15"/>
        <v/>
      </c>
      <c r="J380" s="36">
        <f t="shared" si="16"/>
        <v>0</v>
      </c>
      <c r="K380" s="36" t="str">
        <f t="shared" ca="1" si="17"/>
        <v/>
      </c>
    </row>
    <row r="381" spans="3:11" x14ac:dyDescent="0.25">
      <c r="C381" s="53"/>
      <c r="D381" s="54"/>
      <c r="E381" s="55"/>
      <c r="F381" s="54"/>
      <c r="G381" s="56"/>
      <c r="H381" s="56"/>
      <c r="I381" s="36" t="str">
        <f t="shared" si="15"/>
        <v/>
      </c>
      <c r="J381" s="36">
        <f t="shared" si="16"/>
        <v>0</v>
      </c>
      <c r="K381" s="36" t="str">
        <f t="shared" ca="1" si="17"/>
        <v/>
      </c>
    </row>
    <row r="382" spans="3:11" x14ac:dyDescent="0.25">
      <c r="C382" s="53"/>
      <c r="D382" s="54"/>
      <c r="E382" s="55"/>
      <c r="F382" s="54"/>
      <c r="G382" s="56"/>
      <c r="H382" s="56"/>
      <c r="I382" s="36" t="str">
        <f t="shared" si="15"/>
        <v/>
      </c>
      <c r="J382" s="36">
        <f t="shared" si="16"/>
        <v>0</v>
      </c>
      <c r="K382" s="36" t="str">
        <f t="shared" ca="1" si="17"/>
        <v/>
      </c>
    </row>
    <row r="383" spans="3:11" x14ac:dyDescent="0.25">
      <c r="C383" s="53"/>
      <c r="D383" s="54"/>
      <c r="E383" s="55"/>
      <c r="F383" s="54"/>
      <c r="G383" s="56"/>
      <c r="H383" s="56"/>
      <c r="I383" s="36" t="str">
        <f t="shared" si="15"/>
        <v/>
      </c>
      <c r="J383" s="36">
        <f t="shared" si="16"/>
        <v>0</v>
      </c>
      <c r="K383" s="36" t="str">
        <f t="shared" ca="1" si="17"/>
        <v/>
      </c>
    </row>
    <row r="384" spans="3:11" x14ac:dyDescent="0.25">
      <c r="C384" s="53"/>
      <c r="D384" s="54"/>
      <c r="E384" s="55"/>
      <c r="F384" s="54"/>
      <c r="G384" s="56"/>
      <c r="H384" s="56"/>
      <c r="I384" s="36" t="str">
        <f t="shared" si="15"/>
        <v/>
      </c>
      <c r="J384" s="36">
        <f t="shared" si="16"/>
        <v>0</v>
      </c>
      <c r="K384" s="36" t="str">
        <f t="shared" ca="1" si="17"/>
        <v/>
      </c>
    </row>
    <row r="385" spans="3:11" x14ac:dyDescent="0.25">
      <c r="C385" s="53"/>
      <c r="D385" s="54"/>
      <c r="E385" s="55"/>
      <c r="F385" s="54"/>
      <c r="G385" s="56"/>
      <c r="H385" s="56"/>
      <c r="I385" s="36" t="str">
        <f t="shared" si="15"/>
        <v/>
      </c>
      <c r="J385" s="36">
        <f t="shared" si="16"/>
        <v>0</v>
      </c>
      <c r="K385" s="36" t="str">
        <f t="shared" ca="1" si="17"/>
        <v/>
      </c>
    </row>
    <row r="386" spans="3:11" x14ac:dyDescent="0.25">
      <c r="C386" s="53"/>
      <c r="D386" s="54"/>
      <c r="E386" s="55"/>
      <c r="F386" s="54"/>
      <c r="G386" s="56"/>
      <c r="H386" s="56"/>
      <c r="I386" s="36" t="str">
        <f t="shared" si="15"/>
        <v/>
      </c>
      <c r="J386" s="36">
        <f t="shared" si="16"/>
        <v>0</v>
      </c>
      <c r="K386" s="36" t="str">
        <f t="shared" ca="1" si="17"/>
        <v/>
      </c>
    </row>
    <row r="387" spans="3:11" x14ac:dyDescent="0.25">
      <c r="C387" s="53"/>
      <c r="D387" s="54"/>
      <c r="E387" s="55"/>
      <c r="F387" s="54"/>
      <c r="G387" s="56"/>
      <c r="H387" s="56"/>
      <c r="I387" s="36" t="str">
        <f t="shared" si="15"/>
        <v/>
      </c>
      <c r="J387" s="36">
        <f t="shared" si="16"/>
        <v>0</v>
      </c>
      <c r="K387" s="36" t="str">
        <f t="shared" ca="1" si="17"/>
        <v/>
      </c>
    </row>
    <row r="388" spans="3:11" x14ac:dyDescent="0.25">
      <c r="C388" s="53"/>
      <c r="D388" s="54"/>
      <c r="E388" s="55"/>
      <c r="F388" s="54"/>
      <c r="G388" s="56"/>
      <c r="H388" s="56"/>
      <c r="I388" s="36" t="str">
        <f t="shared" si="15"/>
        <v/>
      </c>
      <c r="J388" s="36">
        <f t="shared" si="16"/>
        <v>0</v>
      </c>
      <c r="K388" s="36" t="str">
        <f t="shared" ca="1" si="17"/>
        <v/>
      </c>
    </row>
    <row r="389" spans="3:11" x14ac:dyDescent="0.25">
      <c r="C389" s="53"/>
      <c r="D389" s="54"/>
      <c r="E389" s="55"/>
      <c r="F389" s="54"/>
      <c r="G389" s="56"/>
      <c r="H389" s="56"/>
      <c r="I389" s="36" t="str">
        <f t="shared" si="15"/>
        <v/>
      </c>
      <c r="J389" s="36">
        <f t="shared" si="16"/>
        <v>0</v>
      </c>
      <c r="K389" s="36" t="str">
        <f t="shared" ca="1" si="17"/>
        <v/>
      </c>
    </row>
    <row r="390" spans="3:11" x14ac:dyDescent="0.25">
      <c r="C390" s="53"/>
      <c r="D390" s="54"/>
      <c r="E390" s="55"/>
      <c r="F390" s="54"/>
      <c r="G390" s="56"/>
      <c r="H390" s="56"/>
      <c r="I390" s="36" t="str">
        <f t="shared" si="15"/>
        <v/>
      </c>
      <c r="J390" s="36">
        <f t="shared" si="16"/>
        <v>0</v>
      </c>
      <c r="K390" s="36" t="str">
        <f t="shared" ca="1" si="17"/>
        <v/>
      </c>
    </row>
    <row r="391" spans="3:11" x14ac:dyDescent="0.25">
      <c r="C391" s="53"/>
      <c r="D391" s="54"/>
      <c r="E391" s="55"/>
      <c r="F391" s="54"/>
      <c r="G391" s="56"/>
      <c r="H391" s="56"/>
      <c r="I391" s="36" t="str">
        <f t="shared" si="15"/>
        <v/>
      </c>
      <c r="J391" s="36">
        <f t="shared" si="16"/>
        <v>0</v>
      </c>
      <c r="K391" s="36" t="str">
        <f t="shared" ca="1" si="17"/>
        <v/>
      </c>
    </row>
    <row r="392" spans="3:11" x14ac:dyDescent="0.25">
      <c r="C392" s="53"/>
      <c r="D392" s="54"/>
      <c r="E392" s="55"/>
      <c r="F392" s="54"/>
      <c r="G392" s="56"/>
      <c r="H392" s="56"/>
      <c r="I392" s="36" t="str">
        <f t="shared" si="15"/>
        <v/>
      </c>
      <c r="J392" s="36">
        <f t="shared" si="16"/>
        <v>0</v>
      </c>
      <c r="K392" s="36" t="str">
        <f t="shared" ca="1" si="17"/>
        <v/>
      </c>
    </row>
    <row r="393" spans="3:11" x14ac:dyDescent="0.25">
      <c r="C393" s="53"/>
      <c r="D393" s="54"/>
      <c r="E393" s="55"/>
      <c r="F393" s="54"/>
      <c r="G393" s="56"/>
      <c r="H393" s="56"/>
      <c r="I393" s="36" t="str">
        <f t="shared" si="15"/>
        <v/>
      </c>
      <c r="J393" s="36">
        <f t="shared" si="16"/>
        <v>0</v>
      </c>
      <c r="K393" s="36" t="str">
        <f t="shared" ca="1" si="17"/>
        <v/>
      </c>
    </row>
    <row r="394" spans="3:11" x14ac:dyDescent="0.25">
      <c r="C394" s="53"/>
      <c r="D394" s="54"/>
      <c r="E394" s="55"/>
      <c r="F394" s="54"/>
      <c r="G394" s="56"/>
      <c r="H394" s="56"/>
      <c r="I394" s="36" t="str">
        <f t="shared" si="15"/>
        <v/>
      </c>
      <c r="J394" s="36">
        <f t="shared" si="16"/>
        <v>0</v>
      </c>
      <c r="K394" s="36" t="str">
        <f t="shared" ca="1" si="17"/>
        <v/>
      </c>
    </row>
    <row r="395" spans="3:11" x14ac:dyDescent="0.25">
      <c r="C395" s="53"/>
      <c r="D395" s="54"/>
      <c r="E395" s="55"/>
      <c r="F395" s="54"/>
      <c r="G395" s="56"/>
      <c r="H395" s="56"/>
      <c r="I395" s="36" t="str">
        <f t="shared" si="15"/>
        <v/>
      </c>
      <c r="J395" s="36">
        <f t="shared" si="16"/>
        <v>0</v>
      </c>
      <c r="K395" s="36" t="str">
        <f t="shared" ca="1" si="17"/>
        <v/>
      </c>
    </row>
    <row r="396" spans="3:11" x14ac:dyDescent="0.25">
      <c r="C396" s="53"/>
      <c r="D396" s="54"/>
      <c r="E396" s="55"/>
      <c r="F396" s="54"/>
      <c r="G396" s="56"/>
      <c r="H396" s="56"/>
      <c r="I396" s="36" t="str">
        <f t="shared" si="15"/>
        <v/>
      </c>
      <c r="J396" s="36">
        <f t="shared" si="16"/>
        <v>0</v>
      </c>
      <c r="K396" s="36" t="str">
        <f t="shared" ca="1" si="17"/>
        <v/>
      </c>
    </row>
    <row r="397" spans="3:11" x14ac:dyDescent="0.25">
      <c r="C397" s="53"/>
      <c r="D397" s="54"/>
      <c r="E397" s="55"/>
      <c r="F397" s="54"/>
      <c r="G397" s="56"/>
      <c r="H397" s="56"/>
      <c r="I397" s="36" t="str">
        <f t="shared" si="15"/>
        <v/>
      </c>
      <c r="J397" s="36">
        <f t="shared" si="16"/>
        <v>0</v>
      </c>
      <c r="K397" s="36" t="str">
        <f t="shared" ca="1" si="17"/>
        <v/>
      </c>
    </row>
    <row r="398" spans="3:11" x14ac:dyDescent="0.25">
      <c r="C398" s="53"/>
      <c r="D398" s="54"/>
      <c r="E398" s="55"/>
      <c r="F398" s="54"/>
      <c r="G398" s="56"/>
      <c r="H398" s="56"/>
      <c r="I398" s="36" t="str">
        <f t="shared" si="15"/>
        <v/>
      </c>
      <c r="J398" s="36">
        <f t="shared" si="16"/>
        <v>0</v>
      </c>
      <c r="K398" s="36" t="str">
        <f t="shared" ca="1" si="17"/>
        <v/>
      </c>
    </row>
    <row r="399" spans="3:11" x14ac:dyDescent="0.25">
      <c r="C399" s="53"/>
      <c r="D399" s="54"/>
      <c r="E399" s="55"/>
      <c r="F399" s="54"/>
      <c r="G399" s="56"/>
      <c r="H399" s="56"/>
      <c r="I399" s="36" t="str">
        <f t="shared" si="15"/>
        <v/>
      </c>
      <c r="J399" s="36">
        <f t="shared" si="16"/>
        <v>0</v>
      </c>
      <c r="K399" s="36" t="str">
        <f t="shared" ca="1" si="17"/>
        <v/>
      </c>
    </row>
    <row r="400" spans="3:11" x14ac:dyDescent="0.25">
      <c r="C400" s="53"/>
      <c r="D400" s="54"/>
      <c r="E400" s="55"/>
      <c r="F400" s="54"/>
      <c r="G400" s="56"/>
      <c r="H400" s="56"/>
      <c r="I400" s="36" t="str">
        <f t="shared" ref="I400:I463" si="18">IF(C400="","",IF(H400&lt;=0,"Em aberto",IF(H400&gt;=G400,"Pagamento Total",IF(H400&lt;G400,"Pagamento Parcial"))))</f>
        <v/>
      </c>
      <c r="J400" s="36">
        <f t="shared" ref="J400:J463" si="19">IF(C400&gt;0,G400-H400,0)</f>
        <v>0</v>
      </c>
      <c r="K400" s="36" t="str">
        <f t="shared" ref="K400:K463" ca="1" si="20">IF(ISBLANK(C400),"",IF(H400=G400,"Pago",IF(C400=TODAY(),"Vence Hoje",IF(TRIM(UPPER(G399))&lt;&gt;"S",IF(C400-TODAY()&lt;0,"Vencida",IF(C400-TODAY()&lt;8,"Próximos sete dias","Em aberto"))))))</f>
        <v/>
      </c>
    </row>
    <row r="401" spans="3:11" x14ac:dyDescent="0.25">
      <c r="C401" s="53"/>
      <c r="D401" s="54"/>
      <c r="E401" s="55"/>
      <c r="F401" s="54"/>
      <c r="G401" s="56"/>
      <c r="H401" s="56"/>
      <c r="I401" s="36" t="str">
        <f t="shared" si="18"/>
        <v/>
      </c>
      <c r="J401" s="36">
        <f t="shared" si="19"/>
        <v>0</v>
      </c>
      <c r="K401" s="36" t="str">
        <f t="shared" ca="1" si="20"/>
        <v/>
      </c>
    </row>
    <row r="402" spans="3:11" x14ac:dyDescent="0.25">
      <c r="C402" s="53"/>
      <c r="D402" s="54"/>
      <c r="E402" s="55"/>
      <c r="F402" s="54"/>
      <c r="G402" s="56"/>
      <c r="H402" s="56"/>
      <c r="I402" s="36" t="str">
        <f t="shared" si="18"/>
        <v/>
      </c>
      <c r="J402" s="36">
        <f t="shared" si="19"/>
        <v>0</v>
      </c>
      <c r="K402" s="36" t="str">
        <f t="shared" ca="1" si="20"/>
        <v/>
      </c>
    </row>
    <row r="403" spans="3:11" x14ac:dyDescent="0.25">
      <c r="C403" s="53"/>
      <c r="D403" s="54"/>
      <c r="E403" s="55"/>
      <c r="F403" s="54"/>
      <c r="G403" s="56"/>
      <c r="H403" s="56"/>
      <c r="I403" s="36" t="str">
        <f t="shared" si="18"/>
        <v/>
      </c>
      <c r="J403" s="36">
        <f t="shared" si="19"/>
        <v>0</v>
      </c>
      <c r="K403" s="36" t="str">
        <f t="shared" ca="1" si="20"/>
        <v/>
      </c>
    </row>
    <row r="404" spans="3:11" x14ac:dyDescent="0.25">
      <c r="C404" s="53"/>
      <c r="D404" s="54"/>
      <c r="E404" s="55"/>
      <c r="F404" s="54"/>
      <c r="G404" s="56"/>
      <c r="H404" s="56"/>
      <c r="I404" s="36" t="str">
        <f t="shared" si="18"/>
        <v/>
      </c>
      <c r="J404" s="36">
        <f t="shared" si="19"/>
        <v>0</v>
      </c>
      <c r="K404" s="36" t="str">
        <f t="shared" ca="1" si="20"/>
        <v/>
      </c>
    </row>
    <row r="405" spans="3:11" x14ac:dyDescent="0.25">
      <c r="C405" s="53"/>
      <c r="D405" s="54"/>
      <c r="E405" s="55"/>
      <c r="F405" s="54"/>
      <c r="G405" s="56"/>
      <c r="H405" s="56"/>
      <c r="I405" s="36" t="str">
        <f t="shared" si="18"/>
        <v/>
      </c>
      <c r="J405" s="36">
        <f t="shared" si="19"/>
        <v>0</v>
      </c>
      <c r="K405" s="36" t="str">
        <f t="shared" ca="1" si="20"/>
        <v/>
      </c>
    </row>
    <row r="406" spans="3:11" x14ac:dyDescent="0.25">
      <c r="C406" s="53"/>
      <c r="D406" s="54"/>
      <c r="E406" s="55"/>
      <c r="F406" s="54"/>
      <c r="G406" s="56"/>
      <c r="H406" s="56"/>
      <c r="I406" s="36" t="str">
        <f t="shared" si="18"/>
        <v/>
      </c>
      <c r="J406" s="36">
        <f t="shared" si="19"/>
        <v>0</v>
      </c>
      <c r="K406" s="36" t="str">
        <f t="shared" ca="1" si="20"/>
        <v/>
      </c>
    </row>
    <row r="407" spans="3:11" x14ac:dyDescent="0.25">
      <c r="C407" s="53"/>
      <c r="D407" s="54"/>
      <c r="E407" s="55"/>
      <c r="F407" s="54"/>
      <c r="G407" s="56"/>
      <c r="H407" s="56"/>
      <c r="I407" s="36" t="str">
        <f t="shared" si="18"/>
        <v/>
      </c>
      <c r="J407" s="36">
        <f t="shared" si="19"/>
        <v>0</v>
      </c>
      <c r="K407" s="36" t="str">
        <f t="shared" ca="1" si="20"/>
        <v/>
      </c>
    </row>
    <row r="408" spans="3:11" x14ac:dyDescent="0.25">
      <c r="C408" s="53"/>
      <c r="D408" s="54"/>
      <c r="E408" s="55"/>
      <c r="F408" s="54"/>
      <c r="G408" s="56"/>
      <c r="H408" s="56"/>
      <c r="I408" s="36" t="str">
        <f t="shared" si="18"/>
        <v/>
      </c>
      <c r="J408" s="36">
        <f t="shared" si="19"/>
        <v>0</v>
      </c>
      <c r="K408" s="36" t="str">
        <f t="shared" ca="1" si="20"/>
        <v/>
      </c>
    </row>
    <row r="409" spans="3:11" x14ac:dyDescent="0.25">
      <c r="C409" s="53"/>
      <c r="D409" s="54"/>
      <c r="E409" s="55"/>
      <c r="F409" s="54"/>
      <c r="G409" s="56"/>
      <c r="H409" s="56"/>
      <c r="I409" s="36" t="str">
        <f t="shared" si="18"/>
        <v/>
      </c>
      <c r="J409" s="36">
        <f t="shared" si="19"/>
        <v>0</v>
      </c>
      <c r="K409" s="36" t="str">
        <f t="shared" ca="1" si="20"/>
        <v/>
      </c>
    </row>
    <row r="410" spans="3:11" x14ac:dyDescent="0.25">
      <c r="C410" s="53"/>
      <c r="D410" s="54"/>
      <c r="E410" s="55"/>
      <c r="F410" s="54"/>
      <c r="G410" s="56"/>
      <c r="H410" s="56"/>
      <c r="I410" s="36" t="str">
        <f t="shared" si="18"/>
        <v/>
      </c>
      <c r="J410" s="36">
        <f t="shared" si="19"/>
        <v>0</v>
      </c>
      <c r="K410" s="36" t="str">
        <f t="shared" ca="1" si="20"/>
        <v/>
      </c>
    </row>
    <row r="411" spans="3:11" x14ac:dyDescent="0.25">
      <c r="C411" s="53"/>
      <c r="D411" s="54"/>
      <c r="E411" s="55"/>
      <c r="F411" s="54"/>
      <c r="G411" s="56"/>
      <c r="H411" s="56"/>
      <c r="I411" s="36" t="str">
        <f t="shared" si="18"/>
        <v/>
      </c>
      <c r="J411" s="36">
        <f t="shared" si="19"/>
        <v>0</v>
      </c>
      <c r="K411" s="36" t="str">
        <f t="shared" ca="1" si="20"/>
        <v/>
      </c>
    </row>
    <row r="412" spans="3:11" x14ac:dyDescent="0.25">
      <c r="C412" s="53"/>
      <c r="D412" s="54"/>
      <c r="E412" s="55"/>
      <c r="F412" s="54"/>
      <c r="G412" s="56"/>
      <c r="H412" s="56"/>
      <c r="I412" s="36" t="str">
        <f t="shared" si="18"/>
        <v/>
      </c>
      <c r="J412" s="36">
        <f t="shared" si="19"/>
        <v>0</v>
      </c>
      <c r="K412" s="36" t="str">
        <f t="shared" ca="1" si="20"/>
        <v/>
      </c>
    </row>
    <row r="413" spans="3:11" x14ac:dyDescent="0.25">
      <c r="C413" s="53"/>
      <c r="D413" s="54"/>
      <c r="E413" s="55"/>
      <c r="F413" s="54"/>
      <c r="G413" s="56"/>
      <c r="H413" s="56"/>
      <c r="I413" s="36" t="str">
        <f t="shared" si="18"/>
        <v/>
      </c>
      <c r="J413" s="36">
        <f t="shared" si="19"/>
        <v>0</v>
      </c>
      <c r="K413" s="36" t="str">
        <f t="shared" ca="1" si="20"/>
        <v/>
      </c>
    </row>
    <row r="414" spans="3:11" x14ac:dyDescent="0.25">
      <c r="C414" s="53"/>
      <c r="D414" s="54"/>
      <c r="E414" s="55"/>
      <c r="F414" s="54"/>
      <c r="G414" s="56"/>
      <c r="H414" s="56"/>
      <c r="I414" s="36" t="str">
        <f t="shared" si="18"/>
        <v/>
      </c>
      <c r="J414" s="36">
        <f t="shared" si="19"/>
        <v>0</v>
      </c>
      <c r="K414" s="36" t="str">
        <f t="shared" ca="1" si="20"/>
        <v/>
      </c>
    </row>
    <row r="415" spans="3:11" x14ac:dyDescent="0.25">
      <c r="C415" s="53"/>
      <c r="D415" s="54"/>
      <c r="E415" s="55"/>
      <c r="F415" s="54"/>
      <c r="G415" s="56"/>
      <c r="H415" s="56"/>
      <c r="I415" s="36" t="str">
        <f t="shared" si="18"/>
        <v/>
      </c>
      <c r="J415" s="36">
        <f t="shared" si="19"/>
        <v>0</v>
      </c>
      <c r="K415" s="36" t="str">
        <f t="shared" ca="1" si="20"/>
        <v/>
      </c>
    </row>
    <row r="416" spans="3:11" x14ac:dyDescent="0.25">
      <c r="C416" s="53"/>
      <c r="D416" s="54"/>
      <c r="E416" s="55"/>
      <c r="F416" s="54"/>
      <c r="G416" s="56"/>
      <c r="H416" s="56"/>
      <c r="I416" s="36" t="str">
        <f t="shared" si="18"/>
        <v/>
      </c>
      <c r="J416" s="36">
        <f t="shared" si="19"/>
        <v>0</v>
      </c>
      <c r="K416" s="36" t="str">
        <f t="shared" ca="1" si="20"/>
        <v/>
      </c>
    </row>
    <row r="417" spans="3:11" x14ac:dyDescent="0.25">
      <c r="C417" s="53"/>
      <c r="D417" s="54"/>
      <c r="E417" s="55"/>
      <c r="F417" s="54"/>
      <c r="G417" s="56"/>
      <c r="H417" s="56"/>
      <c r="I417" s="36" t="str">
        <f t="shared" si="18"/>
        <v/>
      </c>
      <c r="J417" s="36">
        <f t="shared" si="19"/>
        <v>0</v>
      </c>
      <c r="K417" s="36" t="str">
        <f t="shared" ca="1" si="20"/>
        <v/>
      </c>
    </row>
    <row r="418" spans="3:11" x14ac:dyDescent="0.25">
      <c r="C418" s="53"/>
      <c r="D418" s="54"/>
      <c r="E418" s="55"/>
      <c r="F418" s="54"/>
      <c r="G418" s="56"/>
      <c r="H418" s="56"/>
      <c r="I418" s="36" t="str">
        <f t="shared" si="18"/>
        <v/>
      </c>
      <c r="J418" s="36">
        <f t="shared" si="19"/>
        <v>0</v>
      </c>
      <c r="K418" s="36" t="str">
        <f t="shared" ca="1" si="20"/>
        <v/>
      </c>
    </row>
    <row r="419" spans="3:11" x14ac:dyDescent="0.25">
      <c r="C419" s="53"/>
      <c r="D419" s="54"/>
      <c r="E419" s="55"/>
      <c r="F419" s="54"/>
      <c r="G419" s="56"/>
      <c r="H419" s="56"/>
      <c r="I419" s="36" t="str">
        <f t="shared" si="18"/>
        <v/>
      </c>
      <c r="J419" s="36">
        <f t="shared" si="19"/>
        <v>0</v>
      </c>
      <c r="K419" s="36" t="str">
        <f t="shared" ca="1" si="20"/>
        <v/>
      </c>
    </row>
    <row r="420" spans="3:11" x14ac:dyDescent="0.25">
      <c r="C420" s="53"/>
      <c r="D420" s="54"/>
      <c r="E420" s="55"/>
      <c r="F420" s="54"/>
      <c r="G420" s="56"/>
      <c r="H420" s="56"/>
      <c r="I420" s="36" t="str">
        <f t="shared" si="18"/>
        <v/>
      </c>
      <c r="J420" s="36">
        <f t="shared" si="19"/>
        <v>0</v>
      </c>
      <c r="K420" s="36" t="str">
        <f t="shared" ca="1" si="20"/>
        <v/>
      </c>
    </row>
    <row r="421" spans="3:11" x14ac:dyDescent="0.25">
      <c r="C421" s="53"/>
      <c r="D421" s="54"/>
      <c r="E421" s="55"/>
      <c r="F421" s="54"/>
      <c r="G421" s="56"/>
      <c r="H421" s="56"/>
      <c r="I421" s="36" t="str">
        <f t="shared" si="18"/>
        <v/>
      </c>
      <c r="J421" s="36">
        <f t="shared" si="19"/>
        <v>0</v>
      </c>
      <c r="K421" s="36" t="str">
        <f t="shared" ca="1" si="20"/>
        <v/>
      </c>
    </row>
    <row r="422" spans="3:11" x14ac:dyDescent="0.25">
      <c r="C422" s="53"/>
      <c r="D422" s="54"/>
      <c r="E422" s="55"/>
      <c r="F422" s="54"/>
      <c r="G422" s="56"/>
      <c r="H422" s="56"/>
      <c r="I422" s="36" t="str">
        <f t="shared" si="18"/>
        <v/>
      </c>
      <c r="J422" s="36">
        <f t="shared" si="19"/>
        <v>0</v>
      </c>
      <c r="K422" s="36" t="str">
        <f t="shared" ca="1" si="20"/>
        <v/>
      </c>
    </row>
    <row r="423" spans="3:11" x14ac:dyDescent="0.25">
      <c r="C423" s="53"/>
      <c r="D423" s="54"/>
      <c r="E423" s="55"/>
      <c r="F423" s="54"/>
      <c r="G423" s="56"/>
      <c r="H423" s="56"/>
      <c r="I423" s="36" t="str">
        <f t="shared" si="18"/>
        <v/>
      </c>
      <c r="J423" s="36">
        <f t="shared" si="19"/>
        <v>0</v>
      </c>
      <c r="K423" s="36" t="str">
        <f t="shared" ca="1" si="20"/>
        <v/>
      </c>
    </row>
    <row r="424" spans="3:11" x14ac:dyDescent="0.25">
      <c r="C424" s="53"/>
      <c r="D424" s="54"/>
      <c r="E424" s="55"/>
      <c r="F424" s="54"/>
      <c r="G424" s="56"/>
      <c r="H424" s="56"/>
      <c r="I424" s="36" t="str">
        <f t="shared" si="18"/>
        <v/>
      </c>
      <c r="J424" s="36">
        <f t="shared" si="19"/>
        <v>0</v>
      </c>
      <c r="K424" s="36" t="str">
        <f t="shared" ca="1" si="20"/>
        <v/>
      </c>
    </row>
    <row r="425" spans="3:11" x14ac:dyDescent="0.25">
      <c r="C425" s="53"/>
      <c r="D425" s="54"/>
      <c r="E425" s="55"/>
      <c r="F425" s="54"/>
      <c r="G425" s="56"/>
      <c r="H425" s="56"/>
      <c r="I425" s="36" t="str">
        <f t="shared" si="18"/>
        <v/>
      </c>
      <c r="J425" s="36">
        <f t="shared" si="19"/>
        <v>0</v>
      </c>
      <c r="K425" s="36" t="str">
        <f t="shared" ca="1" si="20"/>
        <v/>
      </c>
    </row>
    <row r="426" spans="3:11" x14ac:dyDescent="0.25">
      <c r="C426" s="53"/>
      <c r="D426" s="54"/>
      <c r="E426" s="55"/>
      <c r="F426" s="54"/>
      <c r="G426" s="56"/>
      <c r="H426" s="56"/>
      <c r="I426" s="36" t="str">
        <f t="shared" si="18"/>
        <v/>
      </c>
      <c r="J426" s="36">
        <f t="shared" si="19"/>
        <v>0</v>
      </c>
      <c r="K426" s="36" t="str">
        <f t="shared" ca="1" si="20"/>
        <v/>
      </c>
    </row>
    <row r="427" spans="3:11" x14ac:dyDescent="0.25">
      <c r="C427" s="53"/>
      <c r="D427" s="54"/>
      <c r="E427" s="55"/>
      <c r="F427" s="54"/>
      <c r="G427" s="56"/>
      <c r="H427" s="56"/>
      <c r="I427" s="36" t="str">
        <f t="shared" si="18"/>
        <v/>
      </c>
      <c r="J427" s="36">
        <f t="shared" si="19"/>
        <v>0</v>
      </c>
      <c r="K427" s="36" t="str">
        <f t="shared" ca="1" si="20"/>
        <v/>
      </c>
    </row>
    <row r="428" spans="3:11" x14ac:dyDescent="0.25">
      <c r="C428" s="53"/>
      <c r="D428" s="54"/>
      <c r="E428" s="55"/>
      <c r="F428" s="54"/>
      <c r="G428" s="56"/>
      <c r="H428" s="56"/>
      <c r="I428" s="36" t="str">
        <f t="shared" si="18"/>
        <v/>
      </c>
      <c r="J428" s="36">
        <f t="shared" si="19"/>
        <v>0</v>
      </c>
      <c r="K428" s="36" t="str">
        <f t="shared" ca="1" si="20"/>
        <v/>
      </c>
    </row>
    <row r="429" spans="3:11" x14ac:dyDescent="0.25">
      <c r="C429" s="53"/>
      <c r="D429" s="54"/>
      <c r="E429" s="55"/>
      <c r="F429" s="54"/>
      <c r="G429" s="56"/>
      <c r="H429" s="56"/>
      <c r="I429" s="36" t="str">
        <f t="shared" si="18"/>
        <v/>
      </c>
      <c r="J429" s="36">
        <f t="shared" si="19"/>
        <v>0</v>
      </c>
      <c r="K429" s="36" t="str">
        <f t="shared" ca="1" si="20"/>
        <v/>
      </c>
    </row>
    <row r="430" spans="3:11" x14ac:dyDescent="0.25">
      <c r="C430" s="53"/>
      <c r="D430" s="54"/>
      <c r="E430" s="55"/>
      <c r="F430" s="54"/>
      <c r="G430" s="56"/>
      <c r="H430" s="56"/>
      <c r="I430" s="36" t="str">
        <f t="shared" si="18"/>
        <v/>
      </c>
      <c r="J430" s="36">
        <f t="shared" si="19"/>
        <v>0</v>
      </c>
      <c r="K430" s="36" t="str">
        <f t="shared" ca="1" si="20"/>
        <v/>
      </c>
    </row>
    <row r="431" spans="3:11" x14ac:dyDescent="0.25">
      <c r="C431" s="53"/>
      <c r="D431" s="54"/>
      <c r="E431" s="55"/>
      <c r="F431" s="54"/>
      <c r="G431" s="56"/>
      <c r="H431" s="56"/>
      <c r="I431" s="36" t="str">
        <f t="shared" si="18"/>
        <v/>
      </c>
      <c r="J431" s="36">
        <f t="shared" si="19"/>
        <v>0</v>
      </c>
      <c r="K431" s="36" t="str">
        <f t="shared" ca="1" si="20"/>
        <v/>
      </c>
    </row>
    <row r="432" spans="3:11" x14ac:dyDescent="0.25">
      <c r="C432" s="53"/>
      <c r="D432" s="54"/>
      <c r="E432" s="55"/>
      <c r="F432" s="54"/>
      <c r="G432" s="56"/>
      <c r="H432" s="56"/>
      <c r="I432" s="36" t="str">
        <f t="shared" si="18"/>
        <v/>
      </c>
      <c r="J432" s="36">
        <f t="shared" si="19"/>
        <v>0</v>
      </c>
      <c r="K432" s="36" t="str">
        <f t="shared" ca="1" si="20"/>
        <v/>
      </c>
    </row>
    <row r="433" spans="3:11" x14ac:dyDescent="0.25">
      <c r="C433" s="53"/>
      <c r="D433" s="54"/>
      <c r="E433" s="55"/>
      <c r="F433" s="54"/>
      <c r="G433" s="56"/>
      <c r="H433" s="56"/>
      <c r="I433" s="36" t="str">
        <f t="shared" si="18"/>
        <v/>
      </c>
      <c r="J433" s="36">
        <f t="shared" si="19"/>
        <v>0</v>
      </c>
      <c r="K433" s="36" t="str">
        <f t="shared" ca="1" si="20"/>
        <v/>
      </c>
    </row>
    <row r="434" spans="3:11" x14ac:dyDescent="0.25">
      <c r="C434" s="53"/>
      <c r="D434" s="54"/>
      <c r="E434" s="55"/>
      <c r="F434" s="54"/>
      <c r="G434" s="56"/>
      <c r="H434" s="56"/>
      <c r="I434" s="36" t="str">
        <f t="shared" si="18"/>
        <v/>
      </c>
      <c r="J434" s="36">
        <f t="shared" si="19"/>
        <v>0</v>
      </c>
      <c r="K434" s="36" t="str">
        <f t="shared" ca="1" si="20"/>
        <v/>
      </c>
    </row>
    <row r="435" spans="3:11" x14ac:dyDescent="0.25">
      <c r="C435" s="53"/>
      <c r="D435" s="54"/>
      <c r="E435" s="55"/>
      <c r="F435" s="54"/>
      <c r="G435" s="56"/>
      <c r="H435" s="56"/>
      <c r="I435" s="36" t="str">
        <f t="shared" si="18"/>
        <v/>
      </c>
      <c r="J435" s="36">
        <f t="shared" si="19"/>
        <v>0</v>
      </c>
      <c r="K435" s="36" t="str">
        <f t="shared" ca="1" si="20"/>
        <v/>
      </c>
    </row>
    <row r="436" spans="3:11" x14ac:dyDescent="0.25">
      <c r="C436" s="53"/>
      <c r="D436" s="54"/>
      <c r="E436" s="55"/>
      <c r="F436" s="54"/>
      <c r="G436" s="56"/>
      <c r="H436" s="56"/>
      <c r="I436" s="36" t="str">
        <f t="shared" si="18"/>
        <v/>
      </c>
      <c r="J436" s="36">
        <f t="shared" si="19"/>
        <v>0</v>
      </c>
      <c r="K436" s="36" t="str">
        <f t="shared" ca="1" si="20"/>
        <v/>
      </c>
    </row>
    <row r="437" spans="3:11" x14ac:dyDescent="0.25">
      <c r="C437" s="53"/>
      <c r="D437" s="54"/>
      <c r="E437" s="55"/>
      <c r="F437" s="54"/>
      <c r="G437" s="56"/>
      <c r="H437" s="56"/>
      <c r="I437" s="36" t="str">
        <f t="shared" si="18"/>
        <v/>
      </c>
      <c r="J437" s="36">
        <f t="shared" si="19"/>
        <v>0</v>
      </c>
      <c r="K437" s="36" t="str">
        <f t="shared" ca="1" si="20"/>
        <v/>
      </c>
    </row>
    <row r="438" spans="3:11" x14ac:dyDescent="0.25">
      <c r="C438" s="53"/>
      <c r="D438" s="54"/>
      <c r="E438" s="55"/>
      <c r="F438" s="54"/>
      <c r="G438" s="56"/>
      <c r="H438" s="56"/>
      <c r="I438" s="36" t="str">
        <f t="shared" si="18"/>
        <v/>
      </c>
      <c r="J438" s="36">
        <f t="shared" si="19"/>
        <v>0</v>
      </c>
      <c r="K438" s="36" t="str">
        <f t="shared" ca="1" si="20"/>
        <v/>
      </c>
    </row>
    <row r="439" spans="3:11" x14ac:dyDescent="0.25">
      <c r="C439" s="53"/>
      <c r="D439" s="54"/>
      <c r="E439" s="55"/>
      <c r="F439" s="54"/>
      <c r="G439" s="56"/>
      <c r="H439" s="56"/>
      <c r="I439" s="36" t="str">
        <f t="shared" si="18"/>
        <v/>
      </c>
      <c r="J439" s="36">
        <f t="shared" si="19"/>
        <v>0</v>
      </c>
      <c r="K439" s="36" t="str">
        <f t="shared" ca="1" si="20"/>
        <v/>
      </c>
    </row>
    <row r="440" spans="3:11" x14ac:dyDescent="0.25">
      <c r="C440" s="53"/>
      <c r="D440" s="54"/>
      <c r="E440" s="55"/>
      <c r="F440" s="54"/>
      <c r="G440" s="56"/>
      <c r="H440" s="56"/>
      <c r="I440" s="36" t="str">
        <f t="shared" si="18"/>
        <v/>
      </c>
      <c r="J440" s="36">
        <f t="shared" si="19"/>
        <v>0</v>
      </c>
      <c r="K440" s="36" t="str">
        <f t="shared" ca="1" si="20"/>
        <v/>
      </c>
    </row>
    <row r="441" spans="3:11" x14ac:dyDescent="0.25">
      <c r="C441" s="53"/>
      <c r="D441" s="54"/>
      <c r="E441" s="55"/>
      <c r="F441" s="54"/>
      <c r="G441" s="56"/>
      <c r="H441" s="56"/>
      <c r="I441" s="36" t="str">
        <f t="shared" si="18"/>
        <v/>
      </c>
      <c r="J441" s="36">
        <f t="shared" si="19"/>
        <v>0</v>
      </c>
      <c r="K441" s="36" t="str">
        <f t="shared" ca="1" si="20"/>
        <v/>
      </c>
    </row>
    <row r="442" spans="3:11" x14ac:dyDescent="0.25">
      <c r="C442" s="53"/>
      <c r="D442" s="54"/>
      <c r="E442" s="55"/>
      <c r="F442" s="54"/>
      <c r="G442" s="56"/>
      <c r="H442" s="56"/>
      <c r="I442" s="36" t="str">
        <f t="shared" si="18"/>
        <v/>
      </c>
      <c r="J442" s="36">
        <f t="shared" si="19"/>
        <v>0</v>
      </c>
      <c r="K442" s="36" t="str">
        <f t="shared" ca="1" si="20"/>
        <v/>
      </c>
    </row>
    <row r="443" spans="3:11" x14ac:dyDescent="0.25">
      <c r="C443" s="53"/>
      <c r="D443" s="54"/>
      <c r="E443" s="55"/>
      <c r="F443" s="54"/>
      <c r="G443" s="56"/>
      <c r="H443" s="56"/>
      <c r="I443" s="36" t="str">
        <f t="shared" si="18"/>
        <v/>
      </c>
      <c r="J443" s="36">
        <f t="shared" si="19"/>
        <v>0</v>
      </c>
      <c r="K443" s="36" t="str">
        <f t="shared" ca="1" si="20"/>
        <v/>
      </c>
    </row>
    <row r="444" spans="3:11" x14ac:dyDescent="0.25">
      <c r="C444" s="53"/>
      <c r="D444" s="54"/>
      <c r="E444" s="55"/>
      <c r="F444" s="54"/>
      <c r="G444" s="56"/>
      <c r="H444" s="56"/>
      <c r="I444" s="36" t="str">
        <f t="shared" si="18"/>
        <v/>
      </c>
      <c r="J444" s="36">
        <f t="shared" si="19"/>
        <v>0</v>
      </c>
      <c r="K444" s="36" t="str">
        <f t="shared" ca="1" si="20"/>
        <v/>
      </c>
    </row>
    <row r="445" spans="3:11" x14ac:dyDescent="0.25">
      <c r="C445" s="53"/>
      <c r="D445" s="54"/>
      <c r="E445" s="55"/>
      <c r="F445" s="54"/>
      <c r="G445" s="56"/>
      <c r="H445" s="56"/>
      <c r="I445" s="36" t="str">
        <f t="shared" si="18"/>
        <v/>
      </c>
      <c r="J445" s="36">
        <f t="shared" si="19"/>
        <v>0</v>
      </c>
      <c r="K445" s="36" t="str">
        <f t="shared" ca="1" si="20"/>
        <v/>
      </c>
    </row>
    <row r="446" spans="3:11" x14ac:dyDescent="0.25">
      <c r="C446" s="53"/>
      <c r="D446" s="54"/>
      <c r="E446" s="55"/>
      <c r="F446" s="54"/>
      <c r="G446" s="56"/>
      <c r="H446" s="56"/>
      <c r="I446" s="36" t="str">
        <f t="shared" si="18"/>
        <v/>
      </c>
      <c r="J446" s="36">
        <f t="shared" si="19"/>
        <v>0</v>
      </c>
      <c r="K446" s="36" t="str">
        <f t="shared" ca="1" si="20"/>
        <v/>
      </c>
    </row>
    <row r="447" spans="3:11" x14ac:dyDescent="0.25">
      <c r="C447" s="53"/>
      <c r="D447" s="54"/>
      <c r="E447" s="55"/>
      <c r="F447" s="54"/>
      <c r="G447" s="56"/>
      <c r="H447" s="56"/>
      <c r="I447" s="36" t="str">
        <f t="shared" si="18"/>
        <v/>
      </c>
      <c r="J447" s="36">
        <f t="shared" si="19"/>
        <v>0</v>
      </c>
      <c r="K447" s="36" t="str">
        <f t="shared" ca="1" si="20"/>
        <v/>
      </c>
    </row>
    <row r="448" spans="3:11" x14ac:dyDescent="0.25">
      <c r="C448" s="53"/>
      <c r="D448" s="54"/>
      <c r="E448" s="55"/>
      <c r="F448" s="54"/>
      <c r="G448" s="56"/>
      <c r="H448" s="56"/>
      <c r="I448" s="36" t="str">
        <f t="shared" si="18"/>
        <v/>
      </c>
      <c r="J448" s="36">
        <f t="shared" si="19"/>
        <v>0</v>
      </c>
      <c r="K448" s="36" t="str">
        <f t="shared" ca="1" si="20"/>
        <v/>
      </c>
    </row>
    <row r="449" spans="3:11" x14ac:dyDescent="0.25">
      <c r="C449" s="53"/>
      <c r="D449" s="54"/>
      <c r="E449" s="55"/>
      <c r="F449" s="54"/>
      <c r="G449" s="56"/>
      <c r="H449" s="56"/>
      <c r="I449" s="36" t="str">
        <f t="shared" si="18"/>
        <v/>
      </c>
      <c r="J449" s="36">
        <f t="shared" si="19"/>
        <v>0</v>
      </c>
      <c r="K449" s="36" t="str">
        <f t="shared" ca="1" si="20"/>
        <v/>
      </c>
    </row>
    <row r="450" spans="3:11" x14ac:dyDescent="0.25">
      <c r="C450" s="53"/>
      <c r="D450" s="54"/>
      <c r="E450" s="55"/>
      <c r="F450" s="54"/>
      <c r="G450" s="56"/>
      <c r="H450" s="56"/>
      <c r="I450" s="36" t="str">
        <f t="shared" si="18"/>
        <v/>
      </c>
      <c r="J450" s="36">
        <f t="shared" si="19"/>
        <v>0</v>
      </c>
      <c r="K450" s="36" t="str">
        <f t="shared" ca="1" si="20"/>
        <v/>
      </c>
    </row>
    <row r="451" spans="3:11" x14ac:dyDescent="0.25">
      <c r="C451" s="53"/>
      <c r="D451" s="54"/>
      <c r="E451" s="55"/>
      <c r="F451" s="54"/>
      <c r="G451" s="56"/>
      <c r="H451" s="56"/>
      <c r="I451" s="36" t="str">
        <f t="shared" si="18"/>
        <v/>
      </c>
      <c r="J451" s="36">
        <f t="shared" si="19"/>
        <v>0</v>
      </c>
      <c r="K451" s="36" t="str">
        <f t="shared" ca="1" si="20"/>
        <v/>
      </c>
    </row>
    <row r="452" spans="3:11" x14ac:dyDescent="0.25">
      <c r="C452" s="53"/>
      <c r="D452" s="54"/>
      <c r="E452" s="55"/>
      <c r="F452" s="54"/>
      <c r="G452" s="56"/>
      <c r="H452" s="56"/>
      <c r="I452" s="36" t="str">
        <f t="shared" si="18"/>
        <v/>
      </c>
      <c r="J452" s="36">
        <f t="shared" si="19"/>
        <v>0</v>
      </c>
      <c r="K452" s="36" t="str">
        <f t="shared" ca="1" si="20"/>
        <v/>
      </c>
    </row>
    <row r="453" spans="3:11" x14ac:dyDescent="0.25">
      <c r="C453" s="53"/>
      <c r="D453" s="54"/>
      <c r="E453" s="55"/>
      <c r="F453" s="54"/>
      <c r="G453" s="56"/>
      <c r="H453" s="56"/>
      <c r="I453" s="36" t="str">
        <f t="shared" si="18"/>
        <v/>
      </c>
      <c r="J453" s="36">
        <f t="shared" si="19"/>
        <v>0</v>
      </c>
      <c r="K453" s="36" t="str">
        <f t="shared" ca="1" si="20"/>
        <v/>
      </c>
    </row>
    <row r="454" spans="3:11" x14ac:dyDescent="0.25">
      <c r="C454" s="53"/>
      <c r="D454" s="54"/>
      <c r="E454" s="55"/>
      <c r="F454" s="54"/>
      <c r="G454" s="56"/>
      <c r="H454" s="56"/>
      <c r="I454" s="36" t="str">
        <f t="shared" si="18"/>
        <v/>
      </c>
      <c r="J454" s="36">
        <f t="shared" si="19"/>
        <v>0</v>
      </c>
      <c r="K454" s="36" t="str">
        <f t="shared" ca="1" si="20"/>
        <v/>
      </c>
    </row>
    <row r="455" spans="3:11" x14ac:dyDescent="0.25">
      <c r="C455" s="53"/>
      <c r="D455" s="54"/>
      <c r="E455" s="55"/>
      <c r="F455" s="54"/>
      <c r="G455" s="56"/>
      <c r="H455" s="56"/>
      <c r="I455" s="36" t="str">
        <f t="shared" si="18"/>
        <v/>
      </c>
      <c r="J455" s="36">
        <f t="shared" si="19"/>
        <v>0</v>
      </c>
      <c r="K455" s="36" t="str">
        <f t="shared" ca="1" si="20"/>
        <v/>
      </c>
    </row>
    <row r="456" spans="3:11" x14ac:dyDescent="0.25">
      <c r="C456" s="53"/>
      <c r="D456" s="54"/>
      <c r="E456" s="55"/>
      <c r="F456" s="54"/>
      <c r="G456" s="56"/>
      <c r="H456" s="56"/>
      <c r="I456" s="36" t="str">
        <f t="shared" si="18"/>
        <v/>
      </c>
      <c r="J456" s="36">
        <f t="shared" si="19"/>
        <v>0</v>
      </c>
      <c r="K456" s="36" t="str">
        <f t="shared" ca="1" si="20"/>
        <v/>
      </c>
    </row>
    <row r="457" spans="3:11" x14ac:dyDescent="0.25">
      <c r="C457" s="53"/>
      <c r="D457" s="54"/>
      <c r="E457" s="55"/>
      <c r="F457" s="54"/>
      <c r="G457" s="56"/>
      <c r="H457" s="56"/>
      <c r="I457" s="36" t="str">
        <f t="shared" si="18"/>
        <v/>
      </c>
      <c r="J457" s="36">
        <f t="shared" si="19"/>
        <v>0</v>
      </c>
      <c r="K457" s="36" t="str">
        <f t="shared" ca="1" si="20"/>
        <v/>
      </c>
    </row>
    <row r="458" spans="3:11" x14ac:dyDescent="0.25">
      <c r="C458" s="53"/>
      <c r="D458" s="54"/>
      <c r="E458" s="55"/>
      <c r="F458" s="54"/>
      <c r="G458" s="56"/>
      <c r="H458" s="56"/>
      <c r="I458" s="36" t="str">
        <f t="shared" si="18"/>
        <v/>
      </c>
      <c r="J458" s="36">
        <f t="shared" si="19"/>
        <v>0</v>
      </c>
      <c r="K458" s="36" t="str">
        <f t="shared" ca="1" si="20"/>
        <v/>
      </c>
    </row>
    <row r="459" spans="3:11" x14ac:dyDescent="0.25">
      <c r="C459" s="53"/>
      <c r="D459" s="54"/>
      <c r="E459" s="55"/>
      <c r="F459" s="54"/>
      <c r="G459" s="56"/>
      <c r="H459" s="56"/>
      <c r="I459" s="36" t="str">
        <f t="shared" si="18"/>
        <v/>
      </c>
      <c r="J459" s="36">
        <f t="shared" si="19"/>
        <v>0</v>
      </c>
      <c r="K459" s="36" t="str">
        <f t="shared" ca="1" si="20"/>
        <v/>
      </c>
    </row>
    <row r="460" spans="3:11" x14ac:dyDescent="0.25">
      <c r="C460" s="53"/>
      <c r="D460" s="54"/>
      <c r="E460" s="55"/>
      <c r="F460" s="54"/>
      <c r="G460" s="56"/>
      <c r="H460" s="56"/>
      <c r="I460" s="36" t="str">
        <f t="shared" si="18"/>
        <v/>
      </c>
      <c r="J460" s="36">
        <f t="shared" si="19"/>
        <v>0</v>
      </c>
      <c r="K460" s="36" t="str">
        <f t="shared" ca="1" si="20"/>
        <v/>
      </c>
    </row>
    <row r="461" spans="3:11" x14ac:dyDescent="0.25">
      <c r="C461" s="53"/>
      <c r="D461" s="54"/>
      <c r="E461" s="55"/>
      <c r="F461" s="54"/>
      <c r="G461" s="56"/>
      <c r="H461" s="56"/>
      <c r="I461" s="36" t="str">
        <f t="shared" si="18"/>
        <v/>
      </c>
      <c r="J461" s="36">
        <f t="shared" si="19"/>
        <v>0</v>
      </c>
      <c r="K461" s="36" t="str">
        <f t="shared" ca="1" si="20"/>
        <v/>
      </c>
    </row>
    <row r="462" spans="3:11" x14ac:dyDescent="0.25">
      <c r="C462" s="53"/>
      <c r="D462" s="54"/>
      <c r="E462" s="55"/>
      <c r="F462" s="54"/>
      <c r="G462" s="56"/>
      <c r="H462" s="56"/>
      <c r="I462" s="36" t="str">
        <f t="shared" si="18"/>
        <v/>
      </c>
      <c r="J462" s="36">
        <f t="shared" si="19"/>
        <v>0</v>
      </c>
      <c r="K462" s="36" t="str">
        <f t="shared" ca="1" si="20"/>
        <v/>
      </c>
    </row>
    <row r="463" spans="3:11" x14ac:dyDescent="0.25">
      <c r="C463" s="53"/>
      <c r="D463" s="54"/>
      <c r="E463" s="55"/>
      <c r="F463" s="54"/>
      <c r="G463" s="56"/>
      <c r="H463" s="56"/>
      <c r="I463" s="36" t="str">
        <f t="shared" si="18"/>
        <v/>
      </c>
      <c r="J463" s="36">
        <f t="shared" si="19"/>
        <v>0</v>
      </c>
      <c r="K463" s="36" t="str">
        <f t="shared" ca="1" si="20"/>
        <v/>
      </c>
    </row>
    <row r="464" spans="3:11" x14ac:dyDescent="0.25">
      <c r="C464" s="53"/>
      <c r="D464" s="54"/>
      <c r="E464" s="55"/>
      <c r="F464" s="54"/>
      <c r="G464" s="56"/>
      <c r="H464" s="56"/>
      <c r="I464" s="36" t="str">
        <f t="shared" ref="I464:I527" si="21">IF(C464="","",IF(H464&lt;=0,"Em aberto",IF(H464&gt;=G464,"Pagamento Total",IF(H464&lt;G464,"Pagamento Parcial"))))</f>
        <v/>
      </c>
      <c r="J464" s="36">
        <f t="shared" ref="J464:J527" si="22">IF(C464&gt;0,G464-H464,0)</f>
        <v>0</v>
      </c>
      <c r="K464" s="36" t="str">
        <f t="shared" ref="K464:K527" ca="1" si="23">IF(ISBLANK(C464),"",IF(H464=G464,"Pago",IF(C464=TODAY(),"Vence Hoje",IF(TRIM(UPPER(G463))&lt;&gt;"S",IF(C464-TODAY()&lt;0,"Vencida",IF(C464-TODAY()&lt;8,"Próximos sete dias","Em aberto"))))))</f>
        <v/>
      </c>
    </row>
    <row r="465" spans="3:11" x14ac:dyDescent="0.25">
      <c r="C465" s="53"/>
      <c r="D465" s="54"/>
      <c r="E465" s="55"/>
      <c r="F465" s="54"/>
      <c r="G465" s="56"/>
      <c r="H465" s="56"/>
      <c r="I465" s="36" t="str">
        <f t="shared" si="21"/>
        <v/>
      </c>
      <c r="J465" s="36">
        <f t="shared" si="22"/>
        <v>0</v>
      </c>
      <c r="K465" s="36" t="str">
        <f t="shared" ca="1" si="23"/>
        <v/>
      </c>
    </row>
    <row r="466" spans="3:11" x14ac:dyDescent="0.25">
      <c r="C466" s="53"/>
      <c r="D466" s="54"/>
      <c r="E466" s="55"/>
      <c r="F466" s="54"/>
      <c r="G466" s="56"/>
      <c r="H466" s="56"/>
      <c r="I466" s="36" t="str">
        <f t="shared" si="21"/>
        <v/>
      </c>
      <c r="J466" s="36">
        <f t="shared" si="22"/>
        <v>0</v>
      </c>
      <c r="K466" s="36" t="str">
        <f t="shared" ca="1" si="23"/>
        <v/>
      </c>
    </row>
    <row r="467" spans="3:11" x14ac:dyDescent="0.25">
      <c r="C467" s="53"/>
      <c r="D467" s="54"/>
      <c r="E467" s="55"/>
      <c r="F467" s="54"/>
      <c r="G467" s="56"/>
      <c r="H467" s="56"/>
      <c r="I467" s="36" t="str">
        <f t="shared" si="21"/>
        <v/>
      </c>
      <c r="J467" s="36">
        <f t="shared" si="22"/>
        <v>0</v>
      </c>
      <c r="K467" s="36" t="str">
        <f t="shared" ca="1" si="23"/>
        <v/>
      </c>
    </row>
    <row r="468" spans="3:11" x14ac:dyDescent="0.25">
      <c r="C468" s="53"/>
      <c r="D468" s="54"/>
      <c r="E468" s="55"/>
      <c r="F468" s="54"/>
      <c r="G468" s="56"/>
      <c r="H468" s="56"/>
      <c r="I468" s="36" t="str">
        <f t="shared" si="21"/>
        <v/>
      </c>
      <c r="J468" s="36">
        <f t="shared" si="22"/>
        <v>0</v>
      </c>
      <c r="K468" s="36" t="str">
        <f t="shared" ca="1" si="23"/>
        <v/>
      </c>
    </row>
    <row r="469" spans="3:11" x14ac:dyDescent="0.25">
      <c r="C469" s="53"/>
      <c r="D469" s="54"/>
      <c r="E469" s="55"/>
      <c r="F469" s="54"/>
      <c r="G469" s="56"/>
      <c r="H469" s="56"/>
      <c r="I469" s="36" t="str">
        <f t="shared" si="21"/>
        <v/>
      </c>
      <c r="J469" s="36">
        <f t="shared" si="22"/>
        <v>0</v>
      </c>
      <c r="K469" s="36" t="str">
        <f t="shared" ca="1" si="23"/>
        <v/>
      </c>
    </row>
    <row r="470" spans="3:11" x14ac:dyDescent="0.25">
      <c r="C470" s="53"/>
      <c r="D470" s="54"/>
      <c r="E470" s="55"/>
      <c r="F470" s="54"/>
      <c r="G470" s="56"/>
      <c r="H470" s="56"/>
      <c r="I470" s="36" t="str">
        <f t="shared" si="21"/>
        <v/>
      </c>
      <c r="J470" s="36">
        <f t="shared" si="22"/>
        <v>0</v>
      </c>
      <c r="K470" s="36" t="str">
        <f t="shared" ca="1" si="23"/>
        <v/>
      </c>
    </row>
    <row r="471" spans="3:11" x14ac:dyDescent="0.25">
      <c r="C471" s="53"/>
      <c r="D471" s="54"/>
      <c r="E471" s="55"/>
      <c r="F471" s="54"/>
      <c r="G471" s="56"/>
      <c r="H471" s="56"/>
      <c r="I471" s="36" t="str">
        <f t="shared" si="21"/>
        <v/>
      </c>
      <c r="J471" s="36">
        <f t="shared" si="22"/>
        <v>0</v>
      </c>
      <c r="K471" s="36" t="str">
        <f t="shared" ca="1" si="23"/>
        <v/>
      </c>
    </row>
    <row r="472" spans="3:11" x14ac:dyDescent="0.25">
      <c r="C472" s="53"/>
      <c r="D472" s="54"/>
      <c r="E472" s="55"/>
      <c r="F472" s="54"/>
      <c r="G472" s="56"/>
      <c r="H472" s="56"/>
      <c r="I472" s="36" t="str">
        <f t="shared" si="21"/>
        <v/>
      </c>
      <c r="J472" s="36">
        <f t="shared" si="22"/>
        <v>0</v>
      </c>
      <c r="K472" s="36" t="str">
        <f t="shared" ca="1" si="23"/>
        <v/>
      </c>
    </row>
    <row r="473" spans="3:11" x14ac:dyDescent="0.25">
      <c r="C473" s="53"/>
      <c r="D473" s="54"/>
      <c r="E473" s="55"/>
      <c r="F473" s="54"/>
      <c r="G473" s="56"/>
      <c r="H473" s="56"/>
      <c r="I473" s="36" t="str">
        <f t="shared" si="21"/>
        <v/>
      </c>
      <c r="J473" s="36">
        <f t="shared" si="22"/>
        <v>0</v>
      </c>
      <c r="K473" s="36" t="str">
        <f t="shared" ca="1" si="23"/>
        <v/>
      </c>
    </row>
    <row r="474" spans="3:11" x14ac:dyDescent="0.25">
      <c r="C474" s="53"/>
      <c r="D474" s="54"/>
      <c r="E474" s="55"/>
      <c r="F474" s="54"/>
      <c r="G474" s="56"/>
      <c r="H474" s="56"/>
      <c r="I474" s="36" t="str">
        <f t="shared" si="21"/>
        <v/>
      </c>
      <c r="J474" s="36">
        <f t="shared" si="22"/>
        <v>0</v>
      </c>
      <c r="K474" s="36" t="str">
        <f t="shared" ca="1" si="23"/>
        <v/>
      </c>
    </row>
    <row r="475" spans="3:11" x14ac:dyDescent="0.25">
      <c r="C475" s="53"/>
      <c r="D475" s="54"/>
      <c r="E475" s="55"/>
      <c r="F475" s="54"/>
      <c r="G475" s="56"/>
      <c r="H475" s="56"/>
      <c r="I475" s="36" t="str">
        <f t="shared" si="21"/>
        <v/>
      </c>
      <c r="J475" s="36">
        <f t="shared" si="22"/>
        <v>0</v>
      </c>
      <c r="K475" s="36" t="str">
        <f t="shared" ca="1" si="23"/>
        <v/>
      </c>
    </row>
    <row r="476" spans="3:11" x14ac:dyDescent="0.25">
      <c r="C476" s="53"/>
      <c r="D476" s="54"/>
      <c r="E476" s="55"/>
      <c r="F476" s="54"/>
      <c r="G476" s="56"/>
      <c r="H476" s="56"/>
      <c r="I476" s="36" t="str">
        <f t="shared" si="21"/>
        <v/>
      </c>
      <c r="J476" s="36">
        <f t="shared" si="22"/>
        <v>0</v>
      </c>
      <c r="K476" s="36" t="str">
        <f t="shared" ca="1" si="23"/>
        <v/>
      </c>
    </row>
    <row r="477" spans="3:11" x14ac:dyDescent="0.25">
      <c r="C477" s="53"/>
      <c r="D477" s="54"/>
      <c r="E477" s="55"/>
      <c r="F477" s="54"/>
      <c r="G477" s="56"/>
      <c r="H477" s="56"/>
      <c r="I477" s="36" t="str">
        <f t="shared" si="21"/>
        <v/>
      </c>
      <c r="J477" s="36">
        <f t="shared" si="22"/>
        <v>0</v>
      </c>
      <c r="K477" s="36" t="str">
        <f t="shared" ca="1" si="23"/>
        <v/>
      </c>
    </row>
    <row r="478" spans="3:11" x14ac:dyDescent="0.25">
      <c r="C478" s="53"/>
      <c r="D478" s="54"/>
      <c r="E478" s="55"/>
      <c r="F478" s="54"/>
      <c r="G478" s="56"/>
      <c r="H478" s="56"/>
      <c r="I478" s="36" t="str">
        <f t="shared" si="21"/>
        <v/>
      </c>
      <c r="J478" s="36">
        <f t="shared" si="22"/>
        <v>0</v>
      </c>
      <c r="K478" s="36" t="str">
        <f t="shared" ca="1" si="23"/>
        <v/>
      </c>
    </row>
    <row r="479" spans="3:11" x14ac:dyDescent="0.25">
      <c r="C479" s="53"/>
      <c r="D479" s="54"/>
      <c r="E479" s="55"/>
      <c r="F479" s="54"/>
      <c r="G479" s="56"/>
      <c r="H479" s="56"/>
      <c r="I479" s="36" t="str">
        <f t="shared" si="21"/>
        <v/>
      </c>
      <c r="J479" s="36">
        <f t="shared" si="22"/>
        <v>0</v>
      </c>
      <c r="K479" s="36" t="str">
        <f t="shared" ca="1" si="23"/>
        <v/>
      </c>
    </row>
    <row r="480" spans="3:11" x14ac:dyDescent="0.25">
      <c r="C480" s="53"/>
      <c r="D480" s="54"/>
      <c r="E480" s="55"/>
      <c r="F480" s="54"/>
      <c r="G480" s="56"/>
      <c r="H480" s="56"/>
      <c r="I480" s="36" t="str">
        <f t="shared" si="21"/>
        <v/>
      </c>
      <c r="J480" s="36">
        <f t="shared" si="22"/>
        <v>0</v>
      </c>
      <c r="K480" s="36" t="str">
        <f t="shared" ca="1" si="23"/>
        <v/>
      </c>
    </row>
    <row r="481" spans="3:11" x14ac:dyDescent="0.25">
      <c r="C481" s="53"/>
      <c r="D481" s="54"/>
      <c r="E481" s="55"/>
      <c r="F481" s="54"/>
      <c r="G481" s="56"/>
      <c r="H481" s="56"/>
      <c r="I481" s="36" t="str">
        <f t="shared" si="21"/>
        <v/>
      </c>
      <c r="J481" s="36">
        <f t="shared" si="22"/>
        <v>0</v>
      </c>
      <c r="K481" s="36" t="str">
        <f t="shared" ca="1" si="23"/>
        <v/>
      </c>
    </row>
    <row r="482" spans="3:11" x14ac:dyDescent="0.25">
      <c r="C482" s="53"/>
      <c r="D482" s="54"/>
      <c r="E482" s="55"/>
      <c r="F482" s="54"/>
      <c r="G482" s="56"/>
      <c r="H482" s="56"/>
      <c r="I482" s="36" t="str">
        <f t="shared" si="21"/>
        <v/>
      </c>
      <c r="J482" s="36">
        <f t="shared" si="22"/>
        <v>0</v>
      </c>
      <c r="K482" s="36" t="str">
        <f t="shared" ca="1" si="23"/>
        <v/>
      </c>
    </row>
    <row r="483" spans="3:11" x14ac:dyDescent="0.25">
      <c r="C483" s="53"/>
      <c r="D483" s="54"/>
      <c r="E483" s="55"/>
      <c r="F483" s="54"/>
      <c r="G483" s="56"/>
      <c r="H483" s="56"/>
      <c r="I483" s="36" t="str">
        <f t="shared" si="21"/>
        <v/>
      </c>
      <c r="J483" s="36">
        <f t="shared" si="22"/>
        <v>0</v>
      </c>
      <c r="K483" s="36" t="str">
        <f t="shared" ca="1" si="23"/>
        <v/>
      </c>
    </row>
    <row r="484" spans="3:11" x14ac:dyDescent="0.25">
      <c r="C484" s="53"/>
      <c r="D484" s="54"/>
      <c r="E484" s="55"/>
      <c r="F484" s="54"/>
      <c r="G484" s="56"/>
      <c r="H484" s="56"/>
      <c r="I484" s="36" t="str">
        <f t="shared" si="21"/>
        <v/>
      </c>
      <c r="J484" s="36">
        <f t="shared" si="22"/>
        <v>0</v>
      </c>
      <c r="K484" s="36" t="str">
        <f t="shared" ca="1" si="23"/>
        <v/>
      </c>
    </row>
    <row r="485" spans="3:11" x14ac:dyDescent="0.25">
      <c r="C485" s="53"/>
      <c r="D485" s="54"/>
      <c r="E485" s="55"/>
      <c r="F485" s="54"/>
      <c r="G485" s="56"/>
      <c r="H485" s="56"/>
      <c r="I485" s="36" t="str">
        <f t="shared" si="21"/>
        <v/>
      </c>
      <c r="J485" s="36">
        <f t="shared" si="22"/>
        <v>0</v>
      </c>
      <c r="K485" s="36" t="str">
        <f t="shared" ca="1" si="23"/>
        <v/>
      </c>
    </row>
    <row r="486" spans="3:11" x14ac:dyDescent="0.25">
      <c r="C486" s="53"/>
      <c r="D486" s="54"/>
      <c r="E486" s="55"/>
      <c r="F486" s="54"/>
      <c r="G486" s="56"/>
      <c r="H486" s="56"/>
      <c r="I486" s="36" t="str">
        <f t="shared" si="21"/>
        <v/>
      </c>
      <c r="J486" s="36">
        <f t="shared" si="22"/>
        <v>0</v>
      </c>
      <c r="K486" s="36" t="str">
        <f t="shared" ca="1" si="23"/>
        <v/>
      </c>
    </row>
    <row r="487" spans="3:11" x14ac:dyDescent="0.25">
      <c r="C487" s="53"/>
      <c r="D487" s="54"/>
      <c r="E487" s="55"/>
      <c r="F487" s="54"/>
      <c r="G487" s="56"/>
      <c r="H487" s="56"/>
      <c r="I487" s="36" t="str">
        <f t="shared" si="21"/>
        <v/>
      </c>
      <c r="J487" s="36">
        <f t="shared" si="22"/>
        <v>0</v>
      </c>
      <c r="K487" s="36" t="str">
        <f t="shared" ca="1" si="23"/>
        <v/>
      </c>
    </row>
    <row r="488" spans="3:11" x14ac:dyDescent="0.25">
      <c r="C488" s="53"/>
      <c r="D488" s="54"/>
      <c r="E488" s="55"/>
      <c r="F488" s="54"/>
      <c r="G488" s="56"/>
      <c r="H488" s="56"/>
      <c r="I488" s="36" t="str">
        <f t="shared" si="21"/>
        <v/>
      </c>
      <c r="J488" s="36">
        <f t="shared" si="22"/>
        <v>0</v>
      </c>
      <c r="K488" s="36" t="str">
        <f t="shared" ca="1" si="23"/>
        <v/>
      </c>
    </row>
    <row r="489" spans="3:11" x14ac:dyDescent="0.25">
      <c r="C489" s="53"/>
      <c r="D489" s="54"/>
      <c r="E489" s="55"/>
      <c r="F489" s="54"/>
      <c r="G489" s="56"/>
      <c r="H489" s="56"/>
      <c r="I489" s="36" t="str">
        <f t="shared" si="21"/>
        <v/>
      </c>
      <c r="J489" s="36">
        <f t="shared" si="22"/>
        <v>0</v>
      </c>
      <c r="K489" s="36" t="str">
        <f t="shared" ca="1" si="23"/>
        <v/>
      </c>
    </row>
    <row r="490" spans="3:11" x14ac:dyDescent="0.25">
      <c r="C490" s="53"/>
      <c r="D490" s="54"/>
      <c r="E490" s="55"/>
      <c r="F490" s="54"/>
      <c r="G490" s="56"/>
      <c r="H490" s="56"/>
      <c r="I490" s="36" t="str">
        <f t="shared" si="21"/>
        <v/>
      </c>
      <c r="J490" s="36">
        <f t="shared" si="22"/>
        <v>0</v>
      </c>
      <c r="K490" s="36" t="str">
        <f t="shared" ca="1" si="23"/>
        <v/>
      </c>
    </row>
    <row r="491" spans="3:11" x14ac:dyDescent="0.25">
      <c r="C491" s="53"/>
      <c r="D491" s="54"/>
      <c r="E491" s="55"/>
      <c r="F491" s="54"/>
      <c r="G491" s="56"/>
      <c r="H491" s="56"/>
      <c r="I491" s="36" t="str">
        <f t="shared" si="21"/>
        <v/>
      </c>
      <c r="J491" s="36">
        <f t="shared" si="22"/>
        <v>0</v>
      </c>
      <c r="K491" s="36" t="str">
        <f t="shared" ca="1" si="23"/>
        <v/>
      </c>
    </row>
    <row r="492" spans="3:11" x14ac:dyDescent="0.25">
      <c r="C492" s="53"/>
      <c r="D492" s="54"/>
      <c r="E492" s="55"/>
      <c r="F492" s="54"/>
      <c r="G492" s="56"/>
      <c r="H492" s="56"/>
      <c r="I492" s="36" t="str">
        <f t="shared" si="21"/>
        <v/>
      </c>
      <c r="J492" s="36">
        <f t="shared" si="22"/>
        <v>0</v>
      </c>
      <c r="K492" s="36" t="str">
        <f t="shared" ca="1" si="23"/>
        <v/>
      </c>
    </row>
    <row r="493" spans="3:11" x14ac:dyDescent="0.25">
      <c r="C493" s="53"/>
      <c r="D493" s="54"/>
      <c r="E493" s="55"/>
      <c r="F493" s="54"/>
      <c r="G493" s="56"/>
      <c r="H493" s="56"/>
      <c r="I493" s="36" t="str">
        <f t="shared" si="21"/>
        <v/>
      </c>
      <c r="J493" s="36">
        <f t="shared" si="22"/>
        <v>0</v>
      </c>
      <c r="K493" s="36" t="str">
        <f t="shared" ca="1" si="23"/>
        <v/>
      </c>
    </row>
    <row r="494" spans="3:11" x14ac:dyDescent="0.25">
      <c r="C494" s="53"/>
      <c r="D494" s="54"/>
      <c r="E494" s="55"/>
      <c r="F494" s="54"/>
      <c r="G494" s="56"/>
      <c r="H494" s="56"/>
      <c r="I494" s="36" t="str">
        <f t="shared" si="21"/>
        <v/>
      </c>
      <c r="J494" s="36">
        <f t="shared" si="22"/>
        <v>0</v>
      </c>
      <c r="K494" s="36" t="str">
        <f t="shared" ca="1" si="23"/>
        <v/>
      </c>
    </row>
    <row r="495" spans="3:11" x14ac:dyDescent="0.25">
      <c r="C495" s="53"/>
      <c r="D495" s="54"/>
      <c r="E495" s="55"/>
      <c r="F495" s="54"/>
      <c r="G495" s="56"/>
      <c r="H495" s="56"/>
      <c r="I495" s="36" t="str">
        <f t="shared" si="21"/>
        <v/>
      </c>
      <c r="J495" s="36">
        <f t="shared" si="22"/>
        <v>0</v>
      </c>
      <c r="K495" s="36" t="str">
        <f t="shared" ca="1" si="23"/>
        <v/>
      </c>
    </row>
    <row r="496" spans="3:11" x14ac:dyDescent="0.25">
      <c r="C496" s="53"/>
      <c r="D496" s="54"/>
      <c r="E496" s="55"/>
      <c r="F496" s="54"/>
      <c r="G496" s="56"/>
      <c r="H496" s="56"/>
      <c r="I496" s="36" t="str">
        <f t="shared" si="21"/>
        <v/>
      </c>
      <c r="J496" s="36">
        <f t="shared" si="22"/>
        <v>0</v>
      </c>
      <c r="K496" s="36" t="str">
        <f t="shared" ca="1" si="23"/>
        <v/>
      </c>
    </row>
    <row r="497" spans="3:11" x14ac:dyDescent="0.25">
      <c r="C497" s="53"/>
      <c r="D497" s="54"/>
      <c r="E497" s="55"/>
      <c r="F497" s="54"/>
      <c r="G497" s="56"/>
      <c r="H497" s="56"/>
      <c r="I497" s="36" t="str">
        <f t="shared" si="21"/>
        <v/>
      </c>
      <c r="J497" s="36">
        <f t="shared" si="22"/>
        <v>0</v>
      </c>
      <c r="K497" s="36" t="str">
        <f t="shared" ca="1" si="23"/>
        <v/>
      </c>
    </row>
    <row r="498" spans="3:11" x14ac:dyDescent="0.25">
      <c r="C498" s="53"/>
      <c r="D498" s="54"/>
      <c r="E498" s="55"/>
      <c r="F498" s="54"/>
      <c r="G498" s="56"/>
      <c r="H498" s="56"/>
      <c r="I498" s="36" t="str">
        <f t="shared" si="21"/>
        <v/>
      </c>
      <c r="J498" s="36">
        <f t="shared" si="22"/>
        <v>0</v>
      </c>
      <c r="K498" s="36" t="str">
        <f t="shared" ca="1" si="23"/>
        <v/>
      </c>
    </row>
    <row r="499" spans="3:11" x14ac:dyDescent="0.25">
      <c r="C499" s="53"/>
      <c r="D499" s="54"/>
      <c r="E499" s="55"/>
      <c r="F499" s="54"/>
      <c r="G499" s="56"/>
      <c r="H499" s="56"/>
      <c r="I499" s="36" t="str">
        <f t="shared" si="21"/>
        <v/>
      </c>
      <c r="J499" s="36">
        <f t="shared" si="22"/>
        <v>0</v>
      </c>
      <c r="K499" s="36" t="str">
        <f t="shared" ca="1" si="23"/>
        <v/>
      </c>
    </row>
    <row r="500" spans="3:11" x14ac:dyDescent="0.25">
      <c r="C500" s="53"/>
      <c r="D500" s="54"/>
      <c r="E500" s="55"/>
      <c r="F500" s="54"/>
      <c r="G500" s="56"/>
      <c r="H500" s="56"/>
      <c r="I500" s="36" t="str">
        <f t="shared" si="21"/>
        <v/>
      </c>
      <c r="J500" s="36">
        <f t="shared" si="22"/>
        <v>0</v>
      </c>
      <c r="K500" s="36" t="str">
        <f t="shared" ca="1" si="23"/>
        <v/>
      </c>
    </row>
    <row r="501" spans="3:11" x14ac:dyDescent="0.25">
      <c r="C501" s="53"/>
      <c r="D501" s="54"/>
      <c r="E501" s="55"/>
      <c r="F501" s="54"/>
      <c r="G501" s="56"/>
      <c r="H501" s="56"/>
      <c r="I501" s="36" t="str">
        <f t="shared" si="21"/>
        <v/>
      </c>
      <c r="J501" s="36">
        <f t="shared" si="22"/>
        <v>0</v>
      </c>
      <c r="K501" s="36" t="str">
        <f t="shared" ca="1" si="23"/>
        <v/>
      </c>
    </row>
    <row r="502" spans="3:11" x14ac:dyDescent="0.25">
      <c r="C502" s="53"/>
      <c r="D502" s="54"/>
      <c r="E502" s="55"/>
      <c r="F502" s="54"/>
      <c r="G502" s="56"/>
      <c r="H502" s="56"/>
      <c r="I502" s="36" t="str">
        <f t="shared" si="21"/>
        <v/>
      </c>
      <c r="J502" s="36">
        <f t="shared" si="22"/>
        <v>0</v>
      </c>
      <c r="K502" s="36" t="str">
        <f t="shared" ca="1" si="23"/>
        <v/>
      </c>
    </row>
    <row r="503" spans="3:11" x14ac:dyDescent="0.25">
      <c r="C503" s="53"/>
      <c r="D503" s="54"/>
      <c r="E503" s="55"/>
      <c r="F503" s="54"/>
      <c r="G503" s="56"/>
      <c r="H503" s="56"/>
      <c r="I503" s="36" t="str">
        <f t="shared" si="21"/>
        <v/>
      </c>
      <c r="J503" s="36">
        <f t="shared" si="22"/>
        <v>0</v>
      </c>
      <c r="K503" s="36" t="str">
        <f t="shared" ca="1" si="23"/>
        <v/>
      </c>
    </row>
    <row r="504" spans="3:11" x14ac:dyDescent="0.25">
      <c r="C504" s="53"/>
      <c r="D504" s="54"/>
      <c r="E504" s="55"/>
      <c r="F504" s="54"/>
      <c r="G504" s="56"/>
      <c r="H504" s="56"/>
      <c r="I504" s="36" t="str">
        <f t="shared" si="21"/>
        <v/>
      </c>
      <c r="J504" s="36">
        <f t="shared" si="22"/>
        <v>0</v>
      </c>
      <c r="K504" s="36" t="str">
        <f t="shared" ca="1" si="23"/>
        <v/>
      </c>
    </row>
    <row r="505" spans="3:11" x14ac:dyDescent="0.25">
      <c r="C505" s="53"/>
      <c r="D505" s="54"/>
      <c r="E505" s="55"/>
      <c r="F505" s="54"/>
      <c r="G505" s="56"/>
      <c r="H505" s="56"/>
      <c r="I505" s="36" t="str">
        <f t="shared" si="21"/>
        <v/>
      </c>
      <c r="J505" s="36">
        <f t="shared" si="22"/>
        <v>0</v>
      </c>
      <c r="K505" s="36" t="str">
        <f t="shared" ca="1" si="23"/>
        <v/>
      </c>
    </row>
    <row r="506" spans="3:11" x14ac:dyDescent="0.25">
      <c r="C506" s="53"/>
      <c r="D506" s="54"/>
      <c r="E506" s="55"/>
      <c r="F506" s="54"/>
      <c r="G506" s="56"/>
      <c r="H506" s="56"/>
      <c r="I506" s="36" t="str">
        <f t="shared" si="21"/>
        <v/>
      </c>
      <c r="J506" s="36">
        <f t="shared" si="22"/>
        <v>0</v>
      </c>
      <c r="K506" s="36" t="str">
        <f t="shared" ca="1" si="23"/>
        <v/>
      </c>
    </row>
    <row r="507" spans="3:11" x14ac:dyDescent="0.25">
      <c r="C507" s="53"/>
      <c r="D507" s="54"/>
      <c r="E507" s="55"/>
      <c r="F507" s="54"/>
      <c r="G507" s="56"/>
      <c r="H507" s="56"/>
      <c r="I507" s="36" t="str">
        <f t="shared" si="21"/>
        <v/>
      </c>
      <c r="J507" s="36">
        <f t="shared" si="22"/>
        <v>0</v>
      </c>
      <c r="K507" s="36" t="str">
        <f t="shared" ca="1" si="23"/>
        <v/>
      </c>
    </row>
    <row r="508" spans="3:11" x14ac:dyDescent="0.25">
      <c r="C508" s="53"/>
      <c r="D508" s="54"/>
      <c r="E508" s="55"/>
      <c r="F508" s="54"/>
      <c r="G508" s="56"/>
      <c r="H508" s="56"/>
      <c r="I508" s="36" t="str">
        <f t="shared" si="21"/>
        <v/>
      </c>
      <c r="J508" s="36">
        <f t="shared" si="22"/>
        <v>0</v>
      </c>
      <c r="K508" s="36" t="str">
        <f t="shared" ca="1" si="23"/>
        <v/>
      </c>
    </row>
    <row r="509" spans="3:11" x14ac:dyDescent="0.25">
      <c r="C509" s="53"/>
      <c r="D509" s="54"/>
      <c r="E509" s="55"/>
      <c r="F509" s="54"/>
      <c r="G509" s="56"/>
      <c r="H509" s="56"/>
      <c r="I509" s="36" t="str">
        <f t="shared" si="21"/>
        <v/>
      </c>
      <c r="J509" s="36">
        <f t="shared" si="22"/>
        <v>0</v>
      </c>
      <c r="K509" s="36" t="str">
        <f t="shared" ca="1" si="23"/>
        <v/>
      </c>
    </row>
    <row r="510" spans="3:11" x14ac:dyDescent="0.25">
      <c r="C510" s="53"/>
      <c r="D510" s="54"/>
      <c r="E510" s="55"/>
      <c r="F510" s="54"/>
      <c r="G510" s="56"/>
      <c r="H510" s="56"/>
      <c r="I510" s="36" t="str">
        <f t="shared" si="21"/>
        <v/>
      </c>
      <c r="J510" s="36">
        <f t="shared" si="22"/>
        <v>0</v>
      </c>
      <c r="K510" s="36" t="str">
        <f t="shared" ca="1" si="23"/>
        <v/>
      </c>
    </row>
    <row r="511" spans="3:11" x14ac:dyDescent="0.25">
      <c r="C511" s="53"/>
      <c r="D511" s="54"/>
      <c r="E511" s="55"/>
      <c r="F511" s="54"/>
      <c r="G511" s="56"/>
      <c r="H511" s="56"/>
      <c r="I511" s="36" t="str">
        <f t="shared" si="21"/>
        <v/>
      </c>
      <c r="J511" s="36">
        <f t="shared" si="22"/>
        <v>0</v>
      </c>
      <c r="K511" s="36" t="str">
        <f t="shared" ca="1" si="23"/>
        <v/>
      </c>
    </row>
    <row r="512" spans="3:11" x14ac:dyDescent="0.25">
      <c r="C512" s="53"/>
      <c r="D512" s="54"/>
      <c r="E512" s="55"/>
      <c r="F512" s="54"/>
      <c r="G512" s="56"/>
      <c r="H512" s="56"/>
      <c r="I512" s="36" t="str">
        <f t="shared" si="21"/>
        <v/>
      </c>
      <c r="J512" s="36">
        <f t="shared" si="22"/>
        <v>0</v>
      </c>
      <c r="K512" s="36" t="str">
        <f t="shared" ca="1" si="23"/>
        <v/>
      </c>
    </row>
    <row r="513" spans="3:11" x14ac:dyDescent="0.25">
      <c r="C513" s="53"/>
      <c r="D513" s="54"/>
      <c r="E513" s="55"/>
      <c r="F513" s="54"/>
      <c r="G513" s="56"/>
      <c r="H513" s="56"/>
      <c r="I513" s="36" t="str">
        <f t="shared" si="21"/>
        <v/>
      </c>
      <c r="J513" s="36">
        <f t="shared" si="22"/>
        <v>0</v>
      </c>
      <c r="K513" s="36" t="str">
        <f t="shared" ca="1" si="23"/>
        <v/>
      </c>
    </row>
    <row r="514" spans="3:11" x14ac:dyDescent="0.25">
      <c r="C514" s="53"/>
      <c r="D514" s="54"/>
      <c r="E514" s="55"/>
      <c r="F514" s="54"/>
      <c r="G514" s="56"/>
      <c r="H514" s="56"/>
      <c r="I514" s="36" t="str">
        <f t="shared" si="21"/>
        <v/>
      </c>
      <c r="J514" s="36">
        <f t="shared" si="22"/>
        <v>0</v>
      </c>
      <c r="K514" s="36" t="str">
        <f t="shared" ca="1" si="23"/>
        <v/>
      </c>
    </row>
    <row r="515" spans="3:11" x14ac:dyDescent="0.25">
      <c r="C515" s="53"/>
      <c r="D515" s="54"/>
      <c r="E515" s="55"/>
      <c r="F515" s="54"/>
      <c r="G515" s="56"/>
      <c r="H515" s="56"/>
      <c r="I515" s="36" t="str">
        <f t="shared" si="21"/>
        <v/>
      </c>
      <c r="J515" s="36">
        <f t="shared" si="22"/>
        <v>0</v>
      </c>
      <c r="K515" s="36" t="str">
        <f t="shared" ca="1" si="23"/>
        <v/>
      </c>
    </row>
    <row r="516" spans="3:11" x14ac:dyDescent="0.25">
      <c r="C516" s="53"/>
      <c r="D516" s="54"/>
      <c r="E516" s="55"/>
      <c r="F516" s="54"/>
      <c r="G516" s="56"/>
      <c r="H516" s="56"/>
      <c r="I516" s="36" t="str">
        <f t="shared" si="21"/>
        <v/>
      </c>
      <c r="J516" s="36">
        <f t="shared" si="22"/>
        <v>0</v>
      </c>
      <c r="K516" s="36" t="str">
        <f t="shared" ca="1" si="23"/>
        <v/>
      </c>
    </row>
    <row r="517" spans="3:11" x14ac:dyDescent="0.25">
      <c r="C517" s="53"/>
      <c r="D517" s="54"/>
      <c r="E517" s="55"/>
      <c r="F517" s="54"/>
      <c r="G517" s="56"/>
      <c r="H517" s="56"/>
      <c r="I517" s="36" t="str">
        <f t="shared" si="21"/>
        <v/>
      </c>
      <c r="J517" s="36">
        <f t="shared" si="22"/>
        <v>0</v>
      </c>
      <c r="K517" s="36" t="str">
        <f t="shared" ca="1" si="23"/>
        <v/>
      </c>
    </row>
    <row r="518" spans="3:11" x14ac:dyDescent="0.25">
      <c r="C518" s="53"/>
      <c r="D518" s="54"/>
      <c r="E518" s="55"/>
      <c r="F518" s="54"/>
      <c r="G518" s="56"/>
      <c r="H518" s="56"/>
      <c r="I518" s="36" t="str">
        <f t="shared" si="21"/>
        <v/>
      </c>
      <c r="J518" s="36">
        <f t="shared" si="22"/>
        <v>0</v>
      </c>
      <c r="K518" s="36" t="str">
        <f t="shared" ca="1" si="23"/>
        <v/>
      </c>
    </row>
    <row r="519" spans="3:11" x14ac:dyDescent="0.25">
      <c r="C519" s="53"/>
      <c r="D519" s="54"/>
      <c r="E519" s="55"/>
      <c r="F519" s="54"/>
      <c r="G519" s="56"/>
      <c r="H519" s="56"/>
      <c r="I519" s="36" t="str">
        <f t="shared" si="21"/>
        <v/>
      </c>
      <c r="J519" s="36">
        <f t="shared" si="22"/>
        <v>0</v>
      </c>
      <c r="K519" s="36" t="str">
        <f t="shared" ca="1" si="23"/>
        <v/>
      </c>
    </row>
    <row r="520" spans="3:11" x14ac:dyDescent="0.25">
      <c r="C520" s="53"/>
      <c r="D520" s="54"/>
      <c r="E520" s="55"/>
      <c r="F520" s="54"/>
      <c r="G520" s="56"/>
      <c r="H520" s="56"/>
      <c r="I520" s="36" t="str">
        <f t="shared" si="21"/>
        <v/>
      </c>
      <c r="J520" s="36">
        <f t="shared" si="22"/>
        <v>0</v>
      </c>
      <c r="K520" s="36" t="str">
        <f t="shared" ca="1" si="23"/>
        <v/>
      </c>
    </row>
    <row r="521" spans="3:11" x14ac:dyDescent="0.25">
      <c r="C521" s="53"/>
      <c r="D521" s="54"/>
      <c r="E521" s="55"/>
      <c r="F521" s="54"/>
      <c r="G521" s="56"/>
      <c r="H521" s="56"/>
      <c r="I521" s="36" t="str">
        <f t="shared" si="21"/>
        <v/>
      </c>
      <c r="J521" s="36">
        <f t="shared" si="22"/>
        <v>0</v>
      </c>
      <c r="K521" s="36" t="str">
        <f t="shared" ca="1" si="23"/>
        <v/>
      </c>
    </row>
    <row r="522" spans="3:11" x14ac:dyDescent="0.25">
      <c r="C522" s="53"/>
      <c r="D522" s="54"/>
      <c r="E522" s="55"/>
      <c r="F522" s="54"/>
      <c r="G522" s="56"/>
      <c r="H522" s="56"/>
      <c r="I522" s="36" t="str">
        <f t="shared" si="21"/>
        <v/>
      </c>
      <c r="J522" s="36">
        <f t="shared" si="22"/>
        <v>0</v>
      </c>
      <c r="K522" s="36" t="str">
        <f t="shared" ca="1" si="23"/>
        <v/>
      </c>
    </row>
    <row r="523" spans="3:11" x14ac:dyDescent="0.25">
      <c r="C523" s="53"/>
      <c r="D523" s="54"/>
      <c r="E523" s="55"/>
      <c r="F523" s="54"/>
      <c r="G523" s="56"/>
      <c r="H523" s="56"/>
      <c r="I523" s="36" t="str">
        <f t="shared" si="21"/>
        <v/>
      </c>
      <c r="J523" s="36">
        <f t="shared" si="22"/>
        <v>0</v>
      </c>
      <c r="K523" s="36" t="str">
        <f t="shared" ca="1" si="23"/>
        <v/>
      </c>
    </row>
    <row r="524" spans="3:11" x14ac:dyDescent="0.25">
      <c r="C524" s="53"/>
      <c r="D524" s="54"/>
      <c r="E524" s="55"/>
      <c r="F524" s="54"/>
      <c r="G524" s="56"/>
      <c r="H524" s="56"/>
      <c r="I524" s="36" t="str">
        <f t="shared" si="21"/>
        <v/>
      </c>
      <c r="J524" s="36">
        <f t="shared" si="22"/>
        <v>0</v>
      </c>
      <c r="K524" s="36" t="str">
        <f t="shared" ca="1" si="23"/>
        <v/>
      </c>
    </row>
    <row r="525" spans="3:11" x14ac:dyDescent="0.25">
      <c r="C525" s="53"/>
      <c r="D525" s="54"/>
      <c r="E525" s="55"/>
      <c r="F525" s="54"/>
      <c r="G525" s="56"/>
      <c r="H525" s="56"/>
      <c r="I525" s="36" t="str">
        <f t="shared" si="21"/>
        <v/>
      </c>
      <c r="J525" s="36">
        <f t="shared" si="22"/>
        <v>0</v>
      </c>
      <c r="K525" s="36" t="str">
        <f t="shared" ca="1" si="23"/>
        <v/>
      </c>
    </row>
    <row r="526" spans="3:11" x14ac:dyDescent="0.25">
      <c r="C526" s="53"/>
      <c r="D526" s="54"/>
      <c r="E526" s="55"/>
      <c r="F526" s="54"/>
      <c r="G526" s="56"/>
      <c r="H526" s="56"/>
      <c r="I526" s="36" t="str">
        <f t="shared" si="21"/>
        <v/>
      </c>
      <c r="J526" s="36">
        <f t="shared" si="22"/>
        <v>0</v>
      </c>
      <c r="K526" s="36" t="str">
        <f t="shared" ca="1" si="23"/>
        <v/>
      </c>
    </row>
    <row r="527" spans="3:11" x14ac:dyDescent="0.25">
      <c r="C527" s="53"/>
      <c r="D527" s="54"/>
      <c r="E527" s="55"/>
      <c r="F527" s="54"/>
      <c r="G527" s="56"/>
      <c r="H527" s="56"/>
      <c r="I527" s="36" t="str">
        <f t="shared" si="21"/>
        <v/>
      </c>
      <c r="J527" s="36">
        <f t="shared" si="22"/>
        <v>0</v>
      </c>
      <c r="K527" s="36" t="str">
        <f t="shared" ca="1" si="23"/>
        <v/>
      </c>
    </row>
    <row r="528" spans="3:11" x14ac:dyDescent="0.25">
      <c r="C528" s="53"/>
      <c r="D528" s="54"/>
      <c r="E528" s="55"/>
      <c r="F528" s="54"/>
      <c r="G528" s="56"/>
      <c r="H528" s="56"/>
      <c r="I528" s="36" t="str">
        <f t="shared" ref="I528:I591" si="24">IF(C528="","",IF(H528&lt;=0,"Em aberto",IF(H528&gt;=G528,"Pagamento Total",IF(H528&lt;G528,"Pagamento Parcial"))))</f>
        <v/>
      </c>
      <c r="J528" s="36">
        <f t="shared" ref="J528:J591" si="25">IF(C528&gt;0,G528-H528,0)</f>
        <v>0</v>
      </c>
      <c r="K528" s="36" t="str">
        <f t="shared" ref="K528:K591" ca="1" si="26">IF(ISBLANK(C528),"",IF(H528=G528,"Pago",IF(C528=TODAY(),"Vence Hoje",IF(TRIM(UPPER(G527))&lt;&gt;"S",IF(C528-TODAY()&lt;0,"Vencida",IF(C528-TODAY()&lt;8,"Próximos sete dias","Em aberto"))))))</f>
        <v/>
      </c>
    </row>
    <row r="529" spans="3:11" x14ac:dyDescent="0.25">
      <c r="C529" s="53"/>
      <c r="D529" s="54"/>
      <c r="E529" s="55"/>
      <c r="F529" s="54"/>
      <c r="G529" s="56"/>
      <c r="H529" s="56"/>
      <c r="I529" s="36" t="str">
        <f t="shared" si="24"/>
        <v/>
      </c>
      <c r="J529" s="36">
        <f t="shared" si="25"/>
        <v>0</v>
      </c>
      <c r="K529" s="36" t="str">
        <f t="shared" ca="1" si="26"/>
        <v/>
      </c>
    </row>
    <row r="530" spans="3:11" x14ac:dyDescent="0.25">
      <c r="C530" s="53"/>
      <c r="D530" s="54"/>
      <c r="E530" s="55"/>
      <c r="F530" s="54"/>
      <c r="G530" s="56"/>
      <c r="H530" s="56"/>
      <c r="I530" s="36" t="str">
        <f t="shared" si="24"/>
        <v/>
      </c>
      <c r="J530" s="36">
        <f t="shared" si="25"/>
        <v>0</v>
      </c>
      <c r="K530" s="36" t="str">
        <f t="shared" ca="1" si="26"/>
        <v/>
      </c>
    </row>
    <row r="531" spans="3:11" x14ac:dyDescent="0.25">
      <c r="C531" s="53"/>
      <c r="D531" s="54"/>
      <c r="E531" s="55"/>
      <c r="F531" s="54"/>
      <c r="G531" s="56"/>
      <c r="H531" s="56"/>
      <c r="I531" s="36" t="str">
        <f t="shared" si="24"/>
        <v/>
      </c>
      <c r="J531" s="36">
        <f t="shared" si="25"/>
        <v>0</v>
      </c>
      <c r="K531" s="36" t="str">
        <f t="shared" ca="1" si="26"/>
        <v/>
      </c>
    </row>
    <row r="532" spans="3:11" x14ac:dyDescent="0.25">
      <c r="C532" s="53"/>
      <c r="D532" s="54"/>
      <c r="E532" s="55"/>
      <c r="F532" s="54"/>
      <c r="G532" s="56"/>
      <c r="H532" s="56"/>
      <c r="I532" s="36" t="str">
        <f t="shared" si="24"/>
        <v/>
      </c>
      <c r="J532" s="36">
        <f t="shared" si="25"/>
        <v>0</v>
      </c>
      <c r="K532" s="36" t="str">
        <f t="shared" ca="1" si="26"/>
        <v/>
      </c>
    </row>
    <row r="533" spans="3:11" x14ac:dyDescent="0.25">
      <c r="C533" s="53"/>
      <c r="D533" s="54"/>
      <c r="E533" s="55"/>
      <c r="F533" s="54"/>
      <c r="G533" s="56"/>
      <c r="H533" s="56"/>
      <c r="I533" s="36" t="str">
        <f t="shared" si="24"/>
        <v/>
      </c>
      <c r="J533" s="36">
        <f t="shared" si="25"/>
        <v>0</v>
      </c>
      <c r="K533" s="36" t="str">
        <f t="shared" ca="1" si="26"/>
        <v/>
      </c>
    </row>
    <row r="534" spans="3:11" x14ac:dyDescent="0.25">
      <c r="C534" s="53"/>
      <c r="D534" s="54"/>
      <c r="E534" s="55"/>
      <c r="F534" s="54"/>
      <c r="G534" s="56"/>
      <c r="H534" s="56"/>
      <c r="I534" s="36" t="str">
        <f t="shared" si="24"/>
        <v/>
      </c>
      <c r="J534" s="36">
        <f t="shared" si="25"/>
        <v>0</v>
      </c>
      <c r="K534" s="36" t="str">
        <f t="shared" ca="1" si="26"/>
        <v/>
      </c>
    </row>
    <row r="535" spans="3:11" x14ac:dyDescent="0.25">
      <c r="C535" s="53"/>
      <c r="D535" s="54"/>
      <c r="E535" s="55"/>
      <c r="F535" s="54"/>
      <c r="G535" s="56"/>
      <c r="H535" s="56"/>
      <c r="I535" s="36" t="str">
        <f t="shared" si="24"/>
        <v/>
      </c>
      <c r="J535" s="36">
        <f t="shared" si="25"/>
        <v>0</v>
      </c>
      <c r="K535" s="36" t="str">
        <f t="shared" ca="1" si="26"/>
        <v/>
      </c>
    </row>
    <row r="536" spans="3:11" x14ac:dyDescent="0.25">
      <c r="C536" s="53"/>
      <c r="D536" s="54"/>
      <c r="E536" s="55"/>
      <c r="F536" s="54"/>
      <c r="G536" s="56"/>
      <c r="H536" s="56"/>
      <c r="I536" s="36" t="str">
        <f t="shared" si="24"/>
        <v/>
      </c>
      <c r="J536" s="36">
        <f t="shared" si="25"/>
        <v>0</v>
      </c>
      <c r="K536" s="36" t="str">
        <f t="shared" ca="1" si="26"/>
        <v/>
      </c>
    </row>
    <row r="537" spans="3:11" x14ac:dyDescent="0.25">
      <c r="C537" s="53"/>
      <c r="D537" s="54"/>
      <c r="E537" s="55"/>
      <c r="F537" s="54"/>
      <c r="G537" s="56"/>
      <c r="H537" s="56"/>
      <c r="I537" s="36" t="str">
        <f t="shared" si="24"/>
        <v/>
      </c>
      <c r="J537" s="36">
        <f t="shared" si="25"/>
        <v>0</v>
      </c>
      <c r="K537" s="36" t="str">
        <f t="shared" ca="1" si="26"/>
        <v/>
      </c>
    </row>
    <row r="538" spans="3:11" x14ac:dyDescent="0.25">
      <c r="C538" s="53"/>
      <c r="D538" s="54"/>
      <c r="E538" s="55"/>
      <c r="F538" s="54"/>
      <c r="G538" s="56"/>
      <c r="H538" s="56"/>
      <c r="I538" s="36" t="str">
        <f t="shared" si="24"/>
        <v/>
      </c>
      <c r="J538" s="36">
        <f t="shared" si="25"/>
        <v>0</v>
      </c>
      <c r="K538" s="36" t="str">
        <f t="shared" ca="1" si="26"/>
        <v/>
      </c>
    </row>
    <row r="539" spans="3:11" x14ac:dyDescent="0.25">
      <c r="C539" s="53"/>
      <c r="D539" s="54"/>
      <c r="E539" s="55"/>
      <c r="F539" s="54"/>
      <c r="G539" s="56"/>
      <c r="H539" s="56"/>
      <c r="I539" s="36" t="str">
        <f t="shared" si="24"/>
        <v/>
      </c>
      <c r="J539" s="36">
        <f t="shared" si="25"/>
        <v>0</v>
      </c>
      <c r="K539" s="36" t="str">
        <f t="shared" ca="1" si="26"/>
        <v/>
      </c>
    </row>
    <row r="540" spans="3:11" x14ac:dyDescent="0.25">
      <c r="C540" s="53"/>
      <c r="D540" s="54"/>
      <c r="E540" s="55"/>
      <c r="F540" s="54"/>
      <c r="G540" s="56"/>
      <c r="H540" s="56"/>
      <c r="I540" s="36" t="str">
        <f t="shared" si="24"/>
        <v/>
      </c>
      <c r="J540" s="36">
        <f t="shared" si="25"/>
        <v>0</v>
      </c>
      <c r="K540" s="36" t="str">
        <f t="shared" ca="1" si="26"/>
        <v/>
      </c>
    </row>
    <row r="541" spans="3:11" x14ac:dyDescent="0.25">
      <c r="C541" s="53"/>
      <c r="D541" s="54"/>
      <c r="E541" s="55"/>
      <c r="F541" s="54"/>
      <c r="G541" s="56"/>
      <c r="H541" s="56"/>
      <c r="I541" s="36" t="str">
        <f t="shared" si="24"/>
        <v/>
      </c>
      <c r="J541" s="36">
        <f t="shared" si="25"/>
        <v>0</v>
      </c>
      <c r="K541" s="36" t="str">
        <f t="shared" ca="1" si="26"/>
        <v/>
      </c>
    </row>
    <row r="542" spans="3:11" x14ac:dyDescent="0.25">
      <c r="C542" s="53"/>
      <c r="D542" s="54"/>
      <c r="E542" s="55"/>
      <c r="F542" s="54"/>
      <c r="G542" s="56"/>
      <c r="H542" s="56"/>
      <c r="I542" s="36" t="str">
        <f t="shared" si="24"/>
        <v/>
      </c>
      <c r="J542" s="36">
        <f t="shared" si="25"/>
        <v>0</v>
      </c>
      <c r="K542" s="36" t="str">
        <f t="shared" ca="1" si="26"/>
        <v/>
      </c>
    </row>
    <row r="543" spans="3:11" x14ac:dyDescent="0.25">
      <c r="C543" s="53"/>
      <c r="D543" s="54"/>
      <c r="E543" s="55"/>
      <c r="F543" s="54"/>
      <c r="G543" s="56"/>
      <c r="H543" s="56"/>
      <c r="I543" s="36" t="str">
        <f t="shared" si="24"/>
        <v/>
      </c>
      <c r="J543" s="36">
        <f t="shared" si="25"/>
        <v>0</v>
      </c>
      <c r="K543" s="36" t="str">
        <f t="shared" ca="1" si="26"/>
        <v/>
      </c>
    </row>
    <row r="544" spans="3:11" x14ac:dyDescent="0.25">
      <c r="C544" s="53"/>
      <c r="D544" s="54"/>
      <c r="E544" s="55"/>
      <c r="F544" s="54"/>
      <c r="G544" s="56"/>
      <c r="H544" s="56"/>
      <c r="I544" s="36" t="str">
        <f t="shared" si="24"/>
        <v/>
      </c>
      <c r="J544" s="36">
        <f t="shared" si="25"/>
        <v>0</v>
      </c>
      <c r="K544" s="36" t="str">
        <f t="shared" ca="1" si="26"/>
        <v/>
      </c>
    </row>
    <row r="545" spans="3:11" x14ac:dyDescent="0.25">
      <c r="C545" s="53"/>
      <c r="D545" s="54"/>
      <c r="E545" s="55"/>
      <c r="F545" s="54"/>
      <c r="G545" s="56"/>
      <c r="H545" s="56"/>
      <c r="I545" s="36" t="str">
        <f t="shared" si="24"/>
        <v/>
      </c>
      <c r="J545" s="36">
        <f t="shared" si="25"/>
        <v>0</v>
      </c>
      <c r="K545" s="36" t="str">
        <f t="shared" ca="1" si="26"/>
        <v/>
      </c>
    </row>
    <row r="546" spans="3:11" x14ac:dyDescent="0.25">
      <c r="C546" s="53"/>
      <c r="D546" s="54"/>
      <c r="E546" s="55"/>
      <c r="F546" s="54"/>
      <c r="G546" s="56"/>
      <c r="H546" s="56"/>
      <c r="I546" s="36" t="str">
        <f t="shared" si="24"/>
        <v/>
      </c>
      <c r="J546" s="36">
        <f t="shared" si="25"/>
        <v>0</v>
      </c>
      <c r="K546" s="36" t="str">
        <f t="shared" ca="1" si="26"/>
        <v/>
      </c>
    </row>
    <row r="547" spans="3:11" x14ac:dyDescent="0.25">
      <c r="C547" s="53"/>
      <c r="D547" s="54"/>
      <c r="E547" s="55"/>
      <c r="F547" s="54"/>
      <c r="G547" s="56"/>
      <c r="H547" s="56"/>
      <c r="I547" s="36" t="str">
        <f t="shared" si="24"/>
        <v/>
      </c>
      <c r="J547" s="36">
        <f t="shared" si="25"/>
        <v>0</v>
      </c>
      <c r="K547" s="36" t="str">
        <f t="shared" ca="1" si="26"/>
        <v/>
      </c>
    </row>
    <row r="548" spans="3:11" x14ac:dyDescent="0.25">
      <c r="C548" s="53"/>
      <c r="D548" s="54"/>
      <c r="E548" s="55"/>
      <c r="F548" s="54"/>
      <c r="G548" s="56"/>
      <c r="H548" s="56"/>
      <c r="I548" s="36" t="str">
        <f t="shared" si="24"/>
        <v/>
      </c>
      <c r="J548" s="36">
        <f t="shared" si="25"/>
        <v>0</v>
      </c>
      <c r="K548" s="36" t="str">
        <f t="shared" ca="1" si="26"/>
        <v/>
      </c>
    </row>
    <row r="549" spans="3:11" x14ac:dyDescent="0.25">
      <c r="C549" s="53"/>
      <c r="D549" s="54"/>
      <c r="E549" s="55"/>
      <c r="F549" s="54"/>
      <c r="G549" s="56"/>
      <c r="H549" s="56"/>
      <c r="I549" s="36" t="str">
        <f t="shared" si="24"/>
        <v/>
      </c>
      <c r="J549" s="36">
        <f t="shared" si="25"/>
        <v>0</v>
      </c>
      <c r="K549" s="36" t="str">
        <f t="shared" ca="1" si="26"/>
        <v/>
      </c>
    </row>
    <row r="550" spans="3:11" x14ac:dyDescent="0.25">
      <c r="C550" s="53"/>
      <c r="D550" s="54"/>
      <c r="E550" s="55"/>
      <c r="F550" s="54"/>
      <c r="G550" s="56"/>
      <c r="H550" s="56"/>
      <c r="I550" s="36" t="str">
        <f t="shared" si="24"/>
        <v/>
      </c>
      <c r="J550" s="36">
        <f t="shared" si="25"/>
        <v>0</v>
      </c>
      <c r="K550" s="36" t="str">
        <f t="shared" ca="1" si="26"/>
        <v/>
      </c>
    </row>
    <row r="551" spans="3:11" x14ac:dyDescent="0.25">
      <c r="C551" s="53"/>
      <c r="D551" s="54"/>
      <c r="E551" s="55"/>
      <c r="F551" s="54"/>
      <c r="G551" s="56"/>
      <c r="H551" s="56"/>
      <c r="I551" s="36" t="str">
        <f t="shared" si="24"/>
        <v/>
      </c>
      <c r="J551" s="36">
        <f t="shared" si="25"/>
        <v>0</v>
      </c>
      <c r="K551" s="36" t="str">
        <f t="shared" ca="1" si="26"/>
        <v/>
      </c>
    </row>
    <row r="552" spans="3:11" x14ac:dyDescent="0.25">
      <c r="C552" s="53"/>
      <c r="D552" s="54"/>
      <c r="E552" s="55"/>
      <c r="F552" s="54"/>
      <c r="G552" s="56"/>
      <c r="H552" s="56"/>
      <c r="I552" s="36" t="str">
        <f t="shared" si="24"/>
        <v/>
      </c>
      <c r="J552" s="36">
        <f t="shared" si="25"/>
        <v>0</v>
      </c>
      <c r="K552" s="36" t="str">
        <f t="shared" ca="1" si="26"/>
        <v/>
      </c>
    </row>
    <row r="553" spans="3:11" x14ac:dyDescent="0.25">
      <c r="C553" s="53"/>
      <c r="D553" s="54"/>
      <c r="E553" s="55"/>
      <c r="F553" s="54"/>
      <c r="G553" s="56"/>
      <c r="H553" s="56"/>
      <c r="I553" s="36" t="str">
        <f t="shared" si="24"/>
        <v/>
      </c>
      <c r="J553" s="36">
        <f t="shared" si="25"/>
        <v>0</v>
      </c>
      <c r="K553" s="36" t="str">
        <f t="shared" ca="1" si="26"/>
        <v/>
      </c>
    </row>
    <row r="554" spans="3:11" x14ac:dyDescent="0.25">
      <c r="C554" s="53"/>
      <c r="D554" s="54"/>
      <c r="E554" s="55"/>
      <c r="F554" s="54"/>
      <c r="G554" s="56"/>
      <c r="H554" s="56"/>
      <c r="I554" s="36" t="str">
        <f t="shared" si="24"/>
        <v/>
      </c>
      <c r="J554" s="36">
        <f t="shared" si="25"/>
        <v>0</v>
      </c>
      <c r="K554" s="36" t="str">
        <f t="shared" ca="1" si="26"/>
        <v/>
      </c>
    </row>
    <row r="555" spans="3:11" x14ac:dyDescent="0.25">
      <c r="C555" s="53"/>
      <c r="D555" s="54"/>
      <c r="E555" s="55"/>
      <c r="F555" s="54"/>
      <c r="G555" s="56"/>
      <c r="H555" s="56"/>
      <c r="I555" s="36" t="str">
        <f t="shared" si="24"/>
        <v/>
      </c>
      <c r="J555" s="36">
        <f t="shared" si="25"/>
        <v>0</v>
      </c>
      <c r="K555" s="36" t="str">
        <f t="shared" ca="1" si="26"/>
        <v/>
      </c>
    </row>
    <row r="556" spans="3:11" x14ac:dyDescent="0.25">
      <c r="C556" s="53"/>
      <c r="D556" s="54"/>
      <c r="E556" s="55"/>
      <c r="F556" s="54"/>
      <c r="G556" s="56"/>
      <c r="H556" s="56"/>
      <c r="I556" s="36" t="str">
        <f t="shared" si="24"/>
        <v/>
      </c>
      <c r="J556" s="36">
        <f t="shared" si="25"/>
        <v>0</v>
      </c>
      <c r="K556" s="36" t="str">
        <f t="shared" ca="1" si="26"/>
        <v/>
      </c>
    </row>
    <row r="557" spans="3:11" x14ac:dyDescent="0.25">
      <c r="C557" s="53"/>
      <c r="D557" s="54"/>
      <c r="E557" s="55"/>
      <c r="F557" s="54"/>
      <c r="G557" s="56"/>
      <c r="H557" s="56"/>
      <c r="I557" s="36" t="str">
        <f t="shared" si="24"/>
        <v/>
      </c>
      <c r="J557" s="36">
        <f t="shared" si="25"/>
        <v>0</v>
      </c>
      <c r="K557" s="36" t="str">
        <f t="shared" ca="1" si="26"/>
        <v/>
      </c>
    </row>
    <row r="558" spans="3:11" x14ac:dyDescent="0.25">
      <c r="C558" s="53"/>
      <c r="D558" s="54"/>
      <c r="E558" s="55"/>
      <c r="F558" s="54"/>
      <c r="G558" s="56"/>
      <c r="H558" s="56"/>
      <c r="I558" s="36" t="str">
        <f t="shared" si="24"/>
        <v/>
      </c>
      <c r="J558" s="36">
        <f t="shared" si="25"/>
        <v>0</v>
      </c>
      <c r="K558" s="36" t="str">
        <f t="shared" ca="1" si="26"/>
        <v/>
      </c>
    </row>
    <row r="559" spans="3:11" x14ac:dyDescent="0.25">
      <c r="C559" s="53"/>
      <c r="D559" s="54"/>
      <c r="E559" s="55"/>
      <c r="F559" s="54"/>
      <c r="G559" s="56"/>
      <c r="H559" s="56"/>
      <c r="I559" s="36" t="str">
        <f t="shared" si="24"/>
        <v/>
      </c>
      <c r="J559" s="36">
        <f t="shared" si="25"/>
        <v>0</v>
      </c>
      <c r="K559" s="36" t="str">
        <f t="shared" ca="1" si="26"/>
        <v/>
      </c>
    </row>
    <row r="560" spans="3:11" x14ac:dyDescent="0.25">
      <c r="C560" s="53"/>
      <c r="D560" s="54"/>
      <c r="E560" s="55"/>
      <c r="F560" s="54"/>
      <c r="G560" s="56"/>
      <c r="H560" s="56"/>
      <c r="I560" s="36" t="str">
        <f t="shared" si="24"/>
        <v/>
      </c>
      <c r="J560" s="36">
        <f t="shared" si="25"/>
        <v>0</v>
      </c>
      <c r="K560" s="36" t="str">
        <f t="shared" ca="1" si="26"/>
        <v/>
      </c>
    </row>
    <row r="561" spans="3:11" x14ac:dyDescent="0.25">
      <c r="C561" s="53"/>
      <c r="D561" s="54"/>
      <c r="E561" s="55"/>
      <c r="F561" s="54"/>
      <c r="G561" s="56"/>
      <c r="H561" s="56"/>
      <c r="I561" s="36" t="str">
        <f t="shared" si="24"/>
        <v/>
      </c>
      <c r="J561" s="36">
        <f t="shared" si="25"/>
        <v>0</v>
      </c>
      <c r="K561" s="36" t="str">
        <f t="shared" ca="1" si="26"/>
        <v/>
      </c>
    </row>
    <row r="562" spans="3:11" x14ac:dyDescent="0.25">
      <c r="C562" s="53"/>
      <c r="D562" s="54"/>
      <c r="E562" s="55"/>
      <c r="F562" s="54"/>
      <c r="G562" s="56"/>
      <c r="H562" s="56"/>
      <c r="I562" s="36" t="str">
        <f t="shared" si="24"/>
        <v/>
      </c>
      <c r="J562" s="36">
        <f t="shared" si="25"/>
        <v>0</v>
      </c>
      <c r="K562" s="36" t="str">
        <f t="shared" ca="1" si="26"/>
        <v/>
      </c>
    </row>
    <row r="563" spans="3:11" x14ac:dyDescent="0.25">
      <c r="C563" s="53"/>
      <c r="D563" s="54"/>
      <c r="E563" s="55"/>
      <c r="F563" s="54"/>
      <c r="G563" s="56"/>
      <c r="H563" s="56"/>
      <c r="I563" s="36" t="str">
        <f t="shared" si="24"/>
        <v/>
      </c>
      <c r="J563" s="36">
        <f t="shared" si="25"/>
        <v>0</v>
      </c>
      <c r="K563" s="36" t="str">
        <f t="shared" ca="1" si="26"/>
        <v/>
      </c>
    </row>
    <row r="564" spans="3:11" x14ac:dyDescent="0.25">
      <c r="C564" s="53"/>
      <c r="D564" s="54"/>
      <c r="E564" s="55"/>
      <c r="F564" s="54"/>
      <c r="G564" s="56"/>
      <c r="H564" s="56"/>
      <c r="I564" s="36" t="str">
        <f t="shared" si="24"/>
        <v/>
      </c>
      <c r="J564" s="36">
        <f t="shared" si="25"/>
        <v>0</v>
      </c>
      <c r="K564" s="36" t="str">
        <f t="shared" ca="1" si="26"/>
        <v/>
      </c>
    </row>
    <row r="565" spans="3:11" x14ac:dyDescent="0.25">
      <c r="C565" s="53"/>
      <c r="D565" s="54"/>
      <c r="E565" s="55"/>
      <c r="F565" s="54"/>
      <c r="G565" s="56"/>
      <c r="H565" s="56"/>
      <c r="I565" s="36" t="str">
        <f t="shared" si="24"/>
        <v/>
      </c>
      <c r="J565" s="36">
        <f t="shared" si="25"/>
        <v>0</v>
      </c>
      <c r="K565" s="36" t="str">
        <f t="shared" ca="1" si="26"/>
        <v/>
      </c>
    </row>
    <row r="566" spans="3:11" x14ac:dyDescent="0.25">
      <c r="C566" s="53"/>
      <c r="D566" s="54"/>
      <c r="E566" s="55"/>
      <c r="F566" s="54"/>
      <c r="G566" s="56"/>
      <c r="H566" s="56"/>
      <c r="I566" s="36" t="str">
        <f t="shared" si="24"/>
        <v/>
      </c>
      <c r="J566" s="36">
        <f t="shared" si="25"/>
        <v>0</v>
      </c>
      <c r="K566" s="36" t="str">
        <f t="shared" ca="1" si="26"/>
        <v/>
      </c>
    </row>
    <row r="567" spans="3:11" x14ac:dyDescent="0.25">
      <c r="C567" s="53"/>
      <c r="D567" s="54"/>
      <c r="E567" s="55"/>
      <c r="F567" s="54"/>
      <c r="G567" s="56"/>
      <c r="H567" s="56"/>
      <c r="I567" s="36" t="str">
        <f t="shared" si="24"/>
        <v/>
      </c>
      <c r="J567" s="36">
        <f t="shared" si="25"/>
        <v>0</v>
      </c>
      <c r="K567" s="36" t="str">
        <f t="shared" ca="1" si="26"/>
        <v/>
      </c>
    </row>
    <row r="568" spans="3:11" x14ac:dyDescent="0.25">
      <c r="C568" s="53"/>
      <c r="D568" s="54"/>
      <c r="E568" s="55"/>
      <c r="F568" s="54"/>
      <c r="G568" s="56"/>
      <c r="H568" s="56"/>
      <c r="I568" s="36" t="str">
        <f t="shared" si="24"/>
        <v/>
      </c>
      <c r="J568" s="36">
        <f t="shared" si="25"/>
        <v>0</v>
      </c>
      <c r="K568" s="36" t="str">
        <f t="shared" ca="1" si="26"/>
        <v/>
      </c>
    </row>
    <row r="569" spans="3:11" x14ac:dyDescent="0.25">
      <c r="C569" s="53"/>
      <c r="D569" s="54"/>
      <c r="E569" s="55"/>
      <c r="F569" s="54"/>
      <c r="G569" s="56"/>
      <c r="H569" s="56"/>
      <c r="I569" s="36" t="str">
        <f t="shared" si="24"/>
        <v/>
      </c>
      <c r="J569" s="36">
        <f t="shared" si="25"/>
        <v>0</v>
      </c>
      <c r="K569" s="36" t="str">
        <f t="shared" ca="1" si="26"/>
        <v/>
      </c>
    </row>
    <row r="570" spans="3:11" x14ac:dyDescent="0.25">
      <c r="C570" s="53"/>
      <c r="D570" s="54"/>
      <c r="E570" s="55"/>
      <c r="F570" s="54"/>
      <c r="G570" s="56"/>
      <c r="H570" s="56"/>
      <c r="I570" s="36" t="str">
        <f t="shared" si="24"/>
        <v/>
      </c>
      <c r="J570" s="36">
        <f t="shared" si="25"/>
        <v>0</v>
      </c>
      <c r="K570" s="36" t="str">
        <f t="shared" ca="1" si="26"/>
        <v/>
      </c>
    </row>
    <row r="571" spans="3:11" x14ac:dyDescent="0.25">
      <c r="C571" s="53"/>
      <c r="D571" s="54"/>
      <c r="E571" s="55"/>
      <c r="F571" s="54"/>
      <c r="G571" s="56"/>
      <c r="H571" s="56"/>
      <c r="I571" s="36" t="str">
        <f t="shared" si="24"/>
        <v/>
      </c>
      <c r="J571" s="36">
        <f t="shared" si="25"/>
        <v>0</v>
      </c>
      <c r="K571" s="36" t="str">
        <f t="shared" ca="1" si="26"/>
        <v/>
      </c>
    </row>
    <row r="572" spans="3:11" x14ac:dyDescent="0.25">
      <c r="C572" s="53"/>
      <c r="D572" s="54"/>
      <c r="E572" s="55"/>
      <c r="F572" s="54"/>
      <c r="G572" s="56"/>
      <c r="H572" s="56"/>
      <c r="I572" s="36" t="str">
        <f t="shared" si="24"/>
        <v/>
      </c>
      <c r="J572" s="36">
        <f t="shared" si="25"/>
        <v>0</v>
      </c>
      <c r="K572" s="36" t="str">
        <f t="shared" ca="1" si="26"/>
        <v/>
      </c>
    </row>
    <row r="573" spans="3:11" x14ac:dyDescent="0.25">
      <c r="C573" s="53"/>
      <c r="D573" s="54"/>
      <c r="E573" s="55"/>
      <c r="F573" s="54"/>
      <c r="G573" s="56"/>
      <c r="H573" s="56"/>
      <c r="I573" s="36" t="str">
        <f t="shared" si="24"/>
        <v/>
      </c>
      <c r="J573" s="36">
        <f t="shared" si="25"/>
        <v>0</v>
      </c>
      <c r="K573" s="36" t="str">
        <f t="shared" ca="1" si="26"/>
        <v/>
      </c>
    </row>
    <row r="574" spans="3:11" x14ac:dyDescent="0.25">
      <c r="C574" s="53"/>
      <c r="D574" s="54"/>
      <c r="E574" s="55"/>
      <c r="F574" s="54"/>
      <c r="G574" s="56"/>
      <c r="H574" s="56"/>
      <c r="I574" s="36" t="str">
        <f t="shared" si="24"/>
        <v/>
      </c>
      <c r="J574" s="36">
        <f t="shared" si="25"/>
        <v>0</v>
      </c>
      <c r="K574" s="36" t="str">
        <f t="shared" ca="1" si="26"/>
        <v/>
      </c>
    </row>
    <row r="575" spans="3:11" x14ac:dyDescent="0.25">
      <c r="C575" s="53"/>
      <c r="D575" s="54"/>
      <c r="E575" s="55"/>
      <c r="F575" s="54"/>
      <c r="G575" s="56"/>
      <c r="H575" s="56"/>
      <c r="I575" s="36" t="str">
        <f t="shared" si="24"/>
        <v/>
      </c>
      <c r="J575" s="36">
        <f t="shared" si="25"/>
        <v>0</v>
      </c>
      <c r="K575" s="36" t="str">
        <f t="shared" ca="1" si="26"/>
        <v/>
      </c>
    </row>
    <row r="576" spans="3:11" x14ac:dyDescent="0.25">
      <c r="C576" s="53"/>
      <c r="D576" s="54"/>
      <c r="E576" s="55"/>
      <c r="F576" s="54"/>
      <c r="G576" s="56"/>
      <c r="H576" s="56"/>
      <c r="I576" s="36" t="str">
        <f t="shared" si="24"/>
        <v/>
      </c>
      <c r="J576" s="36">
        <f t="shared" si="25"/>
        <v>0</v>
      </c>
      <c r="K576" s="36" t="str">
        <f t="shared" ca="1" si="26"/>
        <v/>
      </c>
    </row>
    <row r="577" spans="3:11" x14ac:dyDescent="0.25">
      <c r="C577" s="53"/>
      <c r="D577" s="54"/>
      <c r="E577" s="55"/>
      <c r="F577" s="54"/>
      <c r="G577" s="56"/>
      <c r="H577" s="56"/>
      <c r="I577" s="36" t="str">
        <f t="shared" si="24"/>
        <v/>
      </c>
      <c r="J577" s="36">
        <f t="shared" si="25"/>
        <v>0</v>
      </c>
      <c r="K577" s="36" t="str">
        <f t="shared" ca="1" si="26"/>
        <v/>
      </c>
    </row>
    <row r="578" spans="3:11" x14ac:dyDescent="0.25">
      <c r="C578" s="53"/>
      <c r="D578" s="54"/>
      <c r="E578" s="55"/>
      <c r="F578" s="54"/>
      <c r="G578" s="56"/>
      <c r="H578" s="56"/>
      <c r="I578" s="36" t="str">
        <f t="shared" si="24"/>
        <v/>
      </c>
      <c r="J578" s="36">
        <f t="shared" si="25"/>
        <v>0</v>
      </c>
      <c r="K578" s="36" t="str">
        <f t="shared" ca="1" si="26"/>
        <v/>
      </c>
    </row>
    <row r="579" spans="3:11" x14ac:dyDescent="0.25">
      <c r="C579" s="53"/>
      <c r="D579" s="54"/>
      <c r="E579" s="55"/>
      <c r="F579" s="54"/>
      <c r="G579" s="56"/>
      <c r="H579" s="56"/>
      <c r="I579" s="36" t="str">
        <f t="shared" si="24"/>
        <v/>
      </c>
      <c r="J579" s="36">
        <f t="shared" si="25"/>
        <v>0</v>
      </c>
      <c r="K579" s="36" t="str">
        <f t="shared" ca="1" si="26"/>
        <v/>
      </c>
    </row>
    <row r="580" spans="3:11" x14ac:dyDescent="0.25">
      <c r="C580" s="53"/>
      <c r="D580" s="54"/>
      <c r="E580" s="55"/>
      <c r="F580" s="54"/>
      <c r="G580" s="56"/>
      <c r="H580" s="56"/>
      <c r="I580" s="36" t="str">
        <f t="shared" si="24"/>
        <v/>
      </c>
      <c r="J580" s="36">
        <f t="shared" si="25"/>
        <v>0</v>
      </c>
      <c r="K580" s="36" t="str">
        <f t="shared" ca="1" si="26"/>
        <v/>
      </c>
    </row>
    <row r="581" spans="3:11" x14ac:dyDescent="0.25">
      <c r="C581" s="53"/>
      <c r="D581" s="54"/>
      <c r="E581" s="55"/>
      <c r="F581" s="54"/>
      <c r="G581" s="56"/>
      <c r="H581" s="56"/>
      <c r="I581" s="36" t="str">
        <f t="shared" si="24"/>
        <v/>
      </c>
      <c r="J581" s="36">
        <f t="shared" si="25"/>
        <v>0</v>
      </c>
      <c r="K581" s="36" t="str">
        <f t="shared" ca="1" si="26"/>
        <v/>
      </c>
    </row>
    <row r="582" spans="3:11" x14ac:dyDescent="0.25">
      <c r="C582" s="53"/>
      <c r="D582" s="54"/>
      <c r="E582" s="55"/>
      <c r="F582" s="54"/>
      <c r="G582" s="56"/>
      <c r="H582" s="56"/>
      <c r="I582" s="36" t="str">
        <f t="shared" si="24"/>
        <v/>
      </c>
      <c r="J582" s="36">
        <f t="shared" si="25"/>
        <v>0</v>
      </c>
      <c r="K582" s="36" t="str">
        <f t="shared" ca="1" si="26"/>
        <v/>
      </c>
    </row>
    <row r="583" spans="3:11" x14ac:dyDescent="0.25">
      <c r="C583" s="53"/>
      <c r="D583" s="54"/>
      <c r="E583" s="55"/>
      <c r="F583" s="54"/>
      <c r="G583" s="56"/>
      <c r="H583" s="56"/>
      <c r="I583" s="36" t="str">
        <f t="shared" si="24"/>
        <v/>
      </c>
      <c r="J583" s="36">
        <f t="shared" si="25"/>
        <v>0</v>
      </c>
      <c r="K583" s="36" t="str">
        <f t="shared" ca="1" si="26"/>
        <v/>
      </c>
    </row>
    <row r="584" spans="3:11" x14ac:dyDescent="0.25">
      <c r="C584" s="53"/>
      <c r="D584" s="54"/>
      <c r="E584" s="55"/>
      <c r="F584" s="54"/>
      <c r="G584" s="56"/>
      <c r="H584" s="56"/>
      <c r="I584" s="36" t="str">
        <f t="shared" si="24"/>
        <v/>
      </c>
      <c r="J584" s="36">
        <f t="shared" si="25"/>
        <v>0</v>
      </c>
      <c r="K584" s="36" t="str">
        <f t="shared" ca="1" si="26"/>
        <v/>
      </c>
    </row>
    <row r="585" spans="3:11" x14ac:dyDescent="0.25">
      <c r="C585" s="53"/>
      <c r="D585" s="54"/>
      <c r="E585" s="55"/>
      <c r="F585" s="54"/>
      <c r="G585" s="56"/>
      <c r="H585" s="56"/>
      <c r="I585" s="36" t="str">
        <f t="shared" si="24"/>
        <v/>
      </c>
      <c r="J585" s="36">
        <f t="shared" si="25"/>
        <v>0</v>
      </c>
      <c r="K585" s="36" t="str">
        <f t="shared" ca="1" si="26"/>
        <v/>
      </c>
    </row>
    <row r="586" spans="3:11" x14ac:dyDescent="0.25">
      <c r="C586" s="53"/>
      <c r="D586" s="54"/>
      <c r="E586" s="55"/>
      <c r="F586" s="54"/>
      <c r="G586" s="56"/>
      <c r="H586" s="56"/>
      <c r="I586" s="36" t="str">
        <f t="shared" si="24"/>
        <v/>
      </c>
      <c r="J586" s="36">
        <f t="shared" si="25"/>
        <v>0</v>
      </c>
      <c r="K586" s="36" t="str">
        <f t="shared" ca="1" si="26"/>
        <v/>
      </c>
    </row>
    <row r="587" spans="3:11" x14ac:dyDescent="0.25">
      <c r="C587" s="53"/>
      <c r="D587" s="54"/>
      <c r="E587" s="55"/>
      <c r="F587" s="54"/>
      <c r="G587" s="56"/>
      <c r="H587" s="56"/>
      <c r="I587" s="36" t="str">
        <f t="shared" si="24"/>
        <v/>
      </c>
      <c r="J587" s="36">
        <f t="shared" si="25"/>
        <v>0</v>
      </c>
      <c r="K587" s="36" t="str">
        <f t="shared" ca="1" si="26"/>
        <v/>
      </c>
    </row>
    <row r="588" spans="3:11" x14ac:dyDescent="0.25">
      <c r="C588" s="53"/>
      <c r="D588" s="54"/>
      <c r="E588" s="55"/>
      <c r="F588" s="54"/>
      <c r="G588" s="56"/>
      <c r="H588" s="56"/>
      <c r="I588" s="36" t="str">
        <f t="shared" si="24"/>
        <v/>
      </c>
      <c r="J588" s="36">
        <f t="shared" si="25"/>
        <v>0</v>
      </c>
      <c r="K588" s="36" t="str">
        <f t="shared" ca="1" si="26"/>
        <v/>
      </c>
    </row>
    <row r="589" spans="3:11" x14ac:dyDescent="0.25">
      <c r="C589" s="53"/>
      <c r="D589" s="54"/>
      <c r="E589" s="55"/>
      <c r="F589" s="54"/>
      <c r="G589" s="56"/>
      <c r="H589" s="56"/>
      <c r="I589" s="36" t="str">
        <f t="shared" si="24"/>
        <v/>
      </c>
      <c r="J589" s="36">
        <f t="shared" si="25"/>
        <v>0</v>
      </c>
      <c r="K589" s="36" t="str">
        <f t="shared" ca="1" si="26"/>
        <v/>
      </c>
    </row>
    <row r="590" spans="3:11" x14ac:dyDescent="0.25">
      <c r="C590" s="53"/>
      <c r="D590" s="54"/>
      <c r="E590" s="55"/>
      <c r="F590" s="54"/>
      <c r="G590" s="56"/>
      <c r="H590" s="56"/>
      <c r="I590" s="36" t="str">
        <f t="shared" si="24"/>
        <v/>
      </c>
      <c r="J590" s="36">
        <f t="shared" si="25"/>
        <v>0</v>
      </c>
      <c r="K590" s="36" t="str">
        <f t="shared" ca="1" si="26"/>
        <v/>
      </c>
    </row>
    <row r="591" spans="3:11" x14ac:dyDescent="0.25">
      <c r="C591" s="53"/>
      <c r="D591" s="54"/>
      <c r="E591" s="55"/>
      <c r="F591" s="54"/>
      <c r="G591" s="56"/>
      <c r="H591" s="56"/>
      <c r="I591" s="36" t="str">
        <f t="shared" si="24"/>
        <v/>
      </c>
      <c r="J591" s="36">
        <f t="shared" si="25"/>
        <v>0</v>
      </c>
      <c r="K591" s="36" t="str">
        <f t="shared" ca="1" si="26"/>
        <v/>
      </c>
    </row>
    <row r="592" spans="3:11" x14ac:dyDescent="0.25">
      <c r="C592" s="53"/>
      <c r="D592" s="54"/>
      <c r="E592" s="55"/>
      <c r="F592" s="54"/>
      <c r="G592" s="56"/>
      <c r="H592" s="56"/>
      <c r="I592" s="36" t="str">
        <f t="shared" ref="I592:I655" si="27">IF(C592="","",IF(H592&lt;=0,"Em aberto",IF(H592&gt;=G592,"Pagamento Total",IF(H592&lt;G592,"Pagamento Parcial"))))</f>
        <v/>
      </c>
      <c r="J592" s="36">
        <f t="shared" ref="J592:J655" si="28">IF(C592&gt;0,G592-H592,0)</f>
        <v>0</v>
      </c>
      <c r="K592" s="36" t="str">
        <f t="shared" ref="K592:K655" ca="1" si="29">IF(ISBLANK(C592),"",IF(H592=G592,"Pago",IF(C592=TODAY(),"Vence Hoje",IF(TRIM(UPPER(G591))&lt;&gt;"S",IF(C592-TODAY()&lt;0,"Vencida",IF(C592-TODAY()&lt;8,"Próximos sete dias","Em aberto"))))))</f>
        <v/>
      </c>
    </row>
    <row r="593" spans="3:11" x14ac:dyDescent="0.25">
      <c r="C593" s="53"/>
      <c r="D593" s="54"/>
      <c r="E593" s="55"/>
      <c r="F593" s="54"/>
      <c r="G593" s="56"/>
      <c r="H593" s="56"/>
      <c r="I593" s="36" t="str">
        <f t="shared" si="27"/>
        <v/>
      </c>
      <c r="J593" s="36">
        <f t="shared" si="28"/>
        <v>0</v>
      </c>
      <c r="K593" s="36" t="str">
        <f t="shared" ca="1" si="29"/>
        <v/>
      </c>
    </row>
    <row r="594" spans="3:11" x14ac:dyDescent="0.25">
      <c r="C594" s="53"/>
      <c r="D594" s="54"/>
      <c r="E594" s="55"/>
      <c r="F594" s="54"/>
      <c r="G594" s="56"/>
      <c r="H594" s="56"/>
      <c r="I594" s="36" t="str">
        <f t="shared" si="27"/>
        <v/>
      </c>
      <c r="J594" s="36">
        <f t="shared" si="28"/>
        <v>0</v>
      </c>
      <c r="K594" s="36" t="str">
        <f t="shared" ca="1" si="29"/>
        <v/>
      </c>
    </row>
    <row r="595" spans="3:11" x14ac:dyDescent="0.25">
      <c r="C595" s="53"/>
      <c r="D595" s="54"/>
      <c r="E595" s="55"/>
      <c r="F595" s="54"/>
      <c r="G595" s="56"/>
      <c r="H595" s="56"/>
      <c r="I595" s="36" t="str">
        <f t="shared" si="27"/>
        <v/>
      </c>
      <c r="J595" s="36">
        <f t="shared" si="28"/>
        <v>0</v>
      </c>
      <c r="K595" s="36" t="str">
        <f t="shared" ca="1" si="29"/>
        <v/>
      </c>
    </row>
    <row r="596" spans="3:11" x14ac:dyDescent="0.25">
      <c r="C596" s="53"/>
      <c r="D596" s="54"/>
      <c r="E596" s="55"/>
      <c r="F596" s="54"/>
      <c r="G596" s="56"/>
      <c r="H596" s="56"/>
      <c r="I596" s="36" t="str">
        <f t="shared" si="27"/>
        <v/>
      </c>
      <c r="J596" s="36">
        <f t="shared" si="28"/>
        <v>0</v>
      </c>
      <c r="K596" s="36" t="str">
        <f t="shared" ca="1" si="29"/>
        <v/>
      </c>
    </row>
    <row r="597" spans="3:11" x14ac:dyDescent="0.25">
      <c r="C597" s="53"/>
      <c r="D597" s="54"/>
      <c r="E597" s="55"/>
      <c r="F597" s="54"/>
      <c r="G597" s="56"/>
      <c r="H597" s="56"/>
      <c r="I597" s="36" t="str">
        <f t="shared" si="27"/>
        <v/>
      </c>
      <c r="J597" s="36">
        <f t="shared" si="28"/>
        <v>0</v>
      </c>
      <c r="K597" s="36" t="str">
        <f t="shared" ca="1" si="29"/>
        <v/>
      </c>
    </row>
    <row r="598" spans="3:11" x14ac:dyDescent="0.25">
      <c r="C598" s="53"/>
      <c r="D598" s="54"/>
      <c r="E598" s="55"/>
      <c r="F598" s="54"/>
      <c r="G598" s="56"/>
      <c r="H598" s="56"/>
      <c r="I598" s="36" t="str">
        <f t="shared" si="27"/>
        <v/>
      </c>
      <c r="J598" s="36">
        <f t="shared" si="28"/>
        <v>0</v>
      </c>
      <c r="K598" s="36" t="str">
        <f t="shared" ca="1" si="29"/>
        <v/>
      </c>
    </row>
    <row r="599" spans="3:11" x14ac:dyDescent="0.25">
      <c r="C599" s="53"/>
      <c r="D599" s="54"/>
      <c r="E599" s="55"/>
      <c r="F599" s="54"/>
      <c r="G599" s="56"/>
      <c r="H599" s="56"/>
      <c r="I599" s="36" t="str">
        <f t="shared" si="27"/>
        <v/>
      </c>
      <c r="J599" s="36">
        <f t="shared" si="28"/>
        <v>0</v>
      </c>
      <c r="K599" s="36" t="str">
        <f t="shared" ca="1" si="29"/>
        <v/>
      </c>
    </row>
    <row r="600" spans="3:11" x14ac:dyDescent="0.25">
      <c r="C600" s="53"/>
      <c r="D600" s="54"/>
      <c r="E600" s="55"/>
      <c r="F600" s="54"/>
      <c r="G600" s="56"/>
      <c r="H600" s="56"/>
      <c r="I600" s="36" t="str">
        <f t="shared" si="27"/>
        <v/>
      </c>
      <c r="J600" s="36">
        <f t="shared" si="28"/>
        <v>0</v>
      </c>
      <c r="K600" s="36" t="str">
        <f t="shared" ca="1" si="29"/>
        <v/>
      </c>
    </row>
    <row r="601" spans="3:11" x14ac:dyDescent="0.25">
      <c r="C601" s="53"/>
      <c r="D601" s="54"/>
      <c r="E601" s="55"/>
      <c r="F601" s="54"/>
      <c r="G601" s="56"/>
      <c r="H601" s="56"/>
      <c r="I601" s="36" t="str">
        <f t="shared" si="27"/>
        <v/>
      </c>
      <c r="J601" s="36">
        <f t="shared" si="28"/>
        <v>0</v>
      </c>
      <c r="K601" s="36" t="str">
        <f t="shared" ca="1" si="29"/>
        <v/>
      </c>
    </row>
    <row r="602" spans="3:11" x14ac:dyDescent="0.25">
      <c r="C602" s="53"/>
      <c r="D602" s="54"/>
      <c r="E602" s="55"/>
      <c r="F602" s="54"/>
      <c r="G602" s="56"/>
      <c r="H602" s="56"/>
      <c r="I602" s="36" t="str">
        <f t="shared" si="27"/>
        <v/>
      </c>
      <c r="J602" s="36">
        <f t="shared" si="28"/>
        <v>0</v>
      </c>
      <c r="K602" s="36" t="str">
        <f t="shared" ca="1" si="29"/>
        <v/>
      </c>
    </row>
    <row r="603" spans="3:11" x14ac:dyDescent="0.25">
      <c r="C603" s="53"/>
      <c r="D603" s="54"/>
      <c r="E603" s="55"/>
      <c r="F603" s="54"/>
      <c r="G603" s="56"/>
      <c r="H603" s="56"/>
      <c r="I603" s="36" t="str">
        <f t="shared" si="27"/>
        <v/>
      </c>
      <c r="J603" s="36">
        <f t="shared" si="28"/>
        <v>0</v>
      </c>
      <c r="K603" s="36" t="str">
        <f t="shared" ca="1" si="29"/>
        <v/>
      </c>
    </row>
    <row r="604" spans="3:11" x14ac:dyDescent="0.25">
      <c r="C604" s="53"/>
      <c r="D604" s="54"/>
      <c r="E604" s="55"/>
      <c r="F604" s="54"/>
      <c r="G604" s="56"/>
      <c r="H604" s="56"/>
      <c r="I604" s="36" t="str">
        <f t="shared" si="27"/>
        <v/>
      </c>
      <c r="J604" s="36">
        <f t="shared" si="28"/>
        <v>0</v>
      </c>
      <c r="K604" s="36" t="str">
        <f t="shared" ca="1" si="29"/>
        <v/>
      </c>
    </row>
    <row r="605" spans="3:11" x14ac:dyDescent="0.25">
      <c r="C605" s="53"/>
      <c r="D605" s="54"/>
      <c r="E605" s="55"/>
      <c r="F605" s="54"/>
      <c r="G605" s="56"/>
      <c r="H605" s="56"/>
      <c r="I605" s="36" t="str">
        <f t="shared" si="27"/>
        <v/>
      </c>
      <c r="J605" s="36">
        <f t="shared" si="28"/>
        <v>0</v>
      </c>
      <c r="K605" s="36" t="str">
        <f t="shared" ca="1" si="29"/>
        <v/>
      </c>
    </row>
    <row r="606" spans="3:11" x14ac:dyDescent="0.25">
      <c r="C606" s="53"/>
      <c r="D606" s="54"/>
      <c r="E606" s="55"/>
      <c r="F606" s="54"/>
      <c r="G606" s="56"/>
      <c r="H606" s="56"/>
      <c r="I606" s="36" t="str">
        <f t="shared" si="27"/>
        <v/>
      </c>
      <c r="J606" s="36">
        <f t="shared" si="28"/>
        <v>0</v>
      </c>
      <c r="K606" s="36" t="str">
        <f t="shared" ca="1" si="29"/>
        <v/>
      </c>
    </row>
    <row r="607" spans="3:11" x14ac:dyDescent="0.25">
      <c r="C607" s="53"/>
      <c r="D607" s="54"/>
      <c r="E607" s="55"/>
      <c r="F607" s="54"/>
      <c r="G607" s="56"/>
      <c r="H607" s="56"/>
      <c r="I607" s="36" t="str">
        <f t="shared" si="27"/>
        <v/>
      </c>
      <c r="J607" s="36">
        <f t="shared" si="28"/>
        <v>0</v>
      </c>
      <c r="K607" s="36" t="str">
        <f t="shared" ca="1" si="29"/>
        <v/>
      </c>
    </row>
    <row r="608" spans="3:11" x14ac:dyDescent="0.25">
      <c r="C608" s="53"/>
      <c r="D608" s="54"/>
      <c r="E608" s="55"/>
      <c r="F608" s="54"/>
      <c r="G608" s="56"/>
      <c r="H608" s="56"/>
      <c r="I608" s="36" t="str">
        <f t="shared" si="27"/>
        <v/>
      </c>
      <c r="J608" s="36">
        <f t="shared" si="28"/>
        <v>0</v>
      </c>
      <c r="K608" s="36" t="str">
        <f t="shared" ca="1" si="29"/>
        <v/>
      </c>
    </row>
    <row r="609" spans="3:11" x14ac:dyDescent="0.25">
      <c r="C609" s="53"/>
      <c r="D609" s="54"/>
      <c r="E609" s="55"/>
      <c r="F609" s="54"/>
      <c r="G609" s="56"/>
      <c r="H609" s="56"/>
      <c r="I609" s="36" t="str">
        <f t="shared" si="27"/>
        <v/>
      </c>
      <c r="J609" s="36">
        <f t="shared" si="28"/>
        <v>0</v>
      </c>
      <c r="K609" s="36" t="str">
        <f t="shared" ca="1" si="29"/>
        <v/>
      </c>
    </row>
    <row r="610" spans="3:11" x14ac:dyDescent="0.25">
      <c r="C610" s="53"/>
      <c r="D610" s="54"/>
      <c r="E610" s="55"/>
      <c r="F610" s="54"/>
      <c r="G610" s="56"/>
      <c r="H610" s="56"/>
      <c r="I610" s="36" t="str">
        <f t="shared" si="27"/>
        <v/>
      </c>
      <c r="J610" s="36">
        <f t="shared" si="28"/>
        <v>0</v>
      </c>
      <c r="K610" s="36" t="str">
        <f t="shared" ca="1" si="29"/>
        <v/>
      </c>
    </row>
    <row r="611" spans="3:11" x14ac:dyDescent="0.25">
      <c r="C611" s="53"/>
      <c r="D611" s="54"/>
      <c r="E611" s="55"/>
      <c r="F611" s="54"/>
      <c r="G611" s="56"/>
      <c r="H611" s="56"/>
      <c r="I611" s="36" t="str">
        <f t="shared" si="27"/>
        <v/>
      </c>
      <c r="J611" s="36">
        <f t="shared" si="28"/>
        <v>0</v>
      </c>
      <c r="K611" s="36" t="str">
        <f t="shared" ca="1" si="29"/>
        <v/>
      </c>
    </row>
    <row r="612" spans="3:11" x14ac:dyDescent="0.25">
      <c r="C612" s="53"/>
      <c r="D612" s="54"/>
      <c r="E612" s="55"/>
      <c r="F612" s="54"/>
      <c r="G612" s="56"/>
      <c r="H612" s="56"/>
      <c r="I612" s="36" t="str">
        <f t="shared" si="27"/>
        <v/>
      </c>
      <c r="J612" s="36">
        <f t="shared" si="28"/>
        <v>0</v>
      </c>
      <c r="K612" s="36" t="str">
        <f t="shared" ca="1" si="29"/>
        <v/>
      </c>
    </row>
    <row r="613" spans="3:11" x14ac:dyDescent="0.25">
      <c r="C613" s="53"/>
      <c r="D613" s="54"/>
      <c r="E613" s="55"/>
      <c r="F613" s="54"/>
      <c r="G613" s="56"/>
      <c r="H613" s="56"/>
      <c r="I613" s="36" t="str">
        <f t="shared" si="27"/>
        <v/>
      </c>
      <c r="J613" s="36">
        <f t="shared" si="28"/>
        <v>0</v>
      </c>
      <c r="K613" s="36" t="str">
        <f t="shared" ca="1" si="29"/>
        <v/>
      </c>
    </row>
    <row r="614" spans="3:11" x14ac:dyDescent="0.25">
      <c r="C614" s="53"/>
      <c r="D614" s="54"/>
      <c r="E614" s="55"/>
      <c r="F614" s="54"/>
      <c r="G614" s="56"/>
      <c r="H614" s="56"/>
      <c r="I614" s="36" t="str">
        <f t="shared" si="27"/>
        <v/>
      </c>
      <c r="J614" s="36">
        <f t="shared" si="28"/>
        <v>0</v>
      </c>
      <c r="K614" s="36" t="str">
        <f t="shared" ca="1" si="29"/>
        <v/>
      </c>
    </row>
    <row r="615" spans="3:11" x14ac:dyDescent="0.25">
      <c r="C615" s="53"/>
      <c r="D615" s="54"/>
      <c r="E615" s="55"/>
      <c r="F615" s="54"/>
      <c r="G615" s="56"/>
      <c r="H615" s="56"/>
      <c r="I615" s="36" t="str">
        <f t="shared" si="27"/>
        <v/>
      </c>
      <c r="J615" s="36">
        <f t="shared" si="28"/>
        <v>0</v>
      </c>
      <c r="K615" s="36" t="str">
        <f t="shared" ca="1" si="29"/>
        <v/>
      </c>
    </row>
    <row r="616" spans="3:11" x14ac:dyDescent="0.25">
      <c r="C616" s="53"/>
      <c r="D616" s="54"/>
      <c r="E616" s="55"/>
      <c r="F616" s="54"/>
      <c r="G616" s="56"/>
      <c r="H616" s="56"/>
      <c r="I616" s="36" t="str">
        <f t="shared" si="27"/>
        <v/>
      </c>
      <c r="J616" s="36">
        <f t="shared" si="28"/>
        <v>0</v>
      </c>
      <c r="K616" s="36" t="str">
        <f t="shared" ca="1" si="29"/>
        <v/>
      </c>
    </row>
    <row r="617" spans="3:11" x14ac:dyDescent="0.25">
      <c r="C617" s="53"/>
      <c r="D617" s="54"/>
      <c r="E617" s="55"/>
      <c r="F617" s="54"/>
      <c r="G617" s="56"/>
      <c r="H617" s="56"/>
      <c r="I617" s="36" t="str">
        <f t="shared" si="27"/>
        <v/>
      </c>
      <c r="J617" s="36">
        <f t="shared" si="28"/>
        <v>0</v>
      </c>
      <c r="K617" s="36" t="str">
        <f t="shared" ca="1" si="29"/>
        <v/>
      </c>
    </row>
    <row r="618" spans="3:11" x14ac:dyDescent="0.25">
      <c r="C618" s="53"/>
      <c r="D618" s="54"/>
      <c r="E618" s="55"/>
      <c r="F618" s="54"/>
      <c r="G618" s="56"/>
      <c r="H618" s="56"/>
      <c r="I618" s="36" t="str">
        <f t="shared" si="27"/>
        <v/>
      </c>
      <c r="J618" s="36">
        <f t="shared" si="28"/>
        <v>0</v>
      </c>
      <c r="K618" s="36" t="str">
        <f t="shared" ca="1" si="29"/>
        <v/>
      </c>
    </row>
    <row r="619" spans="3:11" x14ac:dyDescent="0.25">
      <c r="C619" s="53"/>
      <c r="D619" s="54"/>
      <c r="E619" s="55"/>
      <c r="F619" s="54"/>
      <c r="G619" s="56"/>
      <c r="H619" s="56"/>
      <c r="I619" s="36" t="str">
        <f t="shared" si="27"/>
        <v/>
      </c>
      <c r="J619" s="36">
        <f t="shared" si="28"/>
        <v>0</v>
      </c>
      <c r="K619" s="36" t="str">
        <f t="shared" ca="1" si="29"/>
        <v/>
      </c>
    </row>
    <row r="620" spans="3:11" x14ac:dyDescent="0.25">
      <c r="C620" s="53"/>
      <c r="D620" s="54"/>
      <c r="E620" s="55"/>
      <c r="F620" s="54"/>
      <c r="G620" s="56"/>
      <c r="H620" s="56"/>
      <c r="I620" s="36" t="str">
        <f t="shared" si="27"/>
        <v/>
      </c>
      <c r="J620" s="36">
        <f t="shared" si="28"/>
        <v>0</v>
      </c>
      <c r="K620" s="36" t="str">
        <f t="shared" ca="1" si="29"/>
        <v/>
      </c>
    </row>
    <row r="621" spans="3:11" x14ac:dyDescent="0.25">
      <c r="C621" s="53"/>
      <c r="D621" s="54"/>
      <c r="E621" s="55"/>
      <c r="F621" s="54"/>
      <c r="G621" s="56"/>
      <c r="H621" s="56"/>
      <c r="I621" s="36" t="str">
        <f t="shared" si="27"/>
        <v/>
      </c>
      <c r="J621" s="36">
        <f t="shared" si="28"/>
        <v>0</v>
      </c>
      <c r="K621" s="36" t="str">
        <f t="shared" ca="1" si="29"/>
        <v/>
      </c>
    </row>
    <row r="622" spans="3:11" x14ac:dyDescent="0.25">
      <c r="C622" s="53"/>
      <c r="D622" s="54"/>
      <c r="E622" s="55"/>
      <c r="F622" s="54"/>
      <c r="G622" s="56"/>
      <c r="H622" s="56"/>
      <c r="I622" s="36" t="str">
        <f t="shared" si="27"/>
        <v/>
      </c>
      <c r="J622" s="36">
        <f t="shared" si="28"/>
        <v>0</v>
      </c>
      <c r="K622" s="36" t="str">
        <f t="shared" ca="1" si="29"/>
        <v/>
      </c>
    </row>
    <row r="623" spans="3:11" x14ac:dyDescent="0.25">
      <c r="C623" s="53"/>
      <c r="D623" s="54"/>
      <c r="E623" s="55"/>
      <c r="F623" s="54"/>
      <c r="G623" s="56"/>
      <c r="H623" s="56"/>
      <c r="I623" s="36" t="str">
        <f t="shared" si="27"/>
        <v/>
      </c>
      <c r="J623" s="36">
        <f t="shared" si="28"/>
        <v>0</v>
      </c>
      <c r="K623" s="36" t="str">
        <f t="shared" ca="1" si="29"/>
        <v/>
      </c>
    </row>
    <row r="624" spans="3:11" x14ac:dyDescent="0.25">
      <c r="C624" s="53"/>
      <c r="D624" s="54"/>
      <c r="E624" s="55"/>
      <c r="F624" s="54"/>
      <c r="G624" s="56"/>
      <c r="H624" s="56"/>
      <c r="I624" s="36" t="str">
        <f t="shared" si="27"/>
        <v/>
      </c>
      <c r="J624" s="36">
        <f t="shared" si="28"/>
        <v>0</v>
      </c>
      <c r="K624" s="36" t="str">
        <f t="shared" ca="1" si="29"/>
        <v/>
      </c>
    </row>
    <row r="625" spans="3:11" x14ac:dyDescent="0.25">
      <c r="C625" s="53"/>
      <c r="D625" s="54"/>
      <c r="E625" s="55"/>
      <c r="F625" s="54"/>
      <c r="G625" s="56"/>
      <c r="H625" s="56"/>
      <c r="I625" s="36" t="str">
        <f t="shared" si="27"/>
        <v/>
      </c>
      <c r="J625" s="36">
        <f t="shared" si="28"/>
        <v>0</v>
      </c>
      <c r="K625" s="36" t="str">
        <f t="shared" ca="1" si="29"/>
        <v/>
      </c>
    </row>
    <row r="626" spans="3:11" x14ac:dyDescent="0.25">
      <c r="C626" s="53"/>
      <c r="D626" s="54"/>
      <c r="E626" s="55"/>
      <c r="F626" s="54"/>
      <c r="G626" s="56"/>
      <c r="H626" s="56"/>
      <c r="I626" s="36" t="str">
        <f t="shared" si="27"/>
        <v/>
      </c>
      <c r="J626" s="36">
        <f t="shared" si="28"/>
        <v>0</v>
      </c>
      <c r="K626" s="36" t="str">
        <f t="shared" ca="1" si="29"/>
        <v/>
      </c>
    </row>
    <row r="627" spans="3:11" x14ac:dyDescent="0.25">
      <c r="C627" s="53"/>
      <c r="D627" s="54"/>
      <c r="E627" s="55"/>
      <c r="F627" s="54"/>
      <c r="G627" s="56"/>
      <c r="H627" s="56"/>
      <c r="I627" s="36" t="str">
        <f t="shared" si="27"/>
        <v/>
      </c>
      <c r="J627" s="36">
        <f t="shared" si="28"/>
        <v>0</v>
      </c>
      <c r="K627" s="36" t="str">
        <f t="shared" ca="1" si="29"/>
        <v/>
      </c>
    </row>
    <row r="628" spans="3:11" x14ac:dyDescent="0.25">
      <c r="C628" s="53"/>
      <c r="D628" s="54"/>
      <c r="E628" s="55"/>
      <c r="F628" s="54"/>
      <c r="G628" s="56"/>
      <c r="H628" s="56"/>
      <c r="I628" s="36" t="str">
        <f t="shared" si="27"/>
        <v/>
      </c>
      <c r="J628" s="36">
        <f t="shared" si="28"/>
        <v>0</v>
      </c>
      <c r="K628" s="36" t="str">
        <f t="shared" ca="1" si="29"/>
        <v/>
      </c>
    </row>
    <row r="629" spans="3:11" x14ac:dyDescent="0.25">
      <c r="C629" s="53"/>
      <c r="D629" s="54"/>
      <c r="E629" s="55"/>
      <c r="F629" s="54"/>
      <c r="G629" s="56"/>
      <c r="H629" s="56"/>
      <c r="I629" s="36" t="str">
        <f t="shared" si="27"/>
        <v/>
      </c>
      <c r="J629" s="36">
        <f t="shared" si="28"/>
        <v>0</v>
      </c>
      <c r="K629" s="36" t="str">
        <f t="shared" ca="1" si="29"/>
        <v/>
      </c>
    </row>
    <row r="630" spans="3:11" x14ac:dyDescent="0.25">
      <c r="C630" s="53"/>
      <c r="D630" s="54"/>
      <c r="E630" s="55"/>
      <c r="F630" s="54"/>
      <c r="G630" s="56"/>
      <c r="H630" s="56"/>
      <c r="I630" s="36" t="str">
        <f t="shared" si="27"/>
        <v/>
      </c>
      <c r="J630" s="36">
        <f t="shared" si="28"/>
        <v>0</v>
      </c>
      <c r="K630" s="36" t="str">
        <f t="shared" ca="1" si="29"/>
        <v/>
      </c>
    </row>
    <row r="631" spans="3:11" x14ac:dyDescent="0.25">
      <c r="C631" s="53"/>
      <c r="D631" s="54"/>
      <c r="E631" s="55"/>
      <c r="F631" s="54"/>
      <c r="G631" s="56"/>
      <c r="H631" s="56"/>
      <c r="I631" s="36" t="str">
        <f t="shared" si="27"/>
        <v/>
      </c>
      <c r="J631" s="36">
        <f t="shared" si="28"/>
        <v>0</v>
      </c>
      <c r="K631" s="36" t="str">
        <f t="shared" ca="1" si="29"/>
        <v/>
      </c>
    </row>
    <row r="632" spans="3:11" x14ac:dyDescent="0.25">
      <c r="C632" s="53"/>
      <c r="D632" s="54"/>
      <c r="E632" s="55"/>
      <c r="F632" s="54"/>
      <c r="G632" s="56"/>
      <c r="H632" s="56"/>
      <c r="I632" s="36" t="str">
        <f t="shared" si="27"/>
        <v/>
      </c>
      <c r="J632" s="36">
        <f t="shared" si="28"/>
        <v>0</v>
      </c>
      <c r="K632" s="36" t="str">
        <f t="shared" ca="1" si="29"/>
        <v/>
      </c>
    </row>
    <row r="633" spans="3:11" x14ac:dyDescent="0.25">
      <c r="C633" s="53"/>
      <c r="D633" s="54"/>
      <c r="E633" s="55"/>
      <c r="F633" s="54"/>
      <c r="G633" s="56"/>
      <c r="H633" s="56"/>
      <c r="I633" s="36" t="str">
        <f t="shared" si="27"/>
        <v/>
      </c>
      <c r="J633" s="36">
        <f t="shared" si="28"/>
        <v>0</v>
      </c>
      <c r="K633" s="36" t="str">
        <f t="shared" ca="1" si="29"/>
        <v/>
      </c>
    </row>
    <row r="634" spans="3:11" x14ac:dyDescent="0.25">
      <c r="C634" s="53"/>
      <c r="D634" s="54"/>
      <c r="E634" s="55"/>
      <c r="F634" s="54"/>
      <c r="G634" s="56"/>
      <c r="H634" s="56"/>
      <c r="I634" s="36" t="str">
        <f t="shared" si="27"/>
        <v/>
      </c>
      <c r="J634" s="36">
        <f t="shared" si="28"/>
        <v>0</v>
      </c>
      <c r="K634" s="36" t="str">
        <f t="shared" ca="1" si="29"/>
        <v/>
      </c>
    </row>
    <row r="635" spans="3:11" x14ac:dyDescent="0.25">
      <c r="C635" s="53"/>
      <c r="D635" s="54"/>
      <c r="E635" s="55"/>
      <c r="F635" s="54"/>
      <c r="G635" s="56"/>
      <c r="H635" s="56"/>
      <c r="I635" s="36" t="str">
        <f t="shared" si="27"/>
        <v/>
      </c>
      <c r="J635" s="36">
        <f t="shared" si="28"/>
        <v>0</v>
      </c>
      <c r="K635" s="36" t="str">
        <f t="shared" ca="1" si="29"/>
        <v/>
      </c>
    </row>
    <row r="636" spans="3:11" x14ac:dyDescent="0.25">
      <c r="C636" s="53"/>
      <c r="D636" s="54"/>
      <c r="E636" s="55"/>
      <c r="F636" s="54"/>
      <c r="G636" s="56"/>
      <c r="H636" s="56"/>
      <c r="I636" s="36" t="str">
        <f t="shared" si="27"/>
        <v/>
      </c>
      <c r="J636" s="36">
        <f t="shared" si="28"/>
        <v>0</v>
      </c>
      <c r="K636" s="36" t="str">
        <f t="shared" ca="1" si="29"/>
        <v/>
      </c>
    </row>
    <row r="637" spans="3:11" x14ac:dyDescent="0.25">
      <c r="C637" s="53"/>
      <c r="D637" s="54"/>
      <c r="E637" s="55"/>
      <c r="F637" s="54"/>
      <c r="G637" s="56"/>
      <c r="H637" s="56"/>
      <c r="I637" s="36" t="str">
        <f t="shared" si="27"/>
        <v/>
      </c>
      <c r="J637" s="36">
        <f t="shared" si="28"/>
        <v>0</v>
      </c>
      <c r="K637" s="36" t="str">
        <f t="shared" ca="1" si="29"/>
        <v/>
      </c>
    </row>
    <row r="638" spans="3:11" x14ac:dyDescent="0.25">
      <c r="C638" s="53"/>
      <c r="D638" s="54"/>
      <c r="E638" s="55"/>
      <c r="F638" s="54"/>
      <c r="G638" s="56"/>
      <c r="H638" s="56"/>
      <c r="I638" s="36" t="str">
        <f t="shared" si="27"/>
        <v/>
      </c>
      <c r="J638" s="36">
        <f t="shared" si="28"/>
        <v>0</v>
      </c>
      <c r="K638" s="36" t="str">
        <f t="shared" ca="1" si="29"/>
        <v/>
      </c>
    </row>
    <row r="639" spans="3:11" x14ac:dyDescent="0.25">
      <c r="C639" s="53"/>
      <c r="D639" s="54"/>
      <c r="E639" s="55"/>
      <c r="F639" s="54"/>
      <c r="G639" s="56"/>
      <c r="H639" s="56"/>
      <c r="I639" s="36" t="str">
        <f t="shared" si="27"/>
        <v/>
      </c>
      <c r="J639" s="36">
        <f t="shared" si="28"/>
        <v>0</v>
      </c>
      <c r="K639" s="36" t="str">
        <f t="shared" ca="1" si="29"/>
        <v/>
      </c>
    </row>
    <row r="640" spans="3:11" x14ac:dyDescent="0.25">
      <c r="C640" s="53"/>
      <c r="D640" s="54"/>
      <c r="E640" s="55"/>
      <c r="F640" s="54"/>
      <c r="G640" s="56"/>
      <c r="H640" s="56"/>
      <c r="I640" s="36" t="str">
        <f t="shared" si="27"/>
        <v/>
      </c>
      <c r="J640" s="36">
        <f t="shared" si="28"/>
        <v>0</v>
      </c>
      <c r="K640" s="36" t="str">
        <f t="shared" ca="1" si="29"/>
        <v/>
      </c>
    </row>
    <row r="641" spans="3:11" x14ac:dyDescent="0.25">
      <c r="C641" s="53"/>
      <c r="D641" s="54"/>
      <c r="E641" s="55"/>
      <c r="F641" s="54"/>
      <c r="G641" s="56"/>
      <c r="H641" s="56"/>
      <c r="I641" s="36" t="str">
        <f t="shared" si="27"/>
        <v/>
      </c>
      <c r="J641" s="36">
        <f t="shared" si="28"/>
        <v>0</v>
      </c>
      <c r="K641" s="36" t="str">
        <f t="shared" ca="1" si="29"/>
        <v/>
      </c>
    </row>
    <row r="642" spans="3:11" x14ac:dyDescent="0.25">
      <c r="C642" s="53"/>
      <c r="D642" s="54"/>
      <c r="E642" s="55"/>
      <c r="F642" s="54"/>
      <c r="G642" s="56"/>
      <c r="H642" s="56"/>
      <c r="I642" s="36" t="str">
        <f t="shared" si="27"/>
        <v/>
      </c>
      <c r="J642" s="36">
        <f t="shared" si="28"/>
        <v>0</v>
      </c>
      <c r="K642" s="36" t="str">
        <f t="shared" ca="1" si="29"/>
        <v/>
      </c>
    </row>
    <row r="643" spans="3:11" x14ac:dyDescent="0.25">
      <c r="C643" s="53"/>
      <c r="D643" s="54"/>
      <c r="E643" s="55"/>
      <c r="F643" s="54"/>
      <c r="G643" s="56"/>
      <c r="H643" s="56"/>
      <c r="I643" s="36" t="str">
        <f t="shared" si="27"/>
        <v/>
      </c>
      <c r="J643" s="36">
        <f t="shared" si="28"/>
        <v>0</v>
      </c>
      <c r="K643" s="36" t="str">
        <f t="shared" ca="1" si="29"/>
        <v/>
      </c>
    </row>
    <row r="644" spans="3:11" x14ac:dyDescent="0.25">
      <c r="C644" s="53"/>
      <c r="D644" s="54"/>
      <c r="E644" s="55"/>
      <c r="F644" s="54"/>
      <c r="G644" s="56"/>
      <c r="H644" s="56"/>
      <c r="I644" s="36" t="str">
        <f t="shared" si="27"/>
        <v/>
      </c>
      <c r="J644" s="36">
        <f t="shared" si="28"/>
        <v>0</v>
      </c>
      <c r="K644" s="36" t="str">
        <f t="shared" ca="1" si="29"/>
        <v/>
      </c>
    </row>
    <row r="645" spans="3:11" x14ac:dyDescent="0.25">
      <c r="C645" s="53"/>
      <c r="D645" s="54"/>
      <c r="E645" s="55"/>
      <c r="F645" s="54"/>
      <c r="G645" s="56"/>
      <c r="H645" s="56"/>
      <c r="I645" s="36" t="str">
        <f t="shared" si="27"/>
        <v/>
      </c>
      <c r="J645" s="36">
        <f t="shared" si="28"/>
        <v>0</v>
      </c>
      <c r="K645" s="36" t="str">
        <f t="shared" ca="1" si="29"/>
        <v/>
      </c>
    </row>
    <row r="646" spans="3:11" x14ac:dyDescent="0.25">
      <c r="C646" s="53"/>
      <c r="D646" s="54"/>
      <c r="E646" s="55"/>
      <c r="F646" s="54"/>
      <c r="G646" s="56"/>
      <c r="H646" s="56"/>
      <c r="I646" s="36" t="str">
        <f t="shared" si="27"/>
        <v/>
      </c>
      <c r="J646" s="36">
        <f t="shared" si="28"/>
        <v>0</v>
      </c>
      <c r="K646" s="36" t="str">
        <f t="shared" ca="1" si="29"/>
        <v/>
      </c>
    </row>
    <row r="647" spans="3:11" x14ac:dyDescent="0.25">
      <c r="C647" s="53"/>
      <c r="D647" s="54"/>
      <c r="E647" s="55"/>
      <c r="F647" s="54"/>
      <c r="G647" s="56"/>
      <c r="H647" s="56"/>
      <c r="I647" s="36" t="str">
        <f t="shared" si="27"/>
        <v/>
      </c>
      <c r="J647" s="36">
        <f t="shared" si="28"/>
        <v>0</v>
      </c>
      <c r="K647" s="36" t="str">
        <f t="shared" ca="1" si="29"/>
        <v/>
      </c>
    </row>
    <row r="648" spans="3:11" x14ac:dyDescent="0.25">
      <c r="C648" s="53"/>
      <c r="D648" s="54"/>
      <c r="E648" s="55"/>
      <c r="F648" s="54"/>
      <c r="G648" s="56"/>
      <c r="H648" s="56"/>
      <c r="I648" s="36" t="str">
        <f t="shared" si="27"/>
        <v/>
      </c>
      <c r="J648" s="36">
        <f t="shared" si="28"/>
        <v>0</v>
      </c>
      <c r="K648" s="36" t="str">
        <f t="shared" ca="1" si="29"/>
        <v/>
      </c>
    </row>
    <row r="649" spans="3:11" x14ac:dyDescent="0.25">
      <c r="C649" s="53"/>
      <c r="D649" s="54"/>
      <c r="E649" s="55"/>
      <c r="F649" s="54"/>
      <c r="G649" s="56"/>
      <c r="H649" s="56"/>
      <c r="I649" s="36" t="str">
        <f t="shared" si="27"/>
        <v/>
      </c>
      <c r="J649" s="36">
        <f t="shared" si="28"/>
        <v>0</v>
      </c>
      <c r="K649" s="36" t="str">
        <f t="shared" ca="1" si="29"/>
        <v/>
      </c>
    </row>
    <row r="650" spans="3:11" x14ac:dyDescent="0.25">
      <c r="C650" s="53"/>
      <c r="D650" s="54"/>
      <c r="E650" s="55"/>
      <c r="F650" s="54"/>
      <c r="G650" s="56"/>
      <c r="H650" s="56"/>
      <c r="I650" s="36" t="str">
        <f t="shared" si="27"/>
        <v/>
      </c>
      <c r="J650" s="36">
        <f t="shared" si="28"/>
        <v>0</v>
      </c>
      <c r="K650" s="36" t="str">
        <f t="shared" ca="1" si="29"/>
        <v/>
      </c>
    </row>
    <row r="651" spans="3:11" x14ac:dyDescent="0.25">
      <c r="C651" s="53"/>
      <c r="D651" s="54"/>
      <c r="E651" s="55"/>
      <c r="F651" s="54"/>
      <c r="G651" s="56"/>
      <c r="H651" s="56"/>
      <c r="I651" s="36" t="str">
        <f t="shared" si="27"/>
        <v/>
      </c>
      <c r="J651" s="36">
        <f t="shared" si="28"/>
        <v>0</v>
      </c>
      <c r="K651" s="36" t="str">
        <f t="shared" ca="1" si="29"/>
        <v/>
      </c>
    </row>
    <row r="652" spans="3:11" x14ac:dyDescent="0.25">
      <c r="C652" s="53"/>
      <c r="D652" s="54"/>
      <c r="E652" s="55"/>
      <c r="F652" s="54"/>
      <c r="G652" s="56"/>
      <c r="H652" s="56"/>
      <c r="I652" s="36" t="str">
        <f t="shared" si="27"/>
        <v/>
      </c>
      <c r="J652" s="36">
        <f t="shared" si="28"/>
        <v>0</v>
      </c>
      <c r="K652" s="36" t="str">
        <f t="shared" ca="1" si="29"/>
        <v/>
      </c>
    </row>
    <row r="653" spans="3:11" x14ac:dyDescent="0.25">
      <c r="C653" s="53"/>
      <c r="D653" s="54"/>
      <c r="E653" s="55"/>
      <c r="F653" s="54"/>
      <c r="G653" s="56"/>
      <c r="H653" s="56"/>
      <c r="I653" s="36" t="str">
        <f t="shared" si="27"/>
        <v/>
      </c>
      <c r="J653" s="36">
        <f t="shared" si="28"/>
        <v>0</v>
      </c>
      <c r="K653" s="36" t="str">
        <f t="shared" ca="1" si="29"/>
        <v/>
      </c>
    </row>
    <row r="654" spans="3:11" x14ac:dyDescent="0.25">
      <c r="C654" s="53"/>
      <c r="D654" s="54"/>
      <c r="E654" s="55"/>
      <c r="F654" s="54"/>
      <c r="G654" s="56"/>
      <c r="H654" s="56"/>
      <c r="I654" s="36" t="str">
        <f t="shared" si="27"/>
        <v/>
      </c>
      <c r="J654" s="36">
        <f t="shared" si="28"/>
        <v>0</v>
      </c>
      <c r="K654" s="36" t="str">
        <f t="shared" ca="1" si="29"/>
        <v/>
      </c>
    </row>
    <row r="655" spans="3:11" x14ac:dyDescent="0.25">
      <c r="C655" s="53"/>
      <c r="D655" s="54"/>
      <c r="E655" s="55"/>
      <c r="F655" s="54"/>
      <c r="G655" s="56"/>
      <c r="H655" s="56"/>
      <c r="I655" s="36" t="str">
        <f t="shared" si="27"/>
        <v/>
      </c>
      <c r="J655" s="36">
        <f t="shared" si="28"/>
        <v>0</v>
      </c>
      <c r="K655" s="36" t="str">
        <f t="shared" ca="1" si="29"/>
        <v/>
      </c>
    </row>
    <row r="656" spans="3:11" x14ac:dyDescent="0.25">
      <c r="C656" s="53"/>
      <c r="D656" s="54"/>
      <c r="E656" s="55"/>
      <c r="F656" s="54"/>
      <c r="G656" s="56"/>
      <c r="H656" s="56"/>
      <c r="I656" s="36" t="str">
        <f t="shared" ref="I656:I719" si="30">IF(C656="","",IF(H656&lt;=0,"Em aberto",IF(H656&gt;=G656,"Pagamento Total",IF(H656&lt;G656,"Pagamento Parcial"))))</f>
        <v/>
      </c>
      <c r="J656" s="36">
        <f t="shared" ref="J656:J719" si="31">IF(C656&gt;0,G656-H656,0)</f>
        <v>0</v>
      </c>
      <c r="K656" s="36" t="str">
        <f t="shared" ref="K656:K719" ca="1" si="32">IF(ISBLANK(C656),"",IF(H656=G656,"Pago",IF(C656=TODAY(),"Vence Hoje",IF(TRIM(UPPER(G655))&lt;&gt;"S",IF(C656-TODAY()&lt;0,"Vencida",IF(C656-TODAY()&lt;8,"Próximos sete dias","Em aberto"))))))</f>
        <v/>
      </c>
    </row>
    <row r="657" spans="3:11" x14ac:dyDescent="0.25">
      <c r="C657" s="53"/>
      <c r="D657" s="54"/>
      <c r="E657" s="55"/>
      <c r="F657" s="54"/>
      <c r="G657" s="56"/>
      <c r="H657" s="56"/>
      <c r="I657" s="36" t="str">
        <f t="shared" si="30"/>
        <v/>
      </c>
      <c r="J657" s="36">
        <f t="shared" si="31"/>
        <v>0</v>
      </c>
      <c r="K657" s="36" t="str">
        <f t="shared" ca="1" si="32"/>
        <v/>
      </c>
    </row>
    <row r="658" spans="3:11" x14ac:dyDescent="0.25">
      <c r="C658" s="53"/>
      <c r="D658" s="54"/>
      <c r="E658" s="55"/>
      <c r="F658" s="54"/>
      <c r="G658" s="56"/>
      <c r="H658" s="56"/>
      <c r="I658" s="36" t="str">
        <f t="shared" si="30"/>
        <v/>
      </c>
      <c r="J658" s="36">
        <f t="shared" si="31"/>
        <v>0</v>
      </c>
      <c r="K658" s="36" t="str">
        <f t="shared" ca="1" si="32"/>
        <v/>
      </c>
    </row>
    <row r="659" spans="3:11" x14ac:dyDescent="0.25">
      <c r="C659" s="53"/>
      <c r="D659" s="54"/>
      <c r="E659" s="55"/>
      <c r="F659" s="54"/>
      <c r="G659" s="56"/>
      <c r="H659" s="56"/>
      <c r="I659" s="36" t="str">
        <f t="shared" si="30"/>
        <v/>
      </c>
      <c r="J659" s="36">
        <f t="shared" si="31"/>
        <v>0</v>
      </c>
      <c r="K659" s="36" t="str">
        <f t="shared" ca="1" si="32"/>
        <v/>
      </c>
    </row>
    <row r="660" spans="3:11" x14ac:dyDescent="0.25">
      <c r="C660" s="53"/>
      <c r="D660" s="54"/>
      <c r="E660" s="55"/>
      <c r="F660" s="54"/>
      <c r="G660" s="56"/>
      <c r="H660" s="56"/>
      <c r="I660" s="36" t="str">
        <f t="shared" si="30"/>
        <v/>
      </c>
      <c r="J660" s="36">
        <f t="shared" si="31"/>
        <v>0</v>
      </c>
      <c r="K660" s="36" t="str">
        <f t="shared" ca="1" si="32"/>
        <v/>
      </c>
    </row>
    <row r="661" spans="3:11" x14ac:dyDescent="0.25">
      <c r="C661" s="53"/>
      <c r="D661" s="54"/>
      <c r="E661" s="55"/>
      <c r="F661" s="54"/>
      <c r="G661" s="56"/>
      <c r="H661" s="56"/>
      <c r="I661" s="36" t="str">
        <f t="shared" si="30"/>
        <v/>
      </c>
      <c r="J661" s="36">
        <f t="shared" si="31"/>
        <v>0</v>
      </c>
      <c r="K661" s="36" t="str">
        <f t="shared" ca="1" si="32"/>
        <v/>
      </c>
    </row>
    <row r="662" spans="3:11" x14ac:dyDescent="0.25">
      <c r="C662" s="53"/>
      <c r="D662" s="54"/>
      <c r="E662" s="55"/>
      <c r="F662" s="54"/>
      <c r="G662" s="56"/>
      <c r="H662" s="56"/>
      <c r="I662" s="36" t="str">
        <f t="shared" si="30"/>
        <v/>
      </c>
      <c r="J662" s="36">
        <f t="shared" si="31"/>
        <v>0</v>
      </c>
      <c r="K662" s="36" t="str">
        <f t="shared" ca="1" si="32"/>
        <v/>
      </c>
    </row>
    <row r="663" spans="3:11" x14ac:dyDescent="0.25">
      <c r="C663" s="53"/>
      <c r="D663" s="54"/>
      <c r="E663" s="55"/>
      <c r="F663" s="54"/>
      <c r="G663" s="56"/>
      <c r="H663" s="56"/>
      <c r="I663" s="36" t="str">
        <f t="shared" si="30"/>
        <v/>
      </c>
      <c r="J663" s="36">
        <f t="shared" si="31"/>
        <v>0</v>
      </c>
      <c r="K663" s="36" t="str">
        <f t="shared" ca="1" si="32"/>
        <v/>
      </c>
    </row>
    <row r="664" spans="3:11" x14ac:dyDescent="0.25">
      <c r="C664" s="53"/>
      <c r="D664" s="54"/>
      <c r="E664" s="55"/>
      <c r="F664" s="54"/>
      <c r="G664" s="56"/>
      <c r="H664" s="56"/>
      <c r="I664" s="36" t="str">
        <f t="shared" si="30"/>
        <v/>
      </c>
      <c r="J664" s="36">
        <f t="shared" si="31"/>
        <v>0</v>
      </c>
      <c r="K664" s="36" t="str">
        <f t="shared" ca="1" si="32"/>
        <v/>
      </c>
    </row>
    <row r="665" spans="3:11" x14ac:dyDescent="0.25">
      <c r="C665" s="53"/>
      <c r="D665" s="54"/>
      <c r="E665" s="55"/>
      <c r="F665" s="54"/>
      <c r="G665" s="56"/>
      <c r="H665" s="56"/>
      <c r="I665" s="36" t="str">
        <f t="shared" si="30"/>
        <v/>
      </c>
      <c r="J665" s="36">
        <f t="shared" si="31"/>
        <v>0</v>
      </c>
      <c r="K665" s="36" t="str">
        <f t="shared" ca="1" si="32"/>
        <v/>
      </c>
    </row>
    <row r="666" spans="3:11" x14ac:dyDescent="0.25">
      <c r="C666" s="53"/>
      <c r="D666" s="54"/>
      <c r="E666" s="55"/>
      <c r="F666" s="54"/>
      <c r="G666" s="56"/>
      <c r="H666" s="56"/>
      <c r="I666" s="36" t="str">
        <f t="shared" si="30"/>
        <v/>
      </c>
      <c r="J666" s="36">
        <f t="shared" si="31"/>
        <v>0</v>
      </c>
      <c r="K666" s="36" t="str">
        <f t="shared" ca="1" si="32"/>
        <v/>
      </c>
    </row>
    <row r="667" spans="3:11" x14ac:dyDescent="0.25">
      <c r="C667" s="53"/>
      <c r="D667" s="54"/>
      <c r="E667" s="55"/>
      <c r="F667" s="54"/>
      <c r="G667" s="56"/>
      <c r="H667" s="56"/>
      <c r="I667" s="36" t="str">
        <f t="shared" si="30"/>
        <v/>
      </c>
      <c r="J667" s="36">
        <f t="shared" si="31"/>
        <v>0</v>
      </c>
      <c r="K667" s="36" t="str">
        <f t="shared" ca="1" si="32"/>
        <v/>
      </c>
    </row>
    <row r="668" spans="3:11" x14ac:dyDescent="0.25">
      <c r="C668" s="53"/>
      <c r="D668" s="54"/>
      <c r="E668" s="55"/>
      <c r="F668" s="54"/>
      <c r="G668" s="56"/>
      <c r="H668" s="56"/>
      <c r="I668" s="36" t="str">
        <f t="shared" si="30"/>
        <v/>
      </c>
      <c r="J668" s="36">
        <f t="shared" si="31"/>
        <v>0</v>
      </c>
      <c r="K668" s="36" t="str">
        <f t="shared" ca="1" si="32"/>
        <v/>
      </c>
    </row>
    <row r="669" spans="3:11" x14ac:dyDescent="0.25">
      <c r="C669" s="53"/>
      <c r="D669" s="54"/>
      <c r="E669" s="55"/>
      <c r="F669" s="54"/>
      <c r="G669" s="56"/>
      <c r="H669" s="56"/>
      <c r="I669" s="36" t="str">
        <f t="shared" si="30"/>
        <v/>
      </c>
      <c r="J669" s="36">
        <f t="shared" si="31"/>
        <v>0</v>
      </c>
      <c r="K669" s="36" t="str">
        <f t="shared" ca="1" si="32"/>
        <v/>
      </c>
    </row>
    <row r="670" spans="3:11" x14ac:dyDescent="0.25">
      <c r="C670" s="53"/>
      <c r="D670" s="54"/>
      <c r="E670" s="55"/>
      <c r="F670" s="54"/>
      <c r="G670" s="56"/>
      <c r="H670" s="56"/>
      <c r="I670" s="36" t="str">
        <f t="shared" si="30"/>
        <v/>
      </c>
      <c r="J670" s="36">
        <f t="shared" si="31"/>
        <v>0</v>
      </c>
      <c r="K670" s="36" t="str">
        <f t="shared" ca="1" si="32"/>
        <v/>
      </c>
    </row>
    <row r="671" spans="3:11" x14ac:dyDescent="0.25">
      <c r="C671" s="53"/>
      <c r="D671" s="54"/>
      <c r="E671" s="55"/>
      <c r="F671" s="54"/>
      <c r="G671" s="56"/>
      <c r="H671" s="56"/>
      <c r="I671" s="36" t="str">
        <f t="shared" si="30"/>
        <v/>
      </c>
      <c r="J671" s="36">
        <f t="shared" si="31"/>
        <v>0</v>
      </c>
      <c r="K671" s="36" t="str">
        <f t="shared" ca="1" si="32"/>
        <v/>
      </c>
    </row>
    <row r="672" spans="3:11" x14ac:dyDescent="0.25">
      <c r="C672" s="53"/>
      <c r="D672" s="54"/>
      <c r="E672" s="55"/>
      <c r="F672" s="54"/>
      <c r="G672" s="56"/>
      <c r="H672" s="56"/>
      <c r="I672" s="36" t="str">
        <f t="shared" si="30"/>
        <v/>
      </c>
      <c r="J672" s="36">
        <f t="shared" si="31"/>
        <v>0</v>
      </c>
      <c r="K672" s="36" t="str">
        <f t="shared" ca="1" si="32"/>
        <v/>
      </c>
    </row>
    <row r="673" spans="3:11" x14ac:dyDescent="0.25">
      <c r="C673" s="53"/>
      <c r="D673" s="54"/>
      <c r="E673" s="55"/>
      <c r="F673" s="54"/>
      <c r="G673" s="56"/>
      <c r="H673" s="56"/>
      <c r="I673" s="36" t="str">
        <f t="shared" si="30"/>
        <v/>
      </c>
      <c r="J673" s="36">
        <f t="shared" si="31"/>
        <v>0</v>
      </c>
      <c r="K673" s="36" t="str">
        <f t="shared" ca="1" si="32"/>
        <v/>
      </c>
    </row>
    <row r="674" spans="3:11" x14ac:dyDescent="0.25">
      <c r="C674" s="53"/>
      <c r="D674" s="54"/>
      <c r="E674" s="55"/>
      <c r="F674" s="54"/>
      <c r="G674" s="56"/>
      <c r="H674" s="56"/>
      <c r="I674" s="36" t="str">
        <f t="shared" si="30"/>
        <v/>
      </c>
      <c r="J674" s="36">
        <f t="shared" si="31"/>
        <v>0</v>
      </c>
      <c r="K674" s="36" t="str">
        <f t="shared" ca="1" si="32"/>
        <v/>
      </c>
    </row>
    <row r="675" spans="3:11" x14ac:dyDescent="0.25">
      <c r="C675" s="53"/>
      <c r="D675" s="54"/>
      <c r="E675" s="55"/>
      <c r="F675" s="54"/>
      <c r="G675" s="56"/>
      <c r="H675" s="56"/>
      <c r="I675" s="36" t="str">
        <f t="shared" si="30"/>
        <v/>
      </c>
      <c r="J675" s="36">
        <f t="shared" si="31"/>
        <v>0</v>
      </c>
      <c r="K675" s="36" t="str">
        <f t="shared" ca="1" si="32"/>
        <v/>
      </c>
    </row>
    <row r="676" spans="3:11" x14ac:dyDescent="0.25">
      <c r="C676" s="53"/>
      <c r="D676" s="54"/>
      <c r="E676" s="55"/>
      <c r="F676" s="54"/>
      <c r="G676" s="56"/>
      <c r="H676" s="56"/>
      <c r="I676" s="36" t="str">
        <f t="shared" si="30"/>
        <v/>
      </c>
      <c r="J676" s="36">
        <f t="shared" si="31"/>
        <v>0</v>
      </c>
      <c r="K676" s="36" t="str">
        <f t="shared" ca="1" si="32"/>
        <v/>
      </c>
    </row>
    <row r="677" spans="3:11" x14ac:dyDescent="0.25">
      <c r="C677" s="53"/>
      <c r="D677" s="54"/>
      <c r="E677" s="55"/>
      <c r="F677" s="54"/>
      <c r="G677" s="56"/>
      <c r="H677" s="56"/>
      <c r="I677" s="36" t="str">
        <f t="shared" si="30"/>
        <v/>
      </c>
      <c r="J677" s="36">
        <f t="shared" si="31"/>
        <v>0</v>
      </c>
      <c r="K677" s="36" t="str">
        <f t="shared" ca="1" si="32"/>
        <v/>
      </c>
    </row>
    <row r="678" spans="3:11" x14ac:dyDescent="0.25">
      <c r="C678" s="53"/>
      <c r="D678" s="54"/>
      <c r="E678" s="55"/>
      <c r="F678" s="54"/>
      <c r="G678" s="56"/>
      <c r="H678" s="56"/>
      <c r="I678" s="36" t="str">
        <f t="shared" si="30"/>
        <v/>
      </c>
      <c r="J678" s="36">
        <f t="shared" si="31"/>
        <v>0</v>
      </c>
      <c r="K678" s="36" t="str">
        <f t="shared" ca="1" si="32"/>
        <v/>
      </c>
    </row>
    <row r="679" spans="3:11" x14ac:dyDescent="0.25">
      <c r="C679" s="53"/>
      <c r="D679" s="54"/>
      <c r="E679" s="55"/>
      <c r="F679" s="54"/>
      <c r="G679" s="56"/>
      <c r="H679" s="56"/>
      <c r="I679" s="36" t="str">
        <f t="shared" si="30"/>
        <v/>
      </c>
      <c r="J679" s="36">
        <f t="shared" si="31"/>
        <v>0</v>
      </c>
      <c r="K679" s="36" t="str">
        <f t="shared" ca="1" si="32"/>
        <v/>
      </c>
    </row>
    <row r="680" spans="3:11" x14ac:dyDescent="0.25">
      <c r="C680" s="53"/>
      <c r="D680" s="54"/>
      <c r="E680" s="55"/>
      <c r="F680" s="54"/>
      <c r="G680" s="56"/>
      <c r="H680" s="56"/>
      <c r="I680" s="36" t="str">
        <f t="shared" si="30"/>
        <v/>
      </c>
      <c r="J680" s="36">
        <f t="shared" si="31"/>
        <v>0</v>
      </c>
      <c r="K680" s="36" t="str">
        <f t="shared" ca="1" si="32"/>
        <v/>
      </c>
    </row>
    <row r="681" spans="3:11" x14ac:dyDescent="0.25">
      <c r="C681" s="53"/>
      <c r="D681" s="54"/>
      <c r="E681" s="55"/>
      <c r="F681" s="54"/>
      <c r="G681" s="56"/>
      <c r="H681" s="56"/>
      <c r="I681" s="36" t="str">
        <f t="shared" si="30"/>
        <v/>
      </c>
      <c r="J681" s="36">
        <f t="shared" si="31"/>
        <v>0</v>
      </c>
      <c r="K681" s="36" t="str">
        <f t="shared" ca="1" si="32"/>
        <v/>
      </c>
    </row>
    <row r="682" spans="3:11" x14ac:dyDescent="0.25">
      <c r="C682" s="53"/>
      <c r="D682" s="54"/>
      <c r="E682" s="55"/>
      <c r="F682" s="54"/>
      <c r="G682" s="56"/>
      <c r="H682" s="56"/>
      <c r="I682" s="36" t="str">
        <f t="shared" si="30"/>
        <v/>
      </c>
      <c r="J682" s="36">
        <f t="shared" si="31"/>
        <v>0</v>
      </c>
      <c r="K682" s="36" t="str">
        <f t="shared" ca="1" si="32"/>
        <v/>
      </c>
    </row>
    <row r="683" spans="3:11" x14ac:dyDescent="0.25">
      <c r="C683" s="53"/>
      <c r="D683" s="54"/>
      <c r="E683" s="55"/>
      <c r="F683" s="54"/>
      <c r="G683" s="56"/>
      <c r="H683" s="56"/>
      <c r="I683" s="36" t="str">
        <f t="shared" si="30"/>
        <v/>
      </c>
      <c r="J683" s="36">
        <f t="shared" si="31"/>
        <v>0</v>
      </c>
      <c r="K683" s="36" t="str">
        <f t="shared" ca="1" si="32"/>
        <v/>
      </c>
    </row>
    <row r="684" spans="3:11" x14ac:dyDescent="0.25">
      <c r="C684" s="53"/>
      <c r="D684" s="54"/>
      <c r="E684" s="55"/>
      <c r="F684" s="54"/>
      <c r="G684" s="56"/>
      <c r="H684" s="56"/>
      <c r="I684" s="36" t="str">
        <f t="shared" si="30"/>
        <v/>
      </c>
      <c r="J684" s="36">
        <f t="shared" si="31"/>
        <v>0</v>
      </c>
      <c r="K684" s="36" t="str">
        <f t="shared" ca="1" si="32"/>
        <v/>
      </c>
    </row>
    <row r="685" spans="3:11" x14ac:dyDescent="0.25">
      <c r="C685" s="53"/>
      <c r="D685" s="54"/>
      <c r="E685" s="55"/>
      <c r="F685" s="54"/>
      <c r="G685" s="56"/>
      <c r="H685" s="56"/>
      <c r="I685" s="36" t="str">
        <f t="shared" si="30"/>
        <v/>
      </c>
      <c r="J685" s="36">
        <f t="shared" si="31"/>
        <v>0</v>
      </c>
      <c r="K685" s="36" t="str">
        <f t="shared" ca="1" si="32"/>
        <v/>
      </c>
    </row>
    <row r="686" spans="3:11" x14ac:dyDescent="0.25">
      <c r="C686" s="53"/>
      <c r="D686" s="54"/>
      <c r="E686" s="55"/>
      <c r="F686" s="54"/>
      <c r="G686" s="56"/>
      <c r="H686" s="56"/>
      <c r="I686" s="36" t="str">
        <f t="shared" si="30"/>
        <v/>
      </c>
      <c r="J686" s="36">
        <f t="shared" si="31"/>
        <v>0</v>
      </c>
      <c r="K686" s="36" t="str">
        <f t="shared" ca="1" si="32"/>
        <v/>
      </c>
    </row>
    <row r="687" spans="3:11" x14ac:dyDescent="0.25">
      <c r="C687" s="53"/>
      <c r="D687" s="54"/>
      <c r="E687" s="55"/>
      <c r="F687" s="54"/>
      <c r="G687" s="56"/>
      <c r="H687" s="56"/>
      <c r="I687" s="36" t="str">
        <f t="shared" si="30"/>
        <v/>
      </c>
      <c r="J687" s="36">
        <f t="shared" si="31"/>
        <v>0</v>
      </c>
      <c r="K687" s="36" t="str">
        <f t="shared" ca="1" si="32"/>
        <v/>
      </c>
    </row>
    <row r="688" spans="3:11" x14ac:dyDescent="0.25">
      <c r="C688" s="53"/>
      <c r="D688" s="54"/>
      <c r="E688" s="55"/>
      <c r="F688" s="54"/>
      <c r="G688" s="56"/>
      <c r="H688" s="56"/>
      <c r="I688" s="36" t="str">
        <f t="shared" si="30"/>
        <v/>
      </c>
      <c r="J688" s="36">
        <f t="shared" si="31"/>
        <v>0</v>
      </c>
      <c r="K688" s="36" t="str">
        <f t="shared" ca="1" si="32"/>
        <v/>
      </c>
    </row>
    <row r="689" spans="3:11" x14ac:dyDescent="0.25">
      <c r="C689" s="53"/>
      <c r="D689" s="54"/>
      <c r="E689" s="55"/>
      <c r="F689" s="54"/>
      <c r="G689" s="56"/>
      <c r="H689" s="56"/>
      <c r="I689" s="36" t="str">
        <f t="shared" si="30"/>
        <v/>
      </c>
      <c r="J689" s="36">
        <f t="shared" si="31"/>
        <v>0</v>
      </c>
      <c r="K689" s="36" t="str">
        <f t="shared" ca="1" si="32"/>
        <v/>
      </c>
    </row>
    <row r="690" spans="3:11" x14ac:dyDescent="0.25">
      <c r="C690" s="53"/>
      <c r="D690" s="54"/>
      <c r="E690" s="55"/>
      <c r="F690" s="54"/>
      <c r="G690" s="56"/>
      <c r="H690" s="56"/>
      <c r="I690" s="36" t="str">
        <f t="shared" si="30"/>
        <v/>
      </c>
      <c r="J690" s="36">
        <f t="shared" si="31"/>
        <v>0</v>
      </c>
      <c r="K690" s="36" t="str">
        <f t="shared" ca="1" si="32"/>
        <v/>
      </c>
    </row>
    <row r="691" spans="3:11" x14ac:dyDescent="0.25">
      <c r="C691" s="53"/>
      <c r="D691" s="54"/>
      <c r="E691" s="55"/>
      <c r="F691" s="54"/>
      <c r="G691" s="56"/>
      <c r="H691" s="56"/>
      <c r="I691" s="36" t="str">
        <f t="shared" si="30"/>
        <v/>
      </c>
      <c r="J691" s="36">
        <f t="shared" si="31"/>
        <v>0</v>
      </c>
      <c r="K691" s="36" t="str">
        <f t="shared" ca="1" si="32"/>
        <v/>
      </c>
    </row>
    <row r="692" spans="3:11" x14ac:dyDescent="0.25">
      <c r="C692" s="53"/>
      <c r="D692" s="54"/>
      <c r="E692" s="55"/>
      <c r="F692" s="54"/>
      <c r="G692" s="56"/>
      <c r="H692" s="56"/>
      <c r="I692" s="36" t="str">
        <f t="shared" si="30"/>
        <v/>
      </c>
      <c r="J692" s="36">
        <f t="shared" si="31"/>
        <v>0</v>
      </c>
      <c r="K692" s="36" t="str">
        <f t="shared" ca="1" si="32"/>
        <v/>
      </c>
    </row>
    <row r="693" spans="3:11" x14ac:dyDescent="0.25">
      <c r="C693" s="53"/>
      <c r="D693" s="54"/>
      <c r="E693" s="55"/>
      <c r="F693" s="54"/>
      <c r="G693" s="56"/>
      <c r="H693" s="56"/>
      <c r="I693" s="36" t="str">
        <f t="shared" si="30"/>
        <v/>
      </c>
      <c r="J693" s="36">
        <f t="shared" si="31"/>
        <v>0</v>
      </c>
      <c r="K693" s="36" t="str">
        <f t="shared" ca="1" si="32"/>
        <v/>
      </c>
    </row>
    <row r="694" spans="3:11" x14ac:dyDescent="0.25">
      <c r="C694" s="53"/>
      <c r="D694" s="54"/>
      <c r="E694" s="55"/>
      <c r="F694" s="54"/>
      <c r="G694" s="56"/>
      <c r="H694" s="56"/>
      <c r="I694" s="36" t="str">
        <f t="shared" si="30"/>
        <v/>
      </c>
      <c r="J694" s="36">
        <f t="shared" si="31"/>
        <v>0</v>
      </c>
      <c r="K694" s="36" t="str">
        <f t="shared" ca="1" si="32"/>
        <v/>
      </c>
    </row>
    <row r="695" spans="3:11" x14ac:dyDescent="0.25">
      <c r="C695" s="53"/>
      <c r="D695" s="54"/>
      <c r="E695" s="55"/>
      <c r="F695" s="54"/>
      <c r="G695" s="56"/>
      <c r="H695" s="56"/>
      <c r="I695" s="36" t="str">
        <f t="shared" si="30"/>
        <v/>
      </c>
      <c r="J695" s="36">
        <f t="shared" si="31"/>
        <v>0</v>
      </c>
      <c r="K695" s="36" t="str">
        <f t="shared" ca="1" si="32"/>
        <v/>
      </c>
    </row>
    <row r="696" spans="3:11" x14ac:dyDescent="0.25">
      <c r="C696" s="53"/>
      <c r="D696" s="54"/>
      <c r="E696" s="55"/>
      <c r="F696" s="54"/>
      <c r="G696" s="56"/>
      <c r="H696" s="56"/>
      <c r="I696" s="36" t="str">
        <f t="shared" si="30"/>
        <v/>
      </c>
      <c r="J696" s="36">
        <f t="shared" si="31"/>
        <v>0</v>
      </c>
      <c r="K696" s="36" t="str">
        <f t="shared" ca="1" si="32"/>
        <v/>
      </c>
    </row>
    <row r="697" spans="3:11" x14ac:dyDescent="0.25">
      <c r="C697" s="53"/>
      <c r="D697" s="54"/>
      <c r="E697" s="55"/>
      <c r="F697" s="54"/>
      <c r="G697" s="56"/>
      <c r="H697" s="56"/>
      <c r="I697" s="36" t="str">
        <f t="shared" si="30"/>
        <v/>
      </c>
      <c r="J697" s="36">
        <f t="shared" si="31"/>
        <v>0</v>
      </c>
      <c r="K697" s="36" t="str">
        <f t="shared" ca="1" si="32"/>
        <v/>
      </c>
    </row>
    <row r="698" spans="3:11" x14ac:dyDescent="0.25">
      <c r="C698" s="53"/>
      <c r="D698" s="54"/>
      <c r="E698" s="55"/>
      <c r="F698" s="54"/>
      <c r="G698" s="56"/>
      <c r="H698" s="56"/>
      <c r="I698" s="36" t="str">
        <f t="shared" si="30"/>
        <v/>
      </c>
      <c r="J698" s="36">
        <f t="shared" si="31"/>
        <v>0</v>
      </c>
      <c r="K698" s="36" t="str">
        <f t="shared" ca="1" si="32"/>
        <v/>
      </c>
    </row>
    <row r="699" spans="3:11" x14ac:dyDescent="0.25">
      <c r="C699" s="53"/>
      <c r="D699" s="54"/>
      <c r="E699" s="55"/>
      <c r="F699" s="54"/>
      <c r="G699" s="56"/>
      <c r="H699" s="56"/>
      <c r="I699" s="36" t="str">
        <f t="shared" si="30"/>
        <v/>
      </c>
      <c r="J699" s="36">
        <f t="shared" si="31"/>
        <v>0</v>
      </c>
      <c r="K699" s="36" t="str">
        <f t="shared" ca="1" si="32"/>
        <v/>
      </c>
    </row>
    <row r="700" spans="3:11" x14ac:dyDescent="0.25">
      <c r="C700" s="53"/>
      <c r="D700" s="54"/>
      <c r="E700" s="55"/>
      <c r="F700" s="54"/>
      <c r="G700" s="56"/>
      <c r="H700" s="56"/>
      <c r="I700" s="36" t="str">
        <f t="shared" si="30"/>
        <v/>
      </c>
      <c r="J700" s="36">
        <f t="shared" si="31"/>
        <v>0</v>
      </c>
      <c r="K700" s="36" t="str">
        <f t="shared" ca="1" si="32"/>
        <v/>
      </c>
    </row>
    <row r="701" spans="3:11" x14ac:dyDescent="0.25">
      <c r="C701" s="53"/>
      <c r="D701" s="54"/>
      <c r="E701" s="55"/>
      <c r="F701" s="54"/>
      <c r="G701" s="56"/>
      <c r="H701" s="56"/>
      <c r="I701" s="36" t="str">
        <f t="shared" si="30"/>
        <v/>
      </c>
      <c r="J701" s="36">
        <f t="shared" si="31"/>
        <v>0</v>
      </c>
      <c r="K701" s="36" t="str">
        <f t="shared" ca="1" si="32"/>
        <v/>
      </c>
    </row>
    <row r="702" spans="3:11" x14ac:dyDescent="0.25">
      <c r="C702" s="53"/>
      <c r="D702" s="54"/>
      <c r="E702" s="55"/>
      <c r="F702" s="54"/>
      <c r="G702" s="56"/>
      <c r="H702" s="56"/>
      <c r="I702" s="36" t="str">
        <f t="shared" si="30"/>
        <v/>
      </c>
      <c r="J702" s="36">
        <f t="shared" si="31"/>
        <v>0</v>
      </c>
      <c r="K702" s="36" t="str">
        <f t="shared" ca="1" si="32"/>
        <v/>
      </c>
    </row>
    <row r="703" spans="3:11" x14ac:dyDescent="0.25">
      <c r="C703" s="53"/>
      <c r="D703" s="54"/>
      <c r="E703" s="55"/>
      <c r="F703" s="54"/>
      <c r="G703" s="56"/>
      <c r="H703" s="56"/>
      <c r="I703" s="36" t="str">
        <f t="shared" si="30"/>
        <v/>
      </c>
      <c r="J703" s="36">
        <f t="shared" si="31"/>
        <v>0</v>
      </c>
      <c r="K703" s="36" t="str">
        <f t="shared" ca="1" si="32"/>
        <v/>
      </c>
    </row>
    <row r="704" spans="3:11" x14ac:dyDescent="0.25">
      <c r="C704" s="53"/>
      <c r="D704" s="54"/>
      <c r="E704" s="55"/>
      <c r="F704" s="54"/>
      <c r="G704" s="56"/>
      <c r="H704" s="56"/>
      <c r="I704" s="36" t="str">
        <f t="shared" si="30"/>
        <v/>
      </c>
      <c r="J704" s="36">
        <f t="shared" si="31"/>
        <v>0</v>
      </c>
      <c r="K704" s="36" t="str">
        <f t="shared" ca="1" si="32"/>
        <v/>
      </c>
    </row>
    <row r="705" spans="3:11" x14ac:dyDescent="0.25">
      <c r="C705" s="53"/>
      <c r="D705" s="54"/>
      <c r="E705" s="55"/>
      <c r="F705" s="54"/>
      <c r="G705" s="56"/>
      <c r="H705" s="56"/>
      <c r="I705" s="36" t="str">
        <f t="shared" si="30"/>
        <v/>
      </c>
      <c r="J705" s="36">
        <f t="shared" si="31"/>
        <v>0</v>
      </c>
      <c r="K705" s="36" t="str">
        <f t="shared" ca="1" si="32"/>
        <v/>
      </c>
    </row>
    <row r="706" spans="3:11" x14ac:dyDescent="0.25">
      <c r="C706" s="53"/>
      <c r="D706" s="54"/>
      <c r="E706" s="55"/>
      <c r="F706" s="54"/>
      <c r="G706" s="56"/>
      <c r="H706" s="56"/>
      <c r="I706" s="36" t="str">
        <f t="shared" si="30"/>
        <v/>
      </c>
      <c r="J706" s="36">
        <f t="shared" si="31"/>
        <v>0</v>
      </c>
      <c r="K706" s="36" t="str">
        <f t="shared" ca="1" si="32"/>
        <v/>
      </c>
    </row>
    <row r="707" spans="3:11" x14ac:dyDescent="0.25">
      <c r="C707" s="53"/>
      <c r="D707" s="54"/>
      <c r="E707" s="55"/>
      <c r="F707" s="54"/>
      <c r="G707" s="56"/>
      <c r="H707" s="56"/>
      <c r="I707" s="36" t="str">
        <f t="shared" si="30"/>
        <v/>
      </c>
      <c r="J707" s="36">
        <f t="shared" si="31"/>
        <v>0</v>
      </c>
      <c r="K707" s="36" t="str">
        <f t="shared" ca="1" si="32"/>
        <v/>
      </c>
    </row>
    <row r="708" spans="3:11" x14ac:dyDescent="0.25">
      <c r="C708" s="53"/>
      <c r="D708" s="54"/>
      <c r="E708" s="55"/>
      <c r="F708" s="54"/>
      <c r="G708" s="56"/>
      <c r="H708" s="56"/>
      <c r="I708" s="36" t="str">
        <f t="shared" si="30"/>
        <v/>
      </c>
      <c r="J708" s="36">
        <f t="shared" si="31"/>
        <v>0</v>
      </c>
      <c r="K708" s="36" t="str">
        <f t="shared" ca="1" si="32"/>
        <v/>
      </c>
    </row>
    <row r="709" spans="3:11" x14ac:dyDescent="0.25">
      <c r="C709" s="53"/>
      <c r="D709" s="54"/>
      <c r="E709" s="55"/>
      <c r="F709" s="54"/>
      <c r="G709" s="56"/>
      <c r="H709" s="56"/>
      <c r="I709" s="36" t="str">
        <f t="shared" si="30"/>
        <v/>
      </c>
      <c r="J709" s="36">
        <f t="shared" si="31"/>
        <v>0</v>
      </c>
      <c r="K709" s="36" t="str">
        <f t="shared" ca="1" si="32"/>
        <v/>
      </c>
    </row>
    <row r="710" spans="3:11" x14ac:dyDescent="0.25">
      <c r="C710" s="53"/>
      <c r="D710" s="54"/>
      <c r="E710" s="55"/>
      <c r="F710" s="54"/>
      <c r="G710" s="56"/>
      <c r="H710" s="56"/>
      <c r="I710" s="36" t="str">
        <f t="shared" si="30"/>
        <v/>
      </c>
      <c r="J710" s="36">
        <f t="shared" si="31"/>
        <v>0</v>
      </c>
      <c r="K710" s="36" t="str">
        <f t="shared" ca="1" si="32"/>
        <v/>
      </c>
    </row>
    <row r="711" spans="3:11" x14ac:dyDescent="0.25">
      <c r="C711" s="53"/>
      <c r="D711" s="54"/>
      <c r="E711" s="55"/>
      <c r="F711" s="54"/>
      <c r="G711" s="56"/>
      <c r="H711" s="56"/>
      <c r="I711" s="36" t="str">
        <f t="shared" si="30"/>
        <v/>
      </c>
      <c r="J711" s="36">
        <f t="shared" si="31"/>
        <v>0</v>
      </c>
      <c r="K711" s="36" t="str">
        <f t="shared" ca="1" si="32"/>
        <v/>
      </c>
    </row>
    <row r="712" spans="3:11" x14ac:dyDescent="0.25">
      <c r="C712" s="53"/>
      <c r="D712" s="54"/>
      <c r="E712" s="55"/>
      <c r="F712" s="54"/>
      <c r="G712" s="56"/>
      <c r="H712" s="56"/>
      <c r="I712" s="36" t="str">
        <f t="shared" si="30"/>
        <v/>
      </c>
      <c r="J712" s="36">
        <f t="shared" si="31"/>
        <v>0</v>
      </c>
      <c r="K712" s="36" t="str">
        <f t="shared" ca="1" si="32"/>
        <v/>
      </c>
    </row>
    <row r="713" spans="3:11" x14ac:dyDescent="0.25">
      <c r="C713" s="53"/>
      <c r="D713" s="54"/>
      <c r="E713" s="55"/>
      <c r="F713" s="54"/>
      <c r="G713" s="56"/>
      <c r="H713" s="56"/>
      <c r="I713" s="36" t="str">
        <f t="shared" si="30"/>
        <v/>
      </c>
      <c r="J713" s="36">
        <f t="shared" si="31"/>
        <v>0</v>
      </c>
      <c r="K713" s="36" t="str">
        <f t="shared" ca="1" si="32"/>
        <v/>
      </c>
    </row>
    <row r="714" spans="3:11" x14ac:dyDescent="0.25">
      <c r="C714" s="53"/>
      <c r="D714" s="54"/>
      <c r="E714" s="55"/>
      <c r="F714" s="54"/>
      <c r="G714" s="56"/>
      <c r="H714" s="56"/>
      <c r="I714" s="36" t="str">
        <f t="shared" si="30"/>
        <v/>
      </c>
      <c r="J714" s="36">
        <f t="shared" si="31"/>
        <v>0</v>
      </c>
      <c r="K714" s="36" t="str">
        <f t="shared" ca="1" si="32"/>
        <v/>
      </c>
    </row>
    <row r="715" spans="3:11" x14ac:dyDescent="0.25">
      <c r="C715" s="53"/>
      <c r="D715" s="54"/>
      <c r="E715" s="55"/>
      <c r="F715" s="54"/>
      <c r="G715" s="56"/>
      <c r="H715" s="56"/>
      <c r="I715" s="36" t="str">
        <f t="shared" si="30"/>
        <v/>
      </c>
      <c r="J715" s="36">
        <f t="shared" si="31"/>
        <v>0</v>
      </c>
      <c r="K715" s="36" t="str">
        <f t="shared" ca="1" si="32"/>
        <v/>
      </c>
    </row>
    <row r="716" spans="3:11" x14ac:dyDescent="0.25">
      <c r="C716" s="53"/>
      <c r="D716" s="54"/>
      <c r="E716" s="55"/>
      <c r="F716" s="54"/>
      <c r="G716" s="56"/>
      <c r="H716" s="56"/>
      <c r="I716" s="36" t="str">
        <f t="shared" si="30"/>
        <v/>
      </c>
      <c r="J716" s="36">
        <f t="shared" si="31"/>
        <v>0</v>
      </c>
      <c r="K716" s="36" t="str">
        <f t="shared" ca="1" si="32"/>
        <v/>
      </c>
    </row>
    <row r="717" spans="3:11" x14ac:dyDescent="0.25">
      <c r="C717" s="53"/>
      <c r="D717" s="54"/>
      <c r="E717" s="55"/>
      <c r="F717" s="54"/>
      <c r="G717" s="56"/>
      <c r="H717" s="56"/>
      <c r="I717" s="36" t="str">
        <f t="shared" si="30"/>
        <v/>
      </c>
      <c r="J717" s="36">
        <f t="shared" si="31"/>
        <v>0</v>
      </c>
      <c r="K717" s="36" t="str">
        <f t="shared" ca="1" si="32"/>
        <v/>
      </c>
    </row>
    <row r="718" spans="3:11" x14ac:dyDescent="0.25">
      <c r="C718" s="53"/>
      <c r="D718" s="54"/>
      <c r="E718" s="55"/>
      <c r="F718" s="54"/>
      <c r="G718" s="56"/>
      <c r="H718" s="56"/>
      <c r="I718" s="36" t="str">
        <f t="shared" si="30"/>
        <v/>
      </c>
      <c r="J718" s="36">
        <f t="shared" si="31"/>
        <v>0</v>
      </c>
      <c r="K718" s="36" t="str">
        <f t="shared" ca="1" si="32"/>
        <v/>
      </c>
    </row>
    <row r="719" spans="3:11" x14ac:dyDescent="0.25">
      <c r="C719" s="53"/>
      <c r="D719" s="54"/>
      <c r="E719" s="55"/>
      <c r="F719" s="54"/>
      <c r="G719" s="56"/>
      <c r="H719" s="56"/>
      <c r="I719" s="36" t="str">
        <f t="shared" si="30"/>
        <v/>
      </c>
      <c r="J719" s="36">
        <f t="shared" si="31"/>
        <v>0</v>
      </c>
      <c r="K719" s="36" t="str">
        <f t="shared" ca="1" si="32"/>
        <v/>
      </c>
    </row>
    <row r="720" spans="3:11" x14ac:dyDescent="0.25">
      <c r="C720" s="53"/>
      <c r="D720" s="54"/>
      <c r="E720" s="55"/>
      <c r="F720" s="54"/>
      <c r="G720" s="56"/>
      <c r="H720" s="56"/>
      <c r="I720" s="36" t="str">
        <f t="shared" ref="I720:I775" si="33">IF(C720="","",IF(H720&lt;=0,"Em aberto",IF(H720&gt;=G720,"Pagamento Total",IF(H720&lt;G720,"Pagamento Parcial"))))</f>
        <v/>
      </c>
      <c r="J720" s="36">
        <f t="shared" ref="J720:J775" si="34">IF(C720&gt;0,G720-H720,0)</f>
        <v>0</v>
      </c>
      <c r="K720" s="36" t="str">
        <f t="shared" ref="K720:K775" ca="1" si="35">IF(ISBLANK(C720),"",IF(H720=G720,"Pago",IF(C720=TODAY(),"Vence Hoje",IF(TRIM(UPPER(G719))&lt;&gt;"S",IF(C720-TODAY()&lt;0,"Vencida",IF(C720-TODAY()&lt;8,"Próximos sete dias","Em aberto"))))))</f>
        <v/>
      </c>
    </row>
    <row r="721" spans="3:11" x14ac:dyDescent="0.25">
      <c r="C721" s="53"/>
      <c r="D721" s="54"/>
      <c r="E721" s="55"/>
      <c r="F721" s="54"/>
      <c r="G721" s="56"/>
      <c r="H721" s="56"/>
      <c r="I721" s="36" t="str">
        <f t="shared" si="33"/>
        <v/>
      </c>
      <c r="J721" s="36">
        <f t="shared" si="34"/>
        <v>0</v>
      </c>
      <c r="K721" s="36" t="str">
        <f t="shared" ca="1" si="35"/>
        <v/>
      </c>
    </row>
    <row r="722" spans="3:11" x14ac:dyDescent="0.25">
      <c r="C722" s="53"/>
      <c r="D722" s="54"/>
      <c r="E722" s="55"/>
      <c r="F722" s="54"/>
      <c r="G722" s="56"/>
      <c r="H722" s="56"/>
      <c r="I722" s="36" t="str">
        <f t="shared" si="33"/>
        <v/>
      </c>
      <c r="J722" s="36">
        <f t="shared" si="34"/>
        <v>0</v>
      </c>
      <c r="K722" s="36" t="str">
        <f t="shared" ca="1" si="35"/>
        <v/>
      </c>
    </row>
    <row r="723" spans="3:11" x14ac:dyDescent="0.25">
      <c r="C723" s="53"/>
      <c r="D723" s="54"/>
      <c r="E723" s="55"/>
      <c r="F723" s="54"/>
      <c r="G723" s="56"/>
      <c r="H723" s="56"/>
      <c r="I723" s="36" t="str">
        <f t="shared" si="33"/>
        <v/>
      </c>
      <c r="J723" s="36">
        <f t="shared" si="34"/>
        <v>0</v>
      </c>
      <c r="K723" s="36" t="str">
        <f t="shared" ca="1" si="35"/>
        <v/>
      </c>
    </row>
    <row r="724" spans="3:11" x14ac:dyDescent="0.25">
      <c r="C724" s="53"/>
      <c r="D724" s="54"/>
      <c r="E724" s="55"/>
      <c r="F724" s="54"/>
      <c r="G724" s="56"/>
      <c r="H724" s="56"/>
      <c r="I724" s="36" t="str">
        <f t="shared" si="33"/>
        <v/>
      </c>
      <c r="J724" s="36">
        <f t="shared" si="34"/>
        <v>0</v>
      </c>
      <c r="K724" s="36" t="str">
        <f t="shared" ca="1" si="35"/>
        <v/>
      </c>
    </row>
    <row r="725" spans="3:11" x14ac:dyDescent="0.25">
      <c r="C725" s="53"/>
      <c r="D725" s="54"/>
      <c r="E725" s="55"/>
      <c r="F725" s="54"/>
      <c r="G725" s="56"/>
      <c r="H725" s="56"/>
      <c r="I725" s="36" t="str">
        <f t="shared" si="33"/>
        <v/>
      </c>
      <c r="J725" s="36">
        <f t="shared" si="34"/>
        <v>0</v>
      </c>
      <c r="K725" s="36" t="str">
        <f t="shared" ca="1" si="35"/>
        <v/>
      </c>
    </row>
    <row r="726" spans="3:11" x14ac:dyDescent="0.25">
      <c r="C726" s="53"/>
      <c r="D726" s="54"/>
      <c r="E726" s="55"/>
      <c r="F726" s="54"/>
      <c r="G726" s="56"/>
      <c r="H726" s="56"/>
      <c r="I726" s="36" t="str">
        <f t="shared" si="33"/>
        <v/>
      </c>
      <c r="J726" s="36">
        <f t="shared" si="34"/>
        <v>0</v>
      </c>
      <c r="K726" s="36" t="str">
        <f t="shared" ca="1" si="35"/>
        <v/>
      </c>
    </row>
    <row r="727" spans="3:11" x14ac:dyDescent="0.25">
      <c r="C727" s="53"/>
      <c r="D727" s="54"/>
      <c r="E727" s="55"/>
      <c r="F727" s="54"/>
      <c r="G727" s="56"/>
      <c r="H727" s="56"/>
      <c r="I727" s="36" t="str">
        <f t="shared" si="33"/>
        <v/>
      </c>
      <c r="J727" s="36">
        <f t="shared" si="34"/>
        <v>0</v>
      </c>
      <c r="K727" s="36" t="str">
        <f t="shared" ca="1" si="35"/>
        <v/>
      </c>
    </row>
    <row r="728" spans="3:11" x14ac:dyDescent="0.25">
      <c r="C728" s="53"/>
      <c r="D728" s="54"/>
      <c r="E728" s="55"/>
      <c r="F728" s="54"/>
      <c r="G728" s="56"/>
      <c r="H728" s="56"/>
      <c r="I728" s="36" t="str">
        <f t="shared" si="33"/>
        <v/>
      </c>
      <c r="J728" s="36">
        <f t="shared" si="34"/>
        <v>0</v>
      </c>
      <c r="K728" s="36" t="str">
        <f t="shared" ca="1" si="35"/>
        <v/>
      </c>
    </row>
    <row r="729" spans="3:11" x14ac:dyDescent="0.25">
      <c r="C729" s="53"/>
      <c r="D729" s="54"/>
      <c r="E729" s="55"/>
      <c r="F729" s="54"/>
      <c r="G729" s="56"/>
      <c r="H729" s="56"/>
      <c r="I729" s="36" t="str">
        <f t="shared" si="33"/>
        <v/>
      </c>
      <c r="J729" s="36">
        <f t="shared" si="34"/>
        <v>0</v>
      </c>
      <c r="K729" s="36" t="str">
        <f t="shared" ca="1" si="35"/>
        <v/>
      </c>
    </row>
    <row r="730" spans="3:11" x14ac:dyDescent="0.25">
      <c r="C730" s="53"/>
      <c r="D730" s="54"/>
      <c r="E730" s="55"/>
      <c r="F730" s="54"/>
      <c r="G730" s="56"/>
      <c r="H730" s="56"/>
      <c r="I730" s="36" t="str">
        <f t="shared" si="33"/>
        <v/>
      </c>
      <c r="J730" s="36">
        <f t="shared" si="34"/>
        <v>0</v>
      </c>
      <c r="K730" s="36" t="str">
        <f t="shared" ca="1" si="35"/>
        <v/>
      </c>
    </row>
    <row r="731" spans="3:11" x14ac:dyDescent="0.25">
      <c r="C731" s="53"/>
      <c r="D731" s="54"/>
      <c r="E731" s="55"/>
      <c r="F731" s="54"/>
      <c r="G731" s="56"/>
      <c r="H731" s="56"/>
      <c r="I731" s="36" t="str">
        <f t="shared" si="33"/>
        <v/>
      </c>
      <c r="J731" s="36">
        <f t="shared" si="34"/>
        <v>0</v>
      </c>
      <c r="K731" s="36" t="str">
        <f t="shared" ca="1" si="35"/>
        <v/>
      </c>
    </row>
    <row r="732" spans="3:11" x14ac:dyDescent="0.25">
      <c r="C732" s="53"/>
      <c r="D732" s="54"/>
      <c r="E732" s="55"/>
      <c r="F732" s="54"/>
      <c r="G732" s="56"/>
      <c r="H732" s="56"/>
      <c r="I732" s="36" t="str">
        <f t="shared" si="33"/>
        <v/>
      </c>
      <c r="J732" s="36">
        <f t="shared" si="34"/>
        <v>0</v>
      </c>
      <c r="K732" s="36" t="str">
        <f t="shared" ca="1" si="35"/>
        <v/>
      </c>
    </row>
    <row r="733" spans="3:11" x14ac:dyDescent="0.25">
      <c r="C733" s="53"/>
      <c r="D733" s="54"/>
      <c r="E733" s="55"/>
      <c r="F733" s="54"/>
      <c r="G733" s="56"/>
      <c r="H733" s="56"/>
      <c r="I733" s="36" t="str">
        <f t="shared" si="33"/>
        <v/>
      </c>
      <c r="J733" s="36">
        <f t="shared" si="34"/>
        <v>0</v>
      </c>
      <c r="K733" s="36" t="str">
        <f t="shared" ca="1" si="35"/>
        <v/>
      </c>
    </row>
    <row r="734" spans="3:11" x14ac:dyDescent="0.25">
      <c r="C734" s="53"/>
      <c r="D734" s="54"/>
      <c r="E734" s="55"/>
      <c r="F734" s="54"/>
      <c r="G734" s="56"/>
      <c r="H734" s="56"/>
      <c r="I734" s="36" t="str">
        <f t="shared" si="33"/>
        <v/>
      </c>
      <c r="J734" s="36">
        <f t="shared" si="34"/>
        <v>0</v>
      </c>
      <c r="K734" s="36" t="str">
        <f t="shared" ca="1" si="35"/>
        <v/>
      </c>
    </row>
    <row r="735" spans="3:11" x14ac:dyDescent="0.25">
      <c r="C735" s="53"/>
      <c r="D735" s="54"/>
      <c r="E735" s="55"/>
      <c r="F735" s="54"/>
      <c r="G735" s="56"/>
      <c r="H735" s="56"/>
      <c r="I735" s="36" t="str">
        <f t="shared" si="33"/>
        <v/>
      </c>
      <c r="J735" s="36">
        <f t="shared" si="34"/>
        <v>0</v>
      </c>
      <c r="K735" s="36" t="str">
        <f t="shared" ca="1" si="35"/>
        <v/>
      </c>
    </row>
    <row r="736" spans="3:11" x14ac:dyDescent="0.25">
      <c r="C736" s="53"/>
      <c r="D736" s="54"/>
      <c r="E736" s="55"/>
      <c r="F736" s="54"/>
      <c r="G736" s="56"/>
      <c r="H736" s="56"/>
      <c r="I736" s="36" t="str">
        <f t="shared" si="33"/>
        <v/>
      </c>
      <c r="J736" s="36">
        <f t="shared" si="34"/>
        <v>0</v>
      </c>
      <c r="K736" s="36" t="str">
        <f t="shared" ca="1" si="35"/>
        <v/>
      </c>
    </row>
    <row r="737" spans="3:11" x14ac:dyDescent="0.25">
      <c r="C737" s="53"/>
      <c r="D737" s="54"/>
      <c r="E737" s="55"/>
      <c r="F737" s="54"/>
      <c r="G737" s="56"/>
      <c r="H737" s="56"/>
      <c r="I737" s="36" t="str">
        <f t="shared" si="33"/>
        <v/>
      </c>
      <c r="J737" s="36">
        <f t="shared" si="34"/>
        <v>0</v>
      </c>
      <c r="K737" s="36" t="str">
        <f t="shared" ca="1" si="35"/>
        <v/>
      </c>
    </row>
    <row r="738" spans="3:11" x14ac:dyDescent="0.25">
      <c r="C738" s="53"/>
      <c r="D738" s="54"/>
      <c r="E738" s="55"/>
      <c r="F738" s="54"/>
      <c r="G738" s="56"/>
      <c r="H738" s="56"/>
      <c r="I738" s="36" t="str">
        <f t="shared" si="33"/>
        <v/>
      </c>
      <c r="J738" s="36">
        <f t="shared" si="34"/>
        <v>0</v>
      </c>
      <c r="K738" s="36" t="str">
        <f t="shared" ca="1" si="35"/>
        <v/>
      </c>
    </row>
    <row r="739" spans="3:11" x14ac:dyDescent="0.25">
      <c r="C739" s="53"/>
      <c r="D739" s="54"/>
      <c r="E739" s="55"/>
      <c r="F739" s="54"/>
      <c r="G739" s="56"/>
      <c r="H739" s="56"/>
      <c r="I739" s="36" t="str">
        <f t="shared" si="33"/>
        <v/>
      </c>
      <c r="J739" s="36">
        <f t="shared" si="34"/>
        <v>0</v>
      </c>
      <c r="K739" s="36" t="str">
        <f t="shared" ca="1" si="35"/>
        <v/>
      </c>
    </row>
    <row r="740" spans="3:11" x14ac:dyDescent="0.25">
      <c r="C740" s="53"/>
      <c r="D740" s="54"/>
      <c r="E740" s="55"/>
      <c r="F740" s="54"/>
      <c r="G740" s="56"/>
      <c r="H740" s="56"/>
      <c r="I740" s="36" t="str">
        <f t="shared" si="33"/>
        <v/>
      </c>
      <c r="J740" s="36">
        <f t="shared" si="34"/>
        <v>0</v>
      </c>
      <c r="K740" s="36" t="str">
        <f t="shared" ca="1" si="35"/>
        <v/>
      </c>
    </row>
    <row r="741" spans="3:11" x14ac:dyDescent="0.25">
      <c r="C741" s="53"/>
      <c r="D741" s="54"/>
      <c r="E741" s="55"/>
      <c r="F741" s="54"/>
      <c r="G741" s="56"/>
      <c r="H741" s="56"/>
      <c r="I741" s="36" t="str">
        <f t="shared" si="33"/>
        <v/>
      </c>
      <c r="J741" s="36">
        <f t="shared" si="34"/>
        <v>0</v>
      </c>
      <c r="K741" s="36" t="str">
        <f t="shared" ca="1" si="35"/>
        <v/>
      </c>
    </row>
    <row r="742" spans="3:11" x14ac:dyDescent="0.25">
      <c r="C742" s="53"/>
      <c r="D742" s="54"/>
      <c r="E742" s="55"/>
      <c r="F742" s="54"/>
      <c r="G742" s="56"/>
      <c r="H742" s="56"/>
      <c r="I742" s="36" t="str">
        <f t="shared" si="33"/>
        <v/>
      </c>
      <c r="J742" s="36">
        <f t="shared" si="34"/>
        <v>0</v>
      </c>
      <c r="K742" s="36" t="str">
        <f t="shared" ca="1" si="35"/>
        <v/>
      </c>
    </row>
    <row r="743" spans="3:11" x14ac:dyDescent="0.25">
      <c r="C743" s="53"/>
      <c r="D743" s="54"/>
      <c r="E743" s="55"/>
      <c r="F743" s="54"/>
      <c r="G743" s="56"/>
      <c r="H743" s="56"/>
      <c r="I743" s="36" t="str">
        <f t="shared" si="33"/>
        <v/>
      </c>
      <c r="J743" s="36">
        <f t="shared" si="34"/>
        <v>0</v>
      </c>
      <c r="K743" s="36" t="str">
        <f t="shared" ca="1" si="35"/>
        <v/>
      </c>
    </row>
    <row r="744" spans="3:11" x14ac:dyDescent="0.25">
      <c r="C744" s="53"/>
      <c r="D744" s="54"/>
      <c r="E744" s="55"/>
      <c r="F744" s="54"/>
      <c r="G744" s="56"/>
      <c r="H744" s="56"/>
      <c r="I744" s="36" t="str">
        <f t="shared" si="33"/>
        <v/>
      </c>
      <c r="J744" s="36">
        <f t="shared" si="34"/>
        <v>0</v>
      </c>
      <c r="K744" s="36" t="str">
        <f t="shared" ca="1" si="35"/>
        <v/>
      </c>
    </row>
    <row r="745" spans="3:11" x14ac:dyDescent="0.25">
      <c r="C745" s="53"/>
      <c r="D745" s="54"/>
      <c r="E745" s="55"/>
      <c r="F745" s="54"/>
      <c r="G745" s="56"/>
      <c r="H745" s="56"/>
      <c r="I745" s="36" t="str">
        <f t="shared" si="33"/>
        <v/>
      </c>
      <c r="J745" s="36">
        <f t="shared" si="34"/>
        <v>0</v>
      </c>
      <c r="K745" s="36" t="str">
        <f t="shared" ca="1" si="35"/>
        <v/>
      </c>
    </row>
    <row r="746" spans="3:11" x14ac:dyDescent="0.25">
      <c r="C746" s="53"/>
      <c r="D746" s="54"/>
      <c r="E746" s="55"/>
      <c r="F746" s="54"/>
      <c r="G746" s="56"/>
      <c r="H746" s="56"/>
      <c r="I746" s="36" t="str">
        <f t="shared" si="33"/>
        <v/>
      </c>
      <c r="J746" s="36">
        <f t="shared" si="34"/>
        <v>0</v>
      </c>
      <c r="K746" s="36" t="str">
        <f t="shared" ca="1" si="35"/>
        <v/>
      </c>
    </row>
    <row r="747" spans="3:11" x14ac:dyDescent="0.25">
      <c r="C747" s="53"/>
      <c r="D747" s="54"/>
      <c r="E747" s="55"/>
      <c r="F747" s="54"/>
      <c r="G747" s="56"/>
      <c r="H747" s="56"/>
      <c r="I747" s="36" t="str">
        <f t="shared" si="33"/>
        <v/>
      </c>
      <c r="J747" s="36">
        <f t="shared" si="34"/>
        <v>0</v>
      </c>
      <c r="K747" s="36" t="str">
        <f t="shared" ca="1" si="35"/>
        <v/>
      </c>
    </row>
    <row r="748" spans="3:11" x14ac:dyDescent="0.25">
      <c r="C748" s="53"/>
      <c r="D748" s="54"/>
      <c r="E748" s="55"/>
      <c r="F748" s="54"/>
      <c r="G748" s="56"/>
      <c r="H748" s="56"/>
      <c r="I748" s="36" t="str">
        <f t="shared" si="33"/>
        <v/>
      </c>
      <c r="J748" s="36">
        <f t="shared" si="34"/>
        <v>0</v>
      </c>
      <c r="K748" s="36" t="str">
        <f t="shared" ca="1" si="35"/>
        <v/>
      </c>
    </row>
    <row r="749" spans="3:11" x14ac:dyDescent="0.25">
      <c r="C749" s="53"/>
      <c r="D749" s="54"/>
      <c r="E749" s="55"/>
      <c r="F749" s="54"/>
      <c r="G749" s="56"/>
      <c r="H749" s="56"/>
      <c r="I749" s="36" t="str">
        <f t="shared" si="33"/>
        <v/>
      </c>
      <c r="J749" s="36">
        <f t="shared" si="34"/>
        <v>0</v>
      </c>
      <c r="K749" s="36" t="str">
        <f t="shared" ca="1" si="35"/>
        <v/>
      </c>
    </row>
    <row r="750" spans="3:11" x14ac:dyDescent="0.25">
      <c r="C750" s="53"/>
      <c r="D750" s="54"/>
      <c r="E750" s="55"/>
      <c r="F750" s="54"/>
      <c r="G750" s="56"/>
      <c r="H750" s="56"/>
      <c r="I750" s="36" t="str">
        <f t="shared" si="33"/>
        <v/>
      </c>
      <c r="J750" s="36">
        <f t="shared" si="34"/>
        <v>0</v>
      </c>
      <c r="K750" s="36" t="str">
        <f t="shared" ca="1" si="35"/>
        <v/>
      </c>
    </row>
    <row r="751" spans="3:11" x14ac:dyDescent="0.25">
      <c r="C751" s="53"/>
      <c r="D751" s="54"/>
      <c r="E751" s="55"/>
      <c r="F751" s="54"/>
      <c r="G751" s="56"/>
      <c r="H751" s="56"/>
      <c r="I751" s="36" t="str">
        <f t="shared" si="33"/>
        <v/>
      </c>
      <c r="J751" s="36">
        <f t="shared" si="34"/>
        <v>0</v>
      </c>
      <c r="K751" s="36" t="str">
        <f t="shared" ca="1" si="35"/>
        <v/>
      </c>
    </row>
    <row r="752" spans="3:11" x14ac:dyDescent="0.25">
      <c r="C752" s="53"/>
      <c r="D752" s="54"/>
      <c r="E752" s="55"/>
      <c r="F752" s="54"/>
      <c r="G752" s="56"/>
      <c r="H752" s="56"/>
      <c r="I752" s="36" t="str">
        <f t="shared" si="33"/>
        <v/>
      </c>
      <c r="J752" s="36">
        <f t="shared" si="34"/>
        <v>0</v>
      </c>
      <c r="K752" s="36" t="str">
        <f t="shared" ca="1" si="35"/>
        <v/>
      </c>
    </row>
    <row r="753" spans="3:11" x14ac:dyDescent="0.25">
      <c r="C753" s="53"/>
      <c r="D753" s="54"/>
      <c r="E753" s="55"/>
      <c r="F753" s="54"/>
      <c r="G753" s="56"/>
      <c r="H753" s="56"/>
      <c r="I753" s="36" t="str">
        <f t="shared" si="33"/>
        <v/>
      </c>
      <c r="J753" s="36">
        <f t="shared" si="34"/>
        <v>0</v>
      </c>
      <c r="K753" s="36" t="str">
        <f t="shared" ca="1" si="35"/>
        <v/>
      </c>
    </row>
    <row r="754" spans="3:11" x14ac:dyDescent="0.25">
      <c r="C754" s="53"/>
      <c r="D754" s="54"/>
      <c r="E754" s="55"/>
      <c r="F754" s="54"/>
      <c r="G754" s="56"/>
      <c r="H754" s="56"/>
      <c r="I754" s="36" t="str">
        <f t="shared" si="33"/>
        <v/>
      </c>
      <c r="J754" s="36">
        <f t="shared" si="34"/>
        <v>0</v>
      </c>
      <c r="K754" s="36" t="str">
        <f t="shared" ca="1" si="35"/>
        <v/>
      </c>
    </row>
    <row r="755" spans="3:11" x14ac:dyDescent="0.25">
      <c r="C755" s="53"/>
      <c r="D755" s="54"/>
      <c r="E755" s="55"/>
      <c r="F755" s="54"/>
      <c r="G755" s="56"/>
      <c r="H755" s="56"/>
      <c r="I755" s="36" t="str">
        <f t="shared" si="33"/>
        <v/>
      </c>
      <c r="J755" s="36">
        <f t="shared" si="34"/>
        <v>0</v>
      </c>
      <c r="K755" s="36" t="str">
        <f t="shared" ca="1" si="35"/>
        <v/>
      </c>
    </row>
    <row r="756" spans="3:11" x14ac:dyDescent="0.25">
      <c r="C756" s="53"/>
      <c r="D756" s="54"/>
      <c r="E756" s="55"/>
      <c r="F756" s="54"/>
      <c r="G756" s="56"/>
      <c r="H756" s="56"/>
      <c r="I756" s="36" t="str">
        <f t="shared" si="33"/>
        <v/>
      </c>
      <c r="J756" s="36">
        <f t="shared" si="34"/>
        <v>0</v>
      </c>
      <c r="K756" s="36" t="str">
        <f t="shared" ca="1" si="35"/>
        <v/>
      </c>
    </row>
    <row r="757" spans="3:11" x14ac:dyDescent="0.25">
      <c r="C757" s="53"/>
      <c r="D757" s="54"/>
      <c r="E757" s="55"/>
      <c r="F757" s="54"/>
      <c r="G757" s="56"/>
      <c r="H757" s="56"/>
      <c r="I757" s="36" t="str">
        <f t="shared" si="33"/>
        <v/>
      </c>
      <c r="J757" s="36">
        <f t="shared" si="34"/>
        <v>0</v>
      </c>
      <c r="K757" s="36" t="str">
        <f t="shared" ca="1" si="35"/>
        <v/>
      </c>
    </row>
    <row r="758" spans="3:11" x14ac:dyDescent="0.25">
      <c r="C758" s="53"/>
      <c r="D758" s="54"/>
      <c r="E758" s="55"/>
      <c r="F758" s="54"/>
      <c r="G758" s="56"/>
      <c r="H758" s="56"/>
      <c r="I758" s="36" t="str">
        <f t="shared" si="33"/>
        <v/>
      </c>
      <c r="J758" s="36">
        <f t="shared" si="34"/>
        <v>0</v>
      </c>
      <c r="K758" s="36" t="str">
        <f t="shared" ca="1" si="35"/>
        <v/>
      </c>
    </row>
    <row r="759" spans="3:11" x14ac:dyDescent="0.25">
      <c r="C759" s="53"/>
      <c r="D759" s="54"/>
      <c r="E759" s="55"/>
      <c r="F759" s="54"/>
      <c r="G759" s="56"/>
      <c r="H759" s="56"/>
      <c r="I759" s="36" t="str">
        <f t="shared" si="33"/>
        <v/>
      </c>
      <c r="J759" s="36">
        <f t="shared" si="34"/>
        <v>0</v>
      </c>
      <c r="K759" s="36" t="str">
        <f t="shared" ca="1" si="35"/>
        <v/>
      </c>
    </row>
    <row r="760" spans="3:11" x14ac:dyDescent="0.25">
      <c r="C760" s="53"/>
      <c r="D760" s="54"/>
      <c r="E760" s="55"/>
      <c r="F760" s="54"/>
      <c r="G760" s="56"/>
      <c r="H760" s="56"/>
      <c r="I760" s="36" t="str">
        <f t="shared" si="33"/>
        <v/>
      </c>
      <c r="J760" s="36">
        <f t="shared" si="34"/>
        <v>0</v>
      </c>
      <c r="K760" s="36" t="str">
        <f t="shared" ca="1" si="35"/>
        <v/>
      </c>
    </row>
    <row r="761" spans="3:11" x14ac:dyDescent="0.25">
      <c r="C761" s="53"/>
      <c r="D761" s="54"/>
      <c r="E761" s="55"/>
      <c r="F761" s="54"/>
      <c r="G761" s="56"/>
      <c r="H761" s="56"/>
      <c r="I761" s="36" t="str">
        <f t="shared" si="33"/>
        <v/>
      </c>
      <c r="J761" s="36">
        <f t="shared" si="34"/>
        <v>0</v>
      </c>
      <c r="K761" s="36" t="str">
        <f t="shared" ca="1" si="35"/>
        <v/>
      </c>
    </row>
    <row r="762" spans="3:11" x14ac:dyDescent="0.25">
      <c r="C762" s="53"/>
      <c r="D762" s="54"/>
      <c r="E762" s="55"/>
      <c r="F762" s="54"/>
      <c r="G762" s="56"/>
      <c r="H762" s="56"/>
      <c r="I762" s="36" t="str">
        <f t="shared" si="33"/>
        <v/>
      </c>
      <c r="J762" s="36">
        <f t="shared" si="34"/>
        <v>0</v>
      </c>
      <c r="K762" s="36" t="str">
        <f t="shared" ca="1" si="35"/>
        <v/>
      </c>
    </row>
    <row r="763" spans="3:11" x14ac:dyDescent="0.25">
      <c r="C763" s="53"/>
      <c r="D763" s="54"/>
      <c r="E763" s="55"/>
      <c r="F763" s="54"/>
      <c r="G763" s="56"/>
      <c r="H763" s="56"/>
      <c r="I763" s="36" t="str">
        <f t="shared" si="33"/>
        <v/>
      </c>
      <c r="J763" s="36">
        <f t="shared" si="34"/>
        <v>0</v>
      </c>
      <c r="K763" s="36" t="str">
        <f t="shared" ca="1" si="35"/>
        <v/>
      </c>
    </row>
    <row r="764" spans="3:11" x14ac:dyDescent="0.25">
      <c r="C764" s="53"/>
      <c r="D764" s="54"/>
      <c r="E764" s="55"/>
      <c r="F764" s="54"/>
      <c r="G764" s="56"/>
      <c r="H764" s="56"/>
      <c r="I764" s="36" t="str">
        <f t="shared" si="33"/>
        <v/>
      </c>
      <c r="J764" s="36">
        <f t="shared" si="34"/>
        <v>0</v>
      </c>
      <c r="K764" s="36" t="str">
        <f t="shared" ca="1" si="35"/>
        <v/>
      </c>
    </row>
    <row r="765" spans="3:11" x14ac:dyDescent="0.25">
      <c r="C765" s="53"/>
      <c r="D765" s="54"/>
      <c r="E765" s="55"/>
      <c r="F765" s="54"/>
      <c r="G765" s="56"/>
      <c r="H765" s="56"/>
      <c r="I765" s="36" t="str">
        <f t="shared" si="33"/>
        <v/>
      </c>
      <c r="J765" s="36">
        <f t="shared" si="34"/>
        <v>0</v>
      </c>
      <c r="K765" s="36" t="str">
        <f t="shared" ca="1" si="35"/>
        <v/>
      </c>
    </row>
    <row r="766" spans="3:11" x14ac:dyDescent="0.25">
      <c r="C766" s="53"/>
      <c r="D766" s="54"/>
      <c r="E766" s="55"/>
      <c r="F766" s="54"/>
      <c r="G766" s="56"/>
      <c r="H766" s="56"/>
      <c r="I766" s="36" t="str">
        <f t="shared" si="33"/>
        <v/>
      </c>
      <c r="J766" s="36">
        <f t="shared" si="34"/>
        <v>0</v>
      </c>
      <c r="K766" s="36" t="str">
        <f t="shared" ca="1" si="35"/>
        <v/>
      </c>
    </row>
    <row r="767" spans="3:11" x14ac:dyDescent="0.25">
      <c r="C767" s="53"/>
      <c r="D767" s="54"/>
      <c r="E767" s="55"/>
      <c r="F767" s="54"/>
      <c r="G767" s="56"/>
      <c r="H767" s="56"/>
      <c r="I767" s="36" t="str">
        <f t="shared" si="33"/>
        <v/>
      </c>
      <c r="J767" s="36">
        <f t="shared" si="34"/>
        <v>0</v>
      </c>
      <c r="K767" s="36" t="str">
        <f t="shared" ca="1" si="35"/>
        <v/>
      </c>
    </row>
    <row r="768" spans="3:11" x14ac:dyDescent="0.25">
      <c r="C768" s="53"/>
      <c r="D768" s="54"/>
      <c r="E768" s="55"/>
      <c r="F768" s="54"/>
      <c r="G768" s="56"/>
      <c r="H768" s="56"/>
      <c r="I768" s="36" t="str">
        <f t="shared" si="33"/>
        <v/>
      </c>
      <c r="J768" s="36">
        <f t="shared" si="34"/>
        <v>0</v>
      </c>
      <c r="K768" s="36" t="str">
        <f t="shared" ca="1" si="35"/>
        <v/>
      </c>
    </row>
    <row r="769" spans="3:11" x14ac:dyDescent="0.25">
      <c r="C769" s="53"/>
      <c r="D769" s="54"/>
      <c r="E769" s="55"/>
      <c r="F769" s="54"/>
      <c r="G769" s="56"/>
      <c r="H769" s="56"/>
      <c r="I769" s="36" t="str">
        <f t="shared" si="33"/>
        <v/>
      </c>
      <c r="J769" s="36">
        <f t="shared" si="34"/>
        <v>0</v>
      </c>
      <c r="K769" s="36" t="str">
        <f t="shared" ca="1" si="35"/>
        <v/>
      </c>
    </row>
    <row r="770" spans="3:11" x14ac:dyDescent="0.25">
      <c r="C770" s="53"/>
      <c r="D770" s="54"/>
      <c r="E770" s="55"/>
      <c r="F770" s="54"/>
      <c r="G770" s="56"/>
      <c r="H770" s="56"/>
      <c r="I770" s="36" t="str">
        <f t="shared" si="33"/>
        <v/>
      </c>
      <c r="J770" s="36">
        <f t="shared" si="34"/>
        <v>0</v>
      </c>
      <c r="K770" s="36" t="str">
        <f t="shared" ca="1" si="35"/>
        <v/>
      </c>
    </row>
    <row r="771" spans="3:11" x14ac:dyDescent="0.25">
      <c r="C771" s="53"/>
      <c r="D771" s="54"/>
      <c r="E771" s="55"/>
      <c r="F771" s="54"/>
      <c r="G771" s="56"/>
      <c r="H771" s="56"/>
      <c r="I771" s="36" t="str">
        <f t="shared" si="33"/>
        <v/>
      </c>
      <c r="J771" s="36">
        <f t="shared" si="34"/>
        <v>0</v>
      </c>
      <c r="K771" s="36" t="str">
        <f t="shared" ca="1" si="35"/>
        <v/>
      </c>
    </row>
    <row r="772" spans="3:11" x14ac:dyDescent="0.25">
      <c r="C772" s="53"/>
      <c r="D772" s="54"/>
      <c r="E772" s="55"/>
      <c r="F772" s="54"/>
      <c r="G772" s="56"/>
      <c r="H772" s="56"/>
      <c r="I772" s="36" t="str">
        <f t="shared" si="33"/>
        <v/>
      </c>
      <c r="J772" s="36">
        <f t="shared" si="34"/>
        <v>0</v>
      </c>
      <c r="K772" s="36" t="str">
        <f t="shared" ca="1" si="35"/>
        <v/>
      </c>
    </row>
    <row r="773" spans="3:11" x14ac:dyDescent="0.25">
      <c r="C773" s="53"/>
      <c r="D773" s="54"/>
      <c r="E773" s="55"/>
      <c r="F773" s="54"/>
      <c r="G773" s="56"/>
      <c r="H773" s="56"/>
      <c r="I773" s="36" t="str">
        <f t="shared" si="33"/>
        <v/>
      </c>
      <c r="J773" s="36">
        <f t="shared" si="34"/>
        <v>0</v>
      </c>
      <c r="K773" s="36" t="str">
        <f t="shared" ca="1" si="35"/>
        <v/>
      </c>
    </row>
    <row r="774" spans="3:11" x14ac:dyDescent="0.25">
      <c r="C774" s="53"/>
      <c r="D774" s="54"/>
      <c r="E774" s="55"/>
      <c r="F774" s="54"/>
      <c r="G774" s="56"/>
      <c r="H774" s="56"/>
      <c r="I774" s="36" t="str">
        <f t="shared" si="33"/>
        <v/>
      </c>
      <c r="J774" s="36">
        <f t="shared" si="34"/>
        <v>0</v>
      </c>
      <c r="K774" s="36" t="str">
        <f t="shared" ca="1" si="35"/>
        <v/>
      </c>
    </row>
    <row r="775" spans="3:11" x14ac:dyDescent="0.25">
      <c r="C775" s="53"/>
      <c r="D775" s="54"/>
      <c r="E775" s="55"/>
      <c r="F775" s="54"/>
      <c r="G775" s="56"/>
      <c r="H775" s="56"/>
      <c r="I775" s="36" t="str">
        <f t="shared" si="33"/>
        <v/>
      </c>
      <c r="J775" s="36">
        <f t="shared" si="34"/>
        <v>0</v>
      </c>
      <c r="K775" s="36" t="str">
        <f t="shared" ca="1" si="35"/>
        <v/>
      </c>
    </row>
  </sheetData>
  <sheetProtection selectLockedCells="1"/>
  <autoFilter ref="C14:K14" xr:uid="{01300E15-3204-407F-B29E-A1AA936ADD5D}"/>
  <mergeCells count="6">
    <mergeCell ref="F12:G12"/>
    <mergeCell ref="C4:K4"/>
    <mergeCell ref="J6:K6"/>
    <mergeCell ref="F9:G9"/>
    <mergeCell ref="F10:G10"/>
    <mergeCell ref="F11:G11"/>
  </mergeCells>
  <printOptions horizontalCentered="1"/>
  <pageMargins left="0.19685039370078741" right="0.19685039370078741" top="0.19685039370078741" bottom="0.19685039370078741" header="0.11811023622047245" footer="0.11811023622047245"/>
  <pageSetup paperSize="9" scale="6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FC9BB-5B26-4FFA-85F1-78E4524AE4ED}">
  <dimension ref="A1:K775"/>
  <sheetViews>
    <sheetView showGridLines="0" topLeftCell="A5" zoomScale="90" zoomScaleNormal="90" zoomScaleSheetLayoutView="115" workbookViewId="0">
      <selection activeCell="J27" sqref="J27"/>
    </sheetView>
  </sheetViews>
  <sheetFormatPr defaultColWidth="9.140625" defaultRowHeight="15" x14ac:dyDescent="0.25"/>
  <cols>
    <col min="1" max="2" width="1.7109375" style="1" customWidth="1"/>
    <col min="3" max="3" width="12.85546875" style="1" customWidth="1"/>
    <col min="4" max="4" width="35" style="1" customWidth="1"/>
    <col min="5" max="5" width="29" style="13" customWidth="1"/>
    <col min="6" max="6" width="15.85546875" style="1" bestFit="1" customWidth="1"/>
    <col min="7" max="11" width="18.7109375" style="1" customWidth="1"/>
    <col min="12" max="16384" width="9.140625" style="1"/>
  </cols>
  <sheetData>
    <row r="1" spans="1:11" ht="16.5" thickBot="1" x14ac:dyDescent="0.3">
      <c r="C1" s="40"/>
      <c r="D1" s="40"/>
      <c r="E1" s="3"/>
      <c r="F1" s="2"/>
      <c r="G1" s="2"/>
      <c r="H1" s="2"/>
    </row>
    <row r="2" spans="1:11" ht="11.25" customHeight="1" x14ac:dyDescent="0.25">
      <c r="C2" s="43"/>
      <c r="D2" s="41"/>
      <c r="E2" s="5"/>
      <c r="F2" s="4"/>
      <c r="G2" s="4"/>
      <c r="H2" s="4"/>
      <c r="I2" s="22"/>
      <c r="J2" s="22"/>
      <c r="K2" s="23"/>
    </row>
    <row r="3" spans="1:11" s="7" customFormat="1" ht="39.950000000000003" customHeight="1" x14ac:dyDescent="0.25">
      <c r="A3" s="6"/>
      <c r="B3" s="6"/>
      <c r="C3" s="44"/>
      <c r="D3" s="42"/>
      <c r="E3" s="15"/>
      <c r="F3" s="14"/>
      <c r="G3" s="14"/>
      <c r="H3" s="16"/>
      <c r="I3" s="24"/>
      <c r="J3" s="24"/>
      <c r="K3" s="25"/>
    </row>
    <row r="4" spans="1:11" s="7" customFormat="1" ht="39.950000000000003" customHeight="1" x14ac:dyDescent="0.25">
      <c r="A4" s="6"/>
      <c r="B4" s="6"/>
      <c r="C4" s="60" t="s">
        <v>3</v>
      </c>
      <c r="D4" s="61"/>
      <c r="E4" s="61"/>
      <c r="F4" s="61"/>
      <c r="G4" s="61"/>
      <c r="H4" s="61"/>
      <c r="I4" s="61"/>
      <c r="J4" s="61"/>
      <c r="K4" s="62"/>
    </row>
    <row r="5" spans="1:11" ht="15.75" x14ac:dyDescent="0.25">
      <c r="C5" s="8"/>
      <c r="D5" s="49"/>
      <c r="E5" s="18"/>
      <c r="F5" s="17"/>
      <c r="G5" s="17"/>
      <c r="I5" s="26"/>
      <c r="J5" s="19"/>
      <c r="K5" s="58">
        <v>43833</v>
      </c>
    </row>
    <row r="6" spans="1:11" ht="15.75" x14ac:dyDescent="0.25">
      <c r="C6" s="45"/>
      <c r="D6" s="48"/>
      <c r="E6" s="20"/>
      <c r="F6" s="21"/>
      <c r="G6" s="21"/>
      <c r="I6" s="26"/>
      <c r="J6" s="63"/>
      <c r="K6" s="64"/>
    </row>
    <row r="7" spans="1:11" ht="16.5" thickBot="1" x14ac:dyDescent="0.3">
      <c r="C7" s="46"/>
      <c r="D7" s="47"/>
      <c r="E7" s="11"/>
      <c r="F7" s="12"/>
      <c r="G7" s="12"/>
      <c r="H7" s="12"/>
      <c r="I7" s="27"/>
      <c r="J7" s="27"/>
      <c r="K7" s="28"/>
    </row>
    <row r="8" spans="1:11" s="29" customFormat="1" ht="7.5" customHeight="1" x14ac:dyDescent="0.25">
      <c r="C8" s="30"/>
      <c r="D8" s="30"/>
      <c r="E8" s="30"/>
      <c r="F8" s="33"/>
      <c r="G8" s="33"/>
      <c r="H8" s="34"/>
      <c r="I8" s="30"/>
    </row>
    <row r="9" spans="1:11" ht="15.75" x14ac:dyDescent="0.25">
      <c r="C9" s="39"/>
      <c r="D9" s="39"/>
      <c r="E9" s="39" t="s">
        <v>11</v>
      </c>
      <c r="F9" s="65">
        <f>SUM(H15:H740)</f>
        <v>0</v>
      </c>
      <c r="G9" s="65"/>
      <c r="H9" s="21"/>
    </row>
    <row r="10" spans="1:11" ht="15.75" x14ac:dyDescent="0.25">
      <c r="C10" s="39" t="s">
        <v>1</v>
      </c>
      <c r="D10" s="39"/>
      <c r="E10" s="39" t="s">
        <v>13</v>
      </c>
      <c r="F10" s="65">
        <f>SUMIF(I15:I740,"&lt;&gt;Sim",J15:J740)</f>
        <v>6344.61</v>
      </c>
      <c r="G10" s="66"/>
      <c r="H10" s="37"/>
    </row>
    <row r="11" spans="1:11" ht="15.75" x14ac:dyDescent="0.25">
      <c r="C11" s="39" t="s">
        <v>16</v>
      </c>
      <c r="D11" s="39"/>
      <c r="E11" s="39" t="s">
        <v>12</v>
      </c>
      <c r="F11" s="65">
        <f ca="1">SUMIF(K15:K740,"=Próximos sete dias",J15:J740)</f>
        <v>0</v>
      </c>
      <c r="G11" s="66"/>
      <c r="H11" s="38"/>
    </row>
    <row r="12" spans="1:11" ht="16.5" thickBot="1" x14ac:dyDescent="0.3">
      <c r="C12" s="10"/>
      <c r="D12" s="10"/>
      <c r="E12" s="39" t="s">
        <v>14</v>
      </c>
      <c r="F12" s="59">
        <f ca="1">SUMIF(K15:K740,"VENCIDA",J15:J740)</f>
        <v>5847.1799999999994</v>
      </c>
      <c r="G12" s="59"/>
      <c r="H12" s="35"/>
      <c r="I12" s="10"/>
    </row>
    <row r="13" spans="1:11" s="29" customFormat="1" ht="7.5" customHeight="1" thickTop="1" thickBot="1" x14ac:dyDescent="0.3">
      <c r="C13" s="30"/>
      <c r="D13" s="30"/>
      <c r="E13" s="30"/>
      <c r="F13" s="31"/>
      <c r="G13" s="31"/>
      <c r="H13" s="32"/>
      <c r="I13" s="30"/>
    </row>
    <row r="14" spans="1:11" ht="15.75" thickTop="1" x14ac:dyDescent="0.25">
      <c r="C14" s="50" t="s">
        <v>4</v>
      </c>
      <c r="D14" s="51" t="s">
        <v>5</v>
      </c>
      <c r="E14" s="51" t="s">
        <v>7</v>
      </c>
      <c r="F14" s="51" t="s">
        <v>6</v>
      </c>
      <c r="G14" s="51" t="s">
        <v>8</v>
      </c>
      <c r="H14" s="51" t="s">
        <v>15</v>
      </c>
      <c r="I14" s="51" t="s">
        <v>10</v>
      </c>
      <c r="J14" s="51" t="s">
        <v>2</v>
      </c>
      <c r="K14" s="52" t="s">
        <v>9</v>
      </c>
    </row>
    <row r="15" spans="1:11" x14ac:dyDescent="0.25">
      <c r="C15" s="53">
        <v>43831</v>
      </c>
      <c r="D15" s="54" t="s">
        <v>17</v>
      </c>
      <c r="E15" s="55" t="s">
        <v>21</v>
      </c>
      <c r="F15" s="54"/>
      <c r="G15" s="56">
        <v>497.5</v>
      </c>
      <c r="H15" s="57"/>
      <c r="I15" s="36" t="str">
        <f t="shared" ref="I15:I21" si="0">IF(C15="","",IF(H15&lt;=0,"Em aberto",IF(H15&gt;=G15,"Pagamento Total",IF(H15&lt;G15,"Pagamento Parcial"))))</f>
        <v>Em aberto</v>
      </c>
      <c r="J15" s="36">
        <f t="shared" ref="J15:J21" si="1">IF(C15&gt;0,G15-H15,0)</f>
        <v>497.5</v>
      </c>
      <c r="K15" s="36" t="str">
        <f t="shared" ref="K15:K21" ca="1" si="2">IF(ISBLANK(C15),"",IF(H15=G15,"Pago",IF(C15=TODAY(),"Vence Hoje",IF(TRIM(UPPER(G14))&lt;&gt;"S",IF(C15-TODAY()&lt;0,"Vencida",IF(C15-TODAY()&lt;8,"Próximos sete dias","Em aberto"))))))</f>
        <v>Vencida</v>
      </c>
    </row>
    <row r="16" spans="1:11" x14ac:dyDescent="0.25">
      <c r="C16" s="53">
        <v>43843</v>
      </c>
      <c r="D16" s="54" t="s">
        <v>20</v>
      </c>
      <c r="E16" s="55" t="s">
        <v>22</v>
      </c>
      <c r="F16" s="54"/>
      <c r="G16" s="56">
        <v>497.29</v>
      </c>
      <c r="H16" s="57"/>
      <c r="I16" s="36" t="str">
        <f t="shared" si="0"/>
        <v>Em aberto</v>
      </c>
      <c r="J16" s="36">
        <f t="shared" si="1"/>
        <v>497.29</v>
      </c>
      <c r="K16" s="36" t="str">
        <f t="shared" ca="1" si="2"/>
        <v>Vencida</v>
      </c>
    </row>
    <row r="17" spans="3:11" x14ac:dyDescent="0.25">
      <c r="C17" s="53">
        <v>43857</v>
      </c>
      <c r="D17" s="54" t="s">
        <v>20</v>
      </c>
      <c r="E17" s="55" t="s">
        <v>22</v>
      </c>
      <c r="F17" s="54"/>
      <c r="G17" s="56">
        <v>497.28</v>
      </c>
      <c r="H17" s="57"/>
      <c r="I17" s="36" t="str">
        <f t="shared" si="0"/>
        <v>Em aberto</v>
      </c>
      <c r="J17" s="36">
        <f t="shared" si="1"/>
        <v>497.28</v>
      </c>
      <c r="K17" s="36" t="str">
        <f t="shared" ca="1" si="2"/>
        <v>Vencida</v>
      </c>
    </row>
    <row r="18" spans="3:11" x14ac:dyDescent="0.25">
      <c r="C18" s="53">
        <v>43871</v>
      </c>
      <c r="D18" s="54" t="s">
        <v>20</v>
      </c>
      <c r="E18" s="55" t="s">
        <v>22</v>
      </c>
      <c r="F18" s="54"/>
      <c r="G18" s="56">
        <v>497.43</v>
      </c>
      <c r="H18" s="57"/>
      <c r="I18" s="36" t="str">
        <f t="shared" si="0"/>
        <v>Em aberto</v>
      </c>
      <c r="J18" s="36">
        <f t="shared" si="1"/>
        <v>497.43</v>
      </c>
      <c r="K18" s="36" t="str">
        <f t="shared" ca="1" si="2"/>
        <v>Vence Hoje</v>
      </c>
    </row>
    <row r="19" spans="3:11" x14ac:dyDescent="0.25">
      <c r="C19" s="53">
        <v>43852</v>
      </c>
      <c r="D19" s="54" t="s">
        <v>18</v>
      </c>
      <c r="E19" s="55" t="s">
        <v>19</v>
      </c>
      <c r="F19" s="54"/>
      <c r="G19" s="56">
        <v>551</v>
      </c>
      <c r="H19" s="57"/>
      <c r="I19" s="36" t="str">
        <f t="shared" si="0"/>
        <v>Em aberto</v>
      </c>
      <c r="J19" s="36">
        <f t="shared" si="1"/>
        <v>551</v>
      </c>
      <c r="K19" s="36" t="str">
        <f t="shared" ca="1" si="2"/>
        <v>Vencida</v>
      </c>
    </row>
    <row r="20" spans="3:11" x14ac:dyDescent="0.25">
      <c r="C20" s="53">
        <v>43847</v>
      </c>
      <c r="D20" s="54" t="s">
        <v>18</v>
      </c>
      <c r="E20" s="55" t="s">
        <v>23</v>
      </c>
      <c r="F20" s="54"/>
      <c r="G20" s="56">
        <v>436.55</v>
      </c>
      <c r="H20" s="57"/>
      <c r="I20" s="36" t="str">
        <f t="shared" si="0"/>
        <v>Em aberto</v>
      </c>
      <c r="J20" s="36">
        <f t="shared" si="1"/>
        <v>436.55</v>
      </c>
      <c r="K20" s="36" t="str">
        <f t="shared" ca="1" si="2"/>
        <v>Vencida</v>
      </c>
    </row>
    <row r="21" spans="3:11" x14ac:dyDescent="0.25">
      <c r="C21" s="53">
        <v>43847</v>
      </c>
      <c r="D21" s="54" t="s">
        <v>17</v>
      </c>
      <c r="E21" s="55" t="s">
        <v>24</v>
      </c>
      <c r="F21" s="54"/>
      <c r="G21" s="56">
        <v>60.06</v>
      </c>
      <c r="H21" s="57"/>
      <c r="I21" s="36" t="str">
        <f t="shared" si="0"/>
        <v>Em aberto</v>
      </c>
      <c r="J21" s="36">
        <f t="shared" si="1"/>
        <v>60.06</v>
      </c>
      <c r="K21" s="36" t="str">
        <f t="shared" ca="1" si="2"/>
        <v>Vencida</v>
      </c>
    </row>
    <row r="22" spans="3:11" x14ac:dyDescent="0.25">
      <c r="C22" s="53">
        <v>43832</v>
      </c>
      <c r="D22" s="54" t="s">
        <v>25</v>
      </c>
      <c r="E22" s="55" t="s">
        <v>26</v>
      </c>
      <c r="F22" s="54"/>
      <c r="G22" s="56">
        <v>1602.3</v>
      </c>
      <c r="H22" s="57"/>
      <c r="I22" s="36" t="str">
        <f t="shared" ref="I22:I74" si="3">IF(C22="","",IF(H22&lt;=0,"Em aberto",IF(H22&gt;=G22,"Pagamento Total",IF(H22&lt;G22,"Pagamento Parcial"))))</f>
        <v>Em aberto</v>
      </c>
      <c r="J22" s="36">
        <f t="shared" ref="J22:J74" si="4">IF(C22&gt;0,G22-H22,0)</f>
        <v>1602.3</v>
      </c>
      <c r="K22" s="36" t="str">
        <f t="shared" ref="K22:K74" ca="1" si="5">IF(ISBLANK(C22),"",IF(H22=G22,"Pago",IF(C22=TODAY(),"Vence Hoje",IF(TRIM(UPPER(G21))&lt;&gt;"S",IF(C22-TODAY()&lt;0,"Vencida",IF(C22-TODAY()&lt;8,"Próximos sete dias","Em aberto"))))))</f>
        <v>Vencida</v>
      </c>
    </row>
    <row r="23" spans="3:11" x14ac:dyDescent="0.25">
      <c r="C23" s="53">
        <v>43832</v>
      </c>
      <c r="D23" s="54" t="s">
        <v>25</v>
      </c>
      <c r="E23" s="55" t="s">
        <v>26</v>
      </c>
      <c r="F23" s="54"/>
      <c r="G23" s="56">
        <v>1369.2</v>
      </c>
      <c r="H23" s="57"/>
      <c r="I23" s="36" t="str">
        <f t="shared" si="3"/>
        <v>Em aberto</v>
      </c>
      <c r="J23" s="36">
        <f t="shared" si="4"/>
        <v>1369.2</v>
      </c>
      <c r="K23" s="36" t="str">
        <f t="shared" ca="1" si="5"/>
        <v>Vencida</v>
      </c>
    </row>
    <row r="24" spans="3:11" x14ac:dyDescent="0.25">
      <c r="C24" s="53">
        <v>43836</v>
      </c>
      <c r="D24" s="54" t="s">
        <v>25</v>
      </c>
      <c r="E24" s="55" t="s">
        <v>26</v>
      </c>
      <c r="F24" s="54"/>
      <c r="G24" s="56">
        <v>336</v>
      </c>
      <c r="H24" s="57"/>
      <c r="I24" s="36" t="str">
        <f t="shared" si="3"/>
        <v>Em aberto</v>
      </c>
      <c r="J24" s="36">
        <f t="shared" si="4"/>
        <v>336</v>
      </c>
      <c r="K24" s="36" t="str">
        <f t="shared" ca="1" si="5"/>
        <v>Vencida</v>
      </c>
    </row>
    <row r="25" spans="3:11" x14ac:dyDescent="0.25">
      <c r="C25" s="53"/>
      <c r="D25" s="54"/>
      <c r="E25" s="55"/>
      <c r="F25" s="54"/>
      <c r="G25" s="56"/>
      <c r="H25" s="57"/>
      <c r="I25" s="36" t="str">
        <f t="shared" si="3"/>
        <v/>
      </c>
      <c r="J25" s="36">
        <f t="shared" si="4"/>
        <v>0</v>
      </c>
      <c r="K25" s="36" t="str">
        <f t="shared" ca="1" si="5"/>
        <v/>
      </c>
    </row>
    <row r="26" spans="3:11" x14ac:dyDescent="0.25">
      <c r="C26" s="53"/>
      <c r="D26" s="54"/>
      <c r="E26" s="55"/>
      <c r="F26" s="54"/>
      <c r="G26" s="56"/>
      <c r="H26" s="57"/>
      <c r="I26" s="36" t="str">
        <f t="shared" si="3"/>
        <v/>
      </c>
      <c r="J26" s="36">
        <f t="shared" si="4"/>
        <v>0</v>
      </c>
      <c r="K26" s="36" t="str">
        <f t="shared" ca="1" si="5"/>
        <v/>
      </c>
    </row>
    <row r="27" spans="3:11" x14ac:dyDescent="0.25">
      <c r="C27" s="53"/>
      <c r="D27" s="54"/>
      <c r="E27" s="55"/>
      <c r="F27" s="54"/>
      <c r="G27" s="56"/>
      <c r="H27" s="57"/>
      <c r="I27" s="36" t="str">
        <f t="shared" si="3"/>
        <v/>
      </c>
      <c r="J27" s="36">
        <f t="shared" si="4"/>
        <v>0</v>
      </c>
      <c r="K27" s="36" t="str">
        <f t="shared" ca="1" si="5"/>
        <v/>
      </c>
    </row>
    <row r="28" spans="3:11" x14ac:dyDescent="0.25">
      <c r="C28" s="53"/>
      <c r="D28" s="54"/>
      <c r="E28" s="55"/>
      <c r="F28" s="54"/>
      <c r="G28" s="56"/>
      <c r="H28" s="57"/>
      <c r="I28" s="36" t="str">
        <f t="shared" si="3"/>
        <v/>
      </c>
      <c r="J28" s="36">
        <f t="shared" si="4"/>
        <v>0</v>
      </c>
      <c r="K28" s="36" t="str">
        <f t="shared" ca="1" si="5"/>
        <v/>
      </c>
    </row>
    <row r="29" spans="3:11" x14ac:dyDescent="0.25">
      <c r="C29" s="53"/>
      <c r="D29" s="54"/>
      <c r="E29" s="55"/>
      <c r="F29" s="54"/>
      <c r="G29" s="56"/>
      <c r="H29" s="57"/>
      <c r="I29" s="36" t="str">
        <f t="shared" si="3"/>
        <v/>
      </c>
      <c r="J29" s="36">
        <f t="shared" si="4"/>
        <v>0</v>
      </c>
      <c r="K29" s="36" t="str">
        <f t="shared" ca="1" si="5"/>
        <v/>
      </c>
    </row>
    <row r="30" spans="3:11" x14ac:dyDescent="0.25">
      <c r="C30" s="53"/>
      <c r="D30" s="54"/>
      <c r="E30" s="55"/>
      <c r="F30" s="54"/>
      <c r="G30" s="56"/>
      <c r="H30" s="57"/>
      <c r="I30" s="36" t="str">
        <f t="shared" si="3"/>
        <v/>
      </c>
      <c r="J30" s="36">
        <f t="shared" si="4"/>
        <v>0</v>
      </c>
      <c r="K30" s="36" t="str">
        <f t="shared" ca="1" si="5"/>
        <v/>
      </c>
    </row>
    <row r="31" spans="3:11" x14ac:dyDescent="0.25">
      <c r="C31" s="53"/>
      <c r="D31" s="54"/>
      <c r="E31" s="55"/>
      <c r="F31" s="54"/>
      <c r="G31" s="56"/>
      <c r="H31" s="57"/>
      <c r="I31" s="36" t="str">
        <f t="shared" si="3"/>
        <v/>
      </c>
      <c r="J31" s="36">
        <f t="shared" si="4"/>
        <v>0</v>
      </c>
      <c r="K31" s="36" t="str">
        <f t="shared" ca="1" si="5"/>
        <v/>
      </c>
    </row>
    <row r="32" spans="3:11" x14ac:dyDescent="0.25">
      <c r="C32" s="53"/>
      <c r="D32" s="54"/>
      <c r="E32" s="55"/>
      <c r="F32" s="54"/>
      <c r="G32" s="56"/>
      <c r="H32" s="57"/>
      <c r="I32" s="36" t="str">
        <f t="shared" si="3"/>
        <v/>
      </c>
      <c r="J32" s="36">
        <f t="shared" si="4"/>
        <v>0</v>
      </c>
      <c r="K32" s="36" t="str">
        <f t="shared" ca="1" si="5"/>
        <v/>
      </c>
    </row>
    <row r="33" spans="3:11" x14ac:dyDescent="0.25">
      <c r="C33" s="53"/>
      <c r="D33" s="54"/>
      <c r="E33" s="55"/>
      <c r="F33" s="54"/>
      <c r="G33" s="56"/>
      <c r="H33" s="57"/>
      <c r="I33" s="36" t="str">
        <f t="shared" si="3"/>
        <v/>
      </c>
      <c r="J33" s="36">
        <f t="shared" si="4"/>
        <v>0</v>
      </c>
      <c r="K33" s="36" t="str">
        <f t="shared" ca="1" si="5"/>
        <v/>
      </c>
    </row>
    <row r="34" spans="3:11" x14ac:dyDescent="0.25">
      <c r="C34" s="53"/>
      <c r="D34" s="54"/>
      <c r="E34" s="55"/>
      <c r="F34" s="54"/>
      <c r="G34" s="56"/>
      <c r="H34" s="57"/>
      <c r="I34" s="36" t="str">
        <f t="shared" si="3"/>
        <v/>
      </c>
      <c r="J34" s="36">
        <f t="shared" si="4"/>
        <v>0</v>
      </c>
      <c r="K34" s="36" t="str">
        <f t="shared" ca="1" si="5"/>
        <v/>
      </c>
    </row>
    <row r="35" spans="3:11" x14ac:dyDescent="0.25">
      <c r="C35" s="53"/>
      <c r="D35" s="54"/>
      <c r="E35" s="55"/>
      <c r="F35" s="54"/>
      <c r="G35" s="56"/>
      <c r="H35" s="57"/>
      <c r="I35" s="36" t="str">
        <f t="shared" si="3"/>
        <v/>
      </c>
      <c r="J35" s="36">
        <f t="shared" si="4"/>
        <v>0</v>
      </c>
      <c r="K35" s="36" t="str">
        <f t="shared" ca="1" si="5"/>
        <v/>
      </c>
    </row>
    <row r="36" spans="3:11" x14ac:dyDescent="0.25">
      <c r="C36" s="53"/>
      <c r="D36" s="54"/>
      <c r="E36" s="55"/>
      <c r="F36" s="54"/>
      <c r="G36" s="56"/>
      <c r="H36" s="57"/>
      <c r="I36" s="36" t="str">
        <f t="shared" si="3"/>
        <v/>
      </c>
      <c r="J36" s="36">
        <f t="shared" si="4"/>
        <v>0</v>
      </c>
      <c r="K36" s="36" t="str">
        <f t="shared" ca="1" si="5"/>
        <v/>
      </c>
    </row>
    <row r="37" spans="3:11" x14ac:dyDescent="0.25">
      <c r="C37" s="53"/>
      <c r="D37" s="54"/>
      <c r="E37" s="55"/>
      <c r="F37" s="54"/>
      <c r="G37" s="56"/>
      <c r="H37" s="57"/>
      <c r="I37" s="36" t="str">
        <f t="shared" si="3"/>
        <v/>
      </c>
      <c r="J37" s="36">
        <f t="shared" si="4"/>
        <v>0</v>
      </c>
      <c r="K37" s="36" t="str">
        <f t="shared" ca="1" si="5"/>
        <v/>
      </c>
    </row>
    <row r="38" spans="3:11" x14ac:dyDescent="0.25">
      <c r="C38" s="53"/>
      <c r="D38" s="54"/>
      <c r="E38" s="55"/>
      <c r="F38" s="54"/>
      <c r="G38" s="56"/>
      <c r="H38" s="57"/>
      <c r="I38" s="36" t="str">
        <f t="shared" si="3"/>
        <v/>
      </c>
      <c r="J38" s="36">
        <f t="shared" si="4"/>
        <v>0</v>
      </c>
      <c r="K38" s="36" t="str">
        <f t="shared" ca="1" si="5"/>
        <v/>
      </c>
    </row>
    <row r="39" spans="3:11" x14ac:dyDescent="0.25">
      <c r="C39" s="53"/>
      <c r="D39" s="54"/>
      <c r="E39" s="55"/>
      <c r="F39" s="54"/>
      <c r="G39" s="56"/>
      <c r="H39" s="57"/>
      <c r="I39" s="36" t="str">
        <f t="shared" si="3"/>
        <v/>
      </c>
      <c r="J39" s="36">
        <f t="shared" si="4"/>
        <v>0</v>
      </c>
      <c r="K39" s="36" t="str">
        <f t="shared" ca="1" si="5"/>
        <v/>
      </c>
    </row>
    <row r="40" spans="3:11" x14ac:dyDescent="0.25">
      <c r="C40" s="53"/>
      <c r="D40" s="54"/>
      <c r="E40" s="55"/>
      <c r="F40" s="54"/>
      <c r="G40" s="56"/>
      <c r="H40" s="57"/>
      <c r="I40" s="36" t="str">
        <f t="shared" si="3"/>
        <v/>
      </c>
      <c r="J40" s="36">
        <f t="shared" si="4"/>
        <v>0</v>
      </c>
      <c r="K40" s="36" t="str">
        <f t="shared" ca="1" si="5"/>
        <v/>
      </c>
    </row>
    <row r="41" spans="3:11" x14ac:dyDescent="0.25">
      <c r="C41" s="53"/>
      <c r="D41" s="54"/>
      <c r="E41" s="55"/>
      <c r="F41" s="54"/>
      <c r="G41" s="56"/>
      <c r="H41" s="57"/>
      <c r="I41" s="36" t="str">
        <f t="shared" si="3"/>
        <v/>
      </c>
      <c r="J41" s="36">
        <f t="shared" si="4"/>
        <v>0</v>
      </c>
      <c r="K41" s="36" t="str">
        <f t="shared" ca="1" si="5"/>
        <v/>
      </c>
    </row>
    <row r="42" spans="3:11" x14ac:dyDescent="0.25">
      <c r="C42" s="53"/>
      <c r="D42" s="54"/>
      <c r="E42" s="55"/>
      <c r="F42" s="54"/>
      <c r="G42" s="56"/>
      <c r="H42" s="57"/>
      <c r="I42" s="36" t="str">
        <f t="shared" si="3"/>
        <v/>
      </c>
      <c r="J42" s="36">
        <f t="shared" si="4"/>
        <v>0</v>
      </c>
      <c r="K42" s="36" t="str">
        <f t="shared" ca="1" si="5"/>
        <v/>
      </c>
    </row>
    <row r="43" spans="3:11" x14ac:dyDescent="0.25">
      <c r="C43" s="53"/>
      <c r="D43" s="54"/>
      <c r="E43" s="55"/>
      <c r="F43" s="54"/>
      <c r="G43" s="56"/>
      <c r="H43" s="57"/>
      <c r="I43" s="36" t="str">
        <f t="shared" si="3"/>
        <v/>
      </c>
      <c r="J43" s="36">
        <f t="shared" si="4"/>
        <v>0</v>
      </c>
      <c r="K43" s="36" t="str">
        <f t="shared" ca="1" si="5"/>
        <v/>
      </c>
    </row>
    <row r="44" spans="3:11" x14ac:dyDescent="0.25">
      <c r="C44" s="53"/>
      <c r="D44" s="54"/>
      <c r="E44" s="55"/>
      <c r="F44" s="54"/>
      <c r="G44" s="56"/>
      <c r="H44" s="57"/>
      <c r="I44" s="36" t="str">
        <f t="shared" si="3"/>
        <v/>
      </c>
      <c r="J44" s="36">
        <f t="shared" si="4"/>
        <v>0</v>
      </c>
      <c r="K44" s="36" t="str">
        <f t="shared" ca="1" si="5"/>
        <v/>
      </c>
    </row>
    <row r="45" spans="3:11" x14ac:dyDescent="0.25">
      <c r="C45" s="53"/>
      <c r="D45" s="54"/>
      <c r="E45" s="55"/>
      <c r="F45" s="54"/>
      <c r="G45" s="56"/>
      <c r="H45" s="57"/>
      <c r="I45" s="36" t="str">
        <f t="shared" si="3"/>
        <v/>
      </c>
      <c r="J45" s="36">
        <f t="shared" si="4"/>
        <v>0</v>
      </c>
      <c r="K45" s="36" t="str">
        <f t="shared" ca="1" si="5"/>
        <v/>
      </c>
    </row>
    <row r="46" spans="3:11" x14ac:dyDescent="0.25">
      <c r="C46" s="53"/>
      <c r="D46" s="54"/>
      <c r="E46" s="55"/>
      <c r="F46" s="54"/>
      <c r="G46" s="56"/>
      <c r="H46" s="57"/>
      <c r="I46" s="36" t="str">
        <f t="shared" si="3"/>
        <v/>
      </c>
      <c r="J46" s="36">
        <f t="shared" si="4"/>
        <v>0</v>
      </c>
      <c r="K46" s="36" t="str">
        <f t="shared" ca="1" si="5"/>
        <v/>
      </c>
    </row>
    <row r="47" spans="3:11" x14ac:dyDescent="0.25">
      <c r="C47" s="53"/>
      <c r="D47" s="54"/>
      <c r="E47" s="55"/>
      <c r="F47" s="54"/>
      <c r="G47" s="56"/>
      <c r="H47" s="57"/>
      <c r="I47" s="36" t="str">
        <f t="shared" si="3"/>
        <v/>
      </c>
      <c r="J47" s="36">
        <f t="shared" si="4"/>
        <v>0</v>
      </c>
      <c r="K47" s="36" t="str">
        <f t="shared" ca="1" si="5"/>
        <v/>
      </c>
    </row>
    <row r="48" spans="3:11" x14ac:dyDescent="0.25">
      <c r="C48" s="53"/>
      <c r="D48" s="54"/>
      <c r="E48" s="55"/>
      <c r="F48" s="54"/>
      <c r="G48" s="56"/>
      <c r="H48" s="57"/>
      <c r="I48" s="36" t="str">
        <f t="shared" si="3"/>
        <v/>
      </c>
      <c r="J48" s="36">
        <f t="shared" si="4"/>
        <v>0</v>
      </c>
      <c r="K48" s="36" t="str">
        <f t="shared" ca="1" si="5"/>
        <v/>
      </c>
    </row>
    <row r="49" spans="3:11" x14ac:dyDescent="0.25">
      <c r="C49" s="53"/>
      <c r="D49" s="54"/>
      <c r="E49" s="55"/>
      <c r="F49" s="54"/>
      <c r="G49" s="56"/>
      <c r="H49" s="57"/>
      <c r="I49" s="36" t="str">
        <f t="shared" si="3"/>
        <v/>
      </c>
      <c r="J49" s="36">
        <f t="shared" si="4"/>
        <v>0</v>
      </c>
      <c r="K49" s="36" t="str">
        <f t="shared" ca="1" si="5"/>
        <v/>
      </c>
    </row>
    <row r="50" spans="3:11" x14ac:dyDescent="0.25">
      <c r="C50" s="53"/>
      <c r="D50" s="54"/>
      <c r="E50" s="55"/>
      <c r="F50" s="54"/>
      <c r="G50" s="56"/>
      <c r="H50" s="57"/>
      <c r="I50" s="36" t="str">
        <f t="shared" si="3"/>
        <v/>
      </c>
      <c r="J50" s="36">
        <f t="shared" si="4"/>
        <v>0</v>
      </c>
      <c r="K50" s="36" t="str">
        <f t="shared" ca="1" si="5"/>
        <v/>
      </c>
    </row>
    <row r="51" spans="3:11" x14ac:dyDescent="0.25">
      <c r="C51" s="53"/>
      <c r="D51" s="54"/>
      <c r="E51" s="55"/>
      <c r="F51" s="54"/>
      <c r="G51" s="56"/>
      <c r="H51" s="57"/>
      <c r="I51" s="36" t="str">
        <f t="shared" si="3"/>
        <v/>
      </c>
      <c r="J51" s="36">
        <f t="shared" si="4"/>
        <v>0</v>
      </c>
      <c r="K51" s="36" t="str">
        <f t="shared" ca="1" si="5"/>
        <v/>
      </c>
    </row>
    <row r="52" spans="3:11" x14ac:dyDescent="0.25">
      <c r="C52" s="53"/>
      <c r="D52" s="54"/>
      <c r="E52" s="55"/>
      <c r="F52" s="54"/>
      <c r="G52" s="56"/>
      <c r="H52" s="57"/>
      <c r="I52" s="36" t="str">
        <f t="shared" si="3"/>
        <v/>
      </c>
      <c r="J52" s="36">
        <f t="shared" si="4"/>
        <v>0</v>
      </c>
      <c r="K52" s="36" t="str">
        <f t="shared" ca="1" si="5"/>
        <v/>
      </c>
    </row>
    <row r="53" spans="3:11" x14ac:dyDescent="0.25">
      <c r="C53" s="53"/>
      <c r="D53" s="54"/>
      <c r="E53" s="55"/>
      <c r="F53" s="54"/>
      <c r="G53" s="56"/>
      <c r="H53" s="57"/>
      <c r="I53" s="36" t="str">
        <f t="shared" si="3"/>
        <v/>
      </c>
      <c r="J53" s="36">
        <f t="shared" si="4"/>
        <v>0</v>
      </c>
      <c r="K53" s="36" t="str">
        <f t="shared" ca="1" si="5"/>
        <v/>
      </c>
    </row>
    <row r="54" spans="3:11" x14ac:dyDescent="0.25">
      <c r="C54" s="53"/>
      <c r="D54" s="54"/>
      <c r="E54" s="55"/>
      <c r="F54" s="54"/>
      <c r="G54" s="56"/>
      <c r="H54" s="57"/>
      <c r="I54" s="36" t="str">
        <f t="shared" si="3"/>
        <v/>
      </c>
      <c r="J54" s="36">
        <f t="shared" si="4"/>
        <v>0</v>
      </c>
      <c r="K54" s="36" t="str">
        <f t="shared" ca="1" si="5"/>
        <v/>
      </c>
    </row>
    <row r="55" spans="3:11" x14ac:dyDescent="0.25">
      <c r="C55" s="53"/>
      <c r="D55" s="54"/>
      <c r="E55" s="55"/>
      <c r="F55" s="54"/>
      <c r="G55" s="56"/>
      <c r="H55" s="57"/>
      <c r="I55" s="36" t="str">
        <f t="shared" si="3"/>
        <v/>
      </c>
      <c r="J55" s="36">
        <f t="shared" si="4"/>
        <v>0</v>
      </c>
      <c r="K55" s="36" t="str">
        <f t="shared" ca="1" si="5"/>
        <v/>
      </c>
    </row>
    <row r="56" spans="3:11" x14ac:dyDescent="0.25">
      <c r="C56" s="53"/>
      <c r="D56" s="54"/>
      <c r="E56" s="55"/>
      <c r="F56" s="54"/>
      <c r="G56" s="56"/>
      <c r="H56" s="56"/>
      <c r="I56" s="36" t="str">
        <f t="shared" si="3"/>
        <v/>
      </c>
      <c r="J56" s="36">
        <f t="shared" si="4"/>
        <v>0</v>
      </c>
      <c r="K56" s="36" t="str">
        <f t="shared" ca="1" si="5"/>
        <v/>
      </c>
    </row>
    <row r="57" spans="3:11" x14ac:dyDescent="0.25">
      <c r="C57" s="53"/>
      <c r="D57" s="54"/>
      <c r="E57" s="55"/>
      <c r="F57" s="54"/>
      <c r="G57" s="56"/>
      <c r="H57" s="56"/>
      <c r="I57" s="36" t="str">
        <f t="shared" si="3"/>
        <v/>
      </c>
      <c r="J57" s="36">
        <f t="shared" si="4"/>
        <v>0</v>
      </c>
      <c r="K57" s="36" t="str">
        <f t="shared" ca="1" si="5"/>
        <v/>
      </c>
    </row>
    <row r="58" spans="3:11" x14ac:dyDescent="0.25">
      <c r="C58" s="53"/>
      <c r="D58" s="54"/>
      <c r="E58" s="55"/>
      <c r="F58" s="54"/>
      <c r="G58" s="56"/>
      <c r="H58" s="56"/>
      <c r="I58" s="36" t="str">
        <f t="shared" si="3"/>
        <v/>
      </c>
      <c r="J58" s="36">
        <f t="shared" si="4"/>
        <v>0</v>
      </c>
      <c r="K58" s="36" t="str">
        <f t="shared" ca="1" si="5"/>
        <v/>
      </c>
    </row>
    <row r="59" spans="3:11" x14ac:dyDescent="0.25">
      <c r="C59" s="53"/>
      <c r="D59" s="54"/>
      <c r="E59" s="55"/>
      <c r="F59" s="54"/>
      <c r="G59" s="56"/>
      <c r="H59" s="56"/>
      <c r="I59" s="36" t="str">
        <f t="shared" si="3"/>
        <v/>
      </c>
      <c r="J59" s="36">
        <f t="shared" si="4"/>
        <v>0</v>
      </c>
      <c r="K59" s="36" t="str">
        <f t="shared" ca="1" si="5"/>
        <v/>
      </c>
    </row>
    <row r="60" spans="3:11" x14ac:dyDescent="0.25">
      <c r="C60" s="53"/>
      <c r="D60" s="54"/>
      <c r="E60" s="55"/>
      <c r="F60" s="54"/>
      <c r="G60" s="56"/>
      <c r="H60" s="56"/>
      <c r="I60" s="36" t="str">
        <f t="shared" si="3"/>
        <v/>
      </c>
      <c r="J60" s="36">
        <f t="shared" si="4"/>
        <v>0</v>
      </c>
      <c r="K60" s="36" t="str">
        <f t="shared" ca="1" si="5"/>
        <v/>
      </c>
    </row>
    <row r="61" spans="3:11" x14ac:dyDescent="0.25">
      <c r="C61" s="53"/>
      <c r="D61" s="54"/>
      <c r="E61" s="55"/>
      <c r="F61" s="54"/>
      <c r="G61" s="56"/>
      <c r="H61" s="56"/>
      <c r="I61" s="36" t="str">
        <f t="shared" si="3"/>
        <v/>
      </c>
      <c r="J61" s="36">
        <f t="shared" si="4"/>
        <v>0</v>
      </c>
      <c r="K61" s="36" t="str">
        <f t="shared" ca="1" si="5"/>
        <v/>
      </c>
    </row>
    <row r="62" spans="3:11" x14ac:dyDescent="0.25">
      <c r="C62" s="53"/>
      <c r="D62" s="54"/>
      <c r="E62" s="55"/>
      <c r="F62" s="54"/>
      <c r="G62" s="56"/>
      <c r="H62" s="56"/>
      <c r="I62" s="36" t="str">
        <f t="shared" si="3"/>
        <v/>
      </c>
      <c r="J62" s="36">
        <f t="shared" si="4"/>
        <v>0</v>
      </c>
      <c r="K62" s="36" t="str">
        <f t="shared" ca="1" si="5"/>
        <v/>
      </c>
    </row>
    <row r="63" spans="3:11" x14ac:dyDescent="0.25">
      <c r="C63" s="53"/>
      <c r="D63" s="54"/>
      <c r="E63" s="55"/>
      <c r="F63" s="54"/>
      <c r="G63" s="56"/>
      <c r="H63" s="56"/>
      <c r="I63" s="36" t="str">
        <f t="shared" si="3"/>
        <v/>
      </c>
      <c r="J63" s="36">
        <f t="shared" si="4"/>
        <v>0</v>
      </c>
      <c r="K63" s="36" t="str">
        <f t="shared" ca="1" si="5"/>
        <v/>
      </c>
    </row>
    <row r="64" spans="3:11" x14ac:dyDescent="0.25">
      <c r="C64" s="53"/>
      <c r="D64" s="54"/>
      <c r="E64" s="55"/>
      <c r="F64" s="54"/>
      <c r="G64" s="56"/>
      <c r="H64" s="56"/>
      <c r="I64" s="36" t="str">
        <f t="shared" si="3"/>
        <v/>
      </c>
      <c r="J64" s="36">
        <f t="shared" si="4"/>
        <v>0</v>
      </c>
      <c r="K64" s="36" t="str">
        <f t="shared" ca="1" si="5"/>
        <v/>
      </c>
    </row>
    <row r="65" spans="3:11" x14ac:dyDescent="0.25">
      <c r="C65" s="53"/>
      <c r="D65" s="54"/>
      <c r="E65" s="55"/>
      <c r="F65" s="54"/>
      <c r="G65" s="56"/>
      <c r="H65" s="56"/>
      <c r="I65" s="36" t="str">
        <f t="shared" si="3"/>
        <v/>
      </c>
      <c r="J65" s="36">
        <f t="shared" si="4"/>
        <v>0</v>
      </c>
      <c r="K65" s="36" t="str">
        <f t="shared" ca="1" si="5"/>
        <v/>
      </c>
    </row>
    <row r="66" spans="3:11" x14ac:dyDescent="0.25">
      <c r="C66" s="53"/>
      <c r="D66" s="54"/>
      <c r="E66" s="55"/>
      <c r="F66" s="54"/>
      <c r="G66" s="56"/>
      <c r="H66" s="56"/>
      <c r="I66" s="36" t="str">
        <f t="shared" si="3"/>
        <v/>
      </c>
      <c r="J66" s="36">
        <f t="shared" si="4"/>
        <v>0</v>
      </c>
      <c r="K66" s="36" t="str">
        <f t="shared" ca="1" si="5"/>
        <v/>
      </c>
    </row>
    <row r="67" spans="3:11" x14ac:dyDescent="0.25">
      <c r="C67" s="53"/>
      <c r="D67" s="54"/>
      <c r="E67" s="55"/>
      <c r="F67" s="54"/>
      <c r="G67" s="56"/>
      <c r="H67" s="56"/>
      <c r="I67" s="36" t="str">
        <f t="shared" si="3"/>
        <v/>
      </c>
      <c r="J67" s="36">
        <f t="shared" si="4"/>
        <v>0</v>
      </c>
      <c r="K67" s="36" t="str">
        <f t="shared" ca="1" si="5"/>
        <v/>
      </c>
    </row>
    <row r="68" spans="3:11" x14ac:dyDescent="0.25">
      <c r="C68" s="53"/>
      <c r="D68" s="54"/>
      <c r="E68" s="55"/>
      <c r="F68" s="54"/>
      <c r="G68" s="56"/>
      <c r="H68" s="56"/>
      <c r="I68" s="36" t="str">
        <f t="shared" si="3"/>
        <v/>
      </c>
      <c r="J68" s="36">
        <f t="shared" si="4"/>
        <v>0</v>
      </c>
      <c r="K68" s="36" t="str">
        <f t="shared" ca="1" si="5"/>
        <v/>
      </c>
    </row>
    <row r="69" spans="3:11" x14ac:dyDescent="0.25">
      <c r="C69" s="53"/>
      <c r="D69" s="54"/>
      <c r="E69" s="55"/>
      <c r="F69" s="54"/>
      <c r="G69" s="56"/>
      <c r="H69" s="56"/>
      <c r="I69" s="36" t="str">
        <f t="shared" si="3"/>
        <v/>
      </c>
      <c r="J69" s="36">
        <f t="shared" si="4"/>
        <v>0</v>
      </c>
      <c r="K69" s="36" t="str">
        <f t="shared" ca="1" si="5"/>
        <v/>
      </c>
    </row>
    <row r="70" spans="3:11" x14ac:dyDescent="0.25">
      <c r="C70" s="53"/>
      <c r="D70" s="54"/>
      <c r="E70" s="55"/>
      <c r="F70" s="54"/>
      <c r="G70" s="56"/>
      <c r="H70" s="56"/>
      <c r="I70" s="36" t="str">
        <f t="shared" si="3"/>
        <v/>
      </c>
      <c r="J70" s="36">
        <f t="shared" si="4"/>
        <v>0</v>
      </c>
      <c r="K70" s="36" t="str">
        <f t="shared" ca="1" si="5"/>
        <v/>
      </c>
    </row>
    <row r="71" spans="3:11" x14ac:dyDescent="0.25">
      <c r="C71" s="53"/>
      <c r="D71" s="54"/>
      <c r="E71" s="55"/>
      <c r="F71" s="54"/>
      <c r="G71" s="56"/>
      <c r="H71" s="56"/>
      <c r="I71" s="36" t="str">
        <f t="shared" si="3"/>
        <v/>
      </c>
      <c r="J71" s="36">
        <f t="shared" si="4"/>
        <v>0</v>
      </c>
      <c r="K71" s="36" t="str">
        <f t="shared" ca="1" si="5"/>
        <v/>
      </c>
    </row>
    <row r="72" spans="3:11" x14ac:dyDescent="0.25">
      <c r="C72" s="53"/>
      <c r="D72" s="54"/>
      <c r="E72" s="55"/>
      <c r="F72" s="54"/>
      <c r="G72" s="56"/>
      <c r="H72" s="56"/>
      <c r="I72" s="36" t="str">
        <f t="shared" si="3"/>
        <v/>
      </c>
      <c r="J72" s="36">
        <f t="shared" si="4"/>
        <v>0</v>
      </c>
      <c r="K72" s="36" t="str">
        <f t="shared" ca="1" si="5"/>
        <v/>
      </c>
    </row>
    <row r="73" spans="3:11" x14ac:dyDescent="0.25">
      <c r="C73" s="53"/>
      <c r="D73" s="54"/>
      <c r="E73" s="55"/>
      <c r="F73" s="54"/>
      <c r="G73" s="56"/>
      <c r="H73" s="56"/>
      <c r="I73" s="36" t="str">
        <f t="shared" si="3"/>
        <v/>
      </c>
      <c r="J73" s="36">
        <f t="shared" si="4"/>
        <v>0</v>
      </c>
      <c r="K73" s="36" t="str">
        <f t="shared" ca="1" si="5"/>
        <v/>
      </c>
    </row>
    <row r="74" spans="3:11" x14ac:dyDescent="0.25">
      <c r="C74" s="53"/>
      <c r="D74" s="54"/>
      <c r="E74" s="55"/>
      <c r="F74" s="54"/>
      <c r="G74" s="56"/>
      <c r="H74" s="56"/>
      <c r="I74" s="36" t="str">
        <f t="shared" si="3"/>
        <v/>
      </c>
      <c r="J74" s="36">
        <f t="shared" si="4"/>
        <v>0</v>
      </c>
      <c r="K74" s="36" t="str">
        <f t="shared" ca="1" si="5"/>
        <v/>
      </c>
    </row>
    <row r="75" spans="3:11" x14ac:dyDescent="0.25">
      <c r="C75" s="53"/>
      <c r="D75" s="54"/>
      <c r="E75" s="55"/>
      <c r="F75" s="54"/>
      <c r="G75" s="56"/>
      <c r="H75" s="56"/>
      <c r="I75" s="36" t="str">
        <f t="shared" ref="I75:I138" si="6">IF(C75="","",IF(H75&lt;=0,"Em aberto",IF(H75&gt;=G75,"Pagamento Total",IF(H75&lt;G75,"Pagamento Parcial"))))</f>
        <v/>
      </c>
      <c r="J75" s="36">
        <f t="shared" ref="J75:J138" si="7">IF(C75&gt;0,G75-H75,0)</f>
        <v>0</v>
      </c>
      <c r="K75" s="36" t="str">
        <f t="shared" ref="K75:K138" ca="1" si="8">IF(ISBLANK(C75),"",IF(H75=G75,"Pago",IF(C75=TODAY(),"Vence Hoje",IF(TRIM(UPPER(G74))&lt;&gt;"S",IF(C75-TODAY()&lt;0,"Vencida",IF(C75-TODAY()&lt;8,"Próximos sete dias","Em aberto"))))))</f>
        <v/>
      </c>
    </row>
    <row r="76" spans="3:11" x14ac:dyDescent="0.25">
      <c r="C76" s="53"/>
      <c r="D76" s="54"/>
      <c r="E76" s="55"/>
      <c r="F76" s="54"/>
      <c r="G76" s="56"/>
      <c r="H76" s="56"/>
      <c r="I76" s="36" t="str">
        <f t="shared" si="6"/>
        <v/>
      </c>
      <c r="J76" s="36">
        <f t="shared" si="7"/>
        <v>0</v>
      </c>
      <c r="K76" s="36" t="str">
        <f t="shared" ca="1" si="8"/>
        <v/>
      </c>
    </row>
    <row r="77" spans="3:11" x14ac:dyDescent="0.25">
      <c r="C77" s="53"/>
      <c r="D77" s="54"/>
      <c r="E77" s="55"/>
      <c r="F77" s="54"/>
      <c r="G77" s="56"/>
      <c r="H77" s="56"/>
      <c r="I77" s="36" t="str">
        <f t="shared" si="6"/>
        <v/>
      </c>
      <c r="J77" s="36">
        <f t="shared" si="7"/>
        <v>0</v>
      </c>
      <c r="K77" s="36" t="str">
        <f t="shared" ca="1" si="8"/>
        <v/>
      </c>
    </row>
    <row r="78" spans="3:11" x14ac:dyDescent="0.25">
      <c r="C78" s="53"/>
      <c r="D78" s="54"/>
      <c r="E78" s="55"/>
      <c r="F78" s="54"/>
      <c r="G78" s="56"/>
      <c r="H78" s="56"/>
      <c r="I78" s="36" t="str">
        <f t="shared" si="6"/>
        <v/>
      </c>
      <c r="J78" s="36">
        <f t="shared" si="7"/>
        <v>0</v>
      </c>
      <c r="K78" s="36" t="str">
        <f t="shared" ca="1" si="8"/>
        <v/>
      </c>
    </row>
    <row r="79" spans="3:11" x14ac:dyDescent="0.25">
      <c r="C79" s="53"/>
      <c r="D79" s="54"/>
      <c r="E79" s="55"/>
      <c r="F79" s="54"/>
      <c r="G79" s="56"/>
      <c r="H79" s="56"/>
      <c r="I79" s="36" t="str">
        <f t="shared" si="6"/>
        <v/>
      </c>
      <c r="J79" s="36">
        <f t="shared" si="7"/>
        <v>0</v>
      </c>
      <c r="K79" s="36" t="str">
        <f t="shared" ca="1" si="8"/>
        <v/>
      </c>
    </row>
    <row r="80" spans="3:11" x14ac:dyDescent="0.25">
      <c r="C80" s="53"/>
      <c r="D80" s="54"/>
      <c r="E80" s="55"/>
      <c r="F80" s="54"/>
      <c r="G80" s="56"/>
      <c r="H80" s="56"/>
      <c r="I80" s="36" t="str">
        <f t="shared" si="6"/>
        <v/>
      </c>
      <c r="J80" s="36">
        <f t="shared" si="7"/>
        <v>0</v>
      </c>
      <c r="K80" s="36" t="str">
        <f t="shared" ca="1" si="8"/>
        <v/>
      </c>
    </row>
    <row r="81" spans="3:11" x14ac:dyDescent="0.25">
      <c r="C81" s="53"/>
      <c r="D81" s="54"/>
      <c r="E81" s="55"/>
      <c r="F81" s="54"/>
      <c r="G81" s="56"/>
      <c r="H81" s="56"/>
      <c r="I81" s="36" t="str">
        <f t="shared" si="6"/>
        <v/>
      </c>
      <c r="J81" s="36">
        <f t="shared" si="7"/>
        <v>0</v>
      </c>
      <c r="K81" s="36" t="str">
        <f t="shared" ca="1" si="8"/>
        <v/>
      </c>
    </row>
    <row r="82" spans="3:11" x14ac:dyDescent="0.25">
      <c r="C82" s="53"/>
      <c r="D82" s="54"/>
      <c r="E82" s="55"/>
      <c r="F82" s="54"/>
      <c r="G82" s="56"/>
      <c r="H82" s="56"/>
      <c r="I82" s="36" t="str">
        <f t="shared" si="6"/>
        <v/>
      </c>
      <c r="J82" s="36">
        <f t="shared" si="7"/>
        <v>0</v>
      </c>
      <c r="K82" s="36" t="str">
        <f t="shared" ca="1" si="8"/>
        <v/>
      </c>
    </row>
    <row r="83" spans="3:11" x14ac:dyDescent="0.25">
      <c r="C83" s="53"/>
      <c r="D83" s="54"/>
      <c r="E83" s="55"/>
      <c r="F83" s="54"/>
      <c r="G83" s="56"/>
      <c r="H83" s="56"/>
      <c r="I83" s="36" t="str">
        <f t="shared" si="6"/>
        <v/>
      </c>
      <c r="J83" s="36">
        <f t="shared" si="7"/>
        <v>0</v>
      </c>
      <c r="K83" s="36" t="str">
        <f t="shared" ca="1" si="8"/>
        <v/>
      </c>
    </row>
    <row r="84" spans="3:11" x14ac:dyDescent="0.25">
      <c r="C84" s="53"/>
      <c r="D84" s="54"/>
      <c r="E84" s="55"/>
      <c r="F84" s="54"/>
      <c r="G84" s="56"/>
      <c r="H84" s="56"/>
      <c r="I84" s="36" t="str">
        <f t="shared" si="6"/>
        <v/>
      </c>
      <c r="J84" s="36">
        <f t="shared" si="7"/>
        <v>0</v>
      </c>
      <c r="K84" s="36" t="str">
        <f t="shared" ca="1" si="8"/>
        <v/>
      </c>
    </row>
    <row r="85" spans="3:11" x14ac:dyDescent="0.25">
      <c r="C85" s="53"/>
      <c r="D85" s="54"/>
      <c r="E85" s="55"/>
      <c r="F85" s="54"/>
      <c r="G85" s="56"/>
      <c r="H85" s="56"/>
      <c r="I85" s="36" t="str">
        <f t="shared" si="6"/>
        <v/>
      </c>
      <c r="J85" s="36">
        <f t="shared" si="7"/>
        <v>0</v>
      </c>
      <c r="K85" s="36" t="str">
        <f t="shared" ca="1" si="8"/>
        <v/>
      </c>
    </row>
    <row r="86" spans="3:11" x14ac:dyDescent="0.25">
      <c r="C86" s="53"/>
      <c r="D86" s="54"/>
      <c r="E86" s="55"/>
      <c r="F86" s="54"/>
      <c r="G86" s="56"/>
      <c r="H86" s="56"/>
      <c r="I86" s="36" t="str">
        <f t="shared" si="6"/>
        <v/>
      </c>
      <c r="J86" s="36">
        <f t="shared" si="7"/>
        <v>0</v>
      </c>
      <c r="K86" s="36" t="str">
        <f t="shared" ca="1" si="8"/>
        <v/>
      </c>
    </row>
    <row r="87" spans="3:11" x14ac:dyDescent="0.25">
      <c r="C87" s="53"/>
      <c r="D87" s="54"/>
      <c r="E87" s="55"/>
      <c r="F87" s="54"/>
      <c r="G87" s="56"/>
      <c r="H87" s="56"/>
      <c r="I87" s="36" t="str">
        <f t="shared" si="6"/>
        <v/>
      </c>
      <c r="J87" s="36">
        <f t="shared" si="7"/>
        <v>0</v>
      </c>
      <c r="K87" s="36" t="str">
        <f t="shared" ca="1" si="8"/>
        <v/>
      </c>
    </row>
    <row r="88" spans="3:11" x14ac:dyDescent="0.25">
      <c r="C88" s="53"/>
      <c r="D88" s="54"/>
      <c r="E88" s="55"/>
      <c r="F88" s="54"/>
      <c r="G88" s="56"/>
      <c r="H88" s="56"/>
      <c r="I88" s="36" t="str">
        <f t="shared" si="6"/>
        <v/>
      </c>
      <c r="J88" s="36">
        <f t="shared" si="7"/>
        <v>0</v>
      </c>
      <c r="K88" s="36" t="str">
        <f t="shared" ca="1" si="8"/>
        <v/>
      </c>
    </row>
    <row r="89" spans="3:11" x14ac:dyDescent="0.25">
      <c r="C89" s="53"/>
      <c r="D89" s="54"/>
      <c r="E89" s="55"/>
      <c r="F89" s="54"/>
      <c r="G89" s="56"/>
      <c r="H89" s="56"/>
      <c r="I89" s="36" t="str">
        <f t="shared" si="6"/>
        <v/>
      </c>
      <c r="J89" s="36">
        <f t="shared" si="7"/>
        <v>0</v>
      </c>
      <c r="K89" s="36" t="str">
        <f t="shared" ca="1" si="8"/>
        <v/>
      </c>
    </row>
    <row r="90" spans="3:11" x14ac:dyDescent="0.25">
      <c r="C90" s="53"/>
      <c r="D90" s="54"/>
      <c r="E90" s="55"/>
      <c r="F90" s="54"/>
      <c r="G90" s="56"/>
      <c r="H90" s="56"/>
      <c r="I90" s="36" t="str">
        <f t="shared" si="6"/>
        <v/>
      </c>
      <c r="J90" s="36">
        <f t="shared" si="7"/>
        <v>0</v>
      </c>
      <c r="K90" s="36" t="str">
        <f t="shared" ca="1" si="8"/>
        <v/>
      </c>
    </row>
    <row r="91" spans="3:11" x14ac:dyDescent="0.25">
      <c r="C91" s="53"/>
      <c r="D91" s="54"/>
      <c r="E91" s="55"/>
      <c r="F91" s="54"/>
      <c r="G91" s="56"/>
      <c r="H91" s="56"/>
      <c r="I91" s="36" t="str">
        <f t="shared" si="6"/>
        <v/>
      </c>
      <c r="J91" s="36">
        <f t="shared" si="7"/>
        <v>0</v>
      </c>
      <c r="K91" s="36" t="str">
        <f t="shared" ca="1" si="8"/>
        <v/>
      </c>
    </row>
    <row r="92" spans="3:11" x14ac:dyDescent="0.25">
      <c r="C92" s="53"/>
      <c r="D92" s="54"/>
      <c r="E92" s="55"/>
      <c r="F92" s="54"/>
      <c r="G92" s="56"/>
      <c r="H92" s="56"/>
      <c r="I92" s="36" t="str">
        <f t="shared" si="6"/>
        <v/>
      </c>
      <c r="J92" s="36">
        <f t="shared" si="7"/>
        <v>0</v>
      </c>
      <c r="K92" s="36" t="str">
        <f t="shared" ca="1" si="8"/>
        <v/>
      </c>
    </row>
    <row r="93" spans="3:11" x14ac:dyDescent="0.25">
      <c r="C93" s="53"/>
      <c r="D93" s="54"/>
      <c r="E93" s="55"/>
      <c r="F93" s="54"/>
      <c r="G93" s="56"/>
      <c r="H93" s="56"/>
      <c r="I93" s="36" t="str">
        <f t="shared" si="6"/>
        <v/>
      </c>
      <c r="J93" s="36">
        <f t="shared" si="7"/>
        <v>0</v>
      </c>
      <c r="K93" s="36" t="str">
        <f t="shared" ca="1" si="8"/>
        <v/>
      </c>
    </row>
    <row r="94" spans="3:11" x14ac:dyDescent="0.25">
      <c r="C94" s="53"/>
      <c r="D94" s="54"/>
      <c r="E94" s="55"/>
      <c r="F94" s="54"/>
      <c r="G94" s="56"/>
      <c r="H94" s="56"/>
      <c r="I94" s="36" t="str">
        <f t="shared" si="6"/>
        <v/>
      </c>
      <c r="J94" s="36">
        <f t="shared" si="7"/>
        <v>0</v>
      </c>
      <c r="K94" s="36" t="str">
        <f t="shared" ca="1" si="8"/>
        <v/>
      </c>
    </row>
    <row r="95" spans="3:11" x14ac:dyDescent="0.25">
      <c r="C95" s="53"/>
      <c r="D95" s="54"/>
      <c r="E95" s="55"/>
      <c r="F95" s="54"/>
      <c r="G95" s="56"/>
      <c r="H95" s="56"/>
      <c r="I95" s="36" t="str">
        <f t="shared" si="6"/>
        <v/>
      </c>
      <c r="J95" s="36">
        <f t="shared" si="7"/>
        <v>0</v>
      </c>
      <c r="K95" s="36" t="str">
        <f t="shared" ca="1" si="8"/>
        <v/>
      </c>
    </row>
    <row r="96" spans="3:11" x14ac:dyDescent="0.25">
      <c r="C96" s="53"/>
      <c r="D96" s="54"/>
      <c r="E96" s="55"/>
      <c r="F96" s="54"/>
      <c r="G96" s="56"/>
      <c r="H96" s="56"/>
      <c r="I96" s="36" t="str">
        <f t="shared" si="6"/>
        <v/>
      </c>
      <c r="J96" s="36">
        <f t="shared" si="7"/>
        <v>0</v>
      </c>
      <c r="K96" s="36" t="str">
        <f t="shared" ca="1" si="8"/>
        <v/>
      </c>
    </row>
    <row r="97" spans="3:11" x14ac:dyDescent="0.25">
      <c r="C97" s="53"/>
      <c r="D97" s="54"/>
      <c r="E97" s="55"/>
      <c r="F97" s="54"/>
      <c r="G97" s="56"/>
      <c r="H97" s="56"/>
      <c r="I97" s="36" t="str">
        <f t="shared" si="6"/>
        <v/>
      </c>
      <c r="J97" s="36">
        <f t="shared" si="7"/>
        <v>0</v>
      </c>
      <c r="K97" s="36" t="str">
        <f t="shared" ca="1" si="8"/>
        <v/>
      </c>
    </row>
    <row r="98" spans="3:11" x14ac:dyDescent="0.25">
      <c r="C98" s="53"/>
      <c r="D98" s="54"/>
      <c r="E98" s="55"/>
      <c r="F98" s="54"/>
      <c r="G98" s="56"/>
      <c r="H98" s="56"/>
      <c r="I98" s="36" t="str">
        <f t="shared" si="6"/>
        <v/>
      </c>
      <c r="J98" s="36">
        <f t="shared" si="7"/>
        <v>0</v>
      </c>
      <c r="K98" s="36" t="str">
        <f t="shared" ca="1" si="8"/>
        <v/>
      </c>
    </row>
    <row r="99" spans="3:11" x14ac:dyDescent="0.25">
      <c r="C99" s="53"/>
      <c r="D99" s="54"/>
      <c r="E99" s="55"/>
      <c r="F99" s="54"/>
      <c r="G99" s="56"/>
      <c r="H99" s="56"/>
      <c r="I99" s="36" t="str">
        <f t="shared" si="6"/>
        <v/>
      </c>
      <c r="J99" s="36">
        <f t="shared" si="7"/>
        <v>0</v>
      </c>
      <c r="K99" s="36" t="str">
        <f t="shared" ca="1" si="8"/>
        <v/>
      </c>
    </row>
    <row r="100" spans="3:11" x14ac:dyDescent="0.25">
      <c r="C100" s="53"/>
      <c r="D100" s="54"/>
      <c r="E100" s="55"/>
      <c r="F100" s="54"/>
      <c r="G100" s="56"/>
      <c r="H100" s="56"/>
      <c r="I100" s="36" t="str">
        <f t="shared" si="6"/>
        <v/>
      </c>
      <c r="J100" s="36">
        <f t="shared" si="7"/>
        <v>0</v>
      </c>
      <c r="K100" s="36" t="str">
        <f t="shared" ca="1" si="8"/>
        <v/>
      </c>
    </row>
    <row r="101" spans="3:11" x14ac:dyDescent="0.25">
      <c r="C101" s="53"/>
      <c r="D101" s="54"/>
      <c r="E101" s="55"/>
      <c r="F101" s="54"/>
      <c r="G101" s="56"/>
      <c r="H101" s="56"/>
      <c r="I101" s="36" t="str">
        <f t="shared" si="6"/>
        <v/>
      </c>
      <c r="J101" s="36">
        <f t="shared" si="7"/>
        <v>0</v>
      </c>
      <c r="K101" s="36" t="str">
        <f t="shared" ca="1" si="8"/>
        <v/>
      </c>
    </row>
    <row r="102" spans="3:11" x14ac:dyDescent="0.25">
      <c r="C102" s="53"/>
      <c r="D102" s="54"/>
      <c r="E102" s="55"/>
      <c r="F102" s="54"/>
      <c r="G102" s="56"/>
      <c r="H102" s="56"/>
      <c r="I102" s="36" t="str">
        <f t="shared" si="6"/>
        <v/>
      </c>
      <c r="J102" s="36">
        <f t="shared" si="7"/>
        <v>0</v>
      </c>
      <c r="K102" s="36" t="str">
        <f t="shared" ca="1" si="8"/>
        <v/>
      </c>
    </row>
    <row r="103" spans="3:11" x14ac:dyDescent="0.25">
      <c r="C103" s="53"/>
      <c r="D103" s="54"/>
      <c r="E103" s="55"/>
      <c r="F103" s="54"/>
      <c r="G103" s="56"/>
      <c r="H103" s="56"/>
      <c r="I103" s="36" t="str">
        <f t="shared" si="6"/>
        <v/>
      </c>
      <c r="J103" s="36">
        <f t="shared" si="7"/>
        <v>0</v>
      </c>
      <c r="K103" s="36" t="str">
        <f t="shared" ca="1" si="8"/>
        <v/>
      </c>
    </row>
    <row r="104" spans="3:11" x14ac:dyDescent="0.25">
      <c r="C104" s="53"/>
      <c r="D104" s="54"/>
      <c r="E104" s="55"/>
      <c r="F104" s="54"/>
      <c r="G104" s="56"/>
      <c r="H104" s="56"/>
      <c r="I104" s="36" t="str">
        <f t="shared" si="6"/>
        <v/>
      </c>
      <c r="J104" s="36">
        <f t="shared" si="7"/>
        <v>0</v>
      </c>
      <c r="K104" s="36" t="str">
        <f t="shared" ca="1" si="8"/>
        <v/>
      </c>
    </row>
    <row r="105" spans="3:11" x14ac:dyDescent="0.25">
      <c r="C105" s="53"/>
      <c r="D105" s="54"/>
      <c r="E105" s="55"/>
      <c r="F105" s="54"/>
      <c r="G105" s="56"/>
      <c r="H105" s="56"/>
      <c r="I105" s="36" t="str">
        <f t="shared" si="6"/>
        <v/>
      </c>
      <c r="J105" s="36">
        <f t="shared" si="7"/>
        <v>0</v>
      </c>
      <c r="K105" s="36" t="str">
        <f t="shared" ca="1" si="8"/>
        <v/>
      </c>
    </row>
    <row r="106" spans="3:11" x14ac:dyDescent="0.25">
      <c r="C106" s="53"/>
      <c r="D106" s="54"/>
      <c r="E106" s="55"/>
      <c r="F106" s="54"/>
      <c r="G106" s="56"/>
      <c r="H106" s="56"/>
      <c r="I106" s="36" t="str">
        <f t="shared" si="6"/>
        <v/>
      </c>
      <c r="J106" s="36">
        <f t="shared" si="7"/>
        <v>0</v>
      </c>
      <c r="K106" s="36" t="str">
        <f t="shared" ca="1" si="8"/>
        <v/>
      </c>
    </row>
    <row r="107" spans="3:11" x14ac:dyDescent="0.25">
      <c r="C107" s="53"/>
      <c r="D107" s="54"/>
      <c r="E107" s="55"/>
      <c r="F107" s="54"/>
      <c r="G107" s="56"/>
      <c r="H107" s="56"/>
      <c r="I107" s="36" t="str">
        <f t="shared" si="6"/>
        <v/>
      </c>
      <c r="J107" s="36">
        <f t="shared" si="7"/>
        <v>0</v>
      </c>
      <c r="K107" s="36" t="str">
        <f t="shared" ca="1" si="8"/>
        <v/>
      </c>
    </row>
    <row r="108" spans="3:11" x14ac:dyDescent="0.25">
      <c r="C108" s="53"/>
      <c r="D108" s="54"/>
      <c r="E108" s="55"/>
      <c r="F108" s="54"/>
      <c r="G108" s="56"/>
      <c r="H108" s="56"/>
      <c r="I108" s="36" t="str">
        <f t="shared" si="6"/>
        <v/>
      </c>
      <c r="J108" s="36">
        <f t="shared" si="7"/>
        <v>0</v>
      </c>
      <c r="K108" s="36" t="str">
        <f t="shared" ca="1" si="8"/>
        <v/>
      </c>
    </row>
    <row r="109" spans="3:11" x14ac:dyDescent="0.25">
      <c r="C109" s="53"/>
      <c r="D109" s="54"/>
      <c r="E109" s="55"/>
      <c r="F109" s="54"/>
      <c r="G109" s="56"/>
      <c r="H109" s="56"/>
      <c r="I109" s="36" t="str">
        <f t="shared" si="6"/>
        <v/>
      </c>
      <c r="J109" s="36">
        <f t="shared" si="7"/>
        <v>0</v>
      </c>
      <c r="K109" s="36" t="str">
        <f t="shared" ca="1" si="8"/>
        <v/>
      </c>
    </row>
    <row r="110" spans="3:11" x14ac:dyDescent="0.25">
      <c r="C110" s="53"/>
      <c r="D110" s="54"/>
      <c r="E110" s="55"/>
      <c r="F110" s="54"/>
      <c r="G110" s="56"/>
      <c r="H110" s="56"/>
      <c r="I110" s="36" t="str">
        <f t="shared" si="6"/>
        <v/>
      </c>
      <c r="J110" s="36">
        <f t="shared" si="7"/>
        <v>0</v>
      </c>
      <c r="K110" s="36" t="str">
        <f t="shared" ca="1" si="8"/>
        <v/>
      </c>
    </row>
    <row r="111" spans="3:11" x14ac:dyDescent="0.25">
      <c r="C111" s="53"/>
      <c r="D111" s="54"/>
      <c r="E111" s="55"/>
      <c r="F111" s="54"/>
      <c r="G111" s="56"/>
      <c r="H111" s="56"/>
      <c r="I111" s="36" t="str">
        <f t="shared" si="6"/>
        <v/>
      </c>
      <c r="J111" s="36">
        <f t="shared" si="7"/>
        <v>0</v>
      </c>
      <c r="K111" s="36" t="str">
        <f t="shared" ca="1" si="8"/>
        <v/>
      </c>
    </row>
    <row r="112" spans="3:11" x14ac:dyDescent="0.25">
      <c r="C112" s="53"/>
      <c r="D112" s="54"/>
      <c r="E112" s="55"/>
      <c r="F112" s="54"/>
      <c r="G112" s="56"/>
      <c r="H112" s="56"/>
      <c r="I112" s="36" t="str">
        <f t="shared" si="6"/>
        <v/>
      </c>
      <c r="J112" s="36">
        <f t="shared" si="7"/>
        <v>0</v>
      </c>
      <c r="K112" s="36" t="str">
        <f t="shared" ca="1" si="8"/>
        <v/>
      </c>
    </row>
    <row r="113" spans="3:11" x14ac:dyDescent="0.25">
      <c r="C113" s="53"/>
      <c r="D113" s="54"/>
      <c r="E113" s="55"/>
      <c r="F113" s="54"/>
      <c r="G113" s="56"/>
      <c r="H113" s="56"/>
      <c r="I113" s="36" t="str">
        <f t="shared" si="6"/>
        <v/>
      </c>
      <c r="J113" s="36">
        <f t="shared" si="7"/>
        <v>0</v>
      </c>
      <c r="K113" s="36" t="str">
        <f t="shared" ca="1" si="8"/>
        <v/>
      </c>
    </row>
    <row r="114" spans="3:11" x14ac:dyDescent="0.25">
      <c r="C114" s="53"/>
      <c r="D114" s="54"/>
      <c r="E114" s="55"/>
      <c r="F114" s="54"/>
      <c r="G114" s="56"/>
      <c r="H114" s="56"/>
      <c r="I114" s="36" t="str">
        <f t="shared" si="6"/>
        <v/>
      </c>
      <c r="J114" s="36">
        <f t="shared" si="7"/>
        <v>0</v>
      </c>
      <c r="K114" s="36" t="str">
        <f t="shared" ca="1" si="8"/>
        <v/>
      </c>
    </row>
    <row r="115" spans="3:11" x14ac:dyDescent="0.25">
      <c r="C115" s="53"/>
      <c r="D115" s="54"/>
      <c r="E115" s="55"/>
      <c r="F115" s="54"/>
      <c r="G115" s="56"/>
      <c r="H115" s="56"/>
      <c r="I115" s="36" t="str">
        <f t="shared" si="6"/>
        <v/>
      </c>
      <c r="J115" s="36">
        <f t="shared" si="7"/>
        <v>0</v>
      </c>
      <c r="K115" s="36" t="str">
        <f t="shared" ca="1" si="8"/>
        <v/>
      </c>
    </row>
    <row r="116" spans="3:11" x14ac:dyDescent="0.25">
      <c r="C116" s="53"/>
      <c r="D116" s="54"/>
      <c r="E116" s="55"/>
      <c r="F116" s="54"/>
      <c r="G116" s="56"/>
      <c r="H116" s="56"/>
      <c r="I116" s="36" t="str">
        <f t="shared" si="6"/>
        <v/>
      </c>
      <c r="J116" s="36">
        <f t="shared" si="7"/>
        <v>0</v>
      </c>
      <c r="K116" s="36" t="str">
        <f t="shared" ca="1" si="8"/>
        <v/>
      </c>
    </row>
    <row r="117" spans="3:11" x14ac:dyDescent="0.25">
      <c r="C117" s="53"/>
      <c r="D117" s="54"/>
      <c r="E117" s="55"/>
      <c r="F117" s="54"/>
      <c r="G117" s="56"/>
      <c r="H117" s="56"/>
      <c r="I117" s="36" t="str">
        <f t="shared" si="6"/>
        <v/>
      </c>
      <c r="J117" s="36">
        <f t="shared" si="7"/>
        <v>0</v>
      </c>
      <c r="K117" s="36" t="str">
        <f t="shared" ca="1" si="8"/>
        <v/>
      </c>
    </row>
    <row r="118" spans="3:11" x14ac:dyDescent="0.25">
      <c r="C118" s="53"/>
      <c r="D118" s="54"/>
      <c r="E118" s="55"/>
      <c r="F118" s="54"/>
      <c r="G118" s="56"/>
      <c r="H118" s="56"/>
      <c r="I118" s="36" t="str">
        <f t="shared" si="6"/>
        <v/>
      </c>
      <c r="J118" s="36">
        <f t="shared" si="7"/>
        <v>0</v>
      </c>
      <c r="K118" s="36" t="str">
        <f t="shared" ca="1" si="8"/>
        <v/>
      </c>
    </row>
    <row r="119" spans="3:11" x14ac:dyDescent="0.25">
      <c r="C119" s="53"/>
      <c r="D119" s="54"/>
      <c r="E119" s="55"/>
      <c r="F119" s="54"/>
      <c r="G119" s="56"/>
      <c r="H119" s="56"/>
      <c r="I119" s="36" t="str">
        <f t="shared" si="6"/>
        <v/>
      </c>
      <c r="J119" s="36">
        <f t="shared" si="7"/>
        <v>0</v>
      </c>
      <c r="K119" s="36" t="str">
        <f t="shared" ca="1" si="8"/>
        <v/>
      </c>
    </row>
    <row r="120" spans="3:11" x14ac:dyDescent="0.25">
      <c r="C120" s="53"/>
      <c r="D120" s="54"/>
      <c r="E120" s="55"/>
      <c r="F120" s="54"/>
      <c r="G120" s="56"/>
      <c r="H120" s="56"/>
      <c r="I120" s="36" t="str">
        <f t="shared" si="6"/>
        <v/>
      </c>
      <c r="J120" s="36">
        <f t="shared" si="7"/>
        <v>0</v>
      </c>
      <c r="K120" s="36" t="str">
        <f t="shared" ca="1" si="8"/>
        <v/>
      </c>
    </row>
    <row r="121" spans="3:11" x14ac:dyDescent="0.25">
      <c r="C121" s="53"/>
      <c r="D121" s="54"/>
      <c r="E121" s="55"/>
      <c r="F121" s="54"/>
      <c r="G121" s="56"/>
      <c r="H121" s="56"/>
      <c r="I121" s="36" t="str">
        <f t="shared" si="6"/>
        <v/>
      </c>
      <c r="J121" s="36">
        <f t="shared" si="7"/>
        <v>0</v>
      </c>
      <c r="K121" s="36" t="str">
        <f t="shared" ca="1" si="8"/>
        <v/>
      </c>
    </row>
    <row r="122" spans="3:11" x14ac:dyDescent="0.25">
      <c r="C122" s="53"/>
      <c r="D122" s="54"/>
      <c r="E122" s="55"/>
      <c r="F122" s="54"/>
      <c r="G122" s="56"/>
      <c r="H122" s="56"/>
      <c r="I122" s="36" t="str">
        <f t="shared" si="6"/>
        <v/>
      </c>
      <c r="J122" s="36">
        <f t="shared" si="7"/>
        <v>0</v>
      </c>
      <c r="K122" s="36" t="str">
        <f t="shared" ca="1" si="8"/>
        <v/>
      </c>
    </row>
    <row r="123" spans="3:11" x14ac:dyDescent="0.25">
      <c r="C123" s="53"/>
      <c r="D123" s="54"/>
      <c r="E123" s="55"/>
      <c r="F123" s="54"/>
      <c r="G123" s="56"/>
      <c r="H123" s="56"/>
      <c r="I123" s="36" t="str">
        <f t="shared" si="6"/>
        <v/>
      </c>
      <c r="J123" s="36">
        <f t="shared" si="7"/>
        <v>0</v>
      </c>
      <c r="K123" s="36" t="str">
        <f t="shared" ca="1" si="8"/>
        <v/>
      </c>
    </row>
    <row r="124" spans="3:11" x14ac:dyDescent="0.25">
      <c r="C124" s="53"/>
      <c r="D124" s="54"/>
      <c r="E124" s="55"/>
      <c r="F124" s="54"/>
      <c r="G124" s="56"/>
      <c r="H124" s="56"/>
      <c r="I124" s="36" t="str">
        <f t="shared" si="6"/>
        <v/>
      </c>
      <c r="J124" s="36">
        <f t="shared" si="7"/>
        <v>0</v>
      </c>
      <c r="K124" s="36" t="str">
        <f t="shared" ca="1" si="8"/>
        <v/>
      </c>
    </row>
    <row r="125" spans="3:11" x14ac:dyDescent="0.25">
      <c r="C125" s="53"/>
      <c r="D125" s="54"/>
      <c r="E125" s="55"/>
      <c r="F125" s="54"/>
      <c r="G125" s="56"/>
      <c r="H125" s="56"/>
      <c r="I125" s="36" t="str">
        <f t="shared" si="6"/>
        <v/>
      </c>
      <c r="J125" s="36">
        <f t="shared" si="7"/>
        <v>0</v>
      </c>
      <c r="K125" s="36" t="str">
        <f t="shared" ca="1" si="8"/>
        <v/>
      </c>
    </row>
    <row r="126" spans="3:11" x14ac:dyDescent="0.25">
      <c r="C126" s="53"/>
      <c r="D126" s="54"/>
      <c r="E126" s="55"/>
      <c r="F126" s="54"/>
      <c r="G126" s="56"/>
      <c r="H126" s="56"/>
      <c r="I126" s="36" t="str">
        <f t="shared" si="6"/>
        <v/>
      </c>
      <c r="J126" s="36">
        <f t="shared" si="7"/>
        <v>0</v>
      </c>
      <c r="K126" s="36" t="str">
        <f t="shared" ca="1" si="8"/>
        <v/>
      </c>
    </row>
    <row r="127" spans="3:11" x14ac:dyDescent="0.25">
      <c r="C127" s="53"/>
      <c r="D127" s="54"/>
      <c r="E127" s="55"/>
      <c r="F127" s="54"/>
      <c r="G127" s="56"/>
      <c r="H127" s="56"/>
      <c r="I127" s="36" t="str">
        <f t="shared" si="6"/>
        <v/>
      </c>
      <c r="J127" s="36">
        <f t="shared" si="7"/>
        <v>0</v>
      </c>
      <c r="K127" s="36" t="str">
        <f t="shared" ca="1" si="8"/>
        <v/>
      </c>
    </row>
    <row r="128" spans="3:11" x14ac:dyDescent="0.25">
      <c r="C128" s="53"/>
      <c r="D128" s="54"/>
      <c r="E128" s="55"/>
      <c r="F128" s="54"/>
      <c r="G128" s="56"/>
      <c r="H128" s="56"/>
      <c r="I128" s="36" t="str">
        <f t="shared" si="6"/>
        <v/>
      </c>
      <c r="J128" s="36">
        <f t="shared" si="7"/>
        <v>0</v>
      </c>
      <c r="K128" s="36" t="str">
        <f t="shared" ca="1" si="8"/>
        <v/>
      </c>
    </row>
    <row r="129" spans="3:11" x14ac:dyDescent="0.25">
      <c r="C129" s="53"/>
      <c r="D129" s="54"/>
      <c r="E129" s="55"/>
      <c r="F129" s="54"/>
      <c r="G129" s="56"/>
      <c r="H129" s="56"/>
      <c r="I129" s="36" t="str">
        <f t="shared" si="6"/>
        <v/>
      </c>
      <c r="J129" s="36">
        <f t="shared" si="7"/>
        <v>0</v>
      </c>
      <c r="K129" s="36" t="str">
        <f t="shared" ca="1" si="8"/>
        <v/>
      </c>
    </row>
    <row r="130" spans="3:11" x14ac:dyDescent="0.25">
      <c r="C130" s="53"/>
      <c r="D130" s="54"/>
      <c r="E130" s="55"/>
      <c r="F130" s="54"/>
      <c r="G130" s="56"/>
      <c r="H130" s="56"/>
      <c r="I130" s="36" t="str">
        <f t="shared" si="6"/>
        <v/>
      </c>
      <c r="J130" s="36">
        <f t="shared" si="7"/>
        <v>0</v>
      </c>
      <c r="K130" s="36" t="str">
        <f t="shared" ca="1" si="8"/>
        <v/>
      </c>
    </row>
    <row r="131" spans="3:11" x14ac:dyDescent="0.25">
      <c r="C131" s="53"/>
      <c r="D131" s="54"/>
      <c r="E131" s="55"/>
      <c r="F131" s="54"/>
      <c r="G131" s="56"/>
      <c r="H131" s="56"/>
      <c r="I131" s="36" t="str">
        <f t="shared" si="6"/>
        <v/>
      </c>
      <c r="J131" s="36">
        <f t="shared" si="7"/>
        <v>0</v>
      </c>
      <c r="K131" s="36" t="str">
        <f t="shared" ca="1" si="8"/>
        <v/>
      </c>
    </row>
    <row r="132" spans="3:11" x14ac:dyDescent="0.25">
      <c r="C132" s="53"/>
      <c r="D132" s="54"/>
      <c r="E132" s="55"/>
      <c r="F132" s="54"/>
      <c r="G132" s="56"/>
      <c r="H132" s="56"/>
      <c r="I132" s="36" t="str">
        <f t="shared" si="6"/>
        <v/>
      </c>
      <c r="J132" s="36">
        <f t="shared" si="7"/>
        <v>0</v>
      </c>
      <c r="K132" s="36" t="str">
        <f t="shared" ca="1" si="8"/>
        <v/>
      </c>
    </row>
    <row r="133" spans="3:11" x14ac:dyDescent="0.25">
      <c r="C133" s="53"/>
      <c r="D133" s="54"/>
      <c r="E133" s="55"/>
      <c r="F133" s="54"/>
      <c r="G133" s="56"/>
      <c r="H133" s="56"/>
      <c r="I133" s="36" t="str">
        <f t="shared" si="6"/>
        <v/>
      </c>
      <c r="J133" s="36">
        <f t="shared" si="7"/>
        <v>0</v>
      </c>
      <c r="K133" s="36" t="str">
        <f t="shared" ca="1" si="8"/>
        <v/>
      </c>
    </row>
    <row r="134" spans="3:11" x14ac:dyDescent="0.25">
      <c r="C134" s="53"/>
      <c r="D134" s="54"/>
      <c r="E134" s="55"/>
      <c r="F134" s="54"/>
      <c r="G134" s="56"/>
      <c r="H134" s="56"/>
      <c r="I134" s="36" t="str">
        <f t="shared" si="6"/>
        <v/>
      </c>
      <c r="J134" s="36">
        <f t="shared" si="7"/>
        <v>0</v>
      </c>
      <c r="K134" s="36" t="str">
        <f t="shared" ca="1" si="8"/>
        <v/>
      </c>
    </row>
    <row r="135" spans="3:11" x14ac:dyDescent="0.25">
      <c r="C135" s="53"/>
      <c r="D135" s="54"/>
      <c r="E135" s="55"/>
      <c r="F135" s="54"/>
      <c r="G135" s="56"/>
      <c r="H135" s="56"/>
      <c r="I135" s="36" t="str">
        <f t="shared" si="6"/>
        <v/>
      </c>
      <c r="J135" s="36">
        <f t="shared" si="7"/>
        <v>0</v>
      </c>
      <c r="K135" s="36" t="str">
        <f t="shared" ca="1" si="8"/>
        <v/>
      </c>
    </row>
    <row r="136" spans="3:11" x14ac:dyDescent="0.25">
      <c r="C136" s="53"/>
      <c r="D136" s="54"/>
      <c r="E136" s="55"/>
      <c r="F136" s="54"/>
      <c r="G136" s="56"/>
      <c r="H136" s="56"/>
      <c r="I136" s="36" t="str">
        <f t="shared" si="6"/>
        <v/>
      </c>
      <c r="J136" s="36">
        <f t="shared" si="7"/>
        <v>0</v>
      </c>
      <c r="K136" s="36" t="str">
        <f t="shared" ca="1" si="8"/>
        <v/>
      </c>
    </row>
    <row r="137" spans="3:11" x14ac:dyDescent="0.25">
      <c r="C137" s="53"/>
      <c r="D137" s="54"/>
      <c r="E137" s="55"/>
      <c r="F137" s="54"/>
      <c r="G137" s="56"/>
      <c r="H137" s="56"/>
      <c r="I137" s="36" t="str">
        <f t="shared" si="6"/>
        <v/>
      </c>
      <c r="J137" s="36">
        <f t="shared" si="7"/>
        <v>0</v>
      </c>
      <c r="K137" s="36" t="str">
        <f t="shared" ca="1" si="8"/>
        <v/>
      </c>
    </row>
    <row r="138" spans="3:11" x14ac:dyDescent="0.25">
      <c r="C138" s="53"/>
      <c r="D138" s="54"/>
      <c r="E138" s="55"/>
      <c r="F138" s="54"/>
      <c r="G138" s="56"/>
      <c r="H138" s="56"/>
      <c r="I138" s="36" t="str">
        <f t="shared" si="6"/>
        <v/>
      </c>
      <c r="J138" s="36">
        <f t="shared" si="7"/>
        <v>0</v>
      </c>
      <c r="K138" s="36" t="str">
        <f t="shared" ca="1" si="8"/>
        <v/>
      </c>
    </row>
    <row r="139" spans="3:11" x14ac:dyDescent="0.25">
      <c r="C139" s="53"/>
      <c r="D139" s="54"/>
      <c r="E139" s="55"/>
      <c r="F139" s="54"/>
      <c r="G139" s="56"/>
      <c r="H139" s="56"/>
      <c r="I139" s="36" t="str">
        <f t="shared" ref="I139:I202" si="9">IF(C139="","",IF(H139&lt;=0,"Em aberto",IF(H139&gt;=G139,"Pagamento Total",IF(H139&lt;G139,"Pagamento Parcial"))))</f>
        <v/>
      </c>
      <c r="J139" s="36">
        <f t="shared" ref="J139:J202" si="10">IF(C139&gt;0,G139-H139,0)</f>
        <v>0</v>
      </c>
      <c r="K139" s="36" t="str">
        <f t="shared" ref="K139:K202" ca="1" si="11">IF(ISBLANK(C139),"",IF(H139=G139,"Pago",IF(C139=TODAY(),"Vence Hoje",IF(TRIM(UPPER(G138))&lt;&gt;"S",IF(C139-TODAY()&lt;0,"Vencida",IF(C139-TODAY()&lt;8,"Próximos sete dias","Em aberto"))))))</f>
        <v/>
      </c>
    </row>
    <row r="140" spans="3:11" x14ac:dyDescent="0.25">
      <c r="C140" s="53"/>
      <c r="D140" s="54"/>
      <c r="E140" s="55"/>
      <c r="F140" s="54"/>
      <c r="G140" s="56"/>
      <c r="H140" s="56"/>
      <c r="I140" s="36" t="str">
        <f t="shared" si="9"/>
        <v/>
      </c>
      <c r="J140" s="36">
        <f t="shared" si="10"/>
        <v>0</v>
      </c>
      <c r="K140" s="36" t="str">
        <f t="shared" ca="1" si="11"/>
        <v/>
      </c>
    </row>
    <row r="141" spans="3:11" x14ac:dyDescent="0.25">
      <c r="C141" s="53"/>
      <c r="D141" s="54"/>
      <c r="E141" s="55"/>
      <c r="F141" s="54"/>
      <c r="G141" s="56"/>
      <c r="H141" s="56"/>
      <c r="I141" s="36" t="str">
        <f t="shared" si="9"/>
        <v/>
      </c>
      <c r="J141" s="36">
        <f t="shared" si="10"/>
        <v>0</v>
      </c>
      <c r="K141" s="36" t="str">
        <f t="shared" ca="1" si="11"/>
        <v/>
      </c>
    </row>
    <row r="142" spans="3:11" x14ac:dyDescent="0.25">
      <c r="C142" s="53"/>
      <c r="D142" s="54"/>
      <c r="E142" s="55"/>
      <c r="F142" s="54"/>
      <c r="G142" s="56"/>
      <c r="H142" s="56"/>
      <c r="I142" s="36" t="str">
        <f t="shared" si="9"/>
        <v/>
      </c>
      <c r="J142" s="36">
        <f t="shared" si="10"/>
        <v>0</v>
      </c>
      <c r="K142" s="36" t="str">
        <f t="shared" ca="1" si="11"/>
        <v/>
      </c>
    </row>
    <row r="143" spans="3:11" x14ac:dyDescent="0.25">
      <c r="C143" s="53"/>
      <c r="D143" s="54"/>
      <c r="E143" s="55"/>
      <c r="F143" s="54"/>
      <c r="G143" s="56"/>
      <c r="H143" s="56"/>
      <c r="I143" s="36" t="str">
        <f t="shared" si="9"/>
        <v/>
      </c>
      <c r="J143" s="36">
        <f t="shared" si="10"/>
        <v>0</v>
      </c>
      <c r="K143" s="36" t="str">
        <f t="shared" ca="1" si="11"/>
        <v/>
      </c>
    </row>
    <row r="144" spans="3:11" x14ac:dyDescent="0.25">
      <c r="C144" s="53"/>
      <c r="D144" s="54"/>
      <c r="E144" s="55"/>
      <c r="F144" s="54"/>
      <c r="G144" s="56"/>
      <c r="H144" s="56"/>
      <c r="I144" s="36" t="str">
        <f t="shared" si="9"/>
        <v/>
      </c>
      <c r="J144" s="36">
        <f t="shared" si="10"/>
        <v>0</v>
      </c>
      <c r="K144" s="36" t="str">
        <f t="shared" ca="1" si="11"/>
        <v/>
      </c>
    </row>
    <row r="145" spans="3:11" x14ac:dyDescent="0.25">
      <c r="C145" s="53"/>
      <c r="D145" s="54"/>
      <c r="E145" s="55"/>
      <c r="F145" s="54"/>
      <c r="G145" s="56"/>
      <c r="H145" s="56"/>
      <c r="I145" s="36" t="str">
        <f t="shared" si="9"/>
        <v/>
      </c>
      <c r="J145" s="36">
        <f t="shared" si="10"/>
        <v>0</v>
      </c>
      <c r="K145" s="36" t="str">
        <f t="shared" ca="1" si="11"/>
        <v/>
      </c>
    </row>
    <row r="146" spans="3:11" x14ac:dyDescent="0.25">
      <c r="C146" s="53"/>
      <c r="D146" s="54"/>
      <c r="E146" s="55"/>
      <c r="F146" s="54"/>
      <c r="G146" s="56"/>
      <c r="H146" s="56"/>
      <c r="I146" s="36" t="str">
        <f t="shared" si="9"/>
        <v/>
      </c>
      <c r="J146" s="36">
        <f t="shared" si="10"/>
        <v>0</v>
      </c>
      <c r="K146" s="36" t="str">
        <f t="shared" ca="1" si="11"/>
        <v/>
      </c>
    </row>
    <row r="147" spans="3:11" x14ac:dyDescent="0.25">
      <c r="C147" s="53"/>
      <c r="D147" s="54"/>
      <c r="E147" s="55"/>
      <c r="F147" s="54"/>
      <c r="G147" s="56"/>
      <c r="H147" s="56"/>
      <c r="I147" s="36" t="str">
        <f t="shared" si="9"/>
        <v/>
      </c>
      <c r="J147" s="36">
        <f t="shared" si="10"/>
        <v>0</v>
      </c>
      <c r="K147" s="36" t="str">
        <f t="shared" ca="1" si="11"/>
        <v/>
      </c>
    </row>
    <row r="148" spans="3:11" x14ac:dyDescent="0.25">
      <c r="C148" s="53"/>
      <c r="D148" s="54"/>
      <c r="E148" s="55"/>
      <c r="F148" s="54"/>
      <c r="G148" s="56"/>
      <c r="H148" s="56"/>
      <c r="I148" s="36" t="str">
        <f t="shared" si="9"/>
        <v/>
      </c>
      <c r="J148" s="36">
        <f t="shared" si="10"/>
        <v>0</v>
      </c>
      <c r="K148" s="36" t="str">
        <f t="shared" ca="1" si="11"/>
        <v/>
      </c>
    </row>
    <row r="149" spans="3:11" x14ac:dyDescent="0.25">
      <c r="C149" s="53"/>
      <c r="D149" s="54"/>
      <c r="E149" s="55"/>
      <c r="F149" s="54"/>
      <c r="G149" s="56"/>
      <c r="H149" s="56"/>
      <c r="I149" s="36" t="str">
        <f t="shared" si="9"/>
        <v/>
      </c>
      <c r="J149" s="36">
        <f t="shared" si="10"/>
        <v>0</v>
      </c>
      <c r="K149" s="36" t="str">
        <f t="shared" ca="1" si="11"/>
        <v/>
      </c>
    </row>
    <row r="150" spans="3:11" x14ac:dyDescent="0.25">
      <c r="C150" s="53"/>
      <c r="D150" s="54"/>
      <c r="E150" s="55"/>
      <c r="F150" s="54"/>
      <c r="G150" s="56"/>
      <c r="H150" s="56"/>
      <c r="I150" s="36" t="str">
        <f t="shared" si="9"/>
        <v/>
      </c>
      <c r="J150" s="36">
        <f t="shared" si="10"/>
        <v>0</v>
      </c>
      <c r="K150" s="36" t="str">
        <f t="shared" ca="1" si="11"/>
        <v/>
      </c>
    </row>
    <row r="151" spans="3:11" x14ac:dyDescent="0.25">
      <c r="C151" s="53"/>
      <c r="D151" s="54"/>
      <c r="E151" s="55"/>
      <c r="F151" s="54"/>
      <c r="G151" s="56"/>
      <c r="H151" s="56"/>
      <c r="I151" s="36" t="str">
        <f t="shared" si="9"/>
        <v/>
      </c>
      <c r="J151" s="36">
        <f t="shared" si="10"/>
        <v>0</v>
      </c>
      <c r="K151" s="36" t="str">
        <f t="shared" ca="1" si="11"/>
        <v/>
      </c>
    </row>
    <row r="152" spans="3:11" x14ac:dyDescent="0.25">
      <c r="C152" s="53"/>
      <c r="D152" s="54"/>
      <c r="E152" s="55"/>
      <c r="F152" s="54"/>
      <c r="G152" s="56"/>
      <c r="H152" s="56"/>
      <c r="I152" s="36" t="str">
        <f t="shared" si="9"/>
        <v/>
      </c>
      <c r="J152" s="36">
        <f t="shared" si="10"/>
        <v>0</v>
      </c>
      <c r="K152" s="36" t="str">
        <f t="shared" ca="1" si="11"/>
        <v/>
      </c>
    </row>
    <row r="153" spans="3:11" x14ac:dyDescent="0.25">
      <c r="C153" s="53"/>
      <c r="D153" s="54"/>
      <c r="E153" s="55"/>
      <c r="F153" s="54"/>
      <c r="G153" s="56"/>
      <c r="H153" s="56"/>
      <c r="I153" s="36" t="str">
        <f t="shared" si="9"/>
        <v/>
      </c>
      <c r="J153" s="36">
        <f t="shared" si="10"/>
        <v>0</v>
      </c>
      <c r="K153" s="36" t="str">
        <f t="shared" ca="1" si="11"/>
        <v/>
      </c>
    </row>
    <row r="154" spans="3:11" x14ac:dyDescent="0.25">
      <c r="C154" s="53"/>
      <c r="D154" s="54"/>
      <c r="E154" s="55"/>
      <c r="F154" s="54"/>
      <c r="G154" s="56"/>
      <c r="H154" s="56"/>
      <c r="I154" s="36" t="str">
        <f t="shared" si="9"/>
        <v/>
      </c>
      <c r="J154" s="36">
        <f t="shared" si="10"/>
        <v>0</v>
      </c>
      <c r="K154" s="36" t="str">
        <f t="shared" ca="1" si="11"/>
        <v/>
      </c>
    </row>
    <row r="155" spans="3:11" x14ac:dyDescent="0.25">
      <c r="C155" s="53"/>
      <c r="D155" s="54"/>
      <c r="E155" s="55"/>
      <c r="F155" s="54"/>
      <c r="G155" s="56"/>
      <c r="H155" s="56"/>
      <c r="I155" s="36" t="str">
        <f t="shared" si="9"/>
        <v/>
      </c>
      <c r="J155" s="36">
        <f t="shared" si="10"/>
        <v>0</v>
      </c>
      <c r="K155" s="36" t="str">
        <f t="shared" ca="1" si="11"/>
        <v/>
      </c>
    </row>
    <row r="156" spans="3:11" x14ac:dyDescent="0.25">
      <c r="C156" s="53"/>
      <c r="D156" s="54"/>
      <c r="E156" s="55"/>
      <c r="F156" s="54"/>
      <c r="G156" s="56"/>
      <c r="H156" s="56"/>
      <c r="I156" s="36" t="str">
        <f t="shared" si="9"/>
        <v/>
      </c>
      <c r="J156" s="36">
        <f t="shared" si="10"/>
        <v>0</v>
      </c>
      <c r="K156" s="36" t="str">
        <f t="shared" ca="1" si="11"/>
        <v/>
      </c>
    </row>
    <row r="157" spans="3:11" x14ac:dyDescent="0.25">
      <c r="C157" s="53"/>
      <c r="D157" s="54"/>
      <c r="E157" s="55"/>
      <c r="F157" s="54"/>
      <c r="G157" s="56"/>
      <c r="H157" s="56"/>
      <c r="I157" s="36" t="str">
        <f t="shared" si="9"/>
        <v/>
      </c>
      <c r="J157" s="36">
        <f t="shared" si="10"/>
        <v>0</v>
      </c>
      <c r="K157" s="36" t="str">
        <f t="shared" ca="1" si="11"/>
        <v/>
      </c>
    </row>
    <row r="158" spans="3:11" x14ac:dyDescent="0.25">
      <c r="C158" s="53"/>
      <c r="D158" s="54"/>
      <c r="E158" s="55"/>
      <c r="F158" s="54"/>
      <c r="G158" s="56"/>
      <c r="H158" s="56"/>
      <c r="I158" s="36" t="str">
        <f t="shared" si="9"/>
        <v/>
      </c>
      <c r="J158" s="36">
        <f t="shared" si="10"/>
        <v>0</v>
      </c>
      <c r="K158" s="36" t="str">
        <f t="shared" ca="1" si="11"/>
        <v/>
      </c>
    </row>
    <row r="159" spans="3:11" x14ac:dyDescent="0.25">
      <c r="C159" s="53"/>
      <c r="D159" s="54"/>
      <c r="E159" s="55"/>
      <c r="F159" s="54"/>
      <c r="G159" s="56"/>
      <c r="H159" s="56"/>
      <c r="I159" s="36" t="str">
        <f t="shared" si="9"/>
        <v/>
      </c>
      <c r="J159" s="36">
        <f t="shared" si="10"/>
        <v>0</v>
      </c>
      <c r="K159" s="36" t="str">
        <f t="shared" ca="1" si="11"/>
        <v/>
      </c>
    </row>
    <row r="160" spans="3:11" x14ac:dyDescent="0.25">
      <c r="C160" s="53"/>
      <c r="D160" s="54"/>
      <c r="E160" s="55"/>
      <c r="F160" s="54"/>
      <c r="G160" s="56"/>
      <c r="H160" s="56"/>
      <c r="I160" s="36" t="str">
        <f t="shared" si="9"/>
        <v/>
      </c>
      <c r="J160" s="36">
        <f t="shared" si="10"/>
        <v>0</v>
      </c>
      <c r="K160" s="36" t="str">
        <f t="shared" ca="1" si="11"/>
        <v/>
      </c>
    </row>
    <row r="161" spans="3:11" x14ac:dyDescent="0.25">
      <c r="C161" s="53"/>
      <c r="D161" s="54"/>
      <c r="E161" s="55"/>
      <c r="F161" s="54"/>
      <c r="G161" s="56"/>
      <c r="H161" s="56"/>
      <c r="I161" s="36" t="str">
        <f t="shared" si="9"/>
        <v/>
      </c>
      <c r="J161" s="36">
        <f t="shared" si="10"/>
        <v>0</v>
      </c>
      <c r="K161" s="36" t="str">
        <f t="shared" ca="1" si="11"/>
        <v/>
      </c>
    </row>
    <row r="162" spans="3:11" x14ac:dyDescent="0.25">
      <c r="C162" s="53"/>
      <c r="D162" s="54"/>
      <c r="E162" s="55"/>
      <c r="F162" s="54"/>
      <c r="G162" s="56"/>
      <c r="H162" s="56"/>
      <c r="I162" s="36" t="str">
        <f t="shared" si="9"/>
        <v/>
      </c>
      <c r="J162" s="36">
        <f t="shared" si="10"/>
        <v>0</v>
      </c>
      <c r="K162" s="36" t="str">
        <f t="shared" ca="1" si="11"/>
        <v/>
      </c>
    </row>
    <row r="163" spans="3:11" x14ac:dyDescent="0.25">
      <c r="C163" s="53"/>
      <c r="D163" s="54"/>
      <c r="E163" s="55"/>
      <c r="F163" s="54"/>
      <c r="G163" s="56"/>
      <c r="H163" s="56"/>
      <c r="I163" s="36" t="str">
        <f t="shared" si="9"/>
        <v/>
      </c>
      <c r="J163" s="36">
        <f t="shared" si="10"/>
        <v>0</v>
      </c>
      <c r="K163" s="36" t="str">
        <f t="shared" ca="1" si="11"/>
        <v/>
      </c>
    </row>
    <row r="164" spans="3:11" x14ac:dyDescent="0.25">
      <c r="C164" s="53"/>
      <c r="D164" s="54"/>
      <c r="E164" s="55"/>
      <c r="F164" s="54"/>
      <c r="G164" s="56"/>
      <c r="H164" s="56"/>
      <c r="I164" s="36" t="str">
        <f t="shared" si="9"/>
        <v/>
      </c>
      <c r="J164" s="36">
        <f t="shared" si="10"/>
        <v>0</v>
      </c>
      <c r="K164" s="36" t="str">
        <f t="shared" ca="1" si="11"/>
        <v/>
      </c>
    </row>
    <row r="165" spans="3:11" x14ac:dyDescent="0.25">
      <c r="C165" s="53"/>
      <c r="D165" s="54"/>
      <c r="E165" s="55"/>
      <c r="F165" s="54"/>
      <c r="G165" s="56"/>
      <c r="H165" s="56"/>
      <c r="I165" s="36" t="str">
        <f t="shared" si="9"/>
        <v/>
      </c>
      <c r="J165" s="36">
        <f t="shared" si="10"/>
        <v>0</v>
      </c>
      <c r="K165" s="36" t="str">
        <f t="shared" ca="1" si="11"/>
        <v/>
      </c>
    </row>
    <row r="166" spans="3:11" x14ac:dyDescent="0.25">
      <c r="C166" s="53"/>
      <c r="D166" s="54"/>
      <c r="E166" s="55"/>
      <c r="F166" s="54"/>
      <c r="G166" s="56"/>
      <c r="H166" s="56"/>
      <c r="I166" s="36" t="str">
        <f t="shared" si="9"/>
        <v/>
      </c>
      <c r="J166" s="36">
        <f t="shared" si="10"/>
        <v>0</v>
      </c>
      <c r="K166" s="36" t="str">
        <f t="shared" ca="1" si="11"/>
        <v/>
      </c>
    </row>
    <row r="167" spans="3:11" x14ac:dyDescent="0.25">
      <c r="C167" s="53"/>
      <c r="D167" s="54"/>
      <c r="E167" s="55"/>
      <c r="F167" s="54"/>
      <c r="G167" s="56"/>
      <c r="H167" s="56"/>
      <c r="I167" s="36" t="str">
        <f t="shared" si="9"/>
        <v/>
      </c>
      <c r="J167" s="36">
        <f t="shared" si="10"/>
        <v>0</v>
      </c>
      <c r="K167" s="36" t="str">
        <f t="shared" ca="1" si="11"/>
        <v/>
      </c>
    </row>
    <row r="168" spans="3:11" x14ac:dyDescent="0.25">
      <c r="C168" s="53"/>
      <c r="D168" s="54"/>
      <c r="E168" s="55"/>
      <c r="F168" s="54"/>
      <c r="G168" s="56"/>
      <c r="H168" s="56"/>
      <c r="I168" s="36" t="str">
        <f t="shared" si="9"/>
        <v/>
      </c>
      <c r="J168" s="36">
        <f t="shared" si="10"/>
        <v>0</v>
      </c>
      <c r="K168" s="36" t="str">
        <f t="shared" ca="1" si="11"/>
        <v/>
      </c>
    </row>
    <row r="169" spans="3:11" x14ac:dyDescent="0.25">
      <c r="C169" s="53"/>
      <c r="D169" s="54"/>
      <c r="E169" s="55"/>
      <c r="F169" s="54"/>
      <c r="G169" s="56"/>
      <c r="H169" s="56"/>
      <c r="I169" s="36" t="str">
        <f t="shared" si="9"/>
        <v/>
      </c>
      <c r="J169" s="36">
        <f t="shared" si="10"/>
        <v>0</v>
      </c>
      <c r="K169" s="36" t="str">
        <f t="shared" ca="1" si="11"/>
        <v/>
      </c>
    </row>
    <row r="170" spans="3:11" x14ac:dyDescent="0.25">
      <c r="C170" s="53"/>
      <c r="D170" s="54"/>
      <c r="E170" s="55"/>
      <c r="F170" s="54"/>
      <c r="G170" s="56"/>
      <c r="H170" s="56"/>
      <c r="I170" s="36" t="str">
        <f t="shared" si="9"/>
        <v/>
      </c>
      <c r="J170" s="36">
        <f t="shared" si="10"/>
        <v>0</v>
      </c>
      <c r="K170" s="36" t="str">
        <f t="shared" ca="1" si="11"/>
        <v/>
      </c>
    </row>
    <row r="171" spans="3:11" x14ac:dyDescent="0.25">
      <c r="C171" s="53"/>
      <c r="D171" s="54"/>
      <c r="E171" s="55"/>
      <c r="F171" s="54"/>
      <c r="G171" s="56"/>
      <c r="H171" s="56"/>
      <c r="I171" s="36" t="str">
        <f t="shared" si="9"/>
        <v/>
      </c>
      <c r="J171" s="36">
        <f t="shared" si="10"/>
        <v>0</v>
      </c>
      <c r="K171" s="36" t="str">
        <f t="shared" ca="1" si="11"/>
        <v/>
      </c>
    </row>
    <row r="172" spans="3:11" x14ac:dyDescent="0.25">
      <c r="C172" s="53"/>
      <c r="D172" s="54"/>
      <c r="E172" s="55"/>
      <c r="F172" s="54"/>
      <c r="G172" s="56"/>
      <c r="H172" s="56"/>
      <c r="I172" s="36" t="str">
        <f t="shared" si="9"/>
        <v/>
      </c>
      <c r="J172" s="36">
        <f t="shared" si="10"/>
        <v>0</v>
      </c>
      <c r="K172" s="36" t="str">
        <f t="shared" ca="1" si="11"/>
        <v/>
      </c>
    </row>
    <row r="173" spans="3:11" x14ac:dyDescent="0.25">
      <c r="C173" s="53"/>
      <c r="D173" s="54"/>
      <c r="E173" s="55"/>
      <c r="F173" s="54"/>
      <c r="G173" s="56"/>
      <c r="H173" s="56"/>
      <c r="I173" s="36" t="str">
        <f t="shared" si="9"/>
        <v/>
      </c>
      <c r="J173" s="36">
        <f t="shared" si="10"/>
        <v>0</v>
      </c>
      <c r="K173" s="36" t="str">
        <f t="shared" ca="1" si="11"/>
        <v/>
      </c>
    </row>
    <row r="174" spans="3:11" x14ac:dyDescent="0.25">
      <c r="C174" s="53"/>
      <c r="D174" s="54"/>
      <c r="E174" s="55"/>
      <c r="F174" s="54"/>
      <c r="G174" s="56"/>
      <c r="H174" s="56"/>
      <c r="I174" s="36" t="str">
        <f t="shared" si="9"/>
        <v/>
      </c>
      <c r="J174" s="36">
        <f t="shared" si="10"/>
        <v>0</v>
      </c>
      <c r="K174" s="36" t="str">
        <f t="shared" ca="1" si="11"/>
        <v/>
      </c>
    </row>
    <row r="175" spans="3:11" x14ac:dyDescent="0.25">
      <c r="C175" s="53"/>
      <c r="D175" s="54"/>
      <c r="E175" s="55"/>
      <c r="F175" s="54"/>
      <c r="G175" s="56"/>
      <c r="H175" s="56"/>
      <c r="I175" s="36" t="str">
        <f t="shared" si="9"/>
        <v/>
      </c>
      <c r="J175" s="36">
        <f t="shared" si="10"/>
        <v>0</v>
      </c>
      <c r="K175" s="36" t="str">
        <f t="shared" ca="1" si="11"/>
        <v/>
      </c>
    </row>
    <row r="176" spans="3:11" x14ac:dyDescent="0.25">
      <c r="C176" s="53"/>
      <c r="D176" s="54"/>
      <c r="E176" s="55"/>
      <c r="F176" s="54"/>
      <c r="G176" s="56"/>
      <c r="H176" s="56"/>
      <c r="I176" s="36" t="str">
        <f t="shared" si="9"/>
        <v/>
      </c>
      <c r="J176" s="36">
        <f t="shared" si="10"/>
        <v>0</v>
      </c>
      <c r="K176" s="36" t="str">
        <f t="shared" ca="1" si="11"/>
        <v/>
      </c>
    </row>
    <row r="177" spans="3:11" x14ac:dyDescent="0.25">
      <c r="C177" s="53"/>
      <c r="D177" s="54"/>
      <c r="E177" s="55"/>
      <c r="F177" s="54"/>
      <c r="G177" s="56"/>
      <c r="H177" s="56"/>
      <c r="I177" s="36" t="str">
        <f t="shared" si="9"/>
        <v/>
      </c>
      <c r="J177" s="36">
        <f t="shared" si="10"/>
        <v>0</v>
      </c>
      <c r="K177" s="36" t="str">
        <f t="shared" ca="1" si="11"/>
        <v/>
      </c>
    </row>
    <row r="178" spans="3:11" x14ac:dyDescent="0.25">
      <c r="C178" s="53"/>
      <c r="D178" s="54"/>
      <c r="E178" s="55"/>
      <c r="F178" s="54"/>
      <c r="G178" s="56"/>
      <c r="H178" s="56"/>
      <c r="I178" s="36" t="str">
        <f t="shared" si="9"/>
        <v/>
      </c>
      <c r="J178" s="36">
        <f t="shared" si="10"/>
        <v>0</v>
      </c>
      <c r="K178" s="36" t="str">
        <f t="shared" ca="1" si="11"/>
        <v/>
      </c>
    </row>
    <row r="179" spans="3:11" x14ac:dyDescent="0.25">
      <c r="C179" s="53"/>
      <c r="D179" s="54"/>
      <c r="E179" s="55"/>
      <c r="F179" s="54"/>
      <c r="G179" s="56"/>
      <c r="H179" s="56"/>
      <c r="I179" s="36" t="str">
        <f t="shared" si="9"/>
        <v/>
      </c>
      <c r="J179" s="36">
        <f t="shared" si="10"/>
        <v>0</v>
      </c>
      <c r="K179" s="36" t="str">
        <f t="shared" ca="1" si="11"/>
        <v/>
      </c>
    </row>
    <row r="180" spans="3:11" x14ac:dyDescent="0.25">
      <c r="C180" s="53"/>
      <c r="D180" s="54"/>
      <c r="E180" s="55"/>
      <c r="F180" s="54"/>
      <c r="G180" s="56"/>
      <c r="H180" s="56"/>
      <c r="I180" s="36" t="str">
        <f t="shared" si="9"/>
        <v/>
      </c>
      <c r="J180" s="36">
        <f t="shared" si="10"/>
        <v>0</v>
      </c>
      <c r="K180" s="36" t="str">
        <f t="shared" ca="1" si="11"/>
        <v/>
      </c>
    </row>
    <row r="181" spans="3:11" x14ac:dyDescent="0.25">
      <c r="C181" s="53"/>
      <c r="D181" s="54"/>
      <c r="E181" s="55"/>
      <c r="F181" s="54"/>
      <c r="G181" s="56"/>
      <c r="H181" s="56"/>
      <c r="I181" s="36" t="str">
        <f t="shared" si="9"/>
        <v/>
      </c>
      <c r="J181" s="36">
        <f t="shared" si="10"/>
        <v>0</v>
      </c>
      <c r="K181" s="36" t="str">
        <f t="shared" ca="1" si="11"/>
        <v/>
      </c>
    </row>
    <row r="182" spans="3:11" x14ac:dyDescent="0.25">
      <c r="C182" s="53"/>
      <c r="D182" s="54"/>
      <c r="E182" s="55"/>
      <c r="F182" s="54"/>
      <c r="G182" s="56"/>
      <c r="H182" s="56"/>
      <c r="I182" s="36" t="str">
        <f t="shared" si="9"/>
        <v/>
      </c>
      <c r="J182" s="36">
        <f t="shared" si="10"/>
        <v>0</v>
      </c>
      <c r="K182" s="36" t="str">
        <f t="shared" ca="1" si="11"/>
        <v/>
      </c>
    </row>
    <row r="183" spans="3:11" x14ac:dyDescent="0.25">
      <c r="C183" s="53"/>
      <c r="D183" s="54"/>
      <c r="E183" s="55"/>
      <c r="F183" s="54"/>
      <c r="G183" s="56"/>
      <c r="H183" s="56"/>
      <c r="I183" s="36" t="str">
        <f t="shared" si="9"/>
        <v/>
      </c>
      <c r="J183" s="36">
        <f t="shared" si="10"/>
        <v>0</v>
      </c>
      <c r="K183" s="36" t="str">
        <f t="shared" ca="1" si="11"/>
        <v/>
      </c>
    </row>
    <row r="184" spans="3:11" x14ac:dyDescent="0.25">
      <c r="C184" s="53"/>
      <c r="D184" s="54"/>
      <c r="E184" s="55"/>
      <c r="F184" s="54"/>
      <c r="G184" s="56"/>
      <c r="H184" s="56"/>
      <c r="I184" s="36" t="str">
        <f t="shared" si="9"/>
        <v/>
      </c>
      <c r="J184" s="36">
        <f t="shared" si="10"/>
        <v>0</v>
      </c>
      <c r="K184" s="36" t="str">
        <f t="shared" ca="1" si="11"/>
        <v/>
      </c>
    </row>
    <row r="185" spans="3:11" x14ac:dyDescent="0.25">
      <c r="C185" s="53"/>
      <c r="D185" s="54"/>
      <c r="E185" s="55"/>
      <c r="F185" s="54"/>
      <c r="G185" s="56"/>
      <c r="H185" s="56"/>
      <c r="I185" s="36" t="str">
        <f t="shared" si="9"/>
        <v/>
      </c>
      <c r="J185" s="36">
        <f t="shared" si="10"/>
        <v>0</v>
      </c>
      <c r="K185" s="36" t="str">
        <f t="shared" ca="1" si="11"/>
        <v/>
      </c>
    </row>
    <row r="186" spans="3:11" x14ac:dyDescent="0.25">
      <c r="C186" s="53"/>
      <c r="D186" s="54"/>
      <c r="E186" s="55"/>
      <c r="F186" s="54"/>
      <c r="G186" s="56"/>
      <c r="H186" s="56"/>
      <c r="I186" s="36" t="str">
        <f t="shared" si="9"/>
        <v/>
      </c>
      <c r="J186" s="36">
        <f t="shared" si="10"/>
        <v>0</v>
      </c>
      <c r="K186" s="36" t="str">
        <f t="shared" ca="1" si="11"/>
        <v/>
      </c>
    </row>
    <row r="187" spans="3:11" x14ac:dyDescent="0.25">
      <c r="C187" s="53"/>
      <c r="D187" s="54"/>
      <c r="E187" s="55"/>
      <c r="F187" s="54"/>
      <c r="G187" s="56"/>
      <c r="H187" s="56"/>
      <c r="I187" s="36" t="str">
        <f t="shared" si="9"/>
        <v/>
      </c>
      <c r="J187" s="36">
        <f t="shared" si="10"/>
        <v>0</v>
      </c>
      <c r="K187" s="36" t="str">
        <f t="shared" ca="1" si="11"/>
        <v/>
      </c>
    </row>
    <row r="188" spans="3:11" x14ac:dyDescent="0.25">
      <c r="C188" s="53"/>
      <c r="D188" s="54"/>
      <c r="E188" s="55"/>
      <c r="F188" s="54"/>
      <c r="G188" s="56"/>
      <c r="H188" s="56"/>
      <c r="I188" s="36" t="str">
        <f t="shared" si="9"/>
        <v/>
      </c>
      <c r="J188" s="36">
        <f t="shared" si="10"/>
        <v>0</v>
      </c>
      <c r="K188" s="36" t="str">
        <f t="shared" ca="1" si="11"/>
        <v/>
      </c>
    </row>
    <row r="189" spans="3:11" x14ac:dyDescent="0.25">
      <c r="C189" s="53"/>
      <c r="D189" s="54"/>
      <c r="E189" s="55"/>
      <c r="F189" s="54"/>
      <c r="G189" s="56"/>
      <c r="H189" s="56"/>
      <c r="I189" s="36" t="str">
        <f t="shared" si="9"/>
        <v/>
      </c>
      <c r="J189" s="36">
        <f t="shared" si="10"/>
        <v>0</v>
      </c>
      <c r="K189" s="36" t="str">
        <f t="shared" ca="1" si="11"/>
        <v/>
      </c>
    </row>
    <row r="190" spans="3:11" x14ac:dyDescent="0.25">
      <c r="C190" s="53"/>
      <c r="D190" s="54"/>
      <c r="E190" s="55"/>
      <c r="F190" s="54"/>
      <c r="G190" s="56"/>
      <c r="H190" s="56"/>
      <c r="I190" s="36" t="str">
        <f t="shared" si="9"/>
        <v/>
      </c>
      <c r="J190" s="36">
        <f t="shared" si="10"/>
        <v>0</v>
      </c>
      <c r="K190" s="36" t="str">
        <f t="shared" ca="1" si="11"/>
        <v/>
      </c>
    </row>
    <row r="191" spans="3:11" x14ac:dyDescent="0.25">
      <c r="C191" s="53"/>
      <c r="D191" s="54"/>
      <c r="E191" s="55"/>
      <c r="F191" s="54"/>
      <c r="G191" s="56"/>
      <c r="H191" s="56"/>
      <c r="I191" s="36" t="str">
        <f t="shared" si="9"/>
        <v/>
      </c>
      <c r="J191" s="36">
        <f t="shared" si="10"/>
        <v>0</v>
      </c>
      <c r="K191" s="36" t="str">
        <f t="shared" ca="1" si="11"/>
        <v/>
      </c>
    </row>
    <row r="192" spans="3:11" x14ac:dyDescent="0.25">
      <c r="C192" s="53"/>
      <c r="D192" s="54"/>
      <c r="E192" s="55"/>
      <c r="F192" s="54"/>
      <c r="G192" s="56"/>
      <c r="H192" s="56"/>
      <c r="I192" s="36" t="str">
        <f t="shared" si="9"/>
        <v/>
      </c>
      <c r="J192" s="36">
        <f t="shared" si="10"/>
        <v>0</v>
      </c>
      <c r="K192" s="36" t="str">
        <f t="shared" ca="1" si="11"/>
        <v/>
      </c>
    </row>
    <row r="193" spans="3:11" x14ac:dyDescent="0.25">
      <c r="C193" s="53"/>
      <c r="D193" s="54"/>
      <c r="E193" s="55"/>
      <c r="F193" s="54"/>
      <c r="G193" s="56"/>
      <c r="H193" s="56"/>
      <c r="I193" s="36" t="str">
        <f t="shared" si="9"/>
        <v/>
      </c>
      <c r="J193" s="36">
        <f t="shared" si="10"/>
        <v>0</v>
      </c>
      <c r="K193" s="36" t="str">
        <f t="shared" ca="1" si="11"/>
        <v/>
      </c>
    </row>
    <row r="194" spans="3:11" x14ac:dyDescent="0.25">
      <c r="C194" s="53"/>
      <c r="D194" s="54"/>
      <c r="E194" s="55"/>
      <c r="F194" s="54"/>
      <c r="G194" s="56"/>
      <c r="H194" s="56"/>
      <c r="I194" s="36" t="str">
        <f t="shared" si="9"/>
        <v/>
      </c>
      <c r="J194" s="36">
        <f t="shared" si="10"/>
        <v>0</v>
      </c>
      <c r="K194" s="36" t="str">
        <f t="shared" ca="1" si="11"/>
        <v/>
      </c>
    </row>
    <row r="195" spans="3:11" x14ac:dyDescent="0.25">
      <c r="C195" s="53"/>
      <c r="D195" s="54"/>
      <c r="E195" s="55"/>
      <c r="F195" s="54"/>
      <c r="G195" s="56"/>
      <c r="H195" s="56"/>
      <c r="I195" s="36" t="str">
        <f t="shared" si="9"/>
        <v/>
      </c>
      <c r="J195" s="36">
        <f t="shared" si="10"/>
        <v>0</v>
      </c>
      <c r="K195" s="36" t="str">
        <f t="shared" ca="1" si="11"/>
        <v/>
      </c>
    </row>
    <row r="196" spans="3:11" x14ac:dyDescent="0.25">
      <c r="C196" s="53"/>
      <c r="D196" s="54"/>
      <c r="E196" s="55"/>
      <c r="F196" s="54"/>
      <c r="G196" s="56"/>
      <c r="H196" s="56"/>
      <c r="I196" s="36" t="str">
        <f t="shared" si="9"/>
        <v/>
      </c>
      <c r="J196" s="36">
        <f t="shared" si="10"/>
        <v>0</v>
      </c>
      <c r="K196" s="36" t="str">
        <f t="shared" ca="1" si="11"/>
        <v/>
      </c>
    </row>
    <row r="197" spans="3:11" x14ac:dyDescent="0.25">
      <c r="C197" s="53"/>
      <c r="D197" s="54"/>
      <c r="E197" s="55"/>
      <c r="F197" s="54"/>
      <c r="G197" s="56"/>
      <c r="H197" s="56"/>
      <c r="I197" s="36" t="str">
        <f t="shared" si="9"/>
        <v/>
      </c>
      <c r="J197" s="36">
        <f t="shared" si="10"/>
        <v>0</v>
      </c>
      <c r="K197" s="36" t="str">
        <f t="shared" ca="1" si="11"/>
        <v/>
      </c>
    </row>
    <row r="198" spans="3:11" x14ac:dyDescent="0.25">
      <c r="C198" s="53"/>
      <c r="D198" s="54"/>
      <c r="E198" s="55"/>
      <c r="F198" s="54"/>
      <c r="G198" s="56"/>
      <c r="H198" s="56"/>
      <c r="I198" s="36" t="str">
        <f t="shared" si="9"/>
        <v/>
      </c>
      <c r="J198" s="36">
        <f t="shared" si="10"/>
        <v>0</v>
      </c>
      <c r="K198" s="36" t="str">
        <f t="shared" ca="1" si="11"/>
        <v/>
      </c>
    </row>
    <row r="199" spans="3:11" x14ac:dyDescent="0.25">
      <c r="C199" s="53"/>
      <c r="D199" s="54"/>
      <c r="E199" s="55"/>
      <c r="F199" s="54"/>
      <c r="G199" s="56"/>
      <c r="H199" s="56"/>
      <c r="I199" s="36" t="str">
        <f t="shared" si="9"/>
        <v/>
      </c>
      <c r="J199" s="36">
        <f t="shared" si="10"/>
        <v>0</v>
      </c>
      <c r="K199" s="36" t="str">
        <f t="shared" ca="1" si="11"/>
        <v/>
      </c>
    </row>
    <row r="200" spans="3:11" x14ac:dyDescent="0.25">
      <c r="C200" s="53"/>
      <c r="D200" s="54"/>
      <c r="E200" s="55"/>
      <c r="F200" s="54"/>
      <c r="G200" s="56"/>
      <c r="H200" s="56"/>
      <c r="I200" s="36" t="str">
        <f t="shared" si="9"/>
        <v/>
      </c>
      <c r="J200" s="36">
        <f t="shared" si="10"/>
        <v>0</v>
      </c>
      <c r="K200" s="36" t="str">
        <f t="shared" ca="1" si="11"/>
        <v/>
      </c>
    </row>
    <row r="201" spans="3:11" x14ac:dyDescent="0.25">
      <c r="C201" s="53"/>
      <c r="D201" s="54"/>
      <c r="E201" s="55"/>
      <c r="F201" s="54"/>
      <c r="G201" s="56"/>
      <c r="H201" s="56"/>
      <c r="I201" s="36" t="str">
        <f t="shared" si="9"/>
        <v/>
      </c>
      <c r="J201" s="36">
        <f t="shared" si="10"/>
        <v>0</v>
      </c>
      <c r="K201" s="36" t="str">
        <f t="shared" ca="1" si="11"/>
        <v/>
      </c>
    </row>
    <row r="202" spans="3:11" x14ac:dyDescent="0.25">
      <c r="C202" s="53"/>
      <c r="D202" s="54"/>
      <c r="E202" s="55"/>
      <c r="F202" s="54"/>
      <c r="G202" s="56"/>
      <c r="H202" s="56"/>
      <c r="I202" s="36" t="str">
        <f t="shared" si="9"/>
        <v/>
      </c>
      <c r="J202" s="36">
        <f t="shared" si="10"/>
        <v>0</v>
      </c>
      <c r="K202" s="36" t="str">
        <f t="shared" ca="1" si="11"/>
        <v/>
      </c>
    </row>
    <row r="203" spans="3:11" x14ac:dyDescent="0.25">
      <c r="C203" s="53"/>
      <c r="D203" s="54"/>
      <c r="E203" s="55"/>
      <c r="F203" s="54"/>
      <c r="G203" s="56"/>
      <c r="H203" s="56"/>
      <c r="I203" s="36" t="str">
        <f t="shared" ref="I203:I266" si="12">IF(C203="","",IF(H203&lt;=0,"Em aberto",IF(H203&gt;=G203,"Pagamento Total",IF(H203&lt;G203,"Pagamento Parcial"))))</f>
        <v/>
      </c>
      <c r="J203" s="36">
        <f t="shared" ref="J203:J266" si="13">IF(C203&gt;0,G203-H203,0)</f>
        <v>0</v>
      </c>
      <c r="K203" s="36" t="str">
        <f t="shared" ref="K203:K266" ca="1" si="14">IF(ISBLANK(C203),"",IF(H203=G203,"Pago",IF(C203=TODAY(),"Vence Hoje",IF(TRIM(UPPER(G202))&lt;&gt;"S",IF(C203-TODAY()&lt;0,"Vencida",IF(C203-TODAY()&lt;8,"Próximos sete dias","Em aberto"))))))</f>
        <v/>
      </c>
    </row>
    <row r="204" spans="3:11" x14ac:dyDescent="0.25">
      <c r="C204" s="53"/>
      <c r="D204" s="54"/>
      <c r="E204" s="55"/>
      <c r="F204" s="54"/>
      <c r="G204" s="56"/>
      <c r="H204" s="56"/>
      <c r="I204" s="36" t="str">
        <f t="shared" si="12"/>
        <v/>
      </c>
      <c r="J204" s="36">
        <f t="shared" si="13"/>
        <v>0</v>
      </c>
      <c r="K204" s="36" t="str">
        <f t="shared" ca="1" si="14"/>
        <v/>
      </c>
    </row>
    <row r="205" spans="3:11" x14ac:dyDescent="0.25">
      <c r="C205" s="53"/>
      <c r="D205" s="54"/>
      <c r="E205" s="55"/>
      <c r="F205" s="54"/>
      <c r="G205" s="56"/>
      <c r="H205" s="56"/>
      <c r="I205" s="36" t="str">
        <f t="shared" si="12"/>
        <v/>
      </c>
      <c r="J205" s="36">
        <f t="shared" si="13"/>
        <v>0</v>
      </c>
      <c r="K205" s="36" t="str">
        <f t="shared" ca="1" si="14"/>
        <v/>
      </c>
    </row>
    <row r="206" spans="3:11" x14ac:dyDescent="0.25">
      <c r="C206" s="53"/>
      <c r="D206" s="54"/>
      <c r="E206" s="55"/>
      <c r="F206" s="54"/>
      <c r="G206" s="56"/>
      <c r="H206" s="56"/>
      <c r="I206" s="36" t="str">
        <f t="shared" si="12"/>
        <v/>
      </c>
      <c r="J206" s="36">
        <f t="shared" si="13"/>
        <v>0</v>
      </c>
      <c r="K206" s="36" t="str">
        <f t="shared" ca="1" si="14"/>
        <v/>
      </c>
    </row>
    <row r="207" spans="3:11" x14ac:dyDescent="0.25">
      <c r="C207" s="53"/>
      <c r="D207" s="54"/>
      <c r="E207" s="55"/>
      <c r="F207" s="54"/>
      <c r="G207" s="56"/>
      <c r="H207" s="56"/>
      <c r="I207" s="36" t="str">
        <f t="shared" si="12"/>
        <v/>
      </c>
      <c r="J207" s="36">
        <f t="shared" si="13"/>
        <v>0</v>
      </c>
      <c r="K207" s="36" t="str">
        <f t="shared" ca="1" si="14"/>
        <v/>
      </c>
    </row>
    <row r="208" spans="3:11" x14ac:dyDescent="0.25">
      <c r="C208" s="53"/>
      <c r="D208" s="54"/>
      <c r="E208" s="55"/>
      <c r="F208" s="54"/>
      <c r="G208" s="56"/>
      <c r="H208" s="56"/>
      <c r="I208" s="36" t="str">
        <f t="shared" si="12"/>
        <v/>
      </c>
      <c r="J208" s="36">
        <f t="shared" si="13"/>
        <v>0</v>
      </c>
      <c r="K208" s="36" t="str">
        <f t="shared" ca="1" si="14"/>
        <v/>
      </c>
    </row>
    <row r="209" spans="3:11" x14ac:dyDescent="0.25">
      <c r="C209" s="53"/>
      <c r="D209" s="54"/>
      <c r="E209" s="55"/>
      <c r="F209" s="54"/>
      <c r="G209" s="56"/>
      <c r="H209" s="56"/>
      <c r="I209" s="36" t="str">
        <f t="shared" si="12"/>
        <v/>
      </c>
      <c r="J209" s="36">
        <f t="shared" si="13"/>
        <v>0</v>
      </c>
      <c r="K209" s="36" t="str">
        <f t="shared" ca="1" si="14"/>
        <v/>
      </c>
    </row>
    <row r="210" spans="3:11" x14ac:dyDescent="0.25">
      <c r="C210" s="53"/>
      <c r="D210" s="54"/>
      <c r="E210" s="55"/>
      <c r="F210" s="54"/>
      <c r="G210" s="56"/>
      <c r="H210" s="56"/>
      <c r="I210" s="36" t="str">
        <f t="shared" si="12"/>
        <v/>
      </c>
      <c r="J210" s="36">
        <f t="shared" si="13"/>
        <v>0</v>
      </c>
      <c r="K210" s="36" t="str">
        <f t="shared" ca="1" si="14"/>
        <v/>
      </c>
    </row>
    <row r="211" spans="3:11" x14ac:dyDescent="0.25">
      <c r="C211" s="53"/>
      <c r="D211" s="54"/>
      <c r="E211" s="55"/>
      <c r="F211" s="54"/>
      <c r="G211" s="56"/>
      <c r="H211" s="56"/>
      <c r="I211" s="36" t="str">
        <f t="shared" si="12"/>
        <v/>
      </c>
      <c r="J211" s="36">
        <f t="shared" si="13"/>
        <v>0</v>
      </c>
      <c r="K211" s="36" t="str">
        <f t="shared" ca="1" si="14"/>
        <v/>
      </c>
    </row>
    <row r="212" spans="3:11" x14ac:dyDescent="0.25">
      <c r="C212" s="53"/>
      <c r="D212" s="54"/>
      <c r="E212" s="55"/>
      <c r="F212" s="54"/>
      <c r="G212" s="56"/>
      <c r="H212" s="56"/>
      <c r="I212" s="36" t="str">
        <f t="shared" si="12"/>
        <v/>
      </c>
      <c r="J212" s="36">
        <f t="shared" si="13"/>
        <v>0</v>
      </c>
      <c r="K212" s="36" t="str">
        <f t="shared" ca="1" si="14"/>
        <v/>
      </c>
    </row>
    <row r="213" spans="3:11" x14ac:dyDescent="0.25">
      <c r="C213" s="53"/>
      <c r="D213" s="54"/>
      <c r="E213" s="55"/>
      <c r="F213" s="54"/>
      <c r="G213" s="56"/>
      <c r="H213" s="56"/>
      <c r="I213" s="36" t="str">
        <f t="shared" si="12"/>
        <v/>
      </c>
      <c r="J213" s="36">
        <f t="shared" si="13"/>
        <v>0</v>
      </c>
      <c r="K213" s="36" t="str">
        <f t="shared" ca="1" si="14"/>
        <v/>
      </c>
    </row>
    <row r="214" spans="3:11" x14ac:dyDescent="0.25">
      <c r="C214" s="53"/>
      <c r="D214" s="54"/>
      <c r="E214" s="55"/>
      <c r="F214" s="54"/>
      <c r="G214" s="56"/>
      <c r="H214" s="56"/>
      <c r="I214" s="36" t="str">
        <f t="shared" si="12"/>
        <v/>
      </c>
      <c r="J214" s="36">
        <f t="shared" si="13"/>
        <v>0</v>
      </c>
      <c r="K214" s="36" t="str">
        <f t="shared" ca="1" si="14"/>
        <v/>
      </c>
    </row>
    <row r="215" spans="3:11" x14ac:dyDescent="0.25">
      <c r="C215" s="53"/>
      <c r="D215" s="54"/>
      <c r="E215" s="55"/>
      <c r="F215" s="54"/>
      <c r="G215" s="56"/>
      <c r="H215" s="56"/>
      <c r="I215" s="36" t="str">
        <f t="shared" si="12"/>
        <v/>
      </c>
      <c r="J215" s="36">
        <f t="shared" si="13"/>
        <v>0</v>
      </c>
      <c r="K215" s="36" t="str">
        <f t="shared" ca="1" si="14"/>
        <v/>
      </c>
    </row>
    <row r="216" spans="3:11" x14ac:dyDescent="0.25">
      <c r="C216" s="53"/>
      <c r="D216" s="54"/>
      <c r="E216" s="55"/>
      <c r="F216" s="54"/>
      <c r="G216" s="56"/>
      <c r="H216" s="56"/>
      <c r="I216" s="36" t="str">
        <f t="shared" si="12"/>
        <v/>
      </c>
      <c r="J216" s="36">
        <f t="shared" si="13"/>
        <v>0</v>
      </c>
      <c r="K216" s="36" t="str">
        <f t="shared" ca="1" si="14"/>
        <v/>
      </c>
    </row>
    <row r="217" spans="3:11" x14ac:dyDescent="0.25">
      <c r="C217" s="53"/>
      <c r="D217" s="54"/>
      <c r="E217" s="55"/>
      <c r="F217" s="54"/>
      <c r="G217" s="56"/>
      <c r="H217" s="56"/>
      <c r="I217" s="36" t="str">
        <f t="shared" si="12"/>
        <v/>
      </c>
      <c r="J217" s="36">
        <f t="shared" si="13"/>
        <v>0</v>
      </c>
      <c r="K217" s="36" t="str">
        <f t="shared" ca="1" si="14"/>
        <v/>
      </c>
    </row>
    <row r="218" spans="3:11" x14ac:dyDescent="0.25">
      <c r="C218" s="53"/>
      <c r="D218" s="54"/>
      <c r="E218" s="55"/>
      <c r="F218" s="54"/>
      <c r="G218" s="56"/>
      <c r="H218" s="56"/>
      <c r="I218" s="36" t="str">
        <f t="shared" si="12"/>
        <v/>
      </c>
      <c r="J218" s="36">
        <f t="shared" si="13"/>
        <v>0</v>
      </c>
      <c r="K218" s="36" t="str">
        <f t="shared" ca="1" si="14"/>
        <v/>
      </c>
    </row>
    <row r="219" spans="3:11" x14ac:dyDescent="0.25">
      <c r="C219" s="53"/>
      <c r="D219" s="54"/>
      <c r="E219" s="55"/>
      <c r="F219" s="54"/>
      <c r="G219" s="56"/>
      <c r="H219" s="56"/>
      <c r="I219" s="36" t="str">
        <f t="shared" si="12"/>
        <v/>
      </c>
      <c r="J219" s="36">
        <f t="shared" si="13"/>
        <v>0</v>
      </c>
      <c r="K219" s="36" t="str">
        <f t="shared" ca="1" si="14"/>
        <v/>
      </c>
    </row>
    <row r="220" spans="3:11" x14ac:dyDescent="0.25">
      <c r="C220" s="53"/>
      <c r="D220" s="54"/>
      <c r="E220" s="55"/>
      <c r="F220" s="54"/>
      <c r="G220" s="56"/>
      <c r="H220" s="56"/>
      <c r="I220" s="36" t="str">
        <f t="shared" si="12"/>
        <v/>
      </c>
      <c r="J220" s="36">
        <f t="shared" si="13"/>
        <v>0</v>
      </c>
      <c r="K220" s="36" t="str">
        <f t="shared" ca="1" si="14"/>
        <v/>
      </c>
    </row>
    <row r="221" spans="3:11" x14ac:dyDescent="0.25">
      <c r="C221" s="53"/>
      <c r="D221" s="54"/>
      <c r="E221" s="55"/>
      <c r="F221" s="54"/>
      <c r="G221" s="56"/>
      <c r="H221" s="56"/>
      <c r="I221" s="36" t="str">
        <f t="shared" si="12"/>
        <v/>
      </c>
      <c r="J221" s="36">
        <f t="shared" si="13"/>
        <v>0</v>
      </c>
      <c r="K221" s="36" t="str">
        <f t="shared" ca="1" si="14"/>
        <v/>
      </c>
    </row>
    <row r="222" spans="3:11" x14ac:dyDescent="0.25">
      <c r="C222" s="53"/>
      <c r="D222" s="54"/>
      <c r="E222" s="55"/>
      <c r="F222" s="54"/>
      <c r="G222" s="56"/>
      <c r="H222" s="56"/>
      <c r="I222" s="36" t="str">
        <f t="shared" si="12"/>
        <v/>
      </c>
      <c r="J222" s="36">
        <f t="shared" si="13"/>
        <v>0</v>
      </c>
      <c r="K222" s="36" t="str">
        <f t="shared" ca="1" si="14"/>
        <v/>
      </c>
    </row>
    <row r="223" spans="3:11" x14ac:dyDescent="0.25">
      <c r="C223" s="53"/>
      <c r="D223" s="54"/>
      <c r="E223" s="55"/>
      <c r="F223" s="54"/>
      <c r="G223" s="56"/>
      <c r="H223" s="56"/>
      <c r="I223" s="36" t="str">
        <f t="shared" si="12"/>
        <v/>
      </c>
      <c r="J223" s="36">
        <f t="shared" si="13"/>
        <v>0</v>
      </c>
      <c r="K223" s="36" t="str">
        <f t="shared" ca="1" si="14"/>
        <v/>
      </c>
    </row>
    <row r="224" spans="3:11" x14ac:dyDescent="0.25">
      <c r="C224" s="53"/>
      <c r="D224" s="54"/>
      <c r="E224" s="55"/>
      <c r="F224" s="54"/>
      <c r="G224" s="56"/>
      <c r="H224" s="56"/>
      <c r="I224" s="36" t="str">
        <f t="shared" si="12"/>
        <v/>
      </c>
      <c r="J224" s="36">
        <f t="shared" si="13"/>
        <v>0</v>
      </c>
      <c r="K224" s="36" t="str">
        <f t="shared" ca="1" si="14"/>
        <v/>
      </c>
    </row>
    <row r="225" spans="3:11" x14ac:dyDescent="0.25">
      <c r="C225" s="53"/>
      <c r="D225" s="54"/>
      <c r="E225" s="55"/>
      <c r="F225" s="54"/>
      <c r="G225" s="56"/>
      <c r="H225" s="56"/>
      <c r="I225" s="36" t="str">
        <f t="shared" si="12"/>
        <v/>
      </c>
      <c r="J225" s="36">
        <f t="shared" si="13"/>
        <v>0</v>
      </c>
      <c r="K225" s="36" t="str">
        <f t="shared" ca="1" si="14"/>
        <v/>
      </c>
    </row>
    <row r="226" spans="3:11" x14ac:dyDescent="0.25">
      <c r="C226" s="53"/>
      <c r="D226" s="54"/>
      <c r="E226" s="55"/>
      <c r="F226" s="54"/>
      <c r="G226" s="56"/>
      <c r="H226" s="56"/>
      <c r="I226" s="36" t="str">
        <f t="shared" si="12"/>
        <v/>
      </c>
      <c r="J226" s="36">
        <f t="shared" si="13"/>
        <v>0</v>
      </c>
      <c r="K226" s="36" t="str">
        <f t="shared" ca="1" si="14"/>
        <v/>
      </c>
    </row>
    <row r="227" spans="3:11" x14ac:dyDescent="0.25">
      <c r="C227" s="53"/>
      <c r="D227" s="54"/>
      <c r="E227" s="55"/>
      <c r="F227" s="54"/>
      <c r="G227" s="56"/>
      <c r="H227" s="56"/>
      <c r="I227" s="36" t="str">
        <f t="shared" si="12"/>
        <v/>
      </c>
      <c r="J227" s="36">
        <f t="shared" si="13"/>
        <v>0</v>
      </c>
      <c r="K227" s="36" t="str">
        <f t="shared" ca="1" si="14"/>
        <v/>
      </c>
    </row>
    <row r="228" spans="3:11" x14ac:dyDescent="0.25">
      <c r="C228" s="53"/>
      <c r="D228" s="54"/>
      <c r="E228" s="55"/>
      <c r="F228" s="54"/>
      <c r="G228" s="56"/>
      <c r="H228" s="56"/>
      <c r="I228" s="36" t="str">
        <f t="shared" si="12"/>
        <v/>
      </c>
      <c r="J228" s="36">
        <f t="shared" si="13"/>
        <v>0</v>
      </c>
      <c r="K228" s="36" t="str">
        <f t="shared" ca="1" si="14"/>
        <v/>
      </c>
    </row>
    <row r="229" spans="3:11" x14ac:dyDescent="0.25">
      <c r="C229" s="53"/>
      <c r="D229" s="54"/>
      <c r="E229" s="55"/>
      <c r="F229" s="54"/>
      <c r="G229" s="56"/>
      <c r="H229" s="56"/>
      <c r="I229" s="36" t="str">
        <f t="shared" si="12"/>
        <v/>
      </c>
      <c r="J229" s="36">
        <f t="shared" si="13"/>
        <v>0</v>
      </c>
      <c r="K229" s="36" t="str">
        <f t="shared" ca="1" si="14"/>
        <v/>
      </c>
    </row>
    <row r="230" spans="3:11" x14ac:dyDescent="0.25">
      <c r="C230" s="53"/>
      <c r="D230" s="54"/>
      <c r="E230" s="55"/>
      <c r="F230" s="54"/>
      <c r="G230" s="56"/>
      <c r="H230" s="56"/>
      <c r="I230" s="36" t="str">
        <f t="shared" si="12"/>
        <v/>
      </c>
      <c r="J230" s="36">
        <f t="shared" si="13"/>
        <v>0</v>
      </c>
      <c r="K230" s="36" t="str">
        <f t="shared" ca="1" si="14"/>
        <v/>
      </c>
    </row>
    <row r="231" spans="3:11" x14ac:dyDescent="0.25">
      <c r="C231" s="53"/>
      <c r="D231" s="54"/>
      <c r="E231" s="55"/>
      <c r="F231" s="54"/>
      <c r="G231" s="56"/>
      <c r="H231" s="56"/>
      <c r="I231" s="36" t="str">
        <f t="shared" si="12"/>
        <v/>
      </c>
      <c r="J231" s="36">
        <f t="shared" si="13"/>
        <v>0</v>
      </c>
      <c r="K231" s="36" t="str">
        <f t="shared" ca="1" si="14"/>
        <v/>
      </c>
    </row>
    <row r="232" spans="3:11" x14ac:dyDescent="0.25">
      <c r="C232" s="53"/>
      <c r="D232" s="54"/>
      <c r="E232" s="55"/>
      <c r="F232" s="54"/>
      <c r="G232" s="56"/>
      <c r="H232" s="56"/>
      <c r="I232" s="36" t="str">
        <f t="shared" si="12"/>
        <v/>
      </c>
      <c r="J232" s="36">
        <f t="shared" si="13"/>
        <v>0</v>
      </c>
      <c r="K232" s="36" t="str">
        <f t="shared" ca="1" si="14"/>
        <v/>
      </c>
    </row>
    <row r="233" spans="3:11" x14ac:dyDescent="0.25">
      <c r="C233" s="53"/>
      <c r="D233" s="54"/>
      <c r="E233" s="55"/>
      <c r="F233" s="54"/>
      <c r="G233" s="56"/>
      <c r="H233" s="56"/>
      <c r="I233" s="36" t="str">
        <f t="shared" si="12"/>
        <v/>
      </c>
      <c r="J233" s="36">
        <f t="shared" si="13"/>
        <v>0</v>
      </c>
      <c r="K233" s="36" t="str">
        <f t="shared" ca="1" si="14"/>
        <v/>
      </c>
    </row>
    <row r="234" spans="3:11" x14ac:dyDescent="0.25">
      <c r="C234" s="53"/>
      <c r="D234" s="54"/>
      <c r="E234" s="55"/>
      <c r="F234" s="54"/>
      <c r="G234" s="56"/>
      <c r="H234" s="56"/>
      <c r="I234" s="36" t="str">
        <f t="shared" si="12"/>
        <v/>
      </c>
      <c r="J234" s="36">
        <f t="shared" si="13"/>
        <v>0</v>
      </c>
      <c r="K234" s="36" t="str">
        <f t="shared" ca="1" si="14"/>
        <v/>
      </c>
    </row>
    <row r="235" spans="3:11" x14ac:dyDescent="0.25">
      <c r="C235" s="53"/>
      <c r="D235" s="54"/>
      <c r="E235" s="55"/>
      <c r="F235" s="54"/>
      <c r="G235" s="56"/>
      <c r="H235" s="56"/>
      <c r="I235" s="36" t="str">
        <f t="shared" si="12"/>
        <v/>
      </c>
      <c r="J235" s="36">
        <f t="shared" si="13"/>
        <v>0</v>
      </c>
      <c r="K235" s="36" t="str">
        <f t="shared" ca="1" si="14"/>
        <v/>
      </c>
    </row>
    <row r="236" spans="3:11" x14ac:dyDescent="0.25">
      <c r="C236" s="53"/>
      <c r="D236" s="54"/>
      <c r="E236" s="55"/>
      <c r="F236" s="54"/>
      <c r="G236" s="56"/>
      <c r="H236" s="56"/>
      <c r="I236" s="36" t="str">
        <f t="shared" si="12"/>
        <v/>
      </c>
      <c r="J236" s="36">
        <f t="shared" si="13"/>
        <v>0</v>
      </c>
      <c r="K236" s="36" t="str">
        <f t="shared" ca="1" si="14"/>
        <v/>
      </c>
    </row>
    <row r="237" spans="3:11" x14ac:dyDescent="0.25">
      <c r="C237" s="53"/>
      <c r="D237" s="54"/>
      <c r="E237" s="55"/>
      <c r="F237" s="54"/>
      <c r="G237" s="56"/>
      <c r="H237" s="56"/>
      <c r="I237" s="36" t="str">
        <f t="shared" si="12"/>
        <v/>
      </c>
      <c r="J237" s="36">
        <f t="shared" si="13"/>
        <v>0</v>
      </c>
      <c r="K237" s="36" t="str">
        <f t="shared" ca="1" si="14"/>
        <v/>
      </c>
    </row>
    <row r="238" spans="3:11" x14ac:dyDescent="0.25">
      <c r="C238" s="53"/>
      <c r="D238" s="54"/>
      <c r="E238" s="55"/>
      <c r="F238" s="54"/>
      <c r="G238" s="56"/>
      <c r="H238" s="56"/>
      <c r="I238" s="36" t="str">
        <f t="shared" si="12"/>
        <v/>
      </c>
      <c r="J238" s="36">
        <f t="shared" si="13"/>
        <v>0</v>
      </c>
      <c r="K238" s="36" t="str">
        <f t="shared" ca="1" si="14"/>
        <v/>
      </c>
    </row>
    <row r="239" spans="3:11" x14ac:dyDescent="0.25">
      <c r="C239" s="53"/>
      <c r="D239" s="54"/>
      <c r="E239" s="55"/>
      <c r="F239" s="54"/>
      <c r="G239" s="56"/>
      <c r="H239" s="56"/>
      <c r="I239" s="36" t="str">
        <f t="shared" si="12"/>
        <v/>
      </c>
      <c r="J239" s="36">
        <f t="shared" si="13"/>
        <v>0</v>
      </c>
      <c r="K239" s="36" t="str">
        <f t="shared" ca="1" si="14"/>
        <v/>
      </c>
    </row>
    <row r="240" spans="3:11" x14ac:dyDescent="0.25">
      <c r="C240" s="53"/>
      <c r="D240" s="54"/>
      <c r="E240" s="55"/>
      <c r="F240" s="54"/>
      <c r="G240" s="56"/>
      <c r="H240" s="56"/>
      <c r="I240" s="36" t="str">
        <f t="shared" si="12"/>
        <v/>
      </c>
      <c r="J240" s="36">
        <f t="shared" si="13"/>
        <v>0</v>
      </c>
      <c r="K240" s="36" t="str">
        <f t="shared" ca="1" si="14"/>
        <v/>
      </c>
    </row>
    <row r="241" spans="3:11" x14ac:dyDescent="0.25">
      <c r="C241" s="53"/>
      <c r="D241" s="54"/>
      <c r="E241" s="55"/>
      <c r="F241" s="54"/>
      <c r="G241" s="56"/>
      <c r="H241" s="56"/>
      <c r="I241" s="36" t="str">
        <f t="shared" si="12"/>
        <v/>
      </c>
      <c r="J241" s="36">
        <f t="shared" si="13"/>
        <v>0</v>
      </c>
      <c r="K241" s="36" t="str">
        <f t="shared" ca="1" si="14"/>
        <v/>
      </c>
    </row>
    <row r="242" spans="3:11" x14ac:dyDescent="0.25">
      <c r="C242" s="53"/>
      <c r="D242" s="54"/>
      <c r="E242" s="55"/>
      <c r="F242" s="54"/>
      <c r="G242" s="56"/>
      <c r="H242" s="56"/>
      <c r="I242" s="36" t="str">
        <f t="shared" si="12"/>
        <v/>
      </c>
      <c r="J242" s="36">
        <f t="shared" si="13"/>
        <v>0</v>
      </c>
      <c r="K242" s="36" t="str">
        <f t="shared" ca="1" si="14"/>
        <v/>
      </c>
    </row>
    <row r="243" spans="3:11" x14ac:dyDescent="0.25">
      <c r="C243" s="53"/>
      <c r="D243" s="54"/>
      <c r="E243" s="55"/>
      <c r="F243" s="54"/>
      <c r="G243" s="56"/>
      <c r="H243" s="56"/>
      <c r="I243" s="36" t="str">
        <f t="shared" si="12"/>
        <v/>
      </c>
      <c r="J243" s="36">
        <f t="shared" si="13"/>
        <v>0</v>
      </c>
      <c r="K243" s="36" t="str">
        <f t="shared" ca="1" si="14"/>
        <v/>
      </c>
    </row>
    <row r="244" spans="3:11" x14ac:dyDescent="0.25">
      <c r="C244" s="53"/>
      <c r="D244" s="54"/>
      <c r="E244" s="55"/>
      <c r="F244" s="54"/>
      <c r="G244" s="56"/>
      <c r="H244" s="56"/>
      <c r="I244" s="36" t="str">
        <f t="shared" si="12"/>
        <v/>
      </c>
      <c r="J244" s="36">
        <f t="shared" si="13"/>
        <v>0</v>
      </c>
      <c r="K244" s="36" t="str">
        <f t="shared" ca="1" si="14"/>
        <v/>
      </c>
    </row>
    <row r="245" spans="3:11" x14ac:dyDescent="0.25">
      <c r="C245" s="53"/>
      <c r="D245" s="54"/>
      <c r="E245" s="55"/>
      <c r="F245" s="54"/>
      <c r="G245" s="56"/>
      <c r="H245" s="56"/>
      <c r="I245" s="36" t="str">
        <f t="shared" si="12"/>
        <v/>
      </c>
      <c r="J245" s="36">
        <f t="shared" si="13"/>
        <v>0</v>
      </c>
      <c r="K245" s="36" t="str">
        <f t="shared" ca="1" si="14"/>
        <v/>
      </c>
    </row>
    <row r="246" spans="3:11" x14ac:dyDescent="0.25">
      <c r="C246" s="53"/>
      <c r="D246" s="54"/>
      <c r="E246" s="55"/>
      <c r="F246" s="54"/>
      <c r="G246" s="56"/>
      <c r="H246" s="56"/>
      <c r="I246" s="36" t="str">
        <f t="shared" si="12"/>
        <v/>
      </c>
      <c r="J246" s="36">
        <f t="shared" si="13"/>
        <v>0</v>
      </c>
      <c r="K246" s="36" t="str">
        <f t="shared" ca="1" si="14"/>
        <v/>
      </c>
    </row>
    <row r="247" spans="3:11" x14ac:dyDescent="0.25">
      <c r="C247" s="53"/>
      <c r="D247" s="54"/>
      <c r="E247" s="55"/>
      <c r="F247" s="54"/>
      <c r="G247" s="56"/>
      <c r="H247" s="56"/>
      <c r="I247" s="36" t="str">
        <f t="shared" si="12"/>
        <v/>
      </c>
      <c r="J247" s="36">
        <f t="shared" si="13"/>
        <v>0</v>
      </c>
      <c r="K247" s="36" t="str">
        <f t="shared" ca="1" si="14"/>
        <v/>
      </c>
    </row>
    <row r="248" spans="3:11" x14ac:dyDescent="0.25">
      <c r="C248" s="53"/>
      <c r="D248" s="54"/>
      <c r="E248" s="55"/>
      <c r="F248" s="54"/>
      <c r="G248" s="56"/>
      <c r="H248" s="56"/>
      <c r="I248" s="36" t="str">
        <f t="shared" si="12"/>
        <v/>
      </c>
      <c r="J248" s="36">
        <f t="shared" si="13"/>
        <v>0</v>
      </c>
      <c r="K248" s="36" t="str">
        <f t="shared" ca="1" si="14"/>
        <v/>
      </c>
    </row>
    <row r="249" spans="3:11" x14ac:dyDescent="0.25">
      <c r="C249" s="53"/>
      <c r="D249" s="54"/>
      <c r="E249" s="55"/>
      <c r="F249" s="54"/>
      <c r="G249" s="56"/>
      <c r="H249" s="56"/>
      <c r="I249" s="36" t="str">
        <f t="shared" si="12"/>
        <v/>
      </c>
      <c r="J249" s="36">
        <f t="shared" si="13"/>
        <v>0</v>
      </c>
      <c r="K249" s="36" t="str">
        <f t="shared" ca="1" si="14"/>
        <v/>
      </c>
    </row>
    <row r="250" spans="3:11" x14ac:dyDescent="0.25">
      <c r="C250" s="53"/>
      <c r="D250" s="54"/>
      <c r="E250" s="55"/>
      <c r="F250" s="54"/>
      <c r="G250" s="56"/>
      <c r="H250" s="56"/>
      <c r="I250" s="36" t="str">
        <f t="shared" si="12"/>
        <v/>
      </c>
      <c r="J250" s="36">
        <f t="shared" si="13"/>
        <v>0</v>
      </c>
      <c r="K250" s="36" t="str">
        <f t="shared" ca="1" si="14"/>
        <v/>
      </c>
    </row>
    <row r="251" spans="3:11" x14ac:dyDescent="0.25">
      <c r="C251" s="53"/>
      <c r="D251" s="54"/>
      <c r="E251" s="55"/>
      <c r="F251" s="54"/>
      <c r="G251" s="56"/>
      <c r="H251" s="56"/>
      <c r="I251" s="36" t="str">
        <f t="shared" si="12"/>
        <v/>
      </c>
      <c r="J251" s="36">
        <f t="shared" si="13"/>
        <v>0</v>
      </c>
      <c r="K251" s="36" t="str">
        <f t="shared" ca="1" si="14"/>
        <v/>
      </c>
    </row>
    <row r="252" spans="3:11" x14ac:dyDescent="0.25">
      <c r="C252" s="53"/>
      <c r="D252" s="54"/>
      <c r="E252" s="55"/>
      <c r="F252" s="54"/>
      <c r="G252" s="56"/>
      <c r="H252" s="56"/>
      <c r="I252" s="36" t="str">
        <f t="shared" si="12"/>
        <v/>
      </c>
      <c r="J252" s="36">
        <f t="shared" si="13"/>
        <v>0</v>
      </c>
      <c r="K252" s="36" t="str">
        <f t="shared" ca="1" si="14"/>
        <v/>
      </c>
    </row>
    <row r="253" spans="3:11" x14ac:dyDescent="0.25">
      <c r="C253" s="53"/>
      <c r="D253" s="54"/>
      <c r="E253" s="55"/>
      <c r="F253" s="54"/>
      <c r="G253" s="56"/>
      <c r="H253" s="56"/>
      <c r="I253" s="36" t="str">
        <f t="shared" si="12"/>
        <v/>
      </c>
      <c r="J253" s="36">
        <f t="shared" si="13"/>
        <v>0</v>
      </c>
      <c r="K253" s="36" t="str">
        <f t="shared" ca="1" si="14"/>
        <v/>
      </c>
    </row>
    <row r="254" spans="3:11" x14ac:dyDescent="0.25">
      <c r="C254" s="53"/>
      <c r="D254" s="54"/>
      <c r="E254" s="55"/>
      <c r="F254" s="54"/>
      <c r="G254" s="56"/>
      <c r="H254" s="56"/>
      <c r="I254" s="36" t="str">
        <f t="shared" si="12"/>
        <v/>
      </c>
      <c r="J254" s="36">
        <f t="shared" si="13"/>
        <v>0</v>
      </c>
      <c r="K254" s="36" t="str">
        <f t="shared" ca="1" si="14"/>
        <v/>
      </c>
    </row>
    <row r="255" spans="3:11" x14ac:dyDescent="0.25">
      <c r="C255" s="53"/>
      <c r="D255" s="54"/>
      <c r="E255" s="55"/>
      <c r="F255" s="54"/>
      <c r="G255" s="56"/>
      <c r="H255" s="56"/>
      <c r="I255" s="36" t="str">
        <f t="shared" si="12"/>
        <v/>
      </c>
      <c r="J255" s="36">
        <f t="shared" si="13"/>
        <v>0</v>
      </c>
      <c r="K255" s="36" t="str">
        <f t="shared" ca="1" si="14"/>
        <v/>
      </c>
    </row>
    <row r="256" spans="3:11" x14ac:dyDescent="0.25">
      <c r="C256" s="53"/>
      <c r="D256" s="54"/>
      <c r="E256" s="55"/>
      <c r="F256" s="54"/>
      <c r="G256" s="56"/>
      <c r="H256" s="56"/>
      <c r="I256" s="36" t="str">
        <f t="shared" si="12"/>
        <v/>
      </c>
      <c r="J256" s="36">
        <f t="shared" si="13"/>
        <v>0</v>
      </c>
      <c r="K256" s="36" t="str">
        <f t="shared" ca="1" si="14"/>
        <v/>
      </c>
    </row>
    <row r="257" spans="3:11" x14ac:dyDescent="0.25">
      <c r="C257" s="53"/>
      <c r="D257" s="54"/>
      <c r="E257" s="55"/>
      <c r="F257" s="54"/>
      <c r="G257" s="56"/>
      <c r="H257" s="56"/>
      <c r="I257" s="36" t="str">
        <f t="shared" si="12"/>
        <v/>
      </c>
      <c r="J257" s="36">
        <f t="shared" si="13"/>
        <v>0</v>
      </c>
      <c r="K257" s="36" t="str">
        <f t="shared" ca="1" si="14"/>
        <v/>
      </c>
    </row>
    <row r="258" spans="3:11" x14ac:dyDescent="0.25">
      <c r="C258" s="53"/>
      <c r="D258" s="54"/>
      <c r="E258" s="55"/>
      <c r="F258" s="54"/>
      <c r="G258" s="56"/>
      <c r="H258" s="56"/>
      <c r="I258" s="36" t="str">
        <f t="shared" si="12"/>
        <v/>
      </c>
      <c r="J258" s="36">
        <f t="shared" si="13"/>
        <v>0</v>
      </c>
      <c r="K258" s="36" t="str">
        <f t="shared" ca="1" si="14"/>
        <v/>
      </c>
    </row>
    <row r="259" spans="3:11" x14ac:dyDescent="0.25">
      <c r="C259" s="53"/>
      <c r="D259" s="54"/>
      <c r="E259" s="55"/>
      <c r="F259" s="54"/>
      <c r="G259" s="56"/>
      <c r="H259" s="56"/>
      <c r="I259" s="36" t="str">
        <f t="shared" si="12"/>
        <v/>
      </c>
      <c r="J259" s="36">
        <f t="shared" si="13"/>
        <v>0</v>
      </c>
      <c r="K259" s="36" t="str">
        <f t="shared" ca="1" si="14"/>
        <v/>
      </c>
    </row>
    <row r="260" spans="3:11" x14ac:dyDescent="0.25">
      <c r="C260" s="53"/>
      <c r="D260" s="54"/>
      <c r="E260" s="55"/>
      <c r="F260" s="54"/>
      <c r="G260" s="56"/>
      <c r="H260" s="56"/>
      <c r="I260" s="36" t="str">
        <f t="shared" si="12"/>
        <v/>
      </c>
      <c r="J260" s="36">
        <f t="shared" si="13"/>
        <v>0</v>
      </c>
      <c r="K260" s="36" t="str">
        <f t="shared" ca="1" si="14"/>
        <v/>
      </c>
    </row>
    <row r="261" spans="3:11" x14ac:dyDescent="0.25">
      <c r="C261" s="53"/>
      <c r="D261" s="54"/>
      <c r="E261" s="55"/>
      <c r="F261" s="54"/>
      <c r="G261" s="56"/>
      <c r="H261" s="56"/>
      <c r="I261" s="36" t="str">
        <f t="shared" si="12"/>
        <v/>
      </c>
      <c r="J261" s="36">
        <f t="shared" si="13"/>
        <v>0</v>
      </c>
      <c r="K261" s="36" t="str">
        <f t="shared" ca="1" si="14"/>
        <v/>
      </c>
    </row>
    <row r="262" spans="3:11" x14ac:dyDescent="0.25">
      <c r="C262" s="53"/>
      <c r="D262" s="54"/>
      <c r="E262" s="55"/>
      <c r="F262" s="54"/>
      <c r="G262" s="56"/>
      <c r="H262" s="56"/>
      <c r="I262" s="36" t="str">
        <f t="shared" si="12"/>
        <v/>
      </c>
      <c r="J262" s="36">
        <f t="shared" si="13"/>
        <v>0</v>
      </c>
      <c r="K262" s="36" t="str">
        <f t="shared" ca="1" si="14"/>
        <v/>
      </c>
    </row>
    <row r="263" spans="3:11" x14ac:dyDescent="0.25">
      <c r="C263" s="53"/>
      <c r="D263" s="54"/>
      <c r="E263" s="55"/>
      <c r="F263" s="54"/>
      <c r="G263" s="56"/>
      <c r="H263" s="56"/>
      <c r="I263" s="36" t="str">
        <f t="shared" si="12"/>
        <v/>
      </c>
      <c r="J263" s="36">
        <f t="shared" si="13"/>
        <v>0</v>
      </c>
      <c r="K263" s="36" t="str">
        <f t="shared" ca="1" si="14"/>
        <v/>
      </c>
    </row>
    <row r="264" spans="3:11" x14ac:dyDescent="0.25">
      <c r="C264" s="53"/>
      <c r="D264" s="54"/>
      <c r="E264" s="55"/>
      <c r="F264" s="54"/>
      <c r="G264" s="56"/>
      <c r="H264" s="56"/>
      <c r="I264" s="36" t="str">
        <f t="shared" si="12"/>
        <v/>
      </c>
      <c r="J264" s="36">
        <f t="shared" si="13"/>
        <v>0</v>
      </c>
      <c r="K264" s="36" t="str">
        <f t="shared" ca="1" si="14"/>
        <v/>
      </c>
    </row>
    <row r="265" spans="3:11" x14ac:dyDescent="0.25">
      <c r="C265" s="53"/>
      <c r="D265" s="54"/>
      <c r="E265" s="55"/>
      <c r="F265" s="54"/>
      <c r="G265" s="56"/>
      <c r="H265" s="56"/>
      <c r="I265" s="36" t="str">
        <f t="shared" si="12"/>
        <v/>
      </c>
      <c r="J265" s="36">
        <f t="shared" si="13"/>
        <v>0</v>
      </c>
      <c r="K265" s="36" t="str">
        <f t="shared" ca="1" si="14"/>
        <v/>
      </c>
    </row>
    <row r="266" spans="3:11" x14ac:dyDescent="0.25">
      <c r="C266" s="53"/>
      <c r="D266" s="54"/>
      <c r="E266" s="55"/>
      <c r="F266" s="54"/>
      <c r="G266" s="56"/>
      <c r="H266" s="56"/>
      <c r="I266" s="36" t="str">
        <f t="shared" si="12"/>
        <v/>
      </c>
      <c r="J266" s="36">
        <f t="shared" si="13"/>
        <v>0</v>
      </c>
      <c r="K266" s="36" t="str">
        <f t="shared" ca="1" si="14"/>
        <v/>
      </c>
    </row>
    <row r="267" spans="3:11" x14ac:dyDescent="0.25">
      <c r="C267" s="53"/>
      <c r="D267" s="54"/>
      <c r="E267" s="55"/>
      <c r="F267" s="54"/>
      <c r="G267" s="56"/>
      <c r="H267" s="56"/>
      <c r="I267" s="36" t="str">
        <f t="shared" ref="I267:I330" si="15">IF(C267="","",IF(H267&lt;=0,"Em aberto",IF(H267&gt;=G267,"Pagamento Total",IF(H267&lt;G267,"Pagamento Parcial"))))</f>
        <v/>
      </c>
      <c r="J267" s="36">
        <f t="shared" ref="J267:J330" si="16">IF(C267&gt;0,G267-H267,0)</f>
        <v>0</v>
      </c>
      <c r="K267" s="36" t="str">
        <f t="shared" ref="K267:K330" ca="1" si="17">IF(ISBLANK(C267),"",IF(H267=G267,"Pago",IF(C267=TODAY(),"Vence Hoje",IF(TRIM(UPPER(G266))&lt;&gt;"S",IF(C267-TODAY()&lt;0,"Vencida",IF(C267-TODAY()&lt;8,"Próximos sete dias","Em aberto"))))))</f>
        <v/>
      </c>
    </row>
    <row r="268" spans="3:11" x14ac:dyDescent="0.25">
      <c r="C268" s="53"/>
      <c r="D268" s="54"/>
      <c r="E268" s="55"/>
      <c r="F268" s="54"/>
      <c r="G268" s="56"/>
      <c r="H268" s="56"/>
      <c r="I268" s="36" t="str">
        <f t="shared" si="15"/>
        <v/>
      </c>
      <c r="J268" s="36">
        <f t="shared" si="16"/>
        <v>0</v>
      </c>
      <c r="K268" s="36" t="str">
        <f t="shared" ca="1" si="17"/>
        <v/>
      </c>
    </row>
    <row r="269" spans="3:11" x14ac:dyDescent="0.25">
      <c r="C269" s="53"/>
      <c r="D269" s="54"/>
      <c r="E269" s="55"/>
      <c r="F269" s="54"/>
      <c r="G269" s="56"/>
      <c r="H269" s="56"/>
      <c r="I269" s="36" t="str">
        <f t="shared" si="15"/>
        <v/>
      </c>
      <c r="J269" s="36">
        <f t="shared" si="16"/>
        <v>0</v>
      </c>
      <c r="K269" s="36" t="str">
        <f t="shared" ca="1" si="17"/>
        <v/>
      </c>
    </row>
    <row r="270" spans="3:11" x14ac:dyDescent="0.25">
      <c r="C270" s="53"/>
      <c r="D270" s="54"/>
      <c r="E270" s="55"/>
      <c r="F270" s="54"/>
      <c r="G270" s="56"/>
      <c r="H270" s="56"/>
      <c r="I270" s="36" t="str">
        <f t="shared" si="15"/>
        <v/>
      </c>
      <c r="J270" s="36">
        <f t="shared" si="16"/>
        <v>0</v>
      </c>
      <c r="K270" s="36" t="str">
        <f t="shared" ca="1" si="17"/>
        <v/>
      </c>
    </row>
    <row r="271" spans="3:11" x14ac:dyDescent="0.25">
      <c r="C271" s="53"/>
      <c r="D271" s="54"/>
      <c r="E271" s="55"/>
      <c r="F271" s="54"/>
      <c r="G271" s="56"/>
      <c r="H271" s="56"/>
      <c r="I271" s="36" t="str">
        <f t="shared" si="15"/>
        <v/>
      </c>
      <c r="J271" s="36">
        <f t="shared" si="16"/>
        <v>0</v>
      </c>
      <c r="K271" s="36" t="str">
        <f t="shared" ca="1" si="17"/>
        <v/>
      </c>
    </row>
    <row r="272" spans="3:11" x14ac:dyDescent="0.25">
      <c r="C272" s="53"/>
      <c r="D272" s="54"/>
      <c r="E272" s="55"/>
      <c r="F272" s="54"/>
      <c r="G272" s="56"/>
      <c r="H272" s="56"/>
      <c r="I272" s="36" t="str">
        <f t="shared" si="15"/>
        <v/>
      </c>
      <c r="J272" s="36">
        <f t="shared" si="16"/>
        <v>0</v>
      </c>
      <c r="K272" s="36" t="str">
        <f t="shared" ca="1" si="17"/>
        <v/>
      </c>
    </row>
    <row r="273" spans="3:11" x14ac:dyDescent="0.25">
      <c r="C273" s="53"/>
      <c r="D273" s="54"/>
      <c r="E273" s="55"/>
      <c r="F273" s="54"/>
      <c r="G273" s="56"/>
      <c r="H273" s="56"/>
      <c r="I273" s="36" t="str">
        <f t="shared" si="15"/>
        <v/>
      </c>
      <c r="J273" s="36">
        <f t="shared" si="16"/>
        <v>0</v>
      </c>
      <c r="K273" s="36" t="str">
        <f t="shared" ca="1" si="17"/>
        <v/>
      </c>
    </row>
    <row r="274" spans="3:11" x14ac:dyDescent="0.25">
      <c r="C274" s="53"/>
      <c r="D274" s="54"/>
      <c r="E274" s="55"/>
      <c r="F274" s="54"/>
      <c r="G274" s="56"/>
      <c r="H274" s="56"/>
      <c r="I274" s="36" t="str">
        <f t="shared" si="15"/>
        <v/>
      </c>
      <c r="J274" s="36">
        <f t="shared" si="16"/>
        <v>0</v>
      </c>
      <c r="K274" s="36" t="str">
        <f t="shared" ca="1" si="17"/>
        <v/>
      </c>
    </row>
    <row r="275" spans="3:11" x14ac:dyDescent="0.25">
      <c r="C275" s="53"/>
      <c r="D275" s="54"/>
      <c r="E275" s="55"/>
      <c r="F275" s="54"/>
      <c r="G275" s="56"/>
      <c r="H275" s="56"/>
      <c r="I275" s="36" t="str">
        <f t="shared" si="15"/>
        <v/>
      </c>
      <c r="J275" s="36">
        <f t="shared" si="16"/>
        <v>0</v>
      </c>
      <c r="K275" s="36" t="str">
        <f t="shared" ca="1" si="17"/>
        <v/>
      </c>
    </row>
    <row r="276" spans="3:11" x14ac:dyDescent="0.25">
      <c r="C276" s="53"/>
      <c r="D276" s="54"/>
      <c r="E276" s="55"/>
      <c r="F276" s="54"/>
      <c r="G276" s="56"/>
      <c r="H276" s="56"/>
      <c r="I276" s="36" t="str">
        <f t="shared" si="15"/>
        <v/>
      </c>
      <c r="J276" s="36">
        <f t="shared" si="16"/>
        <v>0</v>
      </c>
      <c r="K276" s="36" t="str">
        <f t="shared" ca="1" si="17"/>
        <v/>
      </c>
    </row>
    <row r="277" spans="3:11" x14ac:dyDescent="0.25">
      <c r="C277" s="53"/>
      <c r="D277" s="54"/>
      <c r="E277" s="55"/>
      <c r="F277" s="54"/>
      <c r="G277" s="56"/>
      <c r="H277" s="56"/>
      <c r="I277" s="36" t="str">
        <f t="shared" si="15"/>
        <v/>
      </c>
      <c r="J277" s="36">
        <f t="shared" si="16"/>
        <v>0</v>
      </c>
      <c r="K277" s="36" t="str">
        <f t="shared" ca="1" si="17"/>
        <v/>
      </c>
    </row>
    <row r="278" spans="3:11" x14ac:dyDescent="0.25">
      <c r="C278" s="53"/>
      <c r="D278" s="54"/>
      <c r="E278" s="55"/>
      <c r="F278" s="54"/>
      <c r="G278" s="56"/>
      <c r="H278" s="56"/>
      <c r="I278" s="36" t="str">
        <f t="shared" si="15"/>
        <v/>
      </c>
      <c r="J278" s="36">
        <f t="shared" si="16"/>
        <v>0</v>
      </c>
      <c r="K278" s="36" t="str">
        <f t="shared" ca="1" si="17"/>
        <v/>
      </c>
    </row>
    <row r="279" spans="3:11" x14ac:dyDescent="0.25">
      <c r="C279" s="53"/>
      <c r="D279" s="54"/>
      <c r="E279" s="55"/>
      <c r="F279" s="54"/>
      <c r="G279" s="56"/>
      <c r="H279" s="56"/>
      <c r="I279" s="36" t="str">
        <f t="shared" si="15"/>
        <v/>
      </c>
      <c r="J279" s="36">
        <f t="shared" si="16"/>
        <v>0</v>
      </c>
      <c r="K279" s="36" t="str">
        <f t="shared" ca="1" si="17"/>
        <v/>
      </c>
    </row>
    <row r="280" spans="3:11" x14ac:dyDescent="0.25">
      <c r="C280" s="53"/>
      <c r="D280" s="54"/>
      <c r="E280" s="55"/>
      <c r="F280" s="54"/>
      <c r="G280" s="56"/>
      <c r="H280" s="56"/>
      <c r="I280" s="36" t="str">
        <f t="shared" si="15"/>
        <v/>
      </c>
      <c r="J280" s="36">
        <f t="shared" si="16"/>
        <v>0</v>
      </c>
      <c r="K280" s="36" t="str">
        <f t="shared" ca="1" si="17"/>
        <v/>
      </c>
    </row>
    <row r="281" spans="3:11" x14ac:dyDescent="0.25">
      <c r="C281" s="53"/>
      <c r="D281" s="54"/>
      <c r="E281" s="55"/>
      <c r="F281" s="54"/>
      <c r="G281" s="56"/>
      <c r="H281" s="56"/>
      <c r="I281" s="36" t="str">
        <f t="shared" si="15"/>
        <v/>
      </c>
      <c r="J281" s="36">
        <f t="shared" si="16"/>
        <v>0</v>
      </c>
      <c r="K281" s="36" t="str">
        <f t="shared" ca="1" si="17"/>
        <v/>
      </c>
    </row>
    <row r="282" spans="3:11" x14ac:dyDescent="0.25">
      <c r="C282" s="53"/>
      <c r="D282" s="54"/>
      <c r="E282" s="55"/>
      <c r="F282" s="54"/>
      <c r="G282" s="56"/>
      <c r="H282" s="56"/>
      <c r="I282" s="36" t="str">
        <f t="shared" si="15"/>
        <v/>
      </c>
      <c r="J282" s="36">
        <f t="shared" si="16"/>
        <v>0</v>
      </c>
      <c r="K282" s="36" t="str">
        <f t="shared" ca="1" si="17"/>
        <v/>
      </c>
    </row>
    <row r="283" spans="3:11" x14ac:dyDescent="0.25">
      <c r="C283" s="53"/>
      <c r="D283" s="54"/>
      <c r="E283" s="55"/>
      <c r="F283" s="54"/>
      <c r="G283" s="56"/>
      <c r="H283" s="56"/>
      <c r="I283" s="36" t="str">
        <f t="shared" si="15"/>
        <v/>
      </c>
      <c r="J283" s="36">
        <f t="shared" si="16"/>
        <v>0</v>
      </c>
      <c r="K283" s="36" t="str">
        <f t="shared" ca="1" si="17"/>
        <v/>
      </c>
    </row>
    <row r="284" spans="3:11" x14ac:dyDescent="0.25">
      <c r="C284" s="53"/>
      <c r="D284" s="54"/>
      <c r="E284" s="55"/>
      <c r="F284" s="54"/>
      <c r="G284" s="56"/>
      <c r="H284" s="56"/>
      <c r="I284" s="36" t="str">
        <f t="shared" si="15"/>
        <v/>
      </c>
      <c r="J284" s="36">
        <f t="shared" si="16"/>
        <v>0</v>
      </c>
      <c r="K284" s="36" t="str">
        <f t="shared" ca="1" si="17"/>
        <v/>
      </c>
    </row>
    <row r="285" spans="3:11" x14ac:dyDescent="0.25">
      <c r="C285" s="53"/>
      <c r="D285" s="54"/>
      <c r="E285" s="55"/>
      <c r="F285" s="54"/>
      <c r="G285" s="56"/>
      <c r="H285" s="56"/>
      <c r="I285" s="36" t="str">
        <f t="shared" si="15"/>
        <v/>
      </c>
      <c r="J285" s="36">
        <f t="shared" si="16"/>
        <v>0</v>
      </c>
      <c r="K285" s="36" t="str">
        <f t="shared" ca="1" si="17"/>
        <v/>
      </c>
    </row>
    <row r="286" spans="3:11" x14ac:dyDescent="0.25">
      <c r="C286" s="53"/>
      <c r="D286" s="54"/>
      <c r="E286" s="55"/>
      <c r="F286" s="54"/>
      <c r="G286" s="56"/>
      <c r="H286" s="56"/>
      <c r="I286" s="36" t="str">
        <f t="shared" si="15"/>
        <v/>
      </c>
      <c r="J286" s="36">
        <f t="shared" si="16"/>
        <v>0</v>
      </c>
      <c r="K286" s="36" t="str">
        <f t="shared" ca="1" si="17"/>
        <v/>
      </c>
    </row>
    <row r="287" spans="3:11" x14ac:dyDescent="0.25">
      <c r="C287" s="53"/>
      <c r="D287" s="54"/>
      <c r="E287" s="55"/>
      <c r="F287" s="54"/>
      <c r="G287" s="56"/>
      <c r="H287" s="56"/>
      <c r="I287" s="36" t="str">
        <f t="shared" si="15"/>
        <v/>
      </c>
      <c r="J287" s="36">
        <f t="shared" si="16"/>
        <v>0</v>
      </c>
      <c r="K287" s="36" t="str">
        <f t="shared" ca="1" si="17"/>
        <v/>
      </c>
    </row>
    <row r="288" spans="3:11" x14ac:dyDescent="0.25">
      <c r="C288" s="53"/>
      <c r="D288" s="54"/>
      <c r="E288" s="55"/>
      <c r="F288" s="54"/>
      <c r="G288" s="56"/>
      <c r="H288" s="56"/>
      <c r="I288" s="36" t="str">
        <f t="shared" si="15"/>
        <v/>
      </c>
      <c r="J288" s="36">
        <f t="shared" si="16"/>
        <v>0</v>
      </c>
      <c r="K288" s="36" t="str">
        <f t="shared" ca="1" si="17"/>
        <v/>
      </c>
    </row>
    <row r="289" spans="3:11" x14ac:dyDescent="0.25">
      <c r="C289" s="53"/>
      <c r="D289" s="54"/>
      <c r="E289" s="55"/>
      <c r="F289" s="54"/>
      <c r="G289" s="56"/>
      <c r="H289" s="56"/>
      <c r="I289" s="36" t="str">
        <f t="shared" si="15"/>
        <v/>
      </c>
      <c r="J289" s="36">
        <f t="shared" si="16"/>
        <v>0</v>
      </c>
      <c r="K289" s="36" t="str">
        <f t="shared" ca="1" si="17"/>
        <v/>
      </c>
    </row>
    <row r="290" spans="3:11" x14ac:dyDescent="0.25">
      <c r="C290" s="53"/>
      <c r="D290" s="54"/>
      <c r="E290" s="55"/>
      <c r="F290" s="54"/>
      <c r="G290" s="56"/>
      <c r="H290" s="56"/>
      <c r="I290" s="36" t="str">
        <f t="shared" si="15"/>
        <v/>
      </c>
      <c r="J290" s="36">
        <f t="shared" si="16"/>
        <v>0</v>
      </c>
      <c r="K290" s="36" t="str">
        <f t="shared" ca="1" si="17"/>
        <v/>
      </c>
    </row>
    <row r="291" spans="3:11" x14ac:dyDescent="0.25">
      <c r="C291" s="53"/>
      <c r="D291" s="54"/>
      <c r="E291" s="55"/>
      <c r="F291" s="54"/>
      <c r="G291" s="56"/>
      <c r="H291" s="56"/>
      <c r="I291" s="36" t="str">
        <f t="shared" si="15"/>
        <v/>
      </c>
      <c r="J291" s="36">
        <f t="shared" si="16"/>
        <v>0</v>
      </c>
      <c r="K291" s="36" t="str">
        <f t="shared" ca="1" si="17"/>
        <v/>
      </c>
    </row>
    <row r="292" spans="3:11" x14ac:dyDescent="0.25">
      <c r="C292" s="53"/>
      <c r="D292" s="54"/>
      <c r="E292" s="55"/>
      <c r="F292" s="54"/>
      <c r="G292" s="56"/>
      <c r="H292" s="56"/>
      <c r="I292" s="36" t="str">
        <f t="shared" si="15"/>
        <v/>
      </c>
      <c r="J292" s="36">
        <f t="shared" si="16"/>
        <v>0</v>
      </c>
      <c r="K292" s="36" t="str">
        <f t="shared" ca="1" si="17"/>
        <v/>
      </c>
    </row>
    <row r="293" spans="3:11" x14ac:dyDescent="0.25">
      <c r="C293" s="53"/>
      <c r="D293" s="54"/>
      <c r="E293" s="55"/>
      <c r="F293" s="54"/>
      <c r="G293" s="56"/>
      <c r="H293" s="56"/>
      <c r="I293" s="36" t="str">
        <f t="shared" si="15"/>
        <v/>
      </c>
      <c r="J293" s="36">
        <f t="shared" si="16"/>
        <v>0</v>
      </c>
      <c r="K293" s="36" t="str">
        <f t="shared" ca="1" si="17"/>
        <v/>
      </c>
    </row>
    <row r="294" spans="3:11" x14ac:dyDescent="0.25">
      <c r="C294" s="53"/>
      <c r="D294" s="54"/>
      <c r="E294" s="55"/>
      <c r="F294" s="54"/>
      <c r="G294" s="56"/>
      <c r="H294" s="56"/>
      <c r="I294" s="36" t="str">
        <f t="shared" si="15"/>
        <v/>
      </c>
      <c r="J294" s="36">
        <f t="shared" si="16"/>
        <v>0</v>
      </c>
      <c r="K294" s="36" t="str">
        <f t="shared" ca="1" si="17"/>
        <v/>
      </c>
    </row>
    <row r="295" spans="3:11" x14ac:dyDescent="0.25">
      <c r="C295" s="53"/>
      <c r="D295" s="54"/>
      <c r="E295" s="55"/>
      <c r="F295" s="54"/>
      <c r="G295" s="56"/>
      <c r="H295" s="56"/>
      <c r="I295" s="36" t="str">
        <f t="shared" si="15"/>
        <v/>
      </c>
      <c r="J295" s="36">
        <f t="shared" si="16"/>
        <v>0</v>
      </c>
      <c r="K295" s="36" t="str">
        <f t="shared" ca="1" si="17"/>
        <v/>
      </c>
    </row>
    <row r="296" spans="3:11" x14ac:dyDescent="0.25">
      <c r="C296" s="53"/>
      <c r="D296" s="54"/>
      <c r="E296" s="55"/>
      <c r="F296" s="54"/>
      <c r="G296" s="56"/>
      <c r="H296" s="56"/>
      <c r="I296" s="36" t="str">
        <f t="shared" si="15"/>
        <v/>
      </c>
      <c r="J296" s="36">
        <f t="shared" si="16"/>
        <v>0</v>
      </c>
      <c r="K296" s="36" t="str">
        <f t="shared" ca="1" si="17"/>
        <v/>
      </c>
    </row>
    <row r="297" spans="3:11" x14ac:dyDescent="0.25">
      <c r="C297" s="53"/>
      <c r="D297" s="54"/>
      <c r="E297" s="55"/>
      <c r="F297" s="54"/>
      <c r="G297" s="56"/>
      <c r="H297" s="56"/>
      <c r="I297" s="36" t="str">
        <f t="shared" si="15"/>
        <v/>
      </c>
      <c r="J297" s="36">
        <f t="shared" si="16"/>
        <v>0</v>
      </c>
      <c r="K297" s="36" t="str">
        <f t="shared" ca="1" si="17"/>
        <v/>
      </c>
    </row>
    <row r="298" spans="3:11" x14ac:dyDescent="0.25">
      <c r="C298" s="53"/>
      <c r="D298" s="54"/>
      <c r="E298" s="55"/>
      <c r="F298" s="54"/>
      <c r="G298" s="56"/>
      <c r="H298" s="56"/>
      <c r="I298" s="36" t="str">
        <f t="shared" si="15"/>
        <v/>
      </c>
      <c r="J298" s="36">
        <f t="shared" si="16"/>
        <v>0</v>
      </c>
      <c r="K298" s="36" t="str">
        <f t="shared" ca="1" si="17"/>
        <v/>
      </c>
    </row>
    <row r="299" spans="3:11" x14ac:dyDescent="0.25">
      <c r="C299" s="53"/>
      <c r="D299" s="54"/>
      <c r="E299" s="55"/>
      <c r="F299" s="54"/>
      <c r="G299" s="56"/>
      <c r="H299" s="56"/>
      <c r="I299" s="36" t="str">
        <f t="shared" si="15"/>
        <v/>
      </c>
      <c r="J299" s="36">
        <f t="shared" si="16"/>
        <v>0</v>
      </c>
      <c r="K299" s="36" t="str">
        <f t="shared" ca="1" si="17"/>
        <v/>
      </c>
    </row>
    <row r="300" spans="3:11" x14ac:dyDescent="0.25">
      <c r="C300" s="53"/>
      <c r="D300" s="54"/>
      <c r="E300" s="55"/>
      <c r="F300" s="54"/>
      <c r="G300" s="56"/>
      <c r="H300" s="56"/>
      <c r="I300" s="36" t="str">
        <f t="shared" si="15"/>
        <v/>
      </c>
      <c r="J300" s="36">
        <f t="shared" si="16"/>
        <v>0</v>
      </c>
      <c r="K300" s="36" t="str">
        <f t="shared" ca="1" si="17"/>
        <v/>
      </c>
    </row>
    <row r="301" spans="3:11" x14ac:dyDescent="0.25">
      <c r="C301" s="53"/>
      <c r="D301" s="54"/>
      <c r="E301" s="55"/>
      <c r="F301" s="54"/>
      <c r="G301" s="56"/>
      <c r="H301" s="56"/>
      <c r="I301" s="36" t="str">
        <f t="shared" si="15"/>
        <v/>
      </c>
      <c r="J301" s="36">
        <f t="shared" si="16"/>
        <v>0</v>
      </c>
      <c r="K301" s="36" t="str">
        <f t="shared" ca="1" si="17"/>
        <v/>
      </c>
    </row>
    <row r="302" spans="3:11" x14ac:dyDescent="0.25">
      <c r="C302" s="53"/>
      <c r="D302" s="54"/>
      <c r="E302" s="55"/>
      <c r="F302" s="54"/>
      <c r="G302" s="56"/>
      <c r="H302" s="56"/>
      <c r="I302" s="36" t="str">
        <f t="shared" si="15"/>
        <v/>
      </c>
      <c r="J302" s="36">
        <f t="shared" si="16"/>
        <v>0</v>
      </c>
      <c r="K302" s="36" t="str">
        <f t="shared" ca="1" si="17"/>
        <v/>
      </c>
    </row>
    <row r="303" spans="3:11" x14ac:dyDescent="0.25">
      <c r="C303" s="53"/>
      <c r="D303" s="54"/>
      <c r="E303" s="55"/>
      <c r="F303" s="54"/>
      <c r="G303" s="56"/>
      <c r="H303" s="56"/>
      <c r="I303" s="36" t="str">
        <f t="shared" si="15"/>
        <v/>
      </c>
      <c r="J303" s="36">
        <f t="shared" si="16"/>
        <v>0</v>
      </c>
      <c r="K303" s="36" t="str">
        <f t="shared" ca="1" si="17"/>
        <v/>
      </c>
    </row>
    <row r="304" spans="3:11" x14ac:dyDescent="0.25">
      <c r="C304" s="53"/>
      <c r="D304" s="54"/>
      <c r="E304" s="55"/>
      <c r="F304" s="54"/>
      <c r="G304" s="56"/>
      <c r="H304" s="56"/>
      <c r="I304" s="36" t="str">
        <f t="shared" si="15"/>
        <v/>
      </c>
      <c r="J304" s="36">
        <f t="shared" si="16"/>
        <v>0</v>
      </c>
      <c r="K304" s="36" t="str">
        <f t="shared" ca="1" si="17"/>
        <v/>
      </c>
    </row>
    <row r="305" spans="3:11" x14ac:dyDescent="0.25">
      <c r="C305" s="53"/>
      <c r="D305" s="54"/>
      <c r="E305" s="55"/>
      <c r="F305" s="54"/>
      <c r="G305" s="56"/>
      <c r="H305" s="56"/>
      <c r="I305" s="36" t="str">
        <f t="shared" si="15"/>
        <v/>
      </c>
      <c r="J305" s="36">
        <f t="shared" si="16"/>
        <v>0</v>
      </c>
      <c r="K305" s="36" t="str">
        <f t="shared" ca="1" si="17"/>
        <v/>
      </c>
    </row>
    <row r="306" spans="3:11" x14ac:dyDescent="0.25">
      <c r="C306" s="53"/>
      <c r="D306" s="54"/>
      <c r="E306" s="55"/>
      <c r="F306" s="54"/>
      <c r="G306" s="56"/>
      <c r="H306" s="56"/>
      <c r="I306" s="36" t="str">
        <f t="shared" si="15"/>
        <v/>
      </c>
      <c r="J306" s="36">
        <f t="shared" si="16"/>
        <v>0</v>
      </c>
      <c r="K306" s="36" t="str">
        <f t="shared" ca="1" si="17"/>
        <v/>
      </c>
    </row>
    <row r="307" spans="3:11" x14ac:dyDescent="0.25">
      <c r="C307" s="53"/>
      <c r="D307" s="54"/>
      <c r="E307" s="55"/>
      <c r="F307" s="54"/>
      <c r="G307" s="56"/>
      <c r="H307" s="56"/>
      <c r="I307" s="36" t="str">
        <f t="shared" si="15"/>
        <v/>
      </c>
      <c r="J307" s="36">
        <f t="shared" si="16"/>
        <v>0</v>
      </c>
      <c r="K307" s="36" t="str">
        <f t="shared" ca="1" si="17"/>
        <v/>
      </c>
    </row>
    <row r="308" spans="3:11" x14ac:dyDescent="0.25">
      <c r="C308" s="53"/>
      <c r="D308" s="54"/>
      <c r="E308" s="55"/>
      <c r="F308" s="54"/>
      <c r="G308" s="56"/>
      <c r="H308" s="56"/>
      <c r="I308" s="36" t="str">
        <f t="shared" si="15"/>
        <v/>
      </c>
      <c r="J308" s="36">
        <f t="shared" si="16"/>
        <v>0</v>
      </c>
      <c r="K308" s="36" t="str">
        <f t="shared" ca="1" si="17"/>
        <v/>
      </c>
    </row>
    <row r="309" spans="3:11" x14ac:dyDescent="0.25">
      <c r="C309" s="53"/>
      <c r="D309" s="54"/>
      <c r="E309" s="55"/>
      <c r="F309" s="54"/>
      <c r="G309" s="56"/>
      <c r="H309" s="56"/>
      <c r="I309" s="36" t="str">
        <f t="shared" si="15"/>
        <v/>
      </c>
      <c r="J309" s="36">
        <f t="shared" si="16"/>
        <v>0</v>
      </c>
      <c r="K309" s="36" t="str">
        <f t="shared" ca="1" si="17"/>
        <v/>
      </c>
    </row>
    <row r="310" spans="3:11" x14ac:dyDescent="0.25">
      <c r="C310" s="53"/>
      <c r="D310" s="54"/>
      <c r="E310" s="55"/>
      <c r="F310" s="54"/>
      <c r="G310" s="56"/>
      <c r="H310" s="56"/>
      <c r="I310" s="36" t="str">
        <f t="shared" si="15"/>
        <v/>
      </c>
      <c r="J310" s="36">
        <f t="shared" si="16"/>
        <v>0</v>
      </c>
      <c r="K310" s="36" t="str">
        <f t="shared" ca="1" si="17"/>
        <v/>
      </c>
    </row>
    <row r="311" spans="3:11" x14ac:dyDescent="0.25">
      <c r="C311" s="53"/>
      <c r="D311" s="54"/>
      <c r="E311" s="55"/>
      <c r="F311" s="54"/>
      <c r="G311" s="56"/>
      <c r="H311" s="56"/>
      <c r="I311" s="36" t="str">
        <f t="shared" si="15"/>
        <v/>
      </c>
      <c r="J311" s="36">
        <f t="shared" si="16"/>
        <v>0</v>
      </c>
      <c r="K311" s="36" t="str">
        <f t="shared" ca="1" si="17"/>
        <v/>
      </c>
    </row>
    <row r="312" spans="3:11" x14ac:dyDescent="0.25">
      <c r="C312" s="53"/>
      <c r="D312" s="54"/>
      <c r="E312" s="55"/>
      <c r="F312" s="54"/>
      <c r="G312" s="56"/>
      <c r="H312" s="56"/>
      <c r="I312" s="36" t="str">
        <f t="shared" si="15"/>
        <v/>
      </c>
      <c r="J312" s="36">
        <f t="shared" si="16"/>
        <v>0</v>
      </c>
      <c r="K312" s="36" t="str">
        <f t="shared" ca="1" si="17"/>
        <v/>
      </c>
    </row>
    <row r="313" spans="3:11" x14ac:dyDescent="0.25">
      <c r="C313" s="53"/>
      <c r="D313" s="54"/>
      <c r="E313" s="55"/>
      <c r="F313" s="54"/>
      <c r="G313" s="56"/>
      <c r="H313" s="56"/>
      <c r="I313" s="36" t="str">
        <f t="shared" si="15"/>
        <v/>
      </c>
      <c r="J313" s="36">
        <f t="shared" si="16"/>
        <v>0</v>
      </c>
      <c r="K313" s="36" t="str">
        <f t="shared" ca="1" si="17"/>
        <v/>
      </c>
    </row>
    <row r="314" spans="3:11" x14ac:dyDescent="0.25">
      <c r="C314" s="53"/>
      <c r="D314" s="54"/>
      <c r="E314" s="55"/>
      <c r="F314" s="54"/>
      <c r="G314" s="56"/>
      <c r="H314" s="56"/>
      <c r="I314" s="36" t="str">
        <f t="shared" si="15"/>
        <v/>
      </c>
      <c r="J314" s="36">
        <f t="shared" si="16"/>
        <v>0</v>
      </c>
      <c r="K314" s="36" t="str">
        <f t="shared" ca="1" si="17"/>
        <v/>
      </c>
    </row>
    <row r="315" spans="3:11" x14ac:dyDescent="0.25">
      <c r="C315" s="53"/>
      <c r="D315" s="54"/>
      <c r="E315" s="55"/>
      <c r="F315" s="54"/>
      <c r="G315" s="56"/>
      <c r="H315" s="56"/>
      <c r="I315" s="36" t="str">
        <f t="shared" si="15"/>
        <v/>
      </c>
      <c r="J315" s="36">
        <f t="shared" si="16"/>
        <v>0</v>
      </c>
      <c r="K315" s="36" t="str">
        <f t="shared" ca="1" si="17"/>
        <v/>
      </c>
    </row>
    <row r="316" spans="3:11" x14ac:dyDescent="0.25">
      <c r="C316" s="53"/>
      <c r="D316" s="54"/>
      <c r="E316" s="55"/>
      <c r="F316" s="54"/>
      <c r="G316" s="56"/>
      <c r="H316" s="56"/>
      <c r="I316" s="36" t="str">
        <f t="shared" si="15"/>
        <v/>
      </c>
      <c r="J316" s="36">
        <f t="shared" si="16"/>
        <v>0</v>
      </c>
      <c r="K316" s="36" t="str">
        <f t="shared" ca="1" si="17"/>
        <v/>
      </c>
    </row>
    <row r="317" spans="3:11" x14ac:dyDescent="0.25">
      <c r="C317" s="53"/>
      <c r="D317" s="54"/>
      <c r="E317" s="55"/>
      <c r="F317" s="54"/>
      <c r="G317" s="56"/>
      <c r="H317" s="56"/>
      <c r="I317" s="36" t="str">
        <f t="shared" si="15"/>
        <v/>
      </c>
      <c r="J317" s="36">
        <f t="shared" si="16"/>
        <v>0</v>
      </c>
      <c r="K317" s="36" t="str">
        <f t="shared" ca="1" si="17"/>
        <v/>
      </c>
    </row>
    <row r="318" spans="3:11" x14ac:dyDescent="0.25">
      <c r="C318" s="53"/>
      <c r="D318" s="54"/>
      <c r="E318" s="55"/>
      <c r="F318" s="54"/>
      <c r="G318" s="56"/>
      <c r="H318" s="56"/>
      <c r="I318" s="36" t="str">
        <f t="shared" si="15"/>
        <v/>
      </c>
      <c r="J318" s="36">
        <f t="shared" si="16"/>
        <v>0</v>
      </c>
      <c r="K318" s="36" t="str">
        <f t="shared" ca="1" si="17"/>
        <v/>
      </c>
    </row>
    <row r="319" spans="3:11" x14ac:dyDescent="0.25">
      <c r="C319" s="53"/>
      <c r="D319" s="54"/>
      <c r="E319" s="55"/>
      <c r="F319" s="54"/>
      <c r="G319" s="56"/>
      <c r="H319" s="56"/>
      <c r="I319" s="36" t="str">
        <f t="shared" si="15"/>
        <v/>
      </c>
      <c r="J319" s="36">
        <f t="shared" si="16"/>
        <v>0</v>
      </c>
      <c r="K319" s="36" t="str">
        <f t="shared" ca="1" si="17"/>
        <v/>
      </c>
    </row>
    <row r="320" spans="3:11" x14ac:dyDescent="0.25">
      <c r="C320" s="53"/>
      <c r="D320" s="54"/>
      <c r="E320" s="55"/>
      <c r="F320" s="54"/>
      <c r="G320" s="56"/>
      <c r="H320" s="56"/>
      <c r="I320" s="36" t="str">
        <f t="shared" si="15"/>
        <v/>
      </c>
      <c r="J320" s="36">
        <f t="shared" si="16"/>
        <v>0</v>
      </c>
      <c r="K320" s="36" t="str">
        <f t="shared" ca="1" si="17"/>
        <v/>
      </c>
    </row>
    <row r="321" spans="3:11" x14ac:dyDescent="0.25">
      <c r="C321" s="53"/>
      <c r="D321" s="54"/>
      <c r="E321" s="55"/>
      <c r="F321" s="54"/>
      <c r="G321" s="56"/>
      <c r="H321" s="56"/>
      <c r="I321" s="36" t="str">
        <f t="shared" si="15"/>
        <v/>
      </c>
      <c r="J321" s="36">
        <f t="shared" si="16"/>
        <v>0</v>
      </c>
      <c r="K321" s="36" t="str">
        <f t="shared" ca="1" si="17"/>
        <v/>
      </c>
    </row>
    <row r="322" spans="3:11" x14ac:dyDescent="0.25">
      <c r="C322" s="53"/>
      <c r="D322" s="54"/>
      <c r="E322" s="55"/>
      <c r="F322" s="54"/>
      <c r="G322" s="56"/>
      <c r="H322" s="56"/>
      <c r="I322" s="36" t="str">
        <f t="shared" si="15"/>
        <v/>
      </c>
      <c r="J322" s="36">
        <f t="shared" si="16"/>
        <v>0</v>
      </c>
      <c r="K322" s="36" t="str">
        <f t="shared" ca="1" si="17"/>
        <v/>
      </c>
    </row>
    <row r="323" spans="3:11" x14ac:dyDescent="0.25">
      <c r="C323" s="53"/>
      <c r="D323" s="54"/>
      <c r="E323" s="55"/>
      <c r="F323" s="54"/>
      <c r="G323" s="56"/>
      <c r="H323" s="56"/>
      <c r="I323" s="36" t="str">
        <f t="shared" si="15"/>
        <v/>
      </c>
      <c r="J323" s="36">
        <f t="shared" si="16"/>
        <v>0</v>
      </c>
      <c r="K323" s="36" t="str">
        <f t="shared" ca="1" si="17"/>
        <v/>
      </c>
    </row>
    <row r="324" spans="3:11" x14ac:dyDescent="0.25">
      <c r="C324" s="53"/>
      <c r="D324" s="54"/>
      <c r="E324" s="55"/>
      <c r="F324" s="54"/>
      <c r="G324" s="56"/>
      <c r="H324" s="56"/>
      <c r="I324" s="36" t="str">
        <f t="shared" si="15"/>
        <v/>
      </c>
      <c r="J324" s="36">
        <f t="shared" si="16"/>
        <v>0</v>
      </c>
      <c r="K324" s="36" t="str">
        <f t="shared" ca="1" si="17"/>
        <v/>
      </c>
    </row>
    <row r="325" spans="3:11" x14ac:dyDescent="0.25">
      <c r="C325" s="53"/>
      <c r="D325" s="54"/>
      <c r="E325" s="55"/>
      <c r="F325" s="54"/>
      <c r="G325" s="56"/>
      <c r="H325" s="56"/>
      <c r="I325" s="36" t="str">
        <f t="shared" si="15"/>
        <v/>
      </c>
      <c r="J325" s="36">
        <f t="shared" si="16"/>
        <v>0</v>
      </c>
      <c r="K325" s="36" t="str">
        <f t="shared" ca="1" si="17"/>
        <v/>
      </c>
    </row>
    <row r="326" spans="3:11" x14ac:dyDescent="0.25">
      <c r="C326" s="53"/>
      <c r="D326" s="54"/>
      <c r="E326" s="55"/>
      <c r="F326" s="54"/>
      <c r="G326" s="56"/>
      <c r="H326" s="56"/>
      <c r="I326" s="36" t="str">
        <f t="shared" si="15"/>
        <v/>
      </c>
      <c r="J326" s="36">
        <f t="shared" si="16"/>
        <v>0</v>
      </c>
      <c r="K326" s="36" t="str">
        <f t="shared" ca="1" si="17"/>
        <v/>
      </c>
    </row>
    <row r="327" spans="3:11" x14ac:dyDescent="0.25">
      <c r="C327" s="53"/>
      <c r="D327" s="54"/>
      <c r="E327" s="55"/>
      <c r="F327" s="54"/>
      <c r="G327" s="56"/>
      <c r="H327" s="56"/>
      <c r="I327" s="36" t="str">
        <f t="shared" si="15"/>
        <v/>
      </c>
      <c r="J327" s="36">
        <f t="shared" si="16"/>
        <v>0</v>
      </c>
      <c r="K327" s="36" t="str">
        <f t="shared" ca="1" si="17"/>
        <v/>
      </c>
    </row>
    <row r="328" spans="3:11" x14ac:dyDescent="0.25">
      <c r="C328" s="53"/>
      <c r="D328" s="54"/>
      <c r="E328" s="55"/>
      <c r="F328" s="54"/>
      <c r="G328" s="56"/>
      <c r="H328" s="56"/>
      <c r="I328" s="36" t="str">
        <f t="shared" si="15"/>
        <v/>
      </c>
      <c r="J328" s="36">
        <f t="shared" si="16"/>
        <v>0</v>
      </c>
      <c r="K328" s="36" t="str">
        <f t="shared" ca="1" si="17"/>
        <v/>
      </c>
    </row>
    <row r="329" spans="3:11" x14ac:dyDescent="0.25">
      <c r="C329" s="53"/>
      <c r="D329" s="54"/>
      <c r="E329" s="55"/>
      <c r="F329" s="54"/>
      <c r="G329" s="56"/>
      <c r="H329" s="56"/>
      <c r="I329" s="36" t="str">
        <f t="shared" si="15"/>
        <v/>
      </c>
      <c r="J329" s="36">
        <f t="shared" si="16"/>
        <v>0</v>
      </c>
      <c r="K329" s="36" t="str">
        <f t="shared" ca="1" si="17"/>
        <v/>
      </c>
    </row>
    <row r="330" spans="3:11" x14ac:dyDescent="0.25">
      <c r="C330" s="53"/>
      <c r="D330" s="54"/>
      <c r="E330" s="55"/>
      <c r="F330" s="54"/>
      <c r="G330" s="56"/>
      <c r="H330" s="56"/>
      <c r="I330" s="36" t="str">
        <f t="shared" si="15"/>
        <v/>
      </c>
      <c r="J330" s="36">
        <f t="shared" si="16"/>
        <v>0</v>
      </c>
      <c r="K330" s="36" t="str">
        <f t="shared" ca="1" si="17"/>
        <v/>
      </c>
    </row>
    <row r="331" spans="3:11" x14ac:dyDescent="0.25">
      <c r="C331" s="53"/>
      <c r="D331" s="54"/>
      <c r="E331" s="55"/>
      <c r="F331" s="54"/>
      <c r="G331" s="56"/>
      <c r="H331" s="56"/>
      <c r="I331" s="36" t="str">
        <f t="shared" ref="I331:I394" si="18">IF(C331="","",IF(H331&lt;=0,"Em aberto",IF(H331&gt;=G331,"Pagamento Total",IF(H331&lt;G331,"Pagamento Parcial"))))</f>
        <v/>
      </c>
      <c r="J331" s="36">
        <f t="shared" ref="J331:J394" si="19">IF(C331&gt;0,G331-H331,0)</f>
        <v>0</v>
      </c>
      <c r="K331" s="36" t="str">
        <f t="shared" ref="K331:K394" ca="1" si="20">IF(ISBLANK(C331),"",IF(H331=G331,"Pago",IF(C331=TODAY(),"Vence Hoje",IF(TRIM(UPPER(G330))&lt;&gt;"S",IF(C331-TODAY()&lt;0,"Vencida",IF(C331-TODAY()&lt;8,"Próximos sete dias","Em aberto"))))))</f>
        <v/>
      </c>
    </row>
    <row r="332" spans="3:11" x14ac:dyDescent="0.25">
      <c r="C332" s="53"/>
      <c r="D332" s="54"/>
      <c r="E332" s="55"/>
      <c r="F332" s="54"/>
      <c r="G332" s="56"/>
      <c r="H332" s="56"/>
      <c r="I332" s="36" t="str">
        <f t="shared" si="18"/>
        <v/>
      </c>
      <c r="J332" s="36">
        <f t="shared" si="19"/>
        <v>0</v>
      </c>
      <c r="K332" s="36" t="str">
        <f t="shared" ca="1" si="20"/>
        <v/>
      </c>
    </row>
    <row r="333" spans="3:11" x14ac:dyDescent="0.25">
      <c r="C333" s="53"/>
      <c r="D333" s="54"/>
      <c r="E333" s="55"/>
      <c r="F333" s="54"/>
      <c r="G333" s="56"/>
      <c r="H333" s="56"/>
      <c r="I333" s="36" t="str">
        <f t="shared" si="18"/>
        <v/>
      </c>
      <c r="J333" s="36">
        <f t="shared" si="19"/>
        <v>0</v>
      </c>
      <c r="K333" s="36" t="str">
        <f t="shared" ca="1" si="20"/>
        <v/>
      </c>
    </row>
    <row r="334" spans="3:11" x14ac:dyDescent="0.25">
      <c r="C334" s="53"/>
      <c r="D334" s="54"/>
      <c r="E334" s="55"/>
      <c r="F334" s="54"/>
      <c r="G334" s="56"/>
      <c r="H334" s="56"/>
      <c r="I334" s="36" t="str">
        <f t="shared" si="18"/>
        <v/>
      </c>
      <c r="J334" s="36">
        <f t="shared" si="19"/>
        <v>0</v>
      </c>
      <c r="K334" s="36" t="str">
        <f t="shared" ca="1" si="20"/>
        <v/>
      </c>
    </row>
    <row r="335" spans="3:11" x14ac:dyDescent="0.25">
      <c r="C335" s="53"/>
      <c r="D335" s="54"/>
      <c r="E335" s="55"/>
      <c r="F335" s="54"/>
      <c r="G335" s="56"/>
      <c r="H335" s="56"/>
      <c r="I335" s="36" t="str">
        <f t="shared" si="18"/>
        <v/>
      </c>
      <c r="J335" s="36">
        <f t="shared" si="19"/>
        <v>0</v>
      </c>
      <c r="K335" s="36" t="str">
        <f t="shared" ca="1" si="20"/>
        <v/>
      </c>
    </row>
    <row r="336" spans="3:11" x14ac:dyDescent="0.25">
      <c r="C336" s="53"/>
      <c r="D336" s="54"/>
      <c r="E336" s="55"/>
      <c r="F336" s="54"/>
      <c r="G336" s="56"/>
      <c r="H336" s="56"/>
      <c r="I336" s="36" t="str">
        <f t="shared" si="18"/>
        <v/>
      </c>
      <c r="J336" s="36">
        <f t="shared" si="19"/>
        <v>0</v>
      </c>
      <c r="K336" s="36" t="str">
        <f t="shared" ca="1" si="20"/>
        <v/>
      </c>
    </row>
    <row r="337" spans="3:11" x14ac:dyDescent="0.25">
      <c r="C337" s="53"/>
      <c r="D337" s="54"/>
      <c r="E337" s="55"/>
      <c r="F337" s="54"/>
      <c r="G337" s="56"/>
      <c r="H337" s="56"/>
      <c r="I337" s="36" t="str">
        <f t="shared" si="18"/>
        <v/>
      </c>
      <c r="J337" s="36">
        <f t="shared" si="19"/>
        <v>0</v>
      </c>
      <c r="K337" s="36" t="str">
        <f t="shared" ca="1" si="20"/>
        <v/>
      </c>
    </row>
    <row r="338" spans="3:11" x14ac:dyDescent="0.25">
      <c r="C338" s="53"/>
      <c r="D338" s="54"/>
      <c r="E338" s="55"/>
      <c r="F338" s="54"/>
      <c r="G338" s="56"/>
      <c r="H338" s="56"/>
      <c r="I338" s="36" t="str">
        <f t="shared" si="18"/>
        <v/>
      </c>
      <c r="J338" s="36">
        <f t="shared" si="19"/>
        <v>0</v>
      </c>
      <c r="K338" s="36" t="str">
        <f t="shared" ca="1" si="20"/>
        <v/>
      </c>
    </row>
    <row r="339" spans="3:11" x14ac:dyDescent="0.25">
      <c r="C339" s="53"/>
      <c r="D339" s="54"/>
      <c r="E339" s="55"/>
      <c r="F339" s="54"/>
      <c r="G339" s="56"/>
      <c r="H339" s="56"/>
      <c r="I339" s="36" t="str">
        <f t="shared" si="18"/>
        <v/>
      </c>
      <c r="J339" s="36">
        <f t="shared" si="19"/>
        <v>0</v>
      </c>
      <c r="K339" s="36" t="str">
        <f t="shared" ca="1" si="20"/>
        <v/>
      </c>
    </row>
    <row r="340" spans="3:11" x14ac:dyDescent="0.25">
      <c r="C340" s="53"/>
      <c r="D340" s="54"/>
      <c r="E340" s="55"/>
      <c r="F340" s="54"/>
      <c r="G340" s="56"/>
      <c r="H340" s="56"/>
      <c r="I340" s="36" t="str">
        <f t="shared" si="18"/>
        <v/>
      </c>
      <c r="J340" s="36">
        <f t="shared" si="19"/>
        <v>0</v>
      </c>
      <c r="K340" s="36" t="str">
        <f t="shared" ca="1" si="20"/>
        <v/>
      </c>
    </row>
    <row r="341" spans="3:11" x14ac:dyDescent="0.25">
      <c r="C341" s="53"/>
      <c r="D341" s="54"/>
      <c r="E341" s="55"/>
      <c r="F341" s="54"/>
      <c r="G341" s="56"/>
      <c r="H341" s="56"/>
      <c r="I341" s="36" t="str">
        <f t="shared" si="18"/>
        <v/>
      </c>
      <c r="J341" s="36">
        <f t="shared" si="19"/>
        <v>0</v>
      </c>
      <c r="K341" s="36" t="str">
        <f t="shared" ca="1" si="20"/>
        <v/>
      </c>
    </row>
    <row r="342" spans="3:11" x14ac:dyDescent="0.25">
      <c r="C342" s="53"/>
      <c r="D342" s="54"/>
      <c r="E342" s="55"/>
      <c r="F342" s="54"/>
      <c r="G342" s="56"/>
      <c r="H342" s="56"/>
      <c r="I342" s="36" t="str">
        <f t="shared" si="18"/>
        <v/>
      </c>
      <c r="J342" s="36">
        <f t="shared" si="19"/>
        <v>0</v>
      </c>
      <c r="K342" s="36" t="str">
        <f t="shared" ca="1" si="20"/>
        <v/>
      </c>
    </row>
    <row r="343" spans="3:11" x14ac:dyDescent="0.25">
      <c r="C343" s="53"/>
      <c r="D343" s="54"/>
      <c r="E343" s="55"/>
      <c r="F343" s="54"/>
      <c r="G343" s="56"/>
      <c r="H343" s="56"/>
      <c r="I343" s="36" t="str">
        <f t="shared" si="18"/>
        <v/>
      </c>
      <c r="J343" s="36">
        <f t="shared" si="19"/>
        <v>0</v>
      </c>
      <c r="K343" s="36" t="str">
        <f t="shared" ca="1" si="20"/>
        <v/>
      </c>
    </row>
    <row r="344" spans="3:11" x14ac:dyDescent="0.25">
      <c r="C344" s="53"/>
      <c r="D344" s="54"/>
      <c r="E344" s="55"/>
      <c r="F344" s="54"/>
      <c r="G344" s="56"/>
      <c r="H344" s="56"/>
      <c r="I344" s="36" t="str">
        <f t="shared" si="18"/>
        <v/>
      </c>
      <c r="J344" s="36">
        <f t="shared" si="19"/>
        <v>0</v>
      </c>
      <c r="K344" s="36" t="str">
        <f t="shared" ca="1" si="20"/>
        <v/>
      </c>
    </row>
    <row r="345" spans="3:11" x14ac:dyDescent="0.25">
      <c r="C345" s="53"/>
      <c r="D345" s="54"/>
      <c r="E345" s="55"/>
      <c r="F345" s="54"/>
      <c r="G345" s="56"/>
      <c r="H345" s="56"/>
      <c r="I345" s="36" t="str">
        <f t="shared" si="18"/>
        <v/>
      </c>
      <c r="J345" s="36">
        <f t="shared" si="19"/>
        <v>0</v>
      </c>
      <c r="K345" s="36" t="str">
        <f t="shared" ca="1" si="20"/>
        <v/>
      </c>
    </row>
    <row r="346" spans="3:11" x14ac:dyDescent="0.25">
      <c r="C346" s="53"/>
      <c r="D346" s="54"/>
      <c r="E346" s="55"/>
      <c r="F346" s="54"/>
      <c r="G346" s="56"/>
      <c r="H346" s="56"/>
      <c r="I346" s="36" t="str">
        <f t="shared" si="18"/>
        <v/>
      </c>
      <c r="J346" s="36">
        <f t="shared" si="19"/>
        <v>0</v>
      </c>
      <c r="K346" s="36" t="str">
        <f t="shared" ca="1" si="20"/>
        <v/>
      </c>
    </row>
    <row r="347" spans="3:11" x14ac:dyDescent="0.25">
      <c r="C347" s="53"/>
      <c r="D347" s="54"/>
      <c r="E347" s="55"/>
      <c r="F347" s="54"/>
      <c r="G347" s="56"/>
      <c r="H347" s="56"/>
      <c r="I347" s="36" t="str">
        <f t="shared" si="18"/>
        <v/>
      </c>
      <c r="J347" s="36">
        <f t="shared" si="19"/>
        <v>0</v>
      </c>
      <c r="K347" s="36" t="str">
        <f t="shared" ca="1" si="20"/>
        <v/>
      </c>
    </row>
    <row r="348" spans="3:11" x14ac:dyDescent="0.25">
      <c r="C348" s="53"/>
      <c r="D348" s="54"/>
      <c r="E348" s="55"/>
      <c r="F348" s="54"/>
      <c r="G348" s="56"/>
      <c r="H348" s="56"/>
      <c r="I348" s="36" t="str">
        <f t="shared" si="18"/>
        <v/>
      </c>
      <c r="J348" s="36">
        <f t="shared" si="19"/>
        <v>0</v>
      </c>
      <c r="K348" s="36" t="str">
        <f t="shared" ca="1" si="20"/>
        <v/>
      </c>
    </row>
    <row r="349" spans="3:11" x14ac:dyDescent="0.25">
      <c r="C349" s="53"/>
      <c r="D349" s="54"/>
      <c r="E349" s="55"/>
      <c r="F349" s="54"/>
      <c r="G349" s="56"/>
      <c r="H349" s="56"/>
      <c r="I349" s="36" t="str">
        <f t="shared" si="18"/>
        <v/>
      </c>
      <c r="J349" s="36">
        <f t="shared" si="19"/>
        <v>0</v>
      </c>
      <c r="K349" s="36" t="str">
        <f t="shared" ca="1" si="20"/>
        <v/>
      </c>
    </row>
    <row r="350" spans="3:11" x14ac:dyDescent="0.25">
      <c r="C350" s="53"/>
      <c r="D350" s="54"/>
      <c r="E350" s="55"/>
      <c r="F350" s="54"/>
      <c r="G350" s="56"/>
      <c r="H350" s="56"/>
      <c r="I350" s="36" t="str">
        <f t="shared" si="18"/>
        <v/>
      </c>
      <c r="J350" s="36">
        <f t="shared" si="19"/>
        <v>0</v>
      </c>
      <c r="K350" s="36" t="str">
        <f t="shared" ca="1" si="20"/>
        <v/>
      </c>
    </row>
    <row r="351" spans="3:11" x14ac:dyDescent="0.25">
      <c r="C351" s="53"/>
      <c r="D351" s="54"/>
      <c r="E351" s="55"/>
      <c r="F351" s="54"/>
      <c r="G351" s="56"/>
      <c r="H351" s="56"/>
      <c r="I351" s="36" t="str">
        <f t="shared" si="18"/>
        <v/>
      </c>
      <c r="J351" s="36">
        <f t="shared" si="19"/>
        <v>0</v>
      </c>
      <c r="K351" s="36" t="str">
        <f t="shared" ca="1" si="20"/>
        <v/>
      </c>
    </row>
    <row r="352" spans="3:11" x14ac:dyDescent="0.25">
      <c r="C352" s="53"/>
      <c r="D352" s="54"/>
      <c r="E352" s="55"/>
      <c r="F352" s="54"/>
      <c r="G352" s="56"/>
      <c r="H352" s="56"/>
      <c r="I352" s="36" t="str">
        <f t="shared" si="18"/>
        <v/>
      </c>
      <c r="J352" s="36">
        <f t="shared" si="19"/>
        <v>0</v>
      </c>
      <c r="K352" s="36" t="str">
        <f t="shared" ca="1" si="20"/>
        <v/>
      </c>
    </row>
    <row r="353" spans="3:11" x14ac:dyDescent="0.25">
      <c r="C353" s="53"/>
      <c r="D353" s="54"/>
      <c r="E353" s="55"/>
      <c r="F353" s="54"/>
      <c r="G353" s="56"/>
      <c r="H353" s="56"/>
      <c r="I353" s="36" t="str">
        <f t="shared" si="18"/>
        <v/>
      </c>
      <c r="J353" s="36">
        <f t="shared" si="19"/>
        <v>0</v>
      </c>
      <c r="K353" s="36" t="str">
        <f t="shared" ca="1" si="20"/>
        <v/>
      </c>
    </row>
    <row r="354" spans="3:11" x14ac:dyDescent="0.25">
      <c r="C354" s="53"/>
      <c r="D354" s="54"/>
      <c r="E354" s="55"/>
      <c r="F354" s="54"/>
      <c r="G354" s="56"/>
      <c r="H354" s="56"/>
      <c r="I354" s="36" t="str">
        <f t="shared" si="18"/>
        <v/>
      </c>
      <c r="J354" s="36">
        <f t="shared" si="19"/>
        <v>0</v>
      </c>
      <c r="K354" s="36" t="str">
        <f t="shared" ca="1" si="20"/>
        <v/>
      </c>
    </row>
    <row r="355" spans="3:11" x14ac:dyDescent="0.25">
      <c r="C355" s="53"/>
      <c r="D355" s="54"/>
      <c r="E355" s="55"/>
      <c r="F355" s="54"/>
      <c r="G355" s="56"/>
      <c r="H355" s="56"/>
      <c r="I355" s="36" t="str">
        <f t="shared" si="18"/>
        <v/>
      </c>
      <c r="J355" s="36">
        <f t="shared" si="19"/>
        <v>0</v>
      </c>
      <c r="K355" s="36" t="str">
        <f t="shared" ca="1" si="20"/>
        <v/>
      </c>
    </row>
    <row r="356" spans="3:11" x14ac:dyDescent="0.25">
      <c r="C356" s="53"/>
      <c r="D356" s="54"/>
      <c r="E356" s="55"/>
      <c r="F356" s="54"/>
      <c r="G356" s="56"/>
      <c r="H356" s="56"/>
      <c r="I356" s="36" t="str">
        <f t="shared" si="18"/>
        <v/>
      </c>
      <c r="J356" s="36">
        <f t="shared" si="19"/>
        <v>0</v>
      </c>
      <c r="K356" s="36" t="str">
        <f t="shared" ca="1" si="20"/>
        <v/>
      </c>
    </row>
    <row r="357" spans="3:11" x14ac:dyDescent="0.25">
      <c r="C357" s="53"/>
      <c r="D357" s="54"/>
      <c r="E357" s="55"/>
      <c r="F357" s="54"/>
      <c r="G357" s="56"/>
      <c r="H357" s="56"/>
      <c r="I357" s="36" t="str">
        <f t="shared" si="18"/>
        <v/>
      </c>
      <c r="J357" s="36">
        <f t="shared" si="19"/>
        <v>0</v>
      </c>
      <c r="K357" s="36" t="str">
        <f t="shared" ca="1" si="20"/>
        <v/>
      </c>
    </row>
    <row r="358" spans="3:11" x14ac:dyDescent="0.25">
      <c r="C358" s="53"/>
      <c r="D358" s="54"/>
      <c r="E358" s="55"/>
      <c r="F358" s="54"/>
      <c r="G358" s="56"/>
      <c r="H358" s="56"/>
      <c r="I358" s="36" t="str">
        <f t="shared" si="18"/>
        <v/>
      </c>
      <c r="J358" s="36">
        <f t="shared" si="19"/>
        <v>0</v>
      </c>
      <c r="K358" s="36" t="str">
        <f t="shared" ca="1" si="20"/>
        <v/>
      </c>
    </row>
    <row r="359" spans="3:11" x14ac:dyDescent="0.25">
      <c r="C359" s="53"/>
      <c r="D359" s="54"/>
      <c r="E359" s="55"/>
      <c r="F359" s="54"/>
      <c r="G359" s="56"/>
      <c r="H359" s="56"/>
      <c r="I359" s="36" t="str">
        <f t="shared" si="18"/>
        <v/>
      </c>
      <c r="J359" s="36">
        <f t="shared" si="19"/>
        <v>0</v>
      </c>
      <c r="K359" s="36" t="str">
        <f t="shared" ca="1" si="20"/>
        <v/>
      </c>
    </row>
    <row r="360" spans="3:11" x14ac:dyDescent="0.25">
      <c r="C360" s="53"/>
      <c r="D360" s="54"/>
      <c r="E360" s="55"/>
      <c r="F360" s="54"/>
      <c r="G360" s="56"/>
      <c r="H360" s="56"/>
      <c r="I360" s="36" t="str">
        <f t="shared" si="18"/>
        <v/>
      </c>
      <c r="J360" s="36">
        <f t="shared" si="19"/>
        <v>0</v>
      </c>
      <c r="K360" s="36" t="str">
        <f t="shared" ca="1" si="20"/>
        <v/>
      </c>
    </row>
    <row r="361" spans="3:11" x14ac:dyDescent="0.25">
      <c r="C361" s="53"/>
      <c r="D361" s="54"/>
      <c r="E361" s="55"/>
      <c r="F361" s="54"/>
      <c r="G361" s="56"/>
      <c r="H361" s="56"/>
      <c r="I361" s="36" t="str">
        <f t="shared" si="18"/>
        <v/>
      </c>
      <c r="J361" s="36">
        <f t="shared" si="19"/>
        <v>0</v>
      </c>
      <c r="K361" s="36" t="str">
        <f t="shared" ca="1" si="20"/>
        <v/>
      </c>
    </row>
    <row r="362" spans="3:11" x14ac:dyDescent="0.25">
      <c r="C362" s="53"/>
      <c r="D362" s="54"/>
      <c r="E362" s="55"/>
      <c r="F362" s="54"/>
      <c r="G362" s="56"/>
      <c r="H362" s="56"/>
      <c r="I362" s="36" t="str">
        <f t="shared" si="18"/>
        <v/>
      </c>
      <c r="J362" s="36">
        <f t="shared" si="19"/>
        <v>0</v>
      </c>
      <c r="K362" s="36" t="str">
        <f t="shared" ca="1" si="20"/>
        <v/>
      </c>
    </row>
    <row r="363" spans="3:11" x14ac:dyDescent="0.25">
      <c r="C363" s="53"/>
      <c r="D363" s="54"/>
      <c r="E363" s="55"/>
      <c r="F363" s="54"/>
      <c r="G363" s="56"/>
      <c r="H363" s="56"/>
      <c r="I363" s="36" t="str">
        <f t="shared" si="18"/>
        <v/>
      </c>
      <c r="J363" s="36">
        <f t="shared" si="19"/>
        <v>0</v>
      </c>
      <c r="K363" s="36" t="str">
        <f t="shared" ca="1" si="20"/>
        <v/>
      </c>
    </row>
    <row r="364" spans="3:11" x14ac:dyDescent="0.25">
      <c r="C364" s="53"/>
      <c r="D364" s="54"/>
      <c r="E364" s="55"/>
      <c r="F364" s="54"/>
      <c r="G364" s="56"/>
      <c r="H364" s="56"/>
      <c r="I364" s="36" t="str">
        <f t="shared" si="18"/>
        <v/>
      </c>
      <c r="J364" s="36">
        <f t="shared" si="19"/>
        <v>0</v>
      </c>
      <c r="K364" s="36" t="str">
        <f t="shared" ca="1" si="20"/>
        <v/>
      </c>
    </row>
    <row r="365" spans="3:11" x14ac:dyDescent="0.25">
      <c r="C365" s="53"/>
      <c r="D365" s="54"/>
      <c r="E365" s="55"/>
      <c r="F365" s="54"/>
      <c r="G365" s="56"/>
      <c r="H365" s="56"/>
      <c r="I365" s="36" t="str">
        <f t="shared" si="18"/>
        <v/>
      </c>
      <c r="J365" s="36">
        <f t="shared" si="19"/>
        <v>0</v>
      </c>
      <c r="K365" s="36" t="str">
        <f t="shared" ca="1" si="20"/>
        <v/>
      </c>
    </row>
    <row r="366" spans="3:11" x14ac:dyDescent="0.25">
      <c r="C366" s="53"/>
      <c r="D366" s="54"/>
      <c r="E366" s="55"/>
      <c r="F366" s="54"/>
      <c r="G366" s="56"/>
      <c r="H366" s="56"/>
      <c r="I366" s="36" t="str">
        <f t="shared" si="18"/>
        <v/>
      </c>
      <c r="J366" s="36">
        <f t="shared" si="19"/>
        <v>0</v>
      </c>
      <c r="K366" s="36" t="str">
        <f t="shared" ca="1" si="20"/>
        <v/>
      </c>
    </row>
    <row r="367" spans="3:11" x14ac:dyDescent="0.25">
      <c r="C367" s="53"/>
      <c r="D367" s="54"/>
      <c r="E367" s="55"/>
      <c r="F367" s="54"/>
      <c r="G367" s="56"/>
      <c r="H367" s="56"/>
      <c r="I367" s="36" t="str">
        <f t="shared" si="18"/>
        <v/>
      </c>
      <c r="J367" s="36">
        <f t="shared" si="19"/>
        <v>0</v>
      </c>
      <c r="K367" s="36" t="str">
        <f t="shared" ca="1" si="20"/>
        <v/>
      </c>
    </row>
    <row r="368" spans="3:11" x14ac:dyDescent="0.25">
      <c r="C368" s="53"/>
      <c r="D368" s="54"/>
      <c r="E368" s="55"/>
      <c r="F368" s="54"/>
      <c r="G368" s="56"/>
      <c r="H368" s="56"/>
      <c r="I368" s="36" t="str">
        <f t="shared" si="18"/>
        <v/>
      </c>
      <c r="J368" s="36">
        <f t="shared" si="19"/>
        <v>0</v>
      </c>
      <c r="K368" s="36" t="str">
        <f t="shared" ca="1" si="20"/>
        <v/>
      </c>
    </row>
    <row r="369" spans="3:11" x14ac:dyDescent="0.25">
      <c r="C369" s="53"/>
      <c r="D369" s="54"/>
      <c r="E369" s="55"/>
      <c r="F369" s="54"/>
      <c r="G369" s="56"/>
      <c r="H369" s="56"/>
      <c r="I369" s="36" t="str">
        <f t="shared" si="18"/>
        <v/>
      </c>
      <c r="J369" s="36">
        <f t="shared" si="19"/>
        <v>0</v>
      </c>
      <c r="K369" s="36" t="str">
        <f t="shared" ca="1" si="20"/>
        <v/>
      </c>
    </row>
    <row r="370" spans="3:11" x14ac:dyDescent="0.25">
      <c r="C370" s="53"/>
      <c r="D370" s="54"/>
      <c r="E370" s="55"/>
      <c r="F370" s="54"/>
      <c r="G370" s="56"/>
      <c r="H370" s="56"/>
      <c r="I370" s="36" t="str">
        <f t="shared" si="18"/>
        <v/>
      </c>
      <c r="J370" s="36">
        <f t="shared" si="19"/>
        <v>0</v>
      </c>
      <c r="K370" s="36" t="str">
        <f t="shared" ca="1" si="20"/>
        <v/>
      </c>
    </row>
    <row r="371" spans="3:11" x14ac:dyDescent="0.25">
      <c r="C371" s="53"/>
      <c r="D371" s="54"/>
      <c r="E371" s="55"/>
      <c r="F371" s="54"/>
      <c r="G371" s="56"/>
      <c r="H371" s="56"/>
      <c r="I371" s="36" t="str">
        <f t="shared" si="18"/>
        <v/>
      </c>
      <c r="J371" s="36">
        <f t="shared" si="19"/>
        <v>0</v>
      </c>
      <c r="K371" s="36" t="str">
        <f t="shared" ca="1" si="20"/>
        <v/>
      </c>
    </row>
    <row r="372" spans="3:11" x14ac:dyDescent="0.25">
      <c r="C372" s="53"/>
      <c r="D372" s="54"/>
      <c r="E372" s="55"/>
      <c r="F372" s="54"/>
      <c r="G372" s="56"/>
      <c r="H372" s="56"/>
      <c r="I372" s="36" t="str">
        <f t="shared" si="18"/>
        <v/>
      </c>
      <c r="J372" s="36">
        <f t="shared" si="19"/>
        <v>0</v>
      </c>
      <c r="K372" s="36" t="str">
        <f t="shared" ca="1" si="20"/>
        <v/>
      </c>
    </row>
    <row r="373" spans="3:11" x14ac:dyDescent="0.25">
      <c r="C373" s="53"/>
      <c r="D373" s="54"/>
      <c r="E373" s="55"/>
      <c r="F373" s="54"/>
      <c r="G373" s="56"/>
      <c r="H373" s="56"/>
      <c r="I373" s="36" t="str">
        <f t="shared" si="18"/>
        <v/>
      </c>
      <c r="J373" s="36">
        <f t="shared" si="19"/>
        <v>0</v>
      </c>
      <c r="K373" s="36" t="str">
        <f t="shared" ca="1" si="20"/>
        <v/>
      </c>
    </row>
    <row r="374" spans="3:11" x14ac:dyDescent="0.25">
      <c r="C374" s="53"/>
      <c r="D374" s="54"/>
      <c r="E374" s="55"/>
      <c r="F374" s="54"/>
      <c r="G374" s="56"/>
      <c r="H374" s="56"/>
      <c r="I374" s="36" t="str">
        <f t="shared" si="18"/>
        <v/>
      </c>
      <c r="J374" s="36">
        <f t="shared" si="19"/>
        <v>0</v>
      </c>
      <c r="K374" s="36" t="str">
        <f t="shared" ca="1" si="20"/>
        <v/>
      </c>
    </row>
    <row r="375" spans="3:11" x14ac:dyDescent="0.25">
      <c r="C375" s="53"/>
      <c r="D375" s="54"/>
      <c r="E375" s="55"/>
      <c r="F375" s="54"/>
      <c r="G375" s="56"/>
      <c r="H375" s="56"/>
      <c r="I375" s="36" t="str">
        <f t="shared" si="18"/>
        <v/>
      </c>
      <c r="J375" s="36">
        <f t="shared" si="19"/>
        <v>0</v>
      </c>
      <c r="K375" s="36" t="str">
        <f t="shared" ca="1" si="20"/>
        <v/>
      </c>
    </row>
    <row r="376" spans="3:11" x14ac:dyDescent="0.25">
      <c r="C376" s="53"/>
      <c r="D376" s="54"/>
      <c r="E376" s="55"/>
      <c r="F376" s="54"/>
      <c r="G376" s="56"/>
      <c r="H376" s="56"/>
      <c r="I376" s="36" t="str">
        <f t="shared" si="18"/>
        <v/>
      </c>
      <c r="J376" s="36">
        <f t="shared" si="19"/>
        <v>0</v>
      </c>
      <c r="K376" s="36" t="str">
        <f t="shared" ca="1" si="20"/>
        <v/>
      </c>
    </row>
    <row r="377" spans="3:11" x14ac:dyDescent="0.25">
      <c r="C377" s="53"/>
      <c r="D377" s="54"/>
      <c r="E377" s="55"/>
      <c r="F377" s="54"/>
      <c r="G377" s="56"/>
      <c r="H377" s="56"/>
      <c r="I377" s="36" t="str">
        <f t="shared" si="18"/>
        <v/>
      </c>
      <c r="J377" s="36">
        <f t="shared" si="19"/>
        <v>0</v>
      </c>
      <c r="K377" s="36" t="str">
        <f t="shared" ca="1" si="20"/>
        <v/>
      </c>
    </row>
    <row r="378" spans="3:11" x14ac:dyDescent="0.25">
      <c r="C378" s="53"/>
      <c r="D378" s="54"/>
      <c r="E378" s="55"/>
      <c r="F378" s="54"/>
      <c r="G378" s="56"/>
      <c r="H378" s="56"/>
      <c r="I378" s="36" t="str">
        <f t="shared" si="18"/>
        <v/>
      </c>
      <c r="J378" s="36">
        <f t="shared" si="19"/>
        <v>0</v>
      </c>
      <c r="K378" s="36" t="str">
        <f t="shared" ca="1" si="20"/>
        <v/>
      </c>
    </row>
    <row r="379" spans="3:11" x14ac:dyDescent="0.25">
      <c r="C379" s="53"/>
      <c r="D379" s="54"/>
      <c r="E379" s="55"/>
      <c r="F379" s="54"/>
      <c r="G379" s="56"/>
      <c r="H379" s="56"/>
      <c r="I379" s="36" t="str">
        <f t="shared" si="18"/>
        <v/>
      </c>
      <c r="J379" s="36">
        <f t="shared" si="19"/>
        <v>0</v>
      </c>
      <c r="K379" s="36" t="str">
        <f t="shared" ca="1" si="20"/>
        <v/>
      </c>
    </row>
    <row r="380" spans="3:11" x14ac:dyDescent="0.25">
      <c r="C380" s="53"/>
      <c r="D380" s="54"/>
      <c r="E380" s="55"/>
      <c r="F380" s="54"/>
      <c r="G380" s="56"/>
      <c r="H380" s="56"/>
      <c r="I380" s="36" t="str">
        <f t="shared" si="18"/>
        <v/>
      </c>
      <c r="J380" s="36">
        <f t="shared" si="19"/>
        <v>0</v>
      </c>
      <c r="K380" s="36" t="str">
        <f t="shared" ca="1" si="20"/>
        <v/>
      </c>
    </row>
    <row r="381" spans="3:11" x14ac:dyDescent="0.25">
      <c r="C381" s="53"/>
      <c r="D381" s="54"/>
      <c r="E381" s="55"/>
      <c r="F381" s="54"/>
      <c r="G381" s="56"/>
      <c r="H381" s="56"/>
      <c r="I381" s="36" t="str">
        <f t="shared" si="18"/>
        <v/>
      </c>
      <c r="J381" s="36">
        <f t="shared" si="19"/>
        <v>0</v>
      </c>
      <c r="K381" s="36" t="str">
        <f t="shared" ca="1" si="20"/>
        <v/>
      </c>
    </row>
    <row r="382" spans="3:11" x14ac:dyDescent="0.25">
      <c r="C382" s="53"/>
      <c r="D382" s="54"/>
      <c r="E382" s="55"/>
      <c r="F382" s="54"/>
      <c r="G382" s="56"/>
      <c r="H382" s="56"/>
      <c r="I382" s="36" t="str">
        <f t="shared" si="18"/>
        <v/>
      </c>
      <c r="J382" s="36">
        <f t="shared" si="19"/>
        <v>0</v>
      </c>
      <c r="K382" s="36" t="str">
        <f t="shared" ca="1" si="20"/>
        <v/>
      </c>
    </row>
    <row r="383" spans="3:11" x14ac:dyDescent="0.25">
      <c r="C383" s="53"/>
      <c r="D383" s="54"/>
      <c r="E383" s="55"/>
      <c r="F383" s="54"/>
      <c r="G383" s="56"/>
      <c r="H383" s="56"/>
      <c r="I383" s="36" t="str">
        <f t="shared" si="18"/>
        <v/>
      </c>
      <c r="J383" s="36">
        <f t="shared" si="19"/>
        <v>0</v>
      </c>
      <c r="K383" s="36" t="str">
        <f t="shared" ca="1" si="20"/>
        <v/>
      </c>
    </row>
    <row r="384" spans="3:11" x14ac:dyDescent="0.25">
      <c r="C384" s="53"/>
      <c r="D384" s="54"/>
      <c r="E384" s="55"/>
      <c r="F384" s="54"/>
      <c r="G384" s="56"/>
      <c r="H384" s="56"/>
      <c r="I384" s="36" t="str">
        <f t="shared" si="18"/>
        <v/>
      </c>
      <c r="J384" s="36">
        <f t="shared" si="19"/>
        <v>0</v>
      </c>
      <c r="K384" s="36" t="str">
        <f t="shared" ca="1" si="20"/>
        <v/>
      </c>
    </row>
    <row r="385" spans="3:11" x14ac:dyDescent="0.25">
      <c r="C385" s="53"/>
      <c r="D385" s="54"/>
      <c r="E385" s="55"/>
      <c r="F385" s="54"/>
      <c r="G385" s="56"/>
      <c r="H385" s="56"/>
      <c r="I385" s="36" t="str">
        <f t="shared" si="18"/>
        <v/>
      </c>
      <c r="J385" s="36">
        <f t="shared" si="19"/>
        <v>0</v>
      </c>
      <c r="K385" s="36" t="str">
        <f t="shared" ca="1" si="20"/>
        <v/>
      </c>
    </row>
    <row r="386" spans="3:11" x14ac:dyDescent="0.25">
      <c r="C386" s="53"/>
      <c r="D386" s="54"/>
      <c r="E386" s="55"/>
      <c r="F386" s="54"/>
      <c r="G386" s="56"/>
      <c r="H386" s="56"/>
      <c r="I386" s="36" t="str">
        <f t="shared" si="18"/>
        <v/>
      </c>
      <c r="J386" s="36">
        <f t="shared" si="19"/>
        <v>0</v>
      </c>
      <c r="K386" s="36" t="str">
        <f t="shared" ca="1" si="20"/>
        <v/>
      </c>
    </row>
    <row r="387" spans="3:11" x14ac:dyDescent="0.25">
      <c r="C387" s="53"/>
      <c r="D387" s="54"/>
      <c r="E387" s="55"/>
      <c r="F387" s="54"/>
      <c r="G387" s="56"/>
      <c r="H387" s="56"/>
      <c r="I387" s="36" t="str">
        <f t="shared" si="18"/>
        <v/>
      </c>
      <c r="J387" s="36">
        <f t="shared" si="19"/>
        <v>0</v>
      </c>
      <c r="K387" s="36" t="str">
        <f t="shared" ca="1" si="20"/>
        <v/>
      </c>
    </row>
    <row r="388" spans="3:11" x14ac:dyDescent="0.25">
      <c r="C388" s="53"/>
      <c r="D388" s="54"/>
      <c r="E388" s="55"/>
      <c r="F388" s="54"/>
      <c r="G388" s="56"/>
      <c r="H388" s="56"/>
      <c r="I388" s="36" t="str">
        <f t="shared" si="18"/>
        <v/>
      </c>
      <c r="J388" s="36">
        <f t="shared" si="19"/>
        <v>0</v>
      </c>
      <c r="K388" s="36" t="str">
        <f t="shared" ca="1" si="20"/>
        <v/>
      </c>
    </row>
    <row r="389" spans="3:11" x14ac:dyDescent="0.25">
      <c r="C389" s="53"/>
      <c r="D389" s="54"/>
      <c r="E389" s="55"/>
      <c r="F389" s="54"/>
      <c r="G389" s="56"/>
      <c r="H389" s="56"/>
      <c r="I389" s="36" t="str">
        <f t="shared" si="18"/>
        <v/>
      </c>
      <c r="J389" s="36">
        <f t="shared" si="19"/>
        <v>0</v>
      </c>
      <c r="K389" s="36" t="str">
        <f t="shared" ca="1" si="20"/>
        <v/>
      </c>
    </row>
    <row r="390" spans="3:11" x14ac:dyDescent="0.25">
      <c r="C390" s="53"/>
      <c r="D390" s="54"/>
      <c r="E390" s="55"/>
      <c r="F390" s="54"/>
      <c r="G390" s="56"/>
      <c r="H390" s="56"/>
      <c r="I390" s="36" t="str">
        <f t="shared" si="18"/>
        <v/>
      </c>
      <c r="J390" s="36">
        <f t="shared" si="19"/>
        <v>0</v>
      </c>
      <c r="K390" s="36" t="str">
        <f t="shared" ca="1" si="20"/>
        <v/>
      </c>
    </row>
    <row r="391" spans="3:11" x14ac:dyDescent="0.25">
      <c r="C391" s="53"/>
      <c r="D391" s="54"/>
      <c r="E391" s="55"/>
      <c r="F391" s="54"/>
      <c r="G391" s="56"/>
      <c r="H391" s="56"/>
      <c r="I391" s="36" t="str">
        <f t="shared" si="18"/>
        <v/>
      </c>
      <c r="J391" s="36">
        <f t="shared" si="19"/>
        <v>0</v>
      </c>
      <c r="K391" s="36" t="str">
        <f t="shared" ca="1" si="20"/>
        <v/>
      </c>
    </row>
    <row r="392" spans="3:11" x14ac:dyDescent="0.25">
      <c r="C392" s="53"/>
      <c r="D392" s="54"/>
      <c r="E392" s="55"/>
      <c r="F392" s="54"/>
      <c r="G392" s="56"/>
      <c r="H392" s="56"/>
      <c r="I392" s="36" t="str">
        <f t="shared" si="18"/>
        <v/>
      </c>
      <c r="J392" s="36">
        <f t="shared" si="19"/>
        <v>0</v>
      </c>
      <c r="K392" s="36" t="str">
        <f t="shared" ca="1" si="20"/>
        <v/>
      </c>
    </row>
    <row r="393" spans="3:11" x14ac:dyDescent="0.25">
      <c r="C393" s="53"/>
      <c r="D393" s="54"/>
      <c r="E393" s="55"/>
      <c r="F393" s="54"/>
      <c r="G393" s="56"/>
      <c r="H393" s="56"/>
      <c r="I393" s="36" t="str">
        <f t="shared" si="18"/>
        <v/>
      </c>
      <c r="J393" s="36">
        <f t="shared" si="19"/>
        <v>0</v>
      </c>
      <c r="K393" s="36" t="str">
        <f t="shared" ca="1" si="20"/>
        <v/>
      </c>
    </row>
    <row r="394" spans="3:11" x14ac:dyDescent="0.25">
      <c r="C394" s="53"/>
      <c r="D394" s="54"/>
      <c r="E394" s="55"/>
      <c r="F394" s="54"/>
      <c r="G394" s="56"/>
      <c r="H394" s="56"/>
      <c r="I394" s="36" t="str">
        <f t="shared" si="18"/>
        <v/>
      </c>
      <c r="J394" s="36">
        <f t="shared" si="19"/>
        <v>0</v>
      </c>
      <c r="K394" s="36" t="str">
        <f t="shared" ca="1" si="20"/>
        <v/>
      </c>
    </row>
    <row r="395" spans="3:11" x14ac:dyDescent="0.25">
      <c r="C395" s="53"/>
      <c r="D395" s="54"/>
      <c r="E395" s="55"/>
      <c r="F395" s="54"/>
      <c r="G395" s="56"/>
      <c r="H395" s="56"/>
      <c r="I395" s="36" t="str">
        <f t="shared" ref="I395:I458" si="21">IF(C395="","",IF(H395&lt;=0,"Em aberto",IF(H395&gt;=G395,"Pagamento Total",IF(H395&lt;G395,"Pagamento Parcial"))))</f>
        <v/>
      </c>
      <c r="J395" s="36">
        <f t="shared" ref="J395:J458" si="22">IF(C395&gt;0,G395-H395,0)</f>
        <v>0</v>
      </c>
      <c r="K395" s="36" t="str">
        <f t="shared" ref="K395:K458" ca="1" si="23">IF(ISBLANK(C395),"",IF(H395=G395,"Pago",IF(C395=TODAY(),"Vence Hoje",IF(TRIM(UPPER(G394))&lt;&gt;"S",IF(C395-TODAY()&lt;0,"Vencida",IF(C395-TODAY()&lt;8,"Próximos sete dias","Em aberto"))))))</f>
        <v/>
      </c>
    </row>
    <row r="396" spans="3:11" x14ac:dyDescent="0.25">
      <c r="C396" s="53"/>
      <c r="D396" s="54"/>
      <c r="E396" s="55"/>
      <c r="F396" s="54"/>
      <c r="G396" s="56"/>
      <c r="H396" s="56"/>
      <c r="I396" s="36" t="str">
        <f t="shared" si="21"/>
        <v/>
      </c>
      <c r="J396" s="36">
        <f t="shared" si="22"/>
        <v>0</v>
      </c>
      <c r="K396" s="36" t="str">
        <f t="shared" ca="1" si="23"/>
        <v/>
      </c>
    </row>
    <row r="397" spans="3:11" x14ac:dyDescent="0.25">
      <c r="C397" s="53"/>
      <c r="D397" s="54"/>
      <c r="E397" s="55"/>
      <c r="F397" s="54"/>
      <c r="G397" s="56"/>
      <c r="H397" s="56"/>
      <c r="I397" s="36" t="str">
        <f t="shared" si="21"/>
        <v/>
      </c>
      <c r="J397" s="36">
        <f t="shared" si="22"/>
        <v>0</v>
      </c>
      <c r="K397" s="36" t="str">
        <f t="shared" ca="1" si="23"/>
        <v/>
      </c>
    </row>
    <row r="398" spans="3:11" x14ac:dyDescent="0.25">
      <c r="C398" s="53"/>
      <c r="D398" s="54"/>
      <c r="E398" s="55"/>
      <c r="F398" s="54"/>
      <c r="G398" s="56"/>
      <c r="H398" s="56"/>
      <c r="I398" s="36" t="str">
        <f t="shared" si="21"/>
        <v/>
      </c>
      <c r="J398" s="36">
        <f t="shared" si="22"/>
        <v>0</v>
      </c>
      <c r="K398" s="36" t="str">
        <f t="shared" ca="1" si="23"/>
        <v/>
      </c>
    </row>
    <row r="399" spans="3:11" x14ac:dyDescent="0.25">
      <c r="C399" s="53"/>
      <c r="D399" s="54"/>
      <c r="E399" s="55"/>
      <c r="F399" s="54"/>
      <c r="G399" s="56"/>
      <c r="H399" s="56"/>
      <c r="I399" s="36" t="str">
        <f t="shared" si="21"/>
        <v/>
      </c>
      <c r="J399" s="36">
        <f t="shared" si="22"/>
        <v>0</v>
      </c>
      <c r="K399" s="36" t="str">
        <f t="shared" ca="1" si="23"/>
        <v/>
      </c>
    </row>
    <row r="400" spans="3:11" x14ac:dyDescent="0.25">
      <c r="C400" s="53"/>
      <c r="D400" s="54"/>
      <c r="E400" s="55"/>
      <c r="F400" s="54"/>
      <c r="G400" s="56"/>
      <c r="H400" s="56"/>
      <c r="I400" s="36" t="str">
        <f t="shared" si="21"/>
        <v/>
      </c>
      <c r="J400" s="36">
        <f t="shared" si="22"/>
        <v>0</v>
      </c>
      <c r="K400" s="36" t="str">
        <f t="shared" ca="1" si="23"/>
        <v/>
      </c>
    </row>
    <row r="401" spans="3:11" x14ac:dyDescent="0.25">
      <c r="C401" s="53"/>
      <c r="D401" s="54"/>
      <c r="E401" s="55"/>
      <c r="F401" s="54"/>
      <c r="G401" s="56"/>
      <c r="H401" s="56"/>
      <c r="I401" s="36" t="str">
        <f t="shared" si="21"/>
        <v/>
      </c>
      <c r="J401" s="36">
        <f t="shared" si="22"/>
        <v>0</v>
      </c>
      <c r="K401" s="36" t="str">
        <f t="shared" ca="1" si="23"/>
        <v/>
      </c>
    </row>
    <row r="402" spans="3:11" x14ac:dyDescent="0.25">
      <c r="C402" s="53"/>
      <c r="D402" s="54"/>
      <c r="E402" s="55"/>
      <c r="F402" s="54"/>
      <c r="G402" s="56"/>
      <c r="H402" s="56"/>
      <c r="I402" s="36" t="str">
        <f t="shared" si="21"/>
        <v/>
      </c>
      <c r="J402" s="36">
        <f t="shared" si="22"/>
        <v>0</v>
      </c>
      <c r="K402" s="36" t="str">
        <f t="shared" ca="1" si="23"/>
        <v/>
      </c>
    </row>
    <row r="403" spans="3:11" x14ac:dyDescent="0.25">
      <c r="C403" s="53"/>
      <c r="D403" s="54"/>
      <c r="E403" s="55"/>
      <c r="F403" s="54"/>
      <c r="G403" s="56"/>
      <c r="H403" s="56"/>
      <c r="I403" s="36" t="str">
        <f t="shared" si="21"/>
        <v/>
      </c>
      <c r="J403" s="36">
        <f t="shared" si="22"/>
        <v>0</v>
      </c>
      <c r="K403" s="36" t="str">
        <f t="shared" ca="1" si="23"/>
        <v/>
      </c>
    </row>
    <row r="404" spans="3:11" x14ac:dyDescent="0.25">
      <c r="C404" s="53"/>
      <c r="D404" s="54"/>
      <c r="E404" s="55"/>
      <c r="F404" s="54"/>
      <c r="G404" s="56"/>
      <c r="H404" s="56"/>
      <c r="I404" s="36" t="str">
        <f t="shared" si="21"/>
        <v/>
      </c>
      <c r="J404" s="36">
        <f t="shared" si="22"/>
        <v>0</v>
      </c>
      <c r="K404" s="36" t="str">
        <f t="shared" ca="1" si="23"/>
        <v/>
      </c>
    </row>
    <row r="405" spans="3:11" x14ac:dyDescent="0.25">
      <c r="C405" s="53"/>
      <c r="D405" s="54"/>
      <c r="E405" s="55"/>
      <c r="F405" s="54"/>
      <c r="G405" s="56"/>
      <c r="H405" s="56"/>
      <c r="I405" s="36" t="str">
        <f t="shared" si="21"/>
        <v/>
      </c>
      <c r="J405" s="36">
        <f t="shared" si="22"/>
        <v>0</v>
      </c>
      <c r="K405" s="36" t="str">
        <f t="shared" ca="1" si="23"/>
        <v/>
      </c>
    </row>
    <row r="406" spans="3:11" x14ac:dyDescent="0.25">
      <c r="C406" s="53"/>
      <c r="D406" s="54"/>
      <c r="E406" s="55"/>
      <c r="F406" s="54"/>
      <c r="G406" s="56"/>
      <c r="H406" s="56"/>
      <c r="I406" s="36" t="str">
        <f t="shared" si="21"/>
        <v/>
      </c>
      <c r="J406" s="36">
        <f t="shared" si="22"/>
        <v>0</v>
      </c>
      <c r="K406" s="36" t="str">
        <f t="shared" ca="1" si="23"/>
        <v/>
      </c>
    </row>
    <row r="407" spans="3:11" x14ac:dyDescent="0.25">
      <c r="C407" s="53"/>
      <c r="D407" s="54"/>
      <c r="E407" s="55"/>
      <c r="F407" s="54"/>
      <c r="G407" s="56"/>
      <c r="H407" s="56"/>
      <c r="I407" s="36" t="str">
        <f t="shared" si="21"/>
        <v/>
      </c>
      <c r="J407" s="36">
        <f t="shared" si="22"/>
        <v>0</v>
      </c>
      <c r="K407" s="36" t="str">
        <f t="shared" ca="1" si="23"/>
        <v/>
      </c>
    </row>
    <row r="408" spans="3:11" x14ac:dyDescent="0.25">
      <c r="C408" s="53"/>
      <c r="D408" s="54"/>
      <c r="E408" s="55"/>
      <c r="F408" s="54"/>
      <c r="G408" s="56"/>
      <c r="H408" s="56"/>
      <c r="I408" s="36" t="str">
        <f t="shared" si="21"/>
        <v/>
      </c>
      <c r="J408" s="36">
        <f t="shared" si="22"/>
        <v>0</v>
      </c>
      <c r="K408" s="36" t="str">
        <f t="shared" ca="1" si="23"/>
        <v/>
      </c>
    </row>
    <row r="409" spans="3:11" x14ac:dyDescent="0.25">
      <c r="C409" s="53"/>
      <c r="D409" s="54"/>
      <c r="E409" s="55"/>
      <c r="F409" s="54"/>
      <c r="G409" s="56"/>
      <c r="H409" s="56"/>
      <c r="I409" s="36" t="str">
        <f t="shared" si="21"/>
        <v/>
      </c>
      <c r="J409" s="36">
        <f t="shared" si="22"/>
        <v>0</v>
      </c>
      <c r="K409" s="36" t="str">
        <f t="shared" ca="1" si="23"/>
        <v/>
      </c>
    </row>
    <row r="410" spans="3:11" x14ac:dyDescent="0.25">
      <c r="C410" s="53"/>
      <c r="D410" s="54"/>
      <c r="E410" s="55"/>
      <c r="F410" s="54"/>
      <c r="G410" s="56"/>
      <c r="H410" s="56"/>
      <c r="I410" s="36" t="str">
        <f t="shared" si="21"/>
        <v/>
      </c>
      <c r="J410" s="36">
        <f t="shared" si="22"/>
        <v>0</v>
      </c>
      <c r="K410" s="36" t="str">
        <f t="shared" ca="1" si="23"/>
        <v/>
      </c>
    </row>
    <row r="411" spans="3:11" x14ac:dyDescent="0.25">
      <c r="C411" s="53"/>
      <c r="D411" s="54"/>
      <c r="E411" s="55"/>
      <c r="F411" s="54"/>
      <c r="G411" s="56"/>
      <c r="H411" s="56"/>
      <c r="I411" s="36" t="str">
        <f t="shared" si="21"/>
        <v/>
      </c>
      <c r="J411" s="36">
        <f t="shared" si="22"/>
        <v>0</v>
      </c>
      <c r="K411" s="36" t="str">
        <f t="shared" ca="1" si="23"/>
        <v/>
      </c>
    </row>
    <row r="412" spans="3:11" x14ac:dyDescent="0.25">
      <c r="C412" s="53"/>
      <c r="D412" s="54"/>
      <c r="E412" s="55"/>
      <c r="F412" s="54"/>
      <c r="G412" s="56"/>
      <c r="H412" s="56"/>
      <c r="I412" s="36" t="str">
        <f t="shared" si="21"/>
        <v/>
      </c>
      <c r="J412" s="36">
        <f t="shared" si="22"/>
        <v>0</v>
      </c>
      <c r="K412" s="36" t="str">
        <f t="shared" ca="1" si="23"/>
        <v/>
      </c>
    </row>
    <row r="413" spans="3:11" x14ac:dyDescent="0.25">
      <c r="C413" s="53"/>
      <c r="D413" s="54"/>
      <c r="E413" s="55"/>
      <c r="F413" s="54"/>
      <c r="G413" s="56"/>
      <c r="H413" s="56"/>
      <c r="I413" s="36" t="str">
        <f t="shared" si="21"/>
        <v/>
      </c>
      <c r="J413" s="36">
        <f t="shared" si="22"/>
        <v>0</v>
      </c>
      <c r="K413" s="36" t="str">
        <f t="shared" ca="1" si="23"/>
        <v/>
      </c>
    </row>
    <row r="414" spans="3:11" x14ac:dyDescent="0.25">
      <c r="C414" s="53"/>
      <c r="D414" s="54"/>
      <c r="E414" s="55"/>
      <c r="F414" s="54"/>
      <c r="G414" s="56"/>
      <c r="H414" s="56"/>
      <c r="I414" s="36" t="str">
        <f t="shared" si="21"/>
        <v/>
      </c>
      <c r="J414" s="36">
        <f t="shared" si="22"/>
        <v>0</v>
      </c>
      <c r="K414" s="36" t="str">
        <f t="shared" ca="1" si="23"/>
        <v/>
      </c>
    </row>
    <row r="415" spans="3:11" x14ac:dyDescent="0.25">
      <c r="C415" s="53"/>
      <c r="D415" s="54"/>
      <c r="E415" s="55"/>
      <c r="F415" s="54"/>
      <c r="G415" s="56"/>
      <c r="H415" s="56"/>
      <c r="I415" s="36" t="str">
        <f t="shared" si="21"/>
        <v/>
      </c>
      <c r="J415" s="36">
        <f t="shared" si="22"/>
        <v>0</v>
      </c>
      <c r="K415" s="36" t="str">
        <f t="shared" ca="1" si="23"/>
        <v/>
      </c>
    </row>
    <row r="416" spans="3:11" x14ac:dyDescent="0.25">
      <c r="C416" s="53"/>
      <c r="D416" s="54"/>
      <c r="E416" s="55"/>
      <c r="F416" s="54"/>
      <c r="G416" s="56"/>
      <c r="H416" s="56"/>
      <c r="I416" s="36" t="str">
        <f t="shared" si="21"/>
        <v/>
      </c>
      <c r="J416" s="36">
        <f t="shared" si="22"/>
        <v>0</v>
      </c>
      <c r="K416" s="36" t="str">
        <f t="shared" ca="1" si="23"/>
        <v/>
      </c>
    </row>
    <row r="417" spans="3:11" x14ac:dyDescent="0.25">
      <c r="C417" s="53"/>
      <c r="D417" s="54"/>
      <c r="E417" s="55"/>
      <c r="F417" s="54"/>
      <c r="G417" s="56"/>
      <c r="H417" s="56"/>
      <c r="I417" s="36" t="str">
        <f t="shared" si="21"/>
        <v/>
      </c>
      <c r="J417" s="36">
        <f t="shared" si="22"/>
        <v>0</v>
      </c>
      <c r="K417" s="36" t="str">
        <f t="shared" ca="1" si="23"/>
        <v/>
      </c>
    </row>
    <row r="418" spans="3:11" x14ac:dyDescent="0.25">
      <c r="C418" s="53"/>
      <c r="D418" s="54"/>
      <c r="E418" s="55"/>
      <c r="F418" s="54"/>
      <c r="G418" s="56"/>
      <c r="H418" s="56"/>
      <c r="I418" s="36" t="str">
        <f t="shared" si="21"/>
        <v/>
      </c>
      <c r="J418" s="36">
        <f t="shared" si="22"/>
        <v>0</v>
      </c>
      <c r="K418" s="36" t="str">
        <f t="shared" ca="1" si="23"/>
        <v/>
      </c>
    </row>
    <row r="419" spans="3:11" x14ac:dyDescent="0.25">
      <c r="C419" s="53"/>
      <c r="D419" s="54"/>
      <c r="E419" s="55"/>
      <c r="F419" s="54"/>
      <c r="G419" s="56"/>
      <c r="H419" s="56"/>
      <c r="I419" s="36" t="str">
        <f t="shared" si="21"/>
        <v/>
      </c>
      <c r="J419" s="36">
        <f t="shared" si="22"/>
        <v>0</v>
      </c>
      <c r="K419" s="36" t="str">
        <f t="shared" ca="1" si="23"/>
        <v/>
      </c>
    </row>
    <row r="420" spans="3:11" x14ac:dyDescent="0.25">
      <c r="C420" s="53"/>
      <c r="D420" s="54"/>
      <c r="E420" s="55"/>
      <c r="F420" s="54"/>
      <c r="G420" s="56"/>
      <c r="H420" s="56"/>
      <c r="I420" s="36" t="str">
        <f t="shared" si="21"/>
        <v/>
      </c>
      <c r="J420" s="36">
        <f t="shared" si="22"/>
        <v>0</v>
      </c>
      <c r="K420" s="36" t="str">
        <f t="shared" ca="1" si="23"/>
        <v/>
      </c>
    </row>
    <row r="421" spans="3:11" x14ac:dyDescent="0.25">
      <c r="C421" s="53"/>
      <c r="D421" s="54"/>
      <c r="E421" s="55"/>
      <c r="F421" s="54"/>
      <c r="G421" s="56"/>
      <c r="H421" s="56"/>
      <c r="I421" s="36" t="str">
        <f t="shared" si="21"/>
        <v/>
      </c>
      <c r="J421" s="36">
        <f t="shared" si="22"/>
        <v>0</v>
      </c>
      <c r="K421" s="36" t="str">
        <f t="shared" ca="1" si="23"/>
        <v/>
      </c>
    </row>
    <row r="422" spans="3:11" x14ac:dyDescent="0.25">
      <c r="C422" s="53"/>
      <c r="D422" s="54"/>
      <c r="E422" s="55"/>
      <c r="F422" s="54"/>
      <c r="G422" s="56"/>
      <c r="H422" s="56"/>
      <c r="I422" s="36" t="str">
        <f t="shared" si="21"/>
        <v/>
      </c>
      <c r="J422" s="36">
        <f t="shared" si="22"/>
        <v>0</v>
      </c>
      <c r="K422" s="36" t="str">
        <f t="shared" ca="1" si="23"/>
        <v/>
      </c>
    </row>
    <row r="423" spans="3:11" x14ac:dyDescent="0.25">
      <c r="C423" s="53"/>
      <c r="D423" s="54"/>
      <c r="E423" s="55"/>
      <c r="F423" s="54"/>
      <c r="G423" s="56"/>
      <c r="H423" s="56"/>
      <c r="I423" s="36" t="str">
        <f t="shared" si="21"/>
        <v/>
      </c>
      <c r="J423" s="36">
        <f t="shared" si="22"/>
        <v>0</v>
      </c>
      <c r="K423" s="36" t="str">
        <f t="shared" ca="1" si="23"/>
        <v/>
      </c>
    </row>
    <row r="424" spans="3:11" x14ac:dyDescent="0.25">
      <c r="C424" s="53"/>
      <c r="D424" s="54"/>
      <c r="E424" s="55"/>
      <c r="F424" s="54"/>
      <c r="G424" s="56"/>
      <c r="H424" s="56"/>
      <c r="I424" s="36" t="str">
        <f t="shared" si="21"/>
        <v/>
      </c>
      <c r="J424" s="36">
        <f t="shared" si="22"/>
        <v>0</v>
      </c>
      <c r="K424" s="36" t="str">
        <f t="shared" ca="1" si="23"/>
        <v/>
      </c>
    </row>
    <row r="425" spans="3:11" x14ac:dyDescent="0.25">
      <c r="C425" s="53"/>
      <c r="D425" s="54"/>
      <c r="E425" s="55"/>
      <c r="F425" s="54"/>
      <c r="G425" s="56"/>
      <c r="H425" s="56"/>
      <c r="I425" s="36" t="str">
        <f t="shared" si="21"/>
        <v/>
      </c>
      <c r="J425" s="36">
        <f t="shared" si="22"/>
        <v>0</v>
      </c>
      <c r="K425" s="36" t="str">
        <f t="shared" ca="1" si="23"/>
        <v/>
      </c>
    </row>
    <row r="426" spans="3:11" x14ac:dyDescent="0.25">
      <c r="C426" s="53"/>
      <c r="D426" s="54"/>
      <c r="E426" s="55"/>
      <c r="F426" s="54"/>
      <c r="G426" s="56"/>
      <c r="H426" s="56"/>
      <c r="I426" s="36" t="str">
        <f t="shared" si="21"/>
        <v/>
      </c>
      <c r="J426" s="36">
        <f t="shared" si="22"/>
        <v>0</v>
      </c>
      <c r="K426" s="36" t="str">
        <f t="shared" ca="1" si="23"/>
        <v/>
      </c>
    </row>
    <row r="427" spans="3:11" x14ac:dyDescent="0.25">
      <c r="C427" s="53"/>
      <c r="D427" s="54"/>
      <c r="E427" s="55"/>
      <c r="F427" s="54"/>
      <c r="G427" s="56"/>
      <c r="H427" s="56"/>
      <c r="I427" s="36" t="str">
        <f t="shared" si="21"/>
        <v/>
      </c>
      <c r="J427" s="36">
        <f t="shared" si="22"/>
        <v>0</v>
      </c>
      <c r="K427" s="36" t="str">
        <f t="shared" ca="1" si="23"/>
        <v/>
      </c>
    </row>
    <row r="428" spans="3:11" x14ac:dyDescent="0.25">
      <c r="C428" s="53"/>
      <c r="D428" s="54"/>
      <c r="E428" s="55"/>
      <c r="F428" s="54"/>
      <c r="G428" s="56"/>
      <c r="H428" s="56"/>
      <c r="I428" s="36" t="str">
        <f t="shared" si="21"/>
        <v/>
      </c>
      <c r="J428" s="36">
        <f t="shared" si="22"/>
        <v>0</v>
      </c>
      <c r="K428" s="36" t="str">
        <f t="shared" ca="1" si="23"/>
        <v/>
      </c>
    </row>
    <row r="429" spans="3:11" x14ac:dyDescent="0.25">
      <c r="C429" s="53"/>
      <c r="D429" s="54"/>
      <c r="E429" s="55"/>
      <c r="F429" s="54"/>
      <c r="G429" s="56"/>
      <c r="H429" s="56"/>
      <c r="I429" s="36" t="str">
        <f t="shared" si="21"/>
        <v/>
      </c>
      <c r="J429" s="36">
        <f t="shared" si="22"/>
        <v>0</v>
      </c>
      <c r="K429" s="36" t="str">
        <f t="shared" ca="1" si="23"/>
        <v/>
      </c>
    </row>
    <row r="430" spans="3:11" x14ac:dyDescent="0.25">
      <c r="C430" s="53"/>
      <c r="D430" s="54"/>
      <c r="E430" s="55"/>
      <c r="F430" s="54"/>
      <c r="G430" s="56"/>
      <c r="H430" s="56"/>
      <c r="I430" s="36" t="str">
        <f t="shared" si="21"/>
        <v/>
      </c>
      <c r="J430" s="36">
        <f t="shared" si="22"/>
        <v>0</v>
      </c>
      <c r="K430" s="36" t="str">
        <f t="shared" ca="1" si="23"/>
        <v/>
      </c>
    </row>
    <row r="431" spans="3:11" x14ac:dyDescent="0.25">
      <c r="C431" s="53"/>
      <c r="D431" s="54"/>
      <c r="E431" s="55"/>
      <c r="F431" s="54"/>
      <c r="G431" s="56"/>
      <c r="H431" s="56"/>
      <c r="I431" s="36" t="str">
        <f t="shared" si="21"/>
        <v/>
      </c>
      <c r="J431" s="36">
        <f t="shared" si="22"/>
        <v>0</v>
      </c>
      <c r="K431" s="36" t="str">
        <f t="shared" ca="1" si="23"/>
        <v/>
      </c>
    </row>
    <row r="432" spans="3:11" x14ac:dyDescent="0.25">
      <c r="C432" s="53"/>
      <c r="D432" s="54"/>
      <c r="E432" s="55"/>
      <c r="F432" s="54"/>
      <c r="G432" s="56"/>
      <c r="H432" s="56"/>
      <c r="I432" s="36" t="str">
        <f t="shared" si="21"/>
        <v/>
      </c>
      <c r="J432" s="36">
        <f t="shared" si="22"/>
        <v>0</v>
      </c>
      <c r="K432" s="36" t="str">
        <f t="shared" ca="1" si="23"/>
        <v/>
      </c>
    </row>
    <row r="433" spans="3:11" x14ac:dyDescent="0.25">
      <c r="C433" s="53"/>
      <c r="D433" s="54"/>
      <c r="E433" s="55"/>
      <c r="F433" s="54"/>
      <c r="G433" s="56"/>
      <c r="H433" s="56"/>
      <c r="I433" s="36" t="str">
        <f t="shared" si="21"/>
        <v/>
      </c>
      <c r="J433" s="36">
        <f t="shared" si="22"/>
        <v>0</v>
      </c>
      <c r="K433" s="36" t="str">
        <f t="shared" ca="1" si="23"/>
        <v/>
      </c>
    </row>
    <row r="434" spans="3:11" x14ac:dyDescent="0.25">
      <c r="C434" s="53"/>
      <c r="D434" s="54"/>
      <c r="E434" s="55"/>
      <c r="F434" s="54"/>
      <c r="G434" s="56"/>
      <c r="H434" s="56"/>
      <c r="I434" s="36" t="str">
        <f t="shared" si="21"/>
        <v/>
      </c>
      <c r="J434" s="36">
        <f t="shared" si="22"/>
        <v>0</v>
      </c>
      <c r="K434" s="36" t="str">
        <f t="shared" ca="1" si="23"/>
        <v/>
      </c>
    </row>
    <row r="435" spans="3:11" x14ac:dyDescent="0.25">
      <c r="C435" s="53"/>
      <c r="D435" s="54"/>
      <c r="E435" s="55"/>
      <c r="F435" s="54"/>
      <c r="G435" s="56"/>
      <c r="H435" s="56"/>
      <c r="I435" s="36" t="str">
        <f t="shared" si="21"/>
        <v/>
      </c>
      <c r="J435" s="36">
        <f t="shared" si="22"/>
        <v>0</v>
      </c>
      <c r="K435" s="36" t="str">
        <f t="shared" ca="1" si="23"/>
        <v/>
      </c>
    </row>
    <row r="436" spans="3:11" x14ac:dyDescent="0.25">
      <c r="C436" s="53"/>
      <c r="D436" s="54"/>
      <c r="E436" s="55"/>
      <c r="F436" s="54"/>
      <c r="G436" s="56"/>
      <c r="H436" s="56"/>
      <c r="I436" s="36" t="str">
        <f t="shared" si="21"/>
        <v/>
      </c>
      <c r="J436" s="36">
        <f t="shared" si="22"/>
        <v>0</v>
      </c>
      <c r="K436" s="36" t="str">
        <f t="shared" ca="1" si="23"/>
        <v/>
      </c>
    </row>
    <row r="437" spans="3:11" x14ac:dyDescent="0.25">
      <c r="C437" s="53"/>
      <c r="D437" s="54"/>
      <c r="E437" s="55"/>
      <c r="F437" s="54"/>
      <c r="G437" s="56"/>
      <c r="H437" s="56"/>
      <c r="I437" s="36" t="str">
        <f t="shared" si="21"/>
        <v/>
      </c>
      <c r="J437" s="36">
        <f t="shared" si="22"/>
        <v>0</v>
      </c>
      <c r="K437" s="36" t="str">
        <f t="shared" ca="1" si="23"/>
        <v/>
      </c>
    </row>
    <row r="438" spans="3:11" x14ac:dyDescent="0.25">
      <c r="C438" s="53"/>
      <c r="D438" s="54"/>
      <c r="E438" s="55"/>
      <c r="F438" s="54"/>
      <c r="G438" s="56"/>
      <c r="H438" s="56"/>
      <c r="I438" s="36" t="str">
        <f t="shared" si="21"/>
        <v/>
      </c>
      <c r="J438" s="36">
        <f t="shared" si="22"/>
        <v>0</v>
      </c>
      <c r="K438" s="36" t="str">
        <f t="shared" ca="1" si="23"/>
        <v/>
      </c>
    </row>
    <row r="439" spans="3:11" x14ac:dyDescent="0.25">
      <c r="C439" s="53"/>
      <c r="D439" s="54"/>
      <c r="E439" s="55"/>
      <c r="F439" s="54"/>
      <c r="G439" s="56"/>
      <c r="H439" s="56"/>
      <c r="I439" s="36" t="str">
        <f t="shared" si="21"/>
        <v/>
      </c>
      <c r="J439" s="36">
        <f t="shared" si="22"/>
        <v>0</v>
      </c>
      <c r="K439" s="36" t="str">
        <f t="shared" ca="1" si="23"/>
        <v/>
      </c>
    </row>
    <row r="440" spans="3:11" x14ac:dyDescent="0.25">
      <c r="C440" s="53"/>
      <c r="D440" s="54"/>
      <c r="E440" s="55"/>
      <c r="F440" s="54"/>
      <c r="G440" s="56"/>
      <c r="H440" s="56"/>
      <c r="I440" s="36" t="str">
        <f t="shared" si="21"/>
        <v/>
      </c>
      <c r="J440" s="36">
        <f t="shared" si="22"/>
        <v>0</v>
      </c>
      <c r="K440" s="36" t="str">
        <f t="shared" ca="1" si="23"/>
        <v/>
      </c>
    </row>
    <row r="441" spans="3:11" x14ac:dyDescent="0.25">
      <c r="C441" s="53"/>
      <c r="D441" s="54"/>
      <c r="E441" s="55"/>
      <c r="F441" s="54"/>
      <c r="G441" s="56"/>
      <c r="H441" s="56"/>
      <c r="I441" s="36" t="str">
        <f t="shared" si="21"/>
        <v/>
      </c>
      <c r="J441" s="36">
        <f t="shared" si="22"/>
        <v>0</v>
      </c>
      <c r="K441" s="36" t="str">
        <f t="shared" ca="1" si="23"/>
        <v/>
      </c>
    </row>
    <row r="442" spans="3:11" x14ac:dyDescent="0.25">
      <c r="C442" s="53"/>
      <c r="D442" s="54"/>
      <c r="E442" s="55"/>
      <c r="F442" s="54"/>
      <c r="G442" s="56"/>
      <c r="H442" s="56"/>
      <c r="I442" s="36" t="str">
        <f t="shared" si="21"/>
        <v/>
      </c>
      <c r="J442" s="36">
        <f t="shared" si="22"/>
        <v>0</v>
      </c>
      <c r="K442" s="36" t="str">
        <f t="shared" ca="1" si="23"/>
        <v/>
      </c>
    </row>
    <row r="443" spans="3:11" x14ac:dyDescent="0.25">
      <c r="C443" s="53"/>
      <c r="D443" s="54"/>
      <c r="E443" s="55"/>
      <c r="F443" s="54"/>
      <c r="G443" s="56"/>
      <c r="H443" s="56"/>
      <c r="I443" s="36" t="str">
        <f t="shared" si="21"/>
        <v/>
      </c>
      <c r="J443" s="36">
        <f t="shared" si="22"/>
        <v>0</v>
      </c>
      <c r="K443" s="36" t="str">
        <f t="shared" ca="1" si="23"/>
        <v/>
      </c>
    </row>
    <row r="444" spans="3:11" x14ac:dyDescent="0.25">
      <c r="C444" s="53"/>
      <c r="D444" s="54"/>
      <c r="E444" s="55"/>
      <c r="F444" s="54"/>
      <c r="G444" s="56"/>
      <c r="H444" s="56"/>
      <c r="I444" s="36" t="str">
        <f t="shared" si="21"/>
        <v/>
      </c>
      <c r="J444" s="36">
        <f t="shared" si="22"/>
        <v>0</v>
      </c>
      <c r="K444" s="36" t="str">
        <f t="shared" ca="1" si="23"/>
        <v/>
      </c>
    </row>
    <row r="445" spans="3:11" x14ac:dyDescent="0.25">
      <c r="C445" s="53"/>
      <c r="D445" s="54"/>
      <c r="E445" s="55"/>
      <c r="F445" s="54"/>
      <c r="G445" s="56"/>
      <c r="H445" s="56"/>
      <c r="I445" s="36" t="str">
        <f t="shared" si="21"/>
        <v/>
      </c>
      <c r="J445" s="36">
        <f t="shared" si="22"/>
        <v>0</v>
      </c>
      <c r="K445" s="36" t="str">
        <f t="shared" ca="1" si="23"/>
        <v/>
      </c>
    </row>
    <row r="446" spans="3:11" x14ac:dyDescent="0.25">
      <c r="C446" s="53"/>
      <c r="D446" s="54"/>
      <c r="E446" s="55"/>
      <c r="F446" s="54"/>
      <c r="G446" s="56"/>
      <c r="H446" s="56"/>
      <c r="I446" s="36" t="str">
        <f t="shared" si="21"/>
        <v/>
      </c>
      <c r="J446" s="36">
        <f t="shared" si="22"/>
        <v>0</v>
      </c>
      <c r="K446" s="36" t="str">
        <f t="shared" ca="1" si="23"/>
        <v/>
      </c>
    </row>
    <row r="447" spans="3:11" x14ac:dyDescent="0.25">
      <c r="C447" s="53"/>
      <c r="D447" s="54"/>
      <c r="E447" s="55"/>
      <c r="F447" s="54"/>
      <c r="G447" s="56"/>
      <c r="H447" s="56"/>
      <c r="I447" s="36" t="str">
        <f t="shared" si="21"/>
        <v/>
      </c>
      <c r="J447" s="36">
        <f t="shared" si="22"/>
        <v>0</v>
      </c>
      <c r="K447" s="36" t="str">
        <f t="shared" ca="1" si="23"/>
        <v/>
      </c>
    </row>
    <row r="448" spans="3:11" x14ac:dyDescent="0.25">
      <c r="C448" s="53"/>
      <c r="D448" s="54"/>
      <c r="E448" s="55"/>
      <c r="F448" s="54"/>
      <c r="G448" s="56"/>
      <c r="H448" s="56"/>
      <c r="I448" s="36" t="str">
        <f t="shared" si="21"/>
        <v/>
      </c>
      <c r="J448" s="36">
        <f t="shared" si="22"/>
        <v>0</v>
      </c>
      <c r="K448" s="36" t="str">
        <f t="shared" ca="1" si="23"/>
        <v/>
      </c>
    </row>
    <row r="449" spans="3:11" x14ac:dyDescent="0.25">
      <c r="C449" s="53"/>
      <c r="D449" s="54"/>
      <c r="E449" s="55"/>
      <c r="F449" s="54"/>
      <c r="G449" s="56"/>
      <c r="H449" s="56"/>
      <c r="I449" s="36" t="str">
        <f t="shared" si="21"/>
        <v/>
      </c>
      <c r="J449" s="36">
        <f t="shared" si="22"/>
        <v>0</v>
      </c>
      <c r="K449" s="36" t="str">
        <f t="shared" ca="1" si="23"/>
        <v/>
      </c>
    </row>
    <row r="450" spans="3:11" x14ac:dyDescent="0.25">
      <c r="C450" s="53"/>
      <c r="D450" s="54"/>
      <c r="E450" s="55"/>
      <c r="F450" s="54"/>
      <c r="G450" s="56"/>
      <c r="H450" s="56"/>
      <c r="I450" s="36" t="str">
        <f t="shared" si="21"/>
        <v/>
      </c>
      <c r="J450" s="36">
        <f t="shared" si="22"/>
        <v>0</v>
      </c>
      <c r="K450" s="36" t="str">
        <f t="shared" ca="1" si="23"/>
        <v/>
      </c>
    </row>
    <row r="451" spans="3:11" x14ac:dyDescent="0.25">
      <c r="C451" s="53"/>
      <c r="D451" s="54"/>
      <c r="E451" s="55"/>
      <c r="F451" s="54"/>
      <c r="G451" s="56"/>
      <c r="H451" s="56"/>
      <c r="I451" s="36" t="str">
        <f t="shared" si="21"/>
        <v/>
      </c>
      <c r="J451" s="36">
        <f t="shared" si="22"/>
        <v>0</v>
      </c>
      <c r="K451" s="36" t="str">
        <f t="shared" ca="1" si="23"/>
        <v/>
      </c>
    </row>
    <row r="452" spans="3:11" x14ac:dyDescent="0.25">
      <c r="C452" s="53"/>
      <c r="D452" s="54"/>
      <c r="E452" s="55"/>
      <c r="F452" s="54"/>
      <c r="G452" s="56"/>
      <c r="H452" s="56"/>
      <c r="I452" s="36" t="str">
        <f t="shared" si="21"/>
        <v/>
      </c>
      <c r="J452" s="36">
        <f t="shared" si="22"/>
        <v>0</v>
      </c>
      <c r="K452" s="36" t="str">
        <f t="shared" ca="1" si="23"/>
        <v/>
      </c>
    </row>
    <row r="453" spans="3:11" x14ac:dyDescent="0.25">
      <c r="C453" s="53"/>
      <c r="D453" s="54"/>
      <c r="E453" s="55"/>
      <c r="F453" s="54"/>
      <c r="G453" s="56"/>
      <c r="H453" s="56"/>
      <c r="I453" s="36" t="str">
        <f t="shared" si="21"/>
        <v/>
      </c>
      <c r="J453" s="36">
        <f t="shared" si="22"/>
        <v>0</v>
      </c>
      <c r="K453" s="36" t="str">
        <f t="shared" ca="1" si="23"/>
        <v/>
      </c>
    </row>
    <row r="454" spans="3:11" x14ac:dyDescent="0.25">
      <c r="C454" s="53"/>
      <c r="D454" s="54"/>
      <c r="E454" s="55"/>
      <c r="F454" s="54"/>
      <c r="G454" s="56"/>
      <c r="H454" s="56"/>
      <c r="I454" s="36" t="str">
        <f t="shared" si="21"/>
        <v/>
      </c>
      <c r="J454" s="36">
        <f t="shared" si="22"/>
        <v>0</v>
      </c>
      <c r="K454" s="36" t="str">
        <f t="shared" ca="1" si="23"/>
        <v/>
      </c>
    </row>
    <row r="455" spans="3:11" x14ac:dyDescent="0.25">
      <c r="C455" s="53"/>
      <c r="D455" s="54"/>
      <c r="E455" s="55"/>
      <c r="F455" s="54"/>
      <c r="G455" s="56"/>
      <c r="H455" s="56"/>
      <c r="I455" s="36" t="str">
        <f t="shared" si="21"/>
        <v/>
      </c>
      <c r="J455" s="36">
        <f t="shared" si="22"/>
        <v>0</v>
      </c>
      <c r="K455" s="36" t="str">
        <f t="shared" ca="1" si="23"/>
        <v/>
      </c>
    </row>
    <row r="456" spans="3:11" x14ac:dyDescent="0.25">
      <c r="C456" s="53"/>
      <c r="D456" s="54"/>
      <c r="E456" s="55"/>
      <c r="F456" s="54"/>
      <c r="G456" s="56"/>
      <c r="H456" s="56"/>
      <c r="I456" s="36" t="str">
        <f t="shared" si="21"/>
        <v/>
      </c>
      <c r="J456" s="36">
        <f t="shared" si="22"/>
        <v>0</v>
      </c>
      <c r="K456" s="36" t="str">
        <f t="shared" ca="1" si="23"/>
        <v/>
      </c>
    </row>
    <row r="457" spans="3:11" x14ac:dyDescent="0.25">
      <c r="C457" s="53"/>
      <c r="D457" s="54"/>
      <c r="E457" s="55"/>
      <c r="F457" s="54"/>
      <c r="G457" s="56"/>
      <c r="H457" s="56"/>
      <c r="I457" s="36" t="str">
        <f t="shared" si="21"/>
        <v/>
      </c>
      <c r="J457" s="36">
        <f t="shared" si="22"/>
        <v>0</v>
      </c>
      <c r="K457" s="36" t="str">
        <f t="shared" ca="1" si="23"/>
        <v/>
      </c>
    </row>
    <row r="458" spans="3:11" x14ac:dyDescent="0.25">
      <c r="C458" s="53"/>
      <c r="D458" s="54"/>
      <c r="E458" s="55"/>
      <c r="F458" s="54"/>
      <c r="G458" s="56"/>
      <c r="H458" s="56"/>
      <c r="I458" s="36" t="str">
        <f t="shared" si="21"/>
        <v/>
      </c>
      <c r="J458" s="36">
        <f t="shared" si="22"/>
        <v>0</v>
      </c>
      <c r="K458" s="36" t="str">
        <f t="shared" ca="1" si="23"/>
        <v/>
      </c>
    </row>
    <row r="459" spans="3:11" x14ac:dyDescent="0.25">
      <c r="C459" s="53"/>
      <c r="D459" s="54"/>
      <c r="E459" s="55"/>
      <c r="F459" s="54"/>
      <c r="G459" s="56"/>
      <c r="H459" s="56"/>
      <c r="I459" s="36" t="str">
        <f t="shared" ref="I459:I522" si="24">IF(C459="","",IF(H459&lt;=0,"Em aberto",IF(H459&gt;=G459,"Pagamento Total",IF(H459&lt;G459,"Pagamento Parcial"))))</f>
        <v/>
      </c>
      <c r="J459" s="36">
        <f t="shared" ref="J459:J522" si="25">IF(C459&gt;0,G459-H459,0)</f>
        <v>0</v>
      </c>
      <c r="K459" s="36" t="str">
        <f t="shared" ref="K459:K522" ca="1" si="26">IF(ISBLANK(C459),"",IF(H459=G459,"Pago",IF(C459=TODAY(),"Vence Hoje",IF(TRIM(UPPER(G458))&lt;&gt;"S",IF(C459-TODAY()&lt;0,"Vencida",IF(C459-TODAY()&lt;8,"Próximos sete dias","Em aberto"))))))</f>
        <v/>
      </c>
    </row>
    <row r="460" spans="3:11" x14ac:dyDescent="0.25">
      <c r="C460" s="53"/>
      <c r="D460" s="54"/>
      <c r="E460" s="55"/>
      <c r="F460" s="54"/>
      <c r="G460" s="56"/>
      <c r="H460" s="56"/>
      <c r="I460" s="36" t="str">
        <f t="shared" si="24"/>
        <v/>
      </c>
      <c r="J460" s="36">
        <f t="shared" si="25"/>
        <v>0</v>
      </c>
      <c r="K460" s="36" t="str">
        <f t="shared" ca="1" si="26"/>
        <v/>
      </c>
    </row>
    <row r="461" spans="3:11" x14ac:dyDescent="0.25">
      <c r="C461" s="53"/>
      <c r="D461" s="54"/>
      <c r="E461" s="55"/>
      <c r="F461" s="54"/>
      <c r="G461" s="56"/>
      <c r="H461" s="56"/>
      <c r="I461" s="36" t="str">
        <f t="shared" si="24"/>
        <v/>
      </c>
      <c r="J461" s="36">
        <f t="shared" si="25"/>
        <v>0</v>
      </c>
      <c r="K461" s="36" t="str">
        <f t="shared" ca="1" si="26"/>
        <v/>
      </c>
    </row>
    <row r="462" spans="3:11" x14ac:dyDescent="0.25">
      <c r="C462" s="53"/>
      <c r="D462" s="54"/>
      <c r="E462" s="55"/>
      <c r="F462" s="54"/>
      <c r="G462" s="56"/>
      <c r="H462" s="56"/>
      <c r="I462" s="36" t="str">
        <f t="shared" si="24"/>
        <v/>
      </c>
      <c r="J462" s="36">
        <f t="shared" si="25"/>
        <v>0</v>
      </c>
      <c r="K462" s="36" t="str">
        <f t="shared" ca="1" si="26"/>
        <v/>
      </c>
    </row>
    <row r="463" spans="3:11" x14ac:dyDescent="0.25">
      <c r="C463" s="53"/>
      <c r="D463" s="54"/>
      <c r="E463" s="55"/>
      <c r="F463" s="54"/>
      <c r="G463" s="56"/>
      <c r="H463" s="56"/>
      <c r="I463" s="36" t="str">
        <f t="shared" si="24"/>
        <v/>
      </c>
      <c r="J463" s="36">
        <f t="shared" si="25"/>
        <v>0</v>
      </c>
      <c r="K463" s="36" t="str">
        <f t="shared" ca="1" si="26"/>
        <v/>
      </c>
    </row>
    <row r="464" spans="3:11" x14ac:dyDescent="0.25">
      <c r="C464" s="53"/>
      <c r="D464" s="54"/>
      <c r="E464" s="55"/>
      <c r="F464" s="54"/>
      <c r="G464" s="56"/>
      <c r="H464" s="56"/>
      <c r="I464" s="36" t="str">
        <f t="shared" si="24"/>
        <v/>
      </c>
      <c r="J464" s="36">
        <f t="shared" si="25"/>
        <v>0</v>
      </c>
      <c r="K464" s="36" t="str">
        <f t="shared" ca="1" si="26"/>
        <v/>
      </c>
    </row>
    <row r="465" spans="3:11" x14ac:dyDescent="0.25">
      <c r="C465" s="53"/>
      <c r="D465" s="54"/>
      <c r="E465" s="55"/>
      <c r="F465" s="54"/>
      <c r="G465" s="56"/>
      <c r="H465" s="56"/>
      <c r="I465" s="36" t="str">
        <f t="shared" si="24"/>
        <v/>
      </c>
      <c r="J465" s="36">
        <f t="shared" si="25"/>
        <v>0</v>
      </c>
      <c r="K465" s="36" t="str">
        <f t="shared" ca="1" si="26"/>
        <v/>
      </c>
    </row>
    <row r="466" spans="3:11" x14ac:dyDescent="0.25">
      <c r="C466" s="53"/>
      <c r="D466" s="54"/>
      <c r="E466" s="55"/>
      <c r="F466" s="54"/>
      <c r="G466" s="56"/>
      <c r="H466" s="56"/>
      <c r="I466" s="36" t="str">
        <f t="shared" si="24"/>
        <v/>
      </c>
      <c r="J466" s="36">
        <f t="shared" si="25"/>
        <v>0</v>
      </c>
      <c r="K466" s="36" t="str">
        <f t="shared" ca="1" si="26"/>
        <v/>
      </c>
    </row>
    <row r="467" spans="3:11" x14ac:dyDescent="0.25">
      <c r="C467" s="53"/>
      <c r="D467" s="54"/>
      <c r="E467" s="55"/>
      <c r="F467" s="54"/>
      <c r="G467" s="56"/>
      <c r="H467" s="56"/>
      <c r="I467" s="36" t="str">
        <f t="shared" si="24"/>
        <v/>
      </c>
      <c r="J467" s="36">
        <f t="shared" si="25"/>
        <v>0</v>
      </c>
      <c r="K467" s="36" t="str">
        <f t="shared" ca="1" si="26"/>
        <v/>
      </c>
    </row>
    <row r="468" spans="3:11" x14ac:dyDescent="0.25">
      <c r="C468" s="53"/>
      <c r="D468" s="54"/>
      <c r="E468" s="55"/>
      <c r="F468" s="54"/>
      <c r="G468" s="56"/>
      <c r="H468" s="56"/>
      <c r="I468" s="36" t="str">
        <f t="shared" si="24"/>
        <v/>
      </c>
      <c r="J468" s="36">
        <f t="shared" si="25"/>
        <v>0</v>
      </c>
      <c r="K468" s="36" t="str">
        <f t="shared" ca="1" si="26"/>
        <v/>
      </c>
    </row>
    <row r="469" spans="3:11" x14ac:dyDescent="0.25">
      <c r="C469" s="53"/>
      <c r="D469" s="54"/>
      <c r="E469" s="55"/>
      <c r="F469" s="54"/>
      <c r="G469" s="56"/>
      <c r="H469" s="56"/>
      <c r="I469" s="36" t="str">
        <f t="shared" si="24"/>
        <v/>
      </c>
      <c r="J469" s="36">
        <f t="shared" si="25"/>
        <v>0</v>
      </c>
      <c r="K469" s="36" t="str">
        <f t="shared" ca="1" si="26"/>
        <v/>
      </c>
    </row>
    <row r="470" spans="3:11" x14ac:dyDescent="0.25">
      <c r="C470" s="53"/>
      <c r="D470" s="54"/>
      <c r="E470" s="55"/>
      <c r="F470" s="54"/>
      <c r="G470" s="56"/>
      <c r="H470" s="56"/>
      <c r="I470" s="36" t="str">
        <f t="shared" si="24"/>
        <v/>
      </c>
      <c r="J470" s="36">
        <f t="shared" si="25"/>
        <v>0</v>
      </c>
      <c r="K470" s="36" t="str">
        <f t="shared" ca="1" si="26"/>
        <v/>
      </c>
    </row>
    <row r="471" spans="3:11" x14ac:dyDescent="0.25">
      <c r="C471" s="53"/>
      <c r="D471" s="54"/>
      <c r="E471" s="55"/>
      <c r="F471" s="54"/>
      <c r="G471" s="56"/>
      <c r="H471" s="56"/>
      <c r="I471" s="36" t="str">
        <f t="shared" si="24"/>
        <v/>
      </c>
      <c r="J471" s="36">
        <f t="shared" si="25"/>
        <v>0</v>
      </c>
      <c r="K471" s="36" t="str">
        <f t="shared" ca="1" si="26"/>
        <v/>
      </c>
    </row>
    <row r="472" spans="3:11" x14ac:dyDescent="0.25">
      <c r="C472" s="53"/>
      <c r="D472" s="54"/>
      <c r="E472" s="55"/>
      <c r="F472" s="54"/>
      <c r="G472" s="56"/>
      <c r="H472" s="56"/>
      <c r="I472" s="36" t="str">
        <f t="shared" si="24"/>
        <v/>
      </c>
      <c r="J472" s="36">
        <f t="shared" si="25"/>
        <v>0</v>
      </c>
      <c r="K472" s="36" t="str">
        <f t="shared" ca="1" si="26"/>
        <v/>
      </c>
    </row>
    <row r="473" spans="3:11" x14ac:dyDescent="0.25">
      <c r="C473" s="53"/>
      <c r="D473" s="54"/>
      <c r="E473" s="55"/>
      <c r="F473" s="54"/>
      <c r="G473" s="56"/>
      <c r="H473" s="56"/>
      <c r="I473" s="36" t="str">
        <f t="shared" si="24"/>
        <v/>
      </c>
      <c r="J473" s="36">
        <f t="shared" si="25"/>
        <v>0</v>
      </c>
      <c r="K473" s="36" t="str">
        <f t="shared" ca="1" si="26"/>
        <v/>
      </c>
    </row>
    <row r="474" spans="3:11" x14ac:dyDescent="0.25">
      <c r="C474" s="53"/>
      <c r="D474" s="54"/>
      <c r="E474" s="55"/>
      <c r="F474" s="54"/>
      <c r="G474" s="56"/>
      <c r="H474" s="56"/>
      <c r="I474" s="36" t="str">
        <f t="shared" si="24"/>
        <v/>
      </c>
      <c r="J474" s="36">
        <f t="shared" si="25"/>
        <v>0</v>
      </c>
      <c r="K474" s="36" t="str">
        <f t="shared" ca="1" si="26"/>
        <v/>
      </c>
    </row>
    <row r="475" spans="3:11" x14ac:dyDescent="0.25">
      <c r="C475" s="53"/>
      <c r="D475" s="54"/>
      <c r="E475" s="55"/>
      <c r="F475" s="54"/>
      <c r="G475" s="56"/>
      <c r="H475" s="56"/>
      <c r="I475" s="36" t="str">
        <f t="shared" si="24"/>
        <v/>
      </c>
      <c r="J475" s="36">
        <f t="shared" si="25"/>
        <v>0</v>
      </c>
      <c r="K475" s="36" t="str">
        <f t="shared" ca="1" si="26"/>
        <v/>
      </c>
    </row>
    <row r="476" spans="3:11" x14ac:dyDescent="0.25">
      <c r="C476" s="53"/>
      <c r="D476" s="54"/>
      <c r="E476" s="55"/>
      <c r="F476" s="54"/>
      <c r="G476" s="56"/>
      <c r="H476" s="56"/>
      <c r="I476" s="36" t="str">
        <f t="shared" si="24"/>
        <v/>
      </c>
      <c r="J476" s="36">
        <f t="shared" si="25"/>
        <v>0</v>
      </c>
      <c r="K476" s="36" t="str">
        <f t="shared" ca="1" si="26"/>
        <v/>
      </c>
    </row>
    <row r="477" spans="3:11" x14ac:dyDescent="0.25">
      <c r="C477" s="53"/>
      <c r="D477" s="54"/>
      <c r="E477" s="55"/>
      <c r="F477" s="54"/>
      <c r="G477" s="56"/>
      <c r="H477" s="56"/>
      <c r="I477" s="36" t="str">
        <f t="shared" si="24"/>
        <v/>
      </c>
      <c r="J477" s="36">
        <f t="shared" si="25"/>
        <v>0</v>
      </c>
      <c r="K477" s="36" t="str">
        <f t="shared" ca="1" si="26"/>
        <v/>
      </c>
    </row>
    <row r="478" spans="3:11" x14ac:dyDescent="0.25">
      <c r="C478" s="53"/>
      <c r="D478" s="54"/>
      <c r="E478" s="55"/>
      <c r="F478" s="54"/>
      <c r="G478" s="56"/>
      <c r="H478" s="56"/>
      <c r="I478" s="36" t="str">
        <f t="shared" si="24"/>
        <v/>
      </c>
      <c r="J478" s="36">
        <f t="shared" si="25"/>
        <v>0</v>
      </c>
      <c r="K478" s="36" t="str">
        <f t="shared" ca="1" si="26"/>
        <v/>
      </c>
    </row>
    <row r="479" spans="3:11" x14ac:dyDescent="0.25">
      <c r="C479" s="53"/>
      <c r="D479" s="54"/>
      <c r="E479" s="55"/>
      <c r="F479" s="54"/>
      <c r="G479" s="56"/>
      <c r="H479" s="56"/>
      <c r="I479" s="36" t="str">
        <f t="shared" si="24"/>
        <v/>
      </c>
      <c r="J479" s="36">
        <f t="shared" si="25"/>
        <v>0</v>
      </c>
      <c r="K479" s="36" t="str">
        <f t="shared" ca="1" si="26"/>
        <v/>
      </c>
    </row>
    <row r="480" spans="3:11" x14ac:dyDescent="0.25">
      <c r="C480" s="53"/>
      <c r="D480" s="54"/>
      <c r="E480" s="55"/>
      <c r="F480" s="54"/>
      <c r="G480" s="56"/>
      <c r="H480" s="56"/>
      <c r="I480" s="36" t="str">
        <f t="shared" si="24"/>
        <v/>
      </c>
      <c r="J480" s="36">
        <f t="shared" si="25"/>
        <v>0</v>
      </c>
      <c r="K480" s="36" t="str">
        <f t="shared" ca="1" si="26"/>
        <v/>
      </c>
    </row>
    <row r="481" spans="3:11" x14ac:dyDescent="0.25">
      <c r="C481" s="53"/>
      <c r="D481" s="54"/>
      <c r="E481" s="55"/>
      <c r="F481" s="54"/>
      <c r="G481" s="56"/>
      <c r="H481" s="56"/>
      <c r="I481" s="36" t="str">
        <f t="shared" si="24"/>
        <v/>
      </c>
      <c r="J481" s="36">
        <f t="shared" si="25"/>
        <v>0</v>
      </c>
      <c r="K481" s="36" t="str">
        <f t="shared" ca="1" si="26"/>
        <v/>
      </c>
    </row>
    <row r="482" spans="3:11" x14ac:dyDescent="0.25">
      <c r="C482" s="53"/>
      <c r="D482" s="54"/>
      <c r="E482" s="55"/>
      <c r="F482" s="54"/>
      <c r="G482" s="56"/>
      <c r="H482" s="56"/>
      <c r="I482" s="36" t="str">
        <f t="shared" si="24"/>
        <v/>
      </c>
      <c r="J482" s="36">
        <f t="shared" si="25"/>
        <v>0</v>
      </c>
      <c r="K482" s="36" t="str">
        <f t="shared" ca="1" si="26"/>
        <v/>
      </c>
    </row>
    <row r="483" spans="3:11" x14ac:dyDescent="0.25">
      <c r="C483" s="53"/>
      <c r="D483" s="54"/>
      <c r="E483" s="55"/>
      <c r="F483" s="54"/>
      <c r="G483" s="56"/>
      <c r="H483" s="56"/>
      <c r="I483" s="36" t="str">
        <f t="shared" si="24"/>
        <v/>
      </c>
      <c r="J483" s="36">
        <f t="shared" si="25"/>
        <v>0</v>
      </c>
      <c r="K483" s="36" t="str">
        <f t="shared" ca="1" si="26"/>
        <v/>
      </c>
    </row>
    <row r="484" spans="3:11" x14ac:dyDescent="0.25">
      <c r="C484" s="53"/>
      <c r="D484" s="54"/>
      <c r="E484" s="55"/>
      <c r="F484" s="54"/>
      <c r="G484" s="56"/>
      <c r="H484" s="56"/>
      <c r="I484" s="36" t="str">
        <f t="shared" si="24"/>
        <v/>
      </c>
      <c r="J484" s="36">
        <f t="shared" si="25"/>
        <v>0</v>
      </c>
      <c r="K484" s="36" t="str">
        <f t="shared" ca="1" si="26"/>
        <v/>
      </c>
    </row>
    <row r="485" spans="3:11" x14ac:dyDescent="0.25">
      <c r="C485" s="53"/>
      <c r="D485" s="54"/>
      <c r="E485" s="55"/>
      <c r="F485" s="54"/>
      <c r="G485" s="56"/>
      <c r="H485" s="56"/>
      <c r="I485" s="36" t="str">
        <f t="shared" si="24"/>
        <v/>
      </c>
      <c r="J485" s="36">
        <f t="shared" si="25"/>
        <v>0</v>
      </c>
      <c r="K485" s="36" t="str">
        <f t="shared" ca="1" si="26"/>
        <v/>
      </c>
    </row>
    <row r="486" spans="3:11" x14ac:dyDescent="0.25">
      <c r="C486" s="53"/>
      <c r="D486" s="54"/>
      <c r="E486" s="55"/>
      <c r="F486" s="54"/>
      <c r="G486" s="56"/>
      <c r="H486" s="56"/>
      <c r="I486" s="36" t="str">
        <f t="shared" si="24"/>
        <v/>
      </c>
      <c r="J486" s="36">
        <f t="shared" si="25"/>
        <v>0</v>
      </c>
      <c r="K486" s="36" t="str">
        <f t="shared" ca="1" si="26"/>
        <v/>
      </c>
    </row>
    <row r="487" spans="3:11" x14ac:dyDescent="0.25">
      <c r="C487" s="53"/>
      <c r="D487" s="54"/>
      <c r="E487" s="55"/>
      <c r="F487" s="54"/>
      <c r="G487" s="56"/>
      <c r="H487" s="56"/>
      <c r="I487" s="36" t="str">
        <f t="shared" si="24"/>
        <v/>
      </c>
      <c r="J487" s="36">
        <f t="shared" si="25"/>
        <v>0</v>
      </c>
      <c r="K487" s="36" t="str">
        <f t="shared" ca="1" si="26"/>
        <v/>
      </c>
    </row>
    <row r="488" spans="3:11" x14ac:dyDescent="0.25">
      <c r="C488" s="53"/>
      <c r="D488" s="54"/>
      <c r="E488" s="55"/>
      <c r="F488" s="54"/>
      <c r="G488" s="56"/>
      <c r="H488" s="56"/>
      <c r="I488" s="36" t="str">
        <f t="shared" si="24"/>
        <v/>
      </c>
      <c r="J488" s="36">
        <f t="shared" si="25"/>
        <v>0</v>
      </c>
      <c r="K488" s="36" t="str">
        <f t="shared" ca="1" si="26"/>
        <v/>
      </c>
    </row>
    <row r="489" spans="3:11" x14ac:dyDescent="0.25">
      <c r="C489" s="53"/>
      <c r="D489" s="54"/>
      <c r="E489" s="55"/>
      <c r="F489" s="54"/>
      <c r="G489" s="56"/>
      <c r="H489" s="56"/>
      <c r="I489" s="36" t="str">
        <f t="shared" si="24"/>
        <v/>
      </c>
      <c r="J489" s="36">
        <f t="shared" si="25"/>
        <v>0</v>
      </c>
      <c r="K489" s="36" t="str">
        <f t="shared" ca="1" si="26"/>
        <v/>
      </c>
    </row>
    <row r="490" spans="3:11" x14ac:dyDescent="0.25">
      <c r="C490" s="53"/>
      <c r="D490" s="54"/>
      <c r="E490" s="55"/>
      <c r="F490" s="54"/>
      <c r="G490" s="56"/>
      <c r="H490" s="56"/>
      <c r="I490" s="36" t="str">
        <f t="shared" si="24"/>
        <v/>
      </c>
      <c r="J490" s="36">
        <f t="shared" si="25"/>
        <v>0</v>
      </c>
      <c r="K490" s="36" t="str">
        <f t="shared" ca="1" si="26"/>
        <v/>
      </c>
    </row>
    <row r="491" spans="3:11" x14ac:dyDescent="0.25">
      <c r="C491" s="53"/>
      <c r="D491" s="54"/>
      <c r="E491" s="55"/>
      <c r="F491" s="54"/>
      <c r="G491" s="56"/>
      <c r="H491" s="56"/>
      <c r="I491" s="36" t="str">
        <f t="shared" si="24"/>
        <v/>
      </c>
      <c r="J491" s="36">
        <f t="shared" si="25"/>
        <v>0</v>
      </c>
      <c r="K491" s="36" t="str">
        <f t="shared" ca="1" si="26"/>
        <v/>
      </c>
    </row>
    <row r="492" spans="3:11" x14ac:dyDescent="0.25">
      <c r="C492" s="53"/>
      <c r="D492" s="54"/>
      <c r="E492" s="55"/>
      <c r="F492" s="54"/>
      <c r="G492" s="56"/>
      <c r="H492" s="56"/>
      <c r="I492" s="36" t="str">
        <f t="shared" si="24"/>
        <v/>
      </c>
      <c r="J492" s="36">
        <f t="shared" si="25"/>
        <v>0</v>
      </c>
      <c r="K492" s="36" t="str">
        <f t="shared" ca="1" si="26"/>
        <v/>
      </c>
    </row>
    <row r="493" spans="3:11" x14ac:dyDescent="0.25">
      <c r="C493" s="53"/>
      <c r="D493" s="54"/>
      <c r="E493" s="55"/>
      <c r="F493" s="54"/>
      <c r="G493" s="56"/>
      <c r="H493" s="56"/>
      <c r="I493" s="36" t="str">
        <f t="shared" si="24"/>
        <v/>
      </c>
      <c r="J493" s="36">
        <f t="shared" si="25"/>
        <v>0</v>
      </c>
      <c r="K493" s="36" t="str">
        <f t="shared" ca="1" si="26"/>
        <v/>
      </c>
    </row>
    <row r="494" spans="3:11" x14ac:dyDescent="0.25">
      <c r="C494" s="53"/>
      <c r="D494" s="54"/>
      <c r="E494" s="55"/>
      <c r="F494" s="54"/>
      <c r="G494" s="56"/>
      <c r="H494" s="56"/>
      <c r="I494" s="36" t="str">
        <f t="shared" si="24"/>
        <v/>
      </c>
      <c r="J494" s="36">
        <f t="shared" si="25"/>
        <v>0</v>
      </c>
      <c r="K494" s="36" t="str">
        <f t="shared" ca="1" si="26"/>
        <v/>
      </c>
    </row>
    <row r="495" spans="3:11" x14ac:dyDescent="0.25">
      <c r="C495" s="53"/>
      <c r="D495" s="54"/>
      <c r="E495" s="55"/>
      <c r="F495" s="54"/>
      <c r="G495" s="56"/>
      <c r="H495" s="56"/>
      <c r="I495" s="36" t="str">
        <f t="shared" si="24"/>
        <v/>
      </c>
      <c r="J495" s="36">
        <f t="shared" si="25"/>
        <v>0</v>
      </c>
      <c r="K495" s="36" t="str">
        <f t="shared" ca="1" si="26"/>
        <v/>
      </c>
    </row>
    <row r="496" spans="3:11" x14ac:dyDescent="0.25">
      <c r="C496" s="53"/>
      <c r="D496" s="54"/>
      <c r="E496" s="55"/>
      <c r="F496" s="54"/>
      <c r="G496" s="56"/>
      <c r="H496" s="56"/>
      <c r="I496" s="36" t="str">
        <f t="shared" si="24"/>
        <v/>
      </c>
      <c r="J496" s="36">
        <f t="shared" si="25"/>
        <v>0</v>
      </c>
      <c r="K496" s="36" t="str">
        <f t="shared" ca="1" si="26"/>
        <v/>
      </c>
    </row>
    <row r="497" spans="3:11" x14ac:dyDescent="0.25">
      <c r="C497" s="53"/>
      <c r="D497" s="54"/>
      <c r="E497" s="55"/>
      <c r="F497" s="54"/>
      <c r="G497" s="56"/>
      <c r="H497" s="56"/>
      <c r="I497" s="36" t="str">
        <f t="shared" si="24"/>
        <v/>
      </c>
      <c r="J497" s="36">
        <f t="shared" si="25"/>
        <v>0</v>
      </c>
      <c r="K497" s="36" t="str">
        <f t="shared" ca="1" si="26"/>
        <v/>
      </c>
    </row>
    <row r="498" spans="3:11" x14ac:dyDescent="0.25">
      <c r="C498" s="53"/>
      <c r="D498" s="54"/>
      <c r="E498" s="55"/>
      <c r="F498" s="54"/>
      <c r="G498" s="56"/>
      <c r="H498" s="56"/>
      <c r="I498" s="36" t="str">
        <f t="shared" si="24"/>
        <v/>
      </c>
      <c r="J498" s="36">
        <f t="shared" si="25"/>
        <v>0</v>
      </c>
      <c r="K498" s="36" t="str">
        <f t="shared" ca="1" si="26"/>
        <v/>
      </c>
    </row>
    <row r="499" spans="3:11" x14ac:dyDescent="0.25">
      <c r="C499" s="53"/>
      <c r="D499" s="54"/>
      <c r="E499" s="55"/>
      <c r="F499" s="54"/>
      <c r="G499" s="56"/>
      <c r="H499" s="56"/>
      <c r="I499" s="36" t="str">
        <f t="shared" si="24"/>
        <v/>
      </c>
      <c r="J499" s="36">
        <f t="shared" si="25"/>
        <v>0</v>
      </c>
      <c r="K499" s="36" t="str">
        <f t="shared" ca="1" si="26"/>
        <v/>
      </c>
    </row>
    <row r="500" spans="3:11" x14ac:dyDescent="0.25">
      <c r="C500" s="53"/>
      <c r="D500" s="54"/>
      <c r="E500" s="55"/>
      <c r="F500" s="54"/>
      <c r="G500" s="56"/>
      <c r="H500" s="56"/>
      <c r="I500" s="36" t="str">
        <f t="shared" si="24"/>
        <v/>
      </c>
      <c r="J500" s="36">
        <f t="shared" si="25"/>
        <v>0</v>
      </c>
      <c r="K500" s="36" t="str">
        <f t="shared" ca="1" si="26"/>
        <v/>
      </c>
    </row>
    <row r="501" spans="3:11" x14ac:dyDescent="0.25">
      <c r="C501" s="53"/>
      <c r="D501" s="54"/>
      <c r="E501" s="55"/>
      <c r="F501" s="54"/>
      <c r="G501" s="56"/>
      <c r="H501" s="56"/>
      <c r="I501" s="36" t="str">
        <f t="shared" si="24"/>
        <v/>
      </c>
      <c r="J501" s="36">
        <f t="shared" si="25"/>
        <v>0</v>
      </c>
      <c r="K501" s="36" t="str">
        <f t="shared" ca="1" si="26"/>
        <v/>
      </c>
    </row>
    <row r="502" spans="3:11" x14ac:dyDescent="0.25">
      <c r="C502" s="53"/>
      <c r="D502" s="54"/>
      <c r="E502" s="55"/>
      <c r="F502" s="54"/>
      <c r="G502" s="56"/>
      <c r="H502" s="56"/>
      <c r="I502" s="36" t="str">
        <f t="shared" si="24"/>
        <v/>
      </c>
      <c r="J502" s="36">
        <f t="shared" si="25"/>
        <v>0</v>
      </c>
      <c r="K502" s="36" t="str">
        <f t="shared" ca="1" si="26"/>
        <v/>
      </c>
    </row>
    <row r="503" spans="3:11" x14ac:dyDescent="0.25">
      <c r="C503" s="53"/>
      <c r="D503" s="54"/>
      <c r="E503" s="55"/>
      <c r="F503" s="54"/>
      <c r="G503" s="56"/>
      <c r="H503" s="56"/>
      <c r="I503" s="36" t="str">
        <f t="shared" si="24"/>
        <v/>
      </c>
      <c r="J503" s="36">
        <f t="shared" si="25"/>
        <v>0</v>
      </c>
      <c r="K503" s="36" t="str">
        <f t="shared" ca="1" si="26"/>
        <v/>
      </c>
    </row>
    <row r="504" spans="3:11" x14ac:dyDescent="0.25">
      <c r="C504" s="53"/>
      <c r="D504" s="54"/>
      <c r="E504" s="55"/>
      <c r="F504" s="54"/>
      <c r="G504" s="56"/>
      <c r="H504" s="56"/>
      <c r="I504" s="36" t="str">
        <f t="shared" si="24"/>
        <v/>
      </c>
      <c r="J504" s="36">
        <f t="shared" si="25"/>
        <v>0</v>
      </c>
      <c r="K504" s="36" t="str">
        <f t="shared" ca="1" si="26"/>
        <v/>
      </c>
    </row>
    <row r="505" spans="3:11" x14ac:dyDescent="0.25">
      <c r="C505" s="53"/>
      <c r="D505" s="54"/>
      <c r="E505" s="55"/>
      <c r="F505" s="54"/>
      <c r="G505" s="56"/>
      <c r="H505" s="56"/>
      <c r="I505" s="36" t="str">
        <f t="shared" si="24"/>
        <v/>
      </c>
      <c r="J505" s="36">
        <f t="shared" si="25"/>
        <v>0</v>
      </c>
      <c r="K505" s="36" t="str">
        <f t="shared" ca="1" si="26"/>
        <v/>
      </c>
    </row>
    <row r="506" spans="3:11" x14ac:dyDescent="0.25">
      <c r="C506" s="53"/>
      <c r="D506" s="54"/>
      <c r="E506" s="55"/>
      <c r="F506" s="54"/>
      <c r="G506" s="56"/>
      <c r="H506" s="56"/>
      <c r="I506" s="36" t="str">
        <f t="shared" si="24"/>
        <v/>
      </c>
      <c r="J506" s="36">
        <f t="shared" si="25"/>
        <v>0</v>
      </c>
      <c r="K506" s="36" t="str">
        <f t="shared" ca="1" si="26"/>
        <v/>
      </c>
    </row>
    <row r="507" spans="3:11" x14ac:dyDescent="0.25">
      <c r="C507" s="53"/>
      <c r="D507" s="54"/>
      <c r="E507" s="55"/>
      <c r="F507" s="54"/>
      <c r="G507" s="56"/>
      <c r="H507" s="56"/>
      <c r="I507" s="36" t="str">
        <f t="shared" si="24"/>
        <v/>
      </c>
      <c r="J507" s="36">
        <f t="shared" si="25"/>
        <v>0</v>
      </c>
      <c r="K507" s="36" t="str">
        <f t="shared" ca="1" si="26"/>
        <v/>
      </c>
    </row>
    <row r="508" spans="3:11" x14ac:dyDescent="0.25">
      <c r="C508" s="53"/>
      <c r="D508" s="54"/>
      <c r="E508" s="55"/>
      <c r="F508" s="54"/>
      <c r="G508" s="56"/>
      <c r="H508" s="56"/>
      <c r="I508" s="36" t="str">
        <f t="shared" si="24"/>
        <v/>
      </c>
      <c r="J508" s="36">
        <f t="shared" si="25"/>
        <v>0</v>
      </c>
      <c r="K508" s="36" t="str">
        <f t="shared" ca="1" si="26"/>
        <v/>
      </c>
    </row>
    <row r="509" spans="3:11" x14ac:dyDescent="0.25">
      <c r="C509" s="53"/>
      <c r="D509" s="54"/>
      <c r="E509" s="55"/>
      <c r="F509" s="54"/>
      <c r="G509" s="56"/>
      <c r="H509" s="56"/>
      <c r="I509" s="36" t="str">
        <f t="shared" si="24"/>
        <v/>
      </c>
      <c r="J509" s="36">
        <f t="shared" si="25"/>
        <v>0</v>
      </c>
      <c r="K509" s="36" t="str">
        <f t="shared" ca="1" si="26"/>
        <v/>
      </c>
    </row>
    <row r="510" spans="3:11" x14ac:dyDescent="0.25">
      <c r="C510" s="53"/>
      <c r="D510" s="54"/>
      <c r="E510" s="55"/>
      <c r="F510" s="54"/>
      <c r="G510" s="56"/>
      <c r="H510" s="56"/>
      <c r="I510" s="36" t="str">
        <f t="shared" si="24"/>
        <v/>
      </c>
      <c r="J510" s="36">
        <f t="shared" si="25"/>
        <v>0</v>
      </c>
      <c r="K510" s="36" t="str">
        <f t="shared" ca="1" si="26"/>
        <v/>
      </c>
    </row>
    <row r="511" spans="3:11" x14ac:dyDescent="0.25">
      <c r="C511" s="53"/>
      <c r="D511" s="54"/>
      <c r="E511" s="55"/>
      <c r="F511" s="54"/>
      <c r="G511" s="56"/>
      <c r="H511" s="56"/>
      <c r="I511" s="36" t="str">
        <f t="shared" si="24"/>
        <v/>
      </c>
      <c r="J511" s="36">
        <f t="shared" si="25"/>
        <v>0</v>
      </c>
      <c r="K511" s="36" t="str">
        <f t="shared" ca="1" si="26"/>
        <v/>
      </c>
    </row>
    <row r="512" spans="3:11" x14ac:dyDescent="0.25">
      <c r="C512" s="53"/>
      <c r="D512" s="54"/>
      <c r="E512" s="55"/>
      <c r="F512" s="54"/>
      <c r="G512" s="56"/>
      <c r="H512" s="56"/>
      <c r="I512" s="36" t="str">
        <f t="shared" si="24"/>
        <v/>
      </c>
      <c r="J512" s="36">
        <f t="shared" si="25"/>
        <v>0</v>
      </c>
      <c r="K512" s="36" t="str">
        <f t="shared" ca="1" si="26"/>
        <v/>
      </c>
    </row>
    <row r="513" spans="3:11" x14ac:dyDescent="0.25">
      <c r="C513" s="53"/>
      <c r="D513" s="54"/>
      <c r="E513" s="55"/>
      <c r="F513" s="54"/>
      <c r="G513" s="56"/>
      <c r="H513" s="56"/>
      <c r="I513" s="36" t="str">
        <f t="shared" si="24"/>
        <v/>
      </c>
      <c r="J513" s="36">
        <f t="shared" si="25"/>
        <v>0</v>
      </c>
      <c r="K513" s="36" t="str">
        <f t="shared" ca="1" si="26"/>
        <v/>
      </c>
    </row>
    <row r="514" spans="3:11" x14ac:dyDescent="0.25">
      <c r="C514" s="53"/>
      <c r="D514" s="54"/>
      <c r="E514" s="55"/>
      <c r="F514" s="54"/>
      <c r="G514" s="56"/>
      <c r="H514" s="56"/>
      <c r="I514" s="36" t="str">
        <f t="shared" si="24"/>
        <v/>
      </c>
      <c r="J514" s="36">
        <f t="shared" si="25"/>
        <v>0</v>
      </c>
      <c r="K514" s="36" t="str">
        <f t="shared" ca="1" si="26"/>
        <v/>
      </c>
    </row>
    <row r="515" spans="3:11" x14ac:dyDescent="0.25">
      <c r="C515" s="53"/>
      <c r="D515" s="54"/>
      <c r="E515" s="55"/>
      <c r="F515" s="54"/>
      <c r="G515" s="56"/>
      <c r="H515" s="56"/>
      <c r="I515" s="36" t="str">
        <f t="shared" si="24"/>
        <v/>
      </c>
      <c r="J515" s="36">
        <f t="shared" si="25"/>
        <v>0</v>
      </c>
      <c r="K515" s="36" t="str">
        <f t="shared" ca="1" si="26"/>
        <v/>
      </c>
    </row>
    <row r="516" spans="3:11" x14ac:dyDescent="0.25">
      <c r="C516" s="53"/>
      <c r="D516" s="54"/>
      <c r="E516" s="55"/>
      <c r="F516" s="54"/>
      <c r="G516" s="56"/>
      <c r="H516" s="56"/>
      <c r="I516" s="36" t="str">
        <f t="shared" si="24"/>
        <v/>
      </c>
      <c r="J516" s="36">
        <f t="shared" si="25"/>
        <v>0</v>
      </c>
      <c r="K516" s="36" t="str">
        <f t="shared" ca="1" si="26"/>
        <v/>
      </c>
    </row>
    <row r="517" spans="3:11" x14ac:dyDescent="0.25">
      <c r="C517" s="53"/>
      <c r="D517" s="54"/>
      <c r="E517" s="55"/>
      <c r="F517" s="54"/>
      <c r="G517" s="56"/>
      <c r="H517" s="56"/>
      <c r="I517" s="36" t="str">
        <f t="shared" si="24"/>
        <v/>
      </c>
      <c r="J517" s="36">
        <f t="shared" si="25"/>
        <v>0</v>
      </c>
      <c r="K517" s="36" t="str">
        <f t="shared" ca="1" si="26"/>
        <v/>
      </c>
    </row>
    <row r="518" spans="3:11" x14ac:dyDescent="0.25">
      <c r="C518" s="53"/>
      <c r="D518" s="54"/>
      <c r="E518" s="55"/>
      <c r="F518" s="54"/>
      <c r="G518" s="56"/>
      <c r="H518" s="56"/>
      <c r="I518" s="36" t="str">
        <f t="shared" si="24"/>
        <v/>
      </c>
      <c r="J518" s="36">
        <f t="shared" si="25"/>
        <v>0</v>
      </c>
      <c r="K518" s="36" t="str">
        <f t="shared" ca="1" si="26"/>
        <v/>
      </c>
    </row>
    <row r="519" spans="3:11" x14ac:dyDescent="0.25">
      <c r="C519" s="53"/>
      <c r="D519" s="54"/>
      <c r="E519" s="55"/>
      <c r="F519" s="54"/>
      <c r="G519" s="56"/>
      <c r="H519" s="56"/>
      <c r="I519" s="36" t="str">
        <f t="shared" si="24"/>
        <v/>
      </c>
      <c r="J519" s="36">
        <f t="shared" si="25"/>
        <v>0</v>
      </c>
      <c r="K519" s="36" t="str">
        <f t="shared" ca="1" si="26"/>
        <v/>
      </c>
    </row>
    <row r="520" spans="3:11" x14ac:dyDescent="0.25">
      <c r="C520" s="53"/>
      <c r="D520" s="54"/>
      <c r="E520" s="55"/>
      <c r="F520" s="54"/>
      <c r="G520" s="56"/>
      <c r="H520" s="56"/>
      <c r="I520" s="36" t="str">
        <f t="shared" si="24"/>
        <v/>
      </c>
      <c r="J520" s="36">
        <f t="shared" si="25"/>
        <v>0</v>
      </c>
      <c r="K520" s="36" t="str">
        <f t="shared" ca="1" si="26"/>
        <v/>
      </c>
    </row>
    <row r="521" spans="3:11" x14ac:dyDescent="0.25">
      <c r="C521" s="53"/>
      <c r="D521" s="54"/>
      <c r="E521" s="55"/>
      <c r="F521" s="54"/>
      <c r="G521" s="56"/>
      <c r="H521" s="56"/>
      <c r="I521" s="36" t="str">
        <f t="shared" si="24"/>
        <v/>
      </c>
      <c r="J521" s="36">
        <f t="shared" si="25"/>
        <v>0</v>
      </c>
      <c r="K521" s="36" t="str">
        <f t="shared" ca="1" si="26"/>
        <v/>
      </c>
    </row>
    <row r="522" spans="3:11" x14ac:dyDescent="0.25">
      <c r="C522" s="53"/>
      <c r="D522" s="54"/>
      <c r="E522" s="55"/>
      <c r="F522" s="54"/>
      <c r="G522" s="56"/>
      <c r="H522" s="56"/>
      <c r="I522" s="36" t="str">
        <f t="shared" si="24"/>
        <v/>
      </c>
      <c r="J522" s="36">
        <f t="shared" si="25"/>
        <v>0</v>
      </c>
      <c r="K522" s="36" t="str">
        <f t="shared" ca="1" si="26"/>
        <v/>
      </c>
    </row>
    <row r="523" spans="3:11" x14ac:dyDescent="0.25">
      <c r="C523" s="53"/>
      <c r="D523" s="54"/>
      <c r="E523" s="55"/>
      <c r="F523" s="54"/>
      <c r="G523" s="56"/>
      <c r="H523" s="56"/>
      <c r="I523" s="36" t="str">
        <f t="shared" ref="I523:I586" si="27">IF(C523="","",IF(H523&lt;=0,"Em aberto",IF(H523&gt;=G523,"Pagamento Total",IF(H523&lt;G523,"Pagamento Parcial"))))</f>
        <v/>
      </c>
      <c r="J523" s="36">
        <f t="shared" ref="J523:J586" si="28">IF(C523&gt;0,G523-H523,0)</f>
        <v>0</v>
      </c>
      <c r="K523" s="36" t="str">
        <f t="shared" ref="K523:K586" ca="1" si="29">IF(ISBLANK(C523),"",IF(H523=G523,"Pago",IF(C523=TODAY(),"Vence Hoje",IF(TRIM(UPPER(G522))&lt;&gt;"S",IF(C523-TODAY()&lt;0,"Vencida",IF(C523-TODAY()&lt;8,"Próximos sete dias","Em aberto"))))))</f>
        <v/>
      </c>
    </row>
    <row r="524" spans="3:11" x14ac:dyDescent="0.25">
      <c r="C524" s="53"/>
      <c r="D524" s="54"/>
      <c r="E524" s="55"/>
      <c r="F524" s="54"/>
      <c r="G524" s="56"/>
      <c r="H524" s="56"/>
      <c r="I524" s="36" t="str">
        <f t="shared" si="27"/>
        <v/>
      </c>
      <c r="J524" s="36">
        <f t="shared" si="28"/>
        <v>0</v>
      </c>
      <c r="K524" s="36" t="str">
        <f t="shared" ca="1" si="29"/>
        <v/>
      </c>
    </row>
    <row r="525" spans="3:11" x14ac:dyDescent="0.25">
      <c r="C525" s="53"/>
      <c r="D525" s="54"/>
      <c r="E525" s="55"/>
      <c r="F525" s="54"/>
      <c r="G525" s="56"/>
      <c r="H525" s="56"/>
      <c r="I525" s="36" t="str">
        <f t="shared" si="27"/>
        <v/>
      </c>
      <c r="J525" s="36">
        <f t="shared" si="28"/>
        <v>0</v>
      </c>
      <c r="K525" s="36" t="str">
        <f t="shared" ca="1" si="29"/>
        <v/>
      </c>
    </row>
    <row r="526" spans="3:11" x14ac:dyDescent="0.25">
      <c r="C526" s="53"/>
      <c r="D526" s="54"/>
      <c r="E526" s="55"/>
      <c r="F526" s="54"/>
      <c r="G526" s="56"/>
      <c r="H526" s="56"/>
      <c r="I526" s="36" t="str">
        <f t="shared" si="27"/>
        <v/>
      </c>
      <c r="J526" s="36">
        <f t="shared" si="28"/>
        <v>0</v>
      </c>
      <c r="K526" s="36" t="str">
        <f t="shared" ca="1" si="29"/>
        <v/>
      </c>
    </row>
    <row r="527" spans="3:11" x14ac:dyDescent="0.25">
      <c r="C527" s="53"/>
      <c r="D527" s="54"/>
      <c r="E527" s="55"/>
      <c r="F527" s="54"/>
      <c r="G527" s="56"/>
      <c r="H527" s="56"/>
      <c r="I527" s="36" t="str">
        <f t="shared" si="27"/>
        <v/>
      </c>
      <c r="J527" s="36">
        <f t="shared" si="28"/>
        <v>0</v>
      </c>
      <c r="K527" s="36" t="str">
        <f t="shared" ca="1" si="29"/>
        <v/>
      </c>
    </row>
    <row r="528" spans="3:11" x14ac:dyDescent="0.25">
      <c r="C528" s="53"/>
      <c r="D528" s="54"/>
      <c r="E528" s="55"/>
      <c r="F528" s="54"/>
      <c r="G528" s="56"/>
      <c r="H528" s="56"/>
      <c r="I528" s="36" t="str">
        <f t="shared" si="27"/>
        <v/>
      </c>
      <c r="J528" s="36">
        <f t="shared" si="28"/>
        <v>0</v>
      </c>
      <c r="K528" s="36" t="str">
        <f t="shared" ca="1" si="29"/>
        <v/>
      </c>
    </row>
    <row r="529" spans="3:11" x14ac:dyDescent="0.25">
      <c r="C529" s="53"/>
      <c r="D529" s="54"/>
      <c r="E529" s="55"/>
      <c r="F529" s="54"/>
      <c r="G529" s="56"/>
      <c r="H529" s="56"/>
      <c r="I529" s="36" t="str">
        <f t="shared" si="27"/>
        <v/>
      </c>
      <c r="J529" s="36">
        <f t="shared" si="28"/>
        <v>0</v>
      </c>
      <c r="K529" s="36" t="str">
        <f t="shared" ca="1" si="29"/>
        <v/>
      </c>
    </row>
    <row r="530" spans="3:11" x14ac:dyDescent="0.25">
      <c r="C530" s="53"/>
      <c r="D530" s="54"/>
      <c r="E530" s="55"/>
      <c r="F530" s="54"/>
      <c r="G530" s="56"/>
      <c r="H530" s="56"/>
      <c r="I530" s="36" t="str">
        <f t="shared" si="27"/>
        <v/>
      </c>
      <c r="J530" s="36">
        <f t="shared" si="28"/>
        <v>0</v>
      </c>
      <c r="K530" s="36" t="str">
        <f t="shared" ca="1" si="29"/>
        <v/>
      </c>
    </row>
    <row r="531" spans="3:11" x14ac:dyDescent="0.25">
      <c r="C531" s="53"/>
      <c r="D531" s="54"/>
      <c r="E531" s="55"/>
      <c r="F531" s="54"/>
      <c r="G531" s="56"/>
      <c r="H531" s="56"/>
      <c r="I531" s="36" t="str">
        <f t="shared" si="27"/>
        <v/>
      </c>
      <c r="J531" s="36">
        <f t="shared" si="28"/>
        <v>0</v>
      </c>
      <c r="K531" s="36" t="str">
        <f t="shared" ca="1" si="29"/>
        <v/>
      </c>
    </row>
    <row r="532" spans="3:11" x14ac:dyDescent="0.25">
      <c r="C532" s="53"/>
      <c r="D532" s="54"/>
      <c r="E532" s="55"/>
      <c r="F532" s="54"/>
      <c r="G532" s="56"/>
      <c r="H532" s="56"/>
      <c r="I532" s="36" t="str">
        <f t="shared" si="27"/>
        <v/>
      </c>
      <c r="J532" s="36">
        <f t="shared" si="28"/>
        <v>0</v>
      </c>
      <c r="K532" s="36" t="str">
        <f t="shared" ca="1" si="29"/>
        <v/>
      </c>
    </row>
    <row r="533" spans="3:11" x14ac:dyDescent="0.25">
      <c r="C533" s="53"/>
      <c r="D533" s="54"/>
      <c r="E533" s="55"/>
      <c r="F533" s="54"/>
      <c r="G533" s="56"/>
      <c r="H533" s="56"/>
      <c r="I533" s="36" t="str">
        <f t="shared" si="27"/>
        <v/>
      </c>
      <c r="J533" s="36">
        <f t="shared" si="28"/>
        <v>0</v>
      </c>
      <c r="K533" s="36" t="str">
        <f t="shared" ca="1" si="29"/>
        <v/>
      </c>
    </row>
    <row r="534" spans="3:11" x14ac:dyDescent="0.25">
      <c r="C534" s="53"/>
      <c r="D534" s="54"/>
      <c r="E534" s="55"/>
      <c r="F534" s="54"/>
      <c r="G534" s="56"/>
      <c r="H534" s="56"/>
      <c r="I534" s="36" t="str">
        <f t="shared" si="27"/>
        <v/>
      </c>
      <c r="J534" s="36">
        <f t="shared" si="28"/>
        <v>0</v>
      </c>
      <c r="K534" s="36" t="str">
        <f t="shared" ca="1" si="29"/>
        <v/>
      </c>
    </row>
    <row r="535" spans="3:11" x14ac:dyDescent="0.25">
      <c r="C535" s="53"/>
      <c r="D535" s="54"/>
      <c r="E535" s="55"/>
      <c r="F535" s="54"/>
      <c r="G535" s="56"/>
      <c r="H535" s="56"/>
      <c r="I535" s="36" t="str">
        <f t="shared" si="27"/>
        <v/>
      </c>
      <c r="J535" s="36">
        <f t="shared" si="28"/>
        <v>0</v>
      </c>
      <c r="K535" s="36" t="str">
        <f t="shared" ca="1" si="29"/>
        <v/>
      </c>
    </row>
    <row r="536" spans="3:11" x14ac:dyDescent="0.25">
      <c r="C536" s="53"/>
      <c r="D536" s="54"/>
      <c r="E536" s="55"/>
      <c r="F536" s="54"/>
      <c r="G536" s="56"/>
      <c r="H536" s="56"/>
      <c r="I536" s="36" t="str">
        <f t="shared" si="27"/>
        <v/>
      </c>
      <c r="J536" s="36">
        <f t="shared" si="28"/>
        <v>0</v>
      </c>
      <c r="K536" s="36" t="str">
        <f t="shared" ca="1" si="29"/>
        <v/>
      </c>
    </row>
    <row r="537" spans="3:11" x14ac:dyDescent="0.25">
      <c r="C537" s="53"/>
      <c r="D537" s="54"/>
      <c r="E537" s="55"/>
      <c r="F537" s="54"/>
      <c r="G537" s="56"/>
      <c r="H537" s="56"/>
      <c r="I537" s="36" t="str">
        <f t="shared" si="27"/>
        <v/>
      </c>
      <c r="J537" s="36">
        <f t="shared" si="28"/>
        <v>0</v>
      </c>
      <c r="K537" s="36" t="str">
        <f t="shared" ca="1" si="29"/>
        <v/>
      </c>
    </row>
    <row r="538" spans="3:11" x14ac:dyDescent="0.25">
      <c r="C538" s="53"/>
      <c r="D538" s="54"/>
      <c r="E538" s="55"/>
      <c r="F538" s="54"/>
      <c r="G538" s="56"/>
      <c r="H538" s="56"/>
      <c r="I538" s="36" t="str">
        <f t="shared" si="27"/>
        <v/>
      </c>
      <c r="J538" s="36">
        <f t="shared" si="28"/>
        <v>0</v>
      </c>
      <c r="K538" s="36" t="str">
        <f t="shared" ca="1" si="29"/>
        <v/>
      </c>
    </row>
    <row r="539" spans="3:11" x14ac:dyDescent="0.25">
      <c r="C539" s="53"/>
      <c r="D539" s="54"/>
      <c r="E539" s="55"/>
      <c r="F539" s="54"/>
      <c r="G539" s="56"/>
      <c r="H539" s="56"/>
      <c r="I539" s="36" t="str">
        <f t="shared" si="27"/>
        <v/>
      </c>
      <c r="J539" s="36">
        <f t="shared" si="28"/>
        <v>0</v>
      </c>
      <c r="K539" s="36" t="str">
        <f t="shared" ca="1" si="29"/>
        <v/>
      </c>
    </row>
    <row r="540" spans="3:11" x14ac:dyDescent="0.25">
      <c r="C540" s="53"/>
      <c r="D540" s="54"/>
      <c r="E540" s="55"/>
      <c r="F540" s="54"/>
      <c r="G540" s="56"/>
      <c r="H540" s="56"/>
      <c r="I540" s="36" t="str">
        <f t="shared" si="27"/>
        <v/>
      </c>
      <c r="J540" s="36">
        <f t="shared" si="28"/>
        <v>0</v>
      </c>
      <c r="K540" s="36" t="str">
        <f t="shared" ca="1" si="29"/>
        <v/>
      </c>
    </row>
    <row r="541" spans="3:11" x14ac:dyDescent="0.25">
      <c r="C541" s="53"/>
      <c r="D541" s="54"/>
      <c r="E541" s="55"/>
      <c r="F541" s="54"/>
      <c r="G541" s="56"/>
      <c r="H541" s="56"/>
      <c r="I541" s="36" t="str">
        <f t="shared" si="27"/>
        <v/>
      </c>
      <c r="J541" s="36">
        <f t="shared" si="28"/>
        <v>0</v>
      </c>
      <c r="K541" s="36" t="str">
        <f t="shared" ca="1" si="29"/>
        <v/>
      </c>
    </row>
    <row r="542" spans="3:11" x14ac:dyDescent="0.25">
      <c r="C542" s="53"/>
      <c r="D542" s="54"/>
      <c r="E542" s="55"/>
      <c r="F542" s="54"/>
      <c r="G542" s="56"/>
      <c r="H542" s="56"/>
      <c r="I542" s="36" t="str">
        <f t="shared" si="27"/>
        <v/>
      </c>
      <c r="J542" s="36">
        <f t="shared" si="28"/>
        <v>0</v>
      </c>
      <c r="K542" s="36" t="str">
        <f t="shared" ca="1" si="29"/>
        <v/>
      </c>
    </row>
    <row r="543" spans="3:11" x14ac:dyDescent="0.25">
      <c r="C543" s="53"/>
      <c r="D543" s="54"/>
      <c r="E543" s="55"/>
      <c r="F543" s="54"/>
      <c r="G543" s="56"/>
      <c r="H543" s="56"/>
      <c r="I543" s="36" t="str">
        <f t="shared" si="27"/>
        <v/>
      </c>
      <c r="J543" s="36">
        <f t="shared" si="28"/>
        <v>0</v>
      </c>
      <c r="K543" s="36" t="str">
        <f t="shared" ca="1" si="29"/>
        <v/>
      </c>
    </row>
    <row r="544" spans="3:11" x14ac:dyDescent="0.25">
      <c r="C544" s="53"/>
      <c r="D544" s="54"/>
      <c r="E544" s="55"/>
      <c r="F544" s="54"/>
      <c r="G544" s="56"/>
      <c r="H544" s="56"/>
      <c r="I544" s="36" t="str">
        <f t="shared" si="27"/>
        <v/>
      </c>
      <c r="J544" s="36">
        <f t="shared" si="28"/>
        <v>0</v>
      </c>
      <c r="K544" s="36" t="str">
        <f t="shared" ca="1" si="29"/>
        <v/>
      </c>
    </row>
    <row r="545" spans="3:11" x14ac:dyDescent="0.25">
      <c r="C545" s="53"/>
      <c r="D545" s="54"/>
      <c r="E545" s="55"/>
      <c r="F545" s="54"/>
      <c r="G545" s="56"/>
      <c r="H545" s="56"/>
      <c r="I545" s="36" t="str">
        <f t="shared" si="27"/>
        <v/>
      </c>
      <c r="J545" s="36">
        <f t="shared" si="28"/>
        <v>0</v>
      </c>
      <c r="K545" s="36" t="str">
        <f t="shared" ca="1" si="29"/>
        <v/>
      </c>
    </row>
    <row r="546" spans="3:11" x14ac:dyDescent="0.25">
      <c r="C546" s="53"/>
      <c r="D546" s="54"/>
      <c r="E546" s="55"/>
      <c r="F546" s="54"/>
      <c r="G546" s="56"/>
      <c r="H546" s="56"/>
      <c r="I546" s="36" t="str">
        <f t="shared" si="27"/>
        <v/>
      </c>
      <c r="J546" s="36">
        <f t="shared" si="28"/>
        <v>0</v>
      </c>
      <c r="K546" s="36" t="str">
        <f t="shared" ca="1" si="29"/>
        <v/>
      </c>
    </row>
    <row r="547" spans="3:11" x14ac:dyDescent="0.25">
      <c r="C547" s="53"/>
      <c r="D547" s="54"/>
      <c r="E547" s="55"/>
      <c r="F547" s="54"/>
      <c r="G547" s="56"/>
      <c r="H547" s="56"/>
      <c r="I547" s="36" t="str">
        <f t="shared" si="27"/>
        <v/>
      </c>
      <c r="J547" s="36">
        <f t="shared" si="28"/>
        <v>0</v>
      </c>
      <c r="K547" s="36" t="str">
        <f t="shared" ca="1" si="29"/>
        <v/>
      </c>
    </row>
    <row r="548" spans="3:11" x14ac:dyDescent="0.25">
      <c r="C548" s="53"/>
      <c r="D548" s="54"/>
      <c r="E548" s="55"/>
      <c r="F548" s="54"/>
      <c r="G548" s="56"/>
      <c r="H548" s="56"/>
      <c r="I548" s="36" t="str">
        <f t="shared" si="27"/>
        <v/>
      </c>
      <c r="J548" s="36">
        <f t="shared" si="28"/>
        <v>0</v>
      </c>
      <c r="K548" s="36" t="str">
        <f t="shared" ca="1" si="29"/>
        <v/>
      </c>
    </row>
    <row r="549" spans="3:11" x14ac:dyDescent="0.25">
      <c r="C549" s="53"/>
      <c r="D549" s="54"/>
      <c r="E549" s="55"/>
      <c r="F549" s="54"/>
      <c r="G549" s="56"/>
      <c r="H549" s="56"/>
      <c r="I549" s="36" t="str">
        <f t="shared" si="27"/>
        <v/>
      </c>
      <c r="J549" s="36">
        <f t="shared" si="28"/>
        <v>0</v>
      </c>
      <c r="K549" s="36" t="str">
        <f t="shared" ca="1" si="29"/>
        <v/>
      </c>
    </row>
    <row r="550" spans="3:11" x14ac:dyDescent="0.25">
      <c r="C550" s="53"/>
      <c r="D550" s="54"/>
      <c r="E550" s="55"/>
      <c r="F550" s="54"/>
      <c r="G550" s="56"/>
      <c r="H550" s="56"/>
      <c r="I550" s="36" t="str">
        <f t="shared" si="27"/>
        <v/>
      </c>
      <c r="J550" s="36">
        <f t="shared" si="28"/>
        <v>0</v>
      </c>
      <c r="K550" s="36" t="str">
        <f t="shared" ca="1" si="29"/>
        <v/>
      </c>
    </row>
    <row r="551" spans="3:11" x14ac:dyDescent="0.25">
      <c r="C551" s="53"/>
      <c r="D551" s="54"/>
      <c r="E551" s="55"/>
      <c r="F551" s="54"/>
      <c r="G551" s="56"/>
      <c r="H551" s="56"/>
      <c r="I551" s="36" t="str">
        <f t="shared" si="27"/>
        <v/>
      </c>
      <c r="J551" s="36">
        <f t="shared" si="28"/>
        <v>0</v>
      </c>
      <c r="K551" s="36" t="str">
        <f t="shared" ca="1" si="29"/>
        <v/>
      </c>
    </row>
    <row r="552" spans="3:11" x14ac:dyDescent="0.25">
      <c r="C552" s="53"/>
      <c r="D552" s="54"/>
      <c r="E552" s="55"/>
      <c r="F552" s="54"/>
      <c r="G552" s="56"/>
      <c r="H552" s="56"/>
      <c r="I552" s="36" t="str">
        <f t="shared" si="27"/>
        <v/>
      </c>
      <c r="J552" s="36">
        <f t="shared" si="28"/>
        <v>0</v>
      </c>
      <c r="K552" s="36" t="str">
        <f t="shared" ca="1" si="29"/>
        <v/>
      </c>
    </row>
    <row r="553" spans="3:11" x14ac:dyDescent="0.25">
      <c r="C553" s="53"/>
      <c r="D553" s="54"/>
      <c r="E553" s="55"/>
      <c r="F553" s="54"/>
      <c r="G553" s="56"/>
      <c r="H553" s="56"/>
      <c r="I553" s="36" t="str">
        <f t="shared" si="27"/>
        <v/>
      </c>
      <c r="J553" s="36">
        <f t="shared" si="28"/>
        <v>0</v>
      </c>
      <c r="K553" s="36" t="str">
        <f t="shared" ca="1" si="29"/>
        <v/>
      </c>
    </row>
    <row r="554" spans="3:11" x14ac:dyDescent="0.25">
      <c r="C554" s="53"/>
      <c r="D554" s="54"/>
      <c r="E554" s="55"/>
      <c r="F554" s="54"/>
      <c r="G554" s="56"/>
      <c r="H554" s="56"/>
      <c r="I554" s="36" t="str">
        <f t="shared" si="27"/>
        <v/>
      </c>
      <c r="J554" s="36">
        <f t="shared" si="28"/>
        <v>0</v>
      </c>
      <c r="K554" s="36" t="str">
        <f t="shared" ca="1" si="29"/>
        <v/>
      </c>
    </row>
    <row r="555" spans="3:11" x14ac:dyDescent="0.25">
      <c r="C555" s="53"/>
      <c r="D555" s="54"/>
      <c r="E555" s="55"/>
      <c r="F555" s="54"/>
      <c r="G555" s="56"/>
      <c r="H555" s="56"/>
      <c r="I555" s="36" t="str">
        <f t="shared" si="27"/>
        <v/>
      </c>
      <c r="J555" s="36">
        <f t="shared" si="28"/>
        <v>0</v>
      </c>
      <c r="K555" s="36" t="str">
        <f t="shared" ca="1" si="29"/>
        <v/>
      </c>
    </row>
    <row r="556" spans="3:11" x14ac:dyDescent="0.25">
      <c r="C556" s="53"/>
      <c r="D556" s="54"/>
      <c r="E556" s="55"/>
      <c r="F556" s="54"/>
      <c r="G556" s="56"/>
      <c r="H556" s="56"/>
      <c r="I556" s="36" t="str">
        <f t="shared" si="27"/>
        <v/>
      </c>
      <c r="J556" s="36">
        <f t="shared" si="28"/>
        <v>0</v>
      </c>
      <c r="K556" s="36" t="str">
        <f t="shared" ca="1" si="29"/>
        <v/>
      </c>
    </row>
    <row r="557" spans="3:11" x14ac:dyDescent="0.25">
      <c r="C557" s="53"/>
      <c r="D557" s="54"/>
      <c r="E557" s="55"/>
      <c r="F557" s="54"/>
      <c r="G557" s="56"/>
      <c r="H557" s="56"/>
      <c r="I557" s="36" t="str">
        <f t="shared" si="27"/>
        <v/>
      </c>
      <c r="J557" s="36">
        <f t="shared" si="28"/>
        <v>0</v>
      </c>
      <c r="K557" s="36" t="str">
        <f t="shared" ca="1" si="29"/>
        <v/>
      </c>
    </row>
    <row r="558" spans="3:11" x14ac:dyDescent="0.25">
      <c r="C558" s="53"/>
      <c r="D558" s="54"/>
      <c r="E558" s="55"/>
      <c r="F558" s="54"/>
      <c r="G558" s="56"/>
      <c r="H558" s="56"/>
      <c r="I558" s="36" t="str">
        <f t="shared" si="27"/>
        <v/>
      </c>
      <c r="J558" s="36">
        <f t="shared" si="28"/>
        <v>0</v>
      </c>
      <c r="K558" s="36" t="str">
        <f t="shared" ca="1" si="29"/>
        <v/>
      </c>
    </row>
    <row r="559" spans="3:11" x14ac:dyDescent="0.25">
      <c r="C559" s="53"/>
      <c r="D559" s="54"/>
      <c r="E559" s="55"/>
      <c r="F559" s="54"/>
      <c r="G559" s="56"/>
      <c r="H559" s="56"/>
      <c r="I559" s="36" t="str">
        <f t="shared" si="27"/>
        <v/>
      </c>
      <c r="J559" s="36">
        <f t="shared" si="28"/>
        <v>0</v>
      </c>
      <c r="K559" s="36" t="str">
        <f t="shared" ca="1" si="29"/>
        <v/>
      </c>
    </row>
    <row r="560" spans="3:11" x14ac:dyDescent="0.25">
      <c r="C560" s="53"/>
      <c r="D560" s="54"/>
      <c r="E560" s="55"/>
      <c r="F560" s="54"/>
      <c r="G560" s="56"/>
      <c r="H560" s="56"/>
      <c r="I560" s="36" t="str">
        <f t="shared" si="27"/>
        <v/>
      </c>
      <c r="J560" s="36">
        <f t="shared" si="28"/>
        <v>0</v>
      </c>
      <c r="K560" s="36" t="str">
        <f t="shared" ca="1" si="29"/>
        <v/>
      </c>
    </row>
    <row r="561" spans="3:11" x14ac:dyDescent="0.25">
      <c r="C561" s="53"/>
      <c r="D561" s="54"/>
      <c r="E561" s="55"/>
      <c r="F561" s="54"/>
      <c r="G561" s="56"/>
      <c r="H561" s="56"/>
      <c r="I561" s="36" t="str">
        <f t="shared" si="27"/>
        <v/>
      </c>
      <c r="J561" s="36">
        <f t="shared" si="28"/>
        <v>0</v>
      </c>
      <c r="K561" s="36" t="str">
        <f t="shared" ca="1" si="29"/>
        <v/>
      </c>
    </row>
    <row r="562" spans="3:11" x14ac:dyDescent="0.25">
      <c r="C562" s="53"/>
      <c r="D562" s="54"/>
      <c r="E562" s="55"/>
      <c r="F562" s="54"/>
      <c r="G562" s="56"/>
      <c r="H562" s="56"/>
      <c r="I562" s="36" t="str">
        <f t="shared" si="27"/>
        <v/>
      </c>
      <c r="J562" s="36">
        <f t="shared" si="28"/>
        <v>0</v>
      </c>
      <c r="K562" s="36" t="str">
        <f t="shared" ca="1" si="29"/>
        <v/>
      </c>
    </row>
    <row r="563" spans="3:11" x14ac:dyDescent="0.25">
      <c r="C563" s="53"/>
      <c r="D563" s="54"/>
      <c r="E563" s="55"/>
      <c r="F563" s="54"/>
      <c r="G563" s="56"/>
      <c r="H563" s="56"/>
      <c r="I563" s="36" t="str">
        <f t="shared" si="27"/>
        <v/>
      </c>
      <c r="J563" s="36">
        <f t="shared" si="28"/>
        <v>0</v>
      </c>
      <c r="K563" s="36" t="str">
        <f t="shared" ca="1" si="29"/>
        <v/>
      </c>
    </row>
    <row r="564" spans="3:11" x14ac:dyDescent="0.25">
      <c r="C564" s="53"/>
      <c r="D564" s="54"/>
      <c r="E564" s="55"/>
      <c r="F564" s="54"/>
      <c r="G564" s="56"/>
      <c r="H564" s="56"/>
      <c r="I564" s="36" t="str">
        <f t="shared" si="27"/>
        <v/>
      </c>
      <c r="J564" s="36">
        <f t="shared" si="28"/>
        <v>0</v>
      </c>
      <c r="K564" s="36" t="str">
        <f t="shared" ca="1" si="29"/>
        <v/>
      </c>
    </row>
    <row r="565" spans="3:11" x14ac:dyDescent="0.25">
      <c r="C565" s="53"/>
      <c r="D565" s="54"/>
      <c r="E565" s="55"/>
      <c r="F565" s="54"/>
      <c r="G565" s="56"/>
      <c r="H565" s="56"/>
      <c r="I565" s="36" t="str">
        <f t="shared" si="27"/>
        <v/>
      </c>
      <c r="J565" s="36">
        <f t="shared" si="28"/>
        <v>0</v>
      </c>
      <c r="K565" s="36" t="str">
        <f t="shared" ca="1" si="29"/>
        <v/>
      </c>
    </row>
    <row r="566" spans="3:11" x14ac:dyDescent="0.25">
      <c r="C566" s="53"/>
      <c r="D566" s="54"/>
      <c r="E566" s="55"/>
      <c r="F566" s="54"/>
      <c r="G566" s="56"/>
      <c r="H566" s="56"/>
      <c r="I566" s="36" t="str">
        <f t="shared" si="27"/>
        <v/>
      </c>
      <c r="J566" s="36">
        <f t="shared" si="28"/>
        <v>0</v>
      </c>
      <c r="K566" s="36" t="str">
        <f t="shared" ca="1" si="29"/>
        <v/>
      </c>
    </row>
    <row r="567" spans="3:11" x14ac:dyDescent="0.25">
      <c r="C567" s="53"/>
      <c r="D567" s="54"/>
      <c r="E567" s="55"/>
      <c r="F567" s="54"/>
      <c r="G567" s="56"/>
      <c r="H567" s="56"/>
      <c r="I567" s="36" t="str">
        <f t="shared" si="27"/>
        <v/>
      </c>
      <c r="J567" s="36">
        <f t="shared" si="28"/>
        <v>0</v>
      </c>
      <c r="K567" s="36" t="str">
        <f t="shared" ca="1" si="29"/>
        <v/>
      </c>
    </row>
    <row r="568" spans="3:11" x14ac:dyDescent="0.25">
      <c r="C568" s="53"/>
      <c r="D568" s="54"/>
      <c r="E568" s="55"/>
      <c r="F568" s="54"/>
      <c r="G568" s="56"/>
      <c r="H568" s="56"/>
      <c r="I568" s="36" t="str">
        <f t="shared" si="27"/>
        <v/>
      </c>
      <c r="J568" s="36">
        <f t="shared" si="28"/>
        <v>0</v>
      </c>
      <c r="K568" s="36" t="str">
        <f t="shared" ca="1" si="29"/>
        <v/>
      </c>
    </row>
    <row r="569" spans="3:11" x14ac:dyDescent="0.25">
      <c r="C569" s="53"/>
      <c r="D569" s="54"/>
      <c r="E569" s="55"/>
      <c r="F569" s="54"/>
      <c r="G569" s="56"/>
      <c r="H569" s="56"/>
      <c r="I569" s="36" t="str">
        <f t="shared" si="27"/>
        <v/>
      </c>
      <c r="J569" s="36">
        <f t="shared" si="28"/>
        <v>0</v>
      </c>
      <c r="K569" s="36" t="str">
        <f t="shared" ca="1" si="29"/>
        <v/>
      </c>
    </row>
    <row r="570" spans="3:11" x14ac:dyDescent="0.25">
      <c r="C570" s="53"/>
      <c r="D570" s="54"/>
      <c r="E570" s="55"/>
      <c r="F570" s="54"/>
      <c r="G570" s="56"/>
      <c r="H570" s="56"/>
      <c r="I570" s="36" t="str">
        <f t="shared" si="27"/>
        <v/>
      </c>
      <c r="J570" s="36">
        <f t="shared" si="28"/>
        <v>0</v>
      </c>
      <c r="K570" s="36" t="str">
        <f t="shared" ca="1" si="29"/>
        <v/>
      </c>
    </row>
    <row r="571" spans="3:11" x14ac:dyDescent="0.25">
      <c r="C571" s="53"/>
      <c r="D571" s="54"/>
      <c r="E571" s="55"/>
      <c r="F571" s="54"/>
      <c r="G571" s="56"/>
      <c r="H571" s="56"/>
      <c r="I571" s="36" t="str">
        <f t="shared" si="27"/>
        <v/>
      </c>
      <c r="J571" s="36">
        <f t="shared" si="28"/>
        <v>0</v>
      </c>
      <c r="K571" s="36" t="str">
        <f t="shared" ca="1" si="29"/>
        <v/>
      </c>
    </row>
    <row r="572" spans="3:11" x14ac:dyDescent="0.25">
      <c r="C572" s="53"/>
      <c r="D572" s="54"/>
      <c r="E572" s="55"/>
      <c r="F572" s="54"/>
      <c r="G572" s="56"/>
      <c r="H572" s="56"/>
      <c r="I572" s="36" t="str">
        <f t="shared" si="27"/>
        <v/>
      </c>
      <c r="J572" s="36">
        <f t="shared" si="28"/>
        <v>0</v>
      </c>
      <c r="K572" s="36" t="str">
        <f t="shared" ca="1" si="29"/>
        <v/>
      </c>
    </row>
    <row r="573" spans="3:11" x14ac:dyDescent="0.25">
      <c r="C573" s="53"/>
      <c r="D573" s="54"/>
      <c r="E573" s="55"/>
      <c r="F573" s="54"/>
      <c r="G573" s="56"/>
      <c r="H573" s="56"/>
      <c r="I573" s="36" t="str">
        <f t="shared" si="27"/>
        <v/>
      </c>
      <c r="J573" s="36">
        <f t="shared" si="28"/>
        <v>0</v>
      </c>
      <c r="K573" s="36" t="str">
        <f t="shared" ca="1" si="29"/>
        <v/>
      </c>
    </row>
    <row r="574" spans="3:11" x14ac:dyDescent="0.25">
      <c r="C574" s="53"/>
      <c r="D574" s="54"/>
      <c r="E574" s="55"/>
      <c r="F574" s="54"/>
      <c r="G574" s="56"/>
      <c r="H574" s="56"/>
      <c r="I574" s="36" t="str">
        <f t="shared" si="27"/>
        <v/>
      </c>
      <c r="J574" s="36">
        <f t="shared" si="28"/>
        <v>0</v>
      </c>
      <c r="K574" s="36" t="str">
        <f t="shared" ca="1" si="29"/>
        <v/>
      </c>
    </row>
    <row r="575" spans="3:11" x14ac:dyDescent="0.25">
      <c r="C575" s="53"/>
      <c r="D575" s="54"/>
      <c r="E575" s="55"/>
      <c r="F575" s="54"/>
      <c r="G575" s="56"/>
      <c r="H575" s="56"/>
      <c r="I575" s="36" t="str">
        <f t="shared" si="27"/>
        <v/>
      </c>
      <c r="J575" s="36">
        <f t="shared" si="28"/>
        <v>0</v>
      </c>
      <c r="K575" s="36" t="str">
        <f t="shared" ca="1" si="29"/>
        <v/>
      </c>
    </row>
    <row r="576" spans="3:11" x14ac:dyDescent="0.25">
      <c r="C576" s="53"/>
      <c r="D576" s="54"/>
      <c r="E576" s="55"/>
      <c r="F576" s="54"/>
      <c r="G576" s="56"/>
      <c r="H576" s="56"/>
      <c r="I576" s="36" t="str">
        <f t="shared" si="27"/>
        <v/>
      </c>
      <c r="J576" s="36">
        <f t="shared" si="28"/>
        <v>0</v>
      </c>
      <c r="K576" s="36" t="str">
        <f t="shared" ca="1" si="29"/>
        <v/>
      </c>
    </row>
    <row r="577" spans="3:11" x14ac:dyDescent="0.25">
      <c r="C577" s="53"/>
      <c r="D577" s="54"/>
      <c r="E577" s="55"/>
      <c r="F577" s="54"/>
      <c r="G577" s="56"/>
      <c r="H577" s="56"/>
      <c r="I577" s="36" t="str">
        <f t="shared" si="27"/>
        <v/>
      </c>
      <c r="J577" s="36">
        <f t="shared" si="28"/>
        <v>0</v>
      </c>
      <c r="K577" s="36" t="str">
        <f t="shared" ca="1" si="29"/>
        <v/>
      </c>
    </row>
    <row r="578" spans="3:11" x14ac:dyDescent="0.25">
      <c r="C578" s="53"/>
      <c r="D578" s="54"/>
      <c r="E578" s="55"/>
      <c r="F578" s="54"/>
      <c r="G578" s="56"/>
      <c r="H578" s="56"/>
      <c r="I578" s="36" t="str">
        <f t="shared" si="27"/>
        <v/>
      </c>
      <c r="J578" s="36">
        <f t="shared" si="28"/>
        <v>0</v>
      </c>
      <c r="K578" s="36" t="str">
        <f t="shared" ca="1" si="29"/>
        <v/>
      </c>
    </row>
    <row r="579" spans="3:11" x14ac:dyDescent="0.25">
      <c r="C579" s="53"/>
      <c r="D579" s="54"/>
      <c r="E579" s="55"/>
      <c r="F579" s="54"/>
      <c r="G579" s="56"/>
      <c r="H579" s="56"/>
      <c r="I579" s="36" t="str">
        <f t="shared" si="27"/>
        <v/>
      </c>
      <c r="J579" s="36">
        <f t="shared" si="28"/>
        <v>0</v>
      </c>
      <c r="K579" s="36" t="str">
        <f t="shared" ca="1" si="29"/>
        <v/>
      </c>
    </row>
    <row r="580" spans="3:11" x14ac:dyDescent="0.25">
      <c r="C580" s="53"/>
      <c r="D580" s="54"/>
      <c r="E580" s="55"/>
      <c r="F580" s="54"/>
      <c r="G580" s="56"/>
      <c r="H580" s="56"/>
      <c r="I580" s="36" t="str">
        <f t="shared" si="27"/>
        <v/>
      </c>
      <c r="J580" s="36">
        <f t="shared" si="28"/>
        <v>0</v>
      </c>
      <c r="K580" s="36" t="str">
        <f t="shared" ca="1" si="29"/>
        <v/>
      </c>
    </row>
    <row r="581" spans="3:11" x14ac:dyDescent="0.25">
      <c r="C581" s="53"/>
      <c r="D581" s="54"/>
      <c r="E581" s="55"/>
      <c r="F581" s="54"/>
      <c r="G581" s="56"/>
      <c r="H581" s="56"/>
      <c r="I581" s="36" t="str">
        <f t="shared" si="27"/>
        <v/>
      </c>
      <c r="J581" s="36">
        <f t="shared" si="28"/>
        <v>0</v>
      </c>
      <c r="K581" s="36" t="str">
        <f t="shared" ca="1" si="29"/>
        <v/>
      </c>
    </row>
    <row r="582" spans="3:11" x14ac:dyDescent="0.25">
      <c r="C582" s="53"/>
      <c r="D582" s="54"/>
      <c r="E582" s="55"/>
      <c r="F582" s="54"/>
      <c r="G582" s="56"/>
      <c r="H582" s="56"/>
      <c r="I582" s="36" t="str">
        <f t="shared" si="27"/>
        <v/>
      </c>
      <c r="J582" s="36">
        <f t="shared" si="28"/>
        <v>0</v>
      </c>
      <c r="K582" s="36" t="str">
        <f t="shared" ca="1" si="29"/>
        <v/>
      </c>
    </row>
    <row r="583" spans="3:11" x14ac:dyDescent="0.25">
      <c r="C583" s="53"/>
      <c r="D583" s="54"/>
      <c r="E583" s="55"/>
      <c r="F583" s="54"/>
      <c r="G583" s="56"/>
      <c r="H583" s="56"/>
      <c r="I583" s="36" t="str">
        <f t="shared" si="27"/>
        <v/>
      </c>
      <c r="J583" s="36">
        <f t="shared" si="28"/>
        <v>0</v>
      </c>
      <c r="K583" s="36" t="str">
        <f t="shared" ca="1" si="29"/>
        <v/>
      </c>
    </row>
    <row r="584" spans="3:11" x14ac:dyDescent="0.25">
      <c r="C584" s="53"/>
      <c r="D584" s="54"/>
      <c r="E584" s="55"/>
      <c r="F584" s="54"/>
      <c r="G584" s="56"/>
      <c r="H584" s="56"/>
      <c r="I584" s="36" t="str">
        <f t="shared" si="27"/>
        <v/>
      </c>
      <c r="J584" s="36">
        <f t="shared" si="28"/>
        <v>0</v>
      </c>
      <c r="K584" s="36" t="str">
        <f t="shared" ca="1" si="29"/>
        <v/>
      </c>
    </row>
    <row r="585" spans="3:11" x14ac:dyDescent="0.25">
      <c r="C585" s="53"/>
      <c r="D585" s="54"/>
      <c r="E585" s="55"/>
      <c r="F585" s="54"/>
      <c r="G585" s="56"/>
      <c r="H585" s="56"/>
      <c r="I585" s="36" t="str">
        <f t="shared" si="27"/>
        <v/>
      </c>
      <c r="J585" s="36">
        <f t="shared" si="28"/>
        <v>0</v>
      </c>
      <c r="K585" s="36" t="str">
        <f t="shared" ca="1" si="29"/>
        <v/>
      </c>
    </row>
    <row r="586" spans="3:11" x14ac:dyDescent="0.25">
      <c r="C586" s="53"/>
      <c r="D586" s="54"/>
      <c r="E586" s="55"/>
      <c r="F586" s="54"/>
      <c r="G586" s="56"/>
      <c r="H586" s="56"/>
      <c r="I586" s="36" t="str">
        <f t="shared" si="27"/>
        <v/>
      </c>
      <c r="J586" s="36">
        <f t="shared" si="28"/>
        <v>0</v>
      </c>
      <c r="K586" s="36" t="str">
        <f t="shared" ca="1" si="29"/>
        <v/>
      </c>
    </row>
    <row r="587" spans="3:11" x14ac:dyDescent="0.25">
      <c r="C587" s="53"/>
      <c r="D587" s="54"/>
      <c r="E587" s="55"/>
      <c r="F587" s="54"/>
      <c r="G587" s="56"/>
      <c r="H587" s="56"/>
      <c r="I587" s="36" t="str">
        <f t="shared" ref="I587:I650" si="30">IF(C587="","",IF(H587&lt;=0,"Em aberto",IF(H587&gt;=G587,"Pagamento Total",IF(H587&lt;G587,"Pagamento Parcial"))))</f>
        <v/>
      </c>
      <c r="J587" s="36">
        <f t="shared" ref="J587:J650" si="31">IF(C587&gt;0,G587-H587,0)</f>
        <v>0</v>
      </c>
      <c r="K587" s="36" t="str">
        <f t="shared" ref="K587:K650" ca="1" si="32">IF(ISBLANK(C587),"",IF(H587=G587,"Pago",IF(C587=TODAY(),"Vence Hoje",IF(TRIM(UPPER(G586))&lt;&gt;"S",IF(C587-TODAY()&lt;0,"Vencida",IF(C587-TODAY()&lt;8,"Próximos sete dias","Em aberto"))))))</f>
        <v/>
      </c>
    </row>
    <row r="588" spans="3:11" x14ac:dyDescent="0.25">
      <c r="C588" s="53"/>
      <c r="D588" s="54"/>
      <c r="E588" s="55"/>
      <c r="F588" s="54"/>
      <c r="G588" s="56"/>
      <c r="H588" s="56"/>
      <c r="I588" s="36" t="str">
        <f t="shared" si="30"/>
        <v/>
      </c>
      <c r="J588" s="36">
        <f t="shared" si="31"/>
        <v>0</v>
      </c>
      <c r="K588" s="36" t="str">
        <f t="shared" ca="1" si="32"/>
        <v/>
      </c>
    </row>
    <row r="589" spans="3:11" x14ac:dyDescent="0.25">
      <c r="C589" s="53"/>
      <c r="D589" s="54"/>
      <c r="E589" s="55"/>
      <c r="F589" s="54"/>
      <c r="G589" s="56"/>
      <c r="H589" s="56"/>
      <c r="I589" s="36" t="str">
        <f t="shared" si="30"/>
        <v/>
      </c>
      <c r="J589" s="36">
        <f t="shared" si="31"/>
        <v>0</v>
      </c>
      <c r="K589" s="36" t="str">
        <f t="shared" ca="1" si="32"/>
        <v/>
      </c>
    </row>
    <row r="590" spans="3:11" x14ac:dyDescent="0.25">
      <c r="C590" s="53"/>
      <c r="D590" s="54"/>
      <c r="E590" s="55"/>
      <c r="F590" s="54"/>
      <c r="G590" s="56"/>
      <c r="H590" s="56"/>
      <c r="I590" s="36" t="str">
        <f t="shared" si="30"/>
        <v/>
      </c>
      <c r="J590" s="36">
        <f t="shared" si="31"/>
        <v>0</v>
      </c>
      <c r="K590" s="36" t="str">
        <f t="shared" ca="1" si="32"/>
        <v/>
      </c>
    </row>
    <row r="591" spans="3:11" x14ac:dyDescent="0.25">
      <c r="C591" s="53"/>
      <c r="D591" s="54"/>
      <c r="E591" s="55"/>
      <c r="F591" s="54"/>
      <c r="G591" s="56"/>
      <c r="H591" s="56"/>
      <c r="I591" s="36" t="str">
        <f t="shared" si="30"/>
        <v/>
      </c>
      <c r="J591" s="36">
        <f t="shared" si="31"/>
        <v>0</v>
      </c>
      <c r="K591" s="36" t="str">
        <f t="shared" ca="1" si="32"/>
        <v/>
      </c>
    </row>
    <row r="592" spans="3:11" x14ac:dyDescent="0.25">
      <c r="C592" s="53"/>
      <c r="D592" s="54"/>
      <c r="E592" s="55"/>
      <c r="F592" s="54"/>
      <c r="G592" s="56"/>
      <c r="H592" s="56"/>
      <c r="I592" s="36" t="str">
        <f t="shared" si="30"/>
        <v/>
      </c>
      <c r="J592" s="36">
        <f t="shared" si="31"/>
        <v>0</v>
      </c>
      <c r="K592" s="36" t="str">
        <f t="shared" ca="1" si="32"/>
        <v/>
      </c>
    </row>
    <row r="593" spans="3:11" x14ac:dyDescent="0.25">
      <c r="C593" s="53"/>
      <c r="D593" s="54"/>
      <c r="E593" s="55"/>
      <c r="F593" s="54"/>
      <c r="G593" s="56"/>
      <c r="H593" s="56"/>
      <c r="I593" s="36" t="str">
        <f t="shared" si="30"/>
        <v/>
      </c>
      <c r="J593" s="36">
        <f t="shared" si="31"/>
        <v>0</v>
      </c>
      <c r="K593" s="36" t="str">
        <f t="shared" ca="1" si="32"/>
        <v/>
      </c>
    </row>
    <row r="594" spans="3:11" x14ac:dyDescent="0.25">
      <c r="C594" s="53"/>
      <c r="D594" s="54"/>
      <c r="E594" s="55"/>
      <c r="F594" s="54"/>
      <c r="G594" s="56"/>
      <c r="H594" s="56"/>
      <c r="I594" s="36" t="str">
        <f t="shared" si="30"/>
        <v/>
      </c>
      <c r="J594" s="36">
        <f t="shared" si="31"/>
        <v>0</v>
      </c>
      <c r="K594" s="36" t="str">
        <f t="shared" ca="1" si="32"/>
        <v/>
      </c>
    </row>
    <row r="595" spans="3:11" x14ac:dyDescent="0.25">
      <c r="C595" s="53"/>
      <c r="D595" s="54"/>
      <c r="E595" s="55"/>
      <c r="F595" s="54"/>
      <c r="G595" s="56"/>
      <c r="H595" s="56"/>
      <c r="I595" s="36" t="str">
        <f t="shared" si="30"/>
        <v/>
      </c>
      <c r="J595" s="36">
        <f t="shared" si="31"/>
        <v>0</v>
      </c>
      <c r="K595" s="36" t="str">
        <f t="shared" ca="1" si="32"/>
        <v/>
      </c>
    </row>
    <row r="596" spans="3:11" x14ac:dyDescent="0.25">
      <c r="C596" s="53"/>
      <c r="D596" s="54"/>
      <c r="E596" s="55"/>
      <c r="F596" s="54"/>
      <c r="G596" s="56"/>
      <c r="H596" s="56"/>
      <c r="I596" s="36" t="str">
        <f t="shared" si="30"/>
        <v/>
      </c>
      <c r="J596" s="36">
        <f t="shared" si="31"/>
        <v>0</v>
      </c>
      <c r="K596" s="36" t="str">
        <f t="shared" ca="1" si="32"/>
        <v/>
      </c>
    </row>
    <row r="597" spans="3:11" x14ac:dyDescent="0.25">
      <c r="C597" s="53"/>
      <c r="D597" s="54"/>
      <c r="E597" s="55"/>
      <c r="F597" s="54"/>
      <c r="G597" s="56"/>
      <c r="H597" s="56"/>
      <c r="I597" s="36" t="str">
        <f t="shared" si="30"/>
        <v/>
      </c>
      <c r="J597" s="36">
        <f t="shared" si="31"/>
        <v>0</v>
      </c>
      <c r="K597" s="36" t="str">
        <f t="shared" ca="1" si="32"/>
        <v/>
      </c>
    </row>
    <row r="598" spans="3:11" x14ac:dyDescent="0.25">
      <c r="C598" s="53"/>
      <c r="D598" s="54"/>
      <c r="E598" s="55"/>
      <c r="F598" s="54"/>
      <c r="G598" s="56"/>
      <c r="H598" s="56"/>
      <c r="I598" s="36" t="str">
        <f t="shared" si="30"/>
        <v/>
      </c>
      <c r="J598" s="36">
        <f t="shared" si="31"/>
        <v>0</v>
      </c>
      <c r="K598" s="36" t="str">
        <f t="shared" ca="1" si="32"/>
        <v/>
      </c>
    </row>
    <row r="599" spans="3:11" x14ac:dyDescent="0.25">
      <c r="C599" s="53"/>
      <c r="D599" s="54"/>
      <c r="E599" s="55"/>
      <c r="F599" s="54"/>
      <c r="G599" s="56"/>
      <c r="H599" s="56"/>
      <c r="I599" s="36" t="str">
        <f t="shared" si="30"/>
        <v/>
      </c>
      <c r="J599" s="36">
        <f t="shared" si="31"/>
        <v>0</v>
      </c>
      <c r="K599" s="36" t="str">
        <f t="shared" ca="1" si="32"/>
        <v/>
      </c>
    </row>
    <row r="600" spans="3:11" x14ac:dyDescent="0.25">
      <c r="C600" s="53"/>
      <c r="D600" s="54"/>
      <c r="E600" s="55"/>
      <c r="F600" s="54"/>
      <c r="G600" s="56"/>
      <c r="H600" s="56"/>
      <c r="I600" s="36" t="str">
        <f t="shared" si="30"/>
        <v/>
      </c>
      <c r="J600" s="36">
        <f t="shared" si="31"/>
        <v>0</v>
      </c>
      <c r="K600" s="36" t="str">
        <f t="shared" ca="1" si="32"/>
        <v/>
      </c>
    </row>
    <row r="601" spans="3:11" x14ac:dyDescent="0.25">
      <c r="C601" s="53"/>
      <c r="D601" s="54"/>
      <c r="E601" s="55"/>
      <c r="F601" s="54"/>
      <c r="G601" s="56"/>
      <c r="H601" s="56"/>
      <c r="I601" s="36" t="str">
        <f t="shared" si="30"/>
        <v/>
      </c>
      <c r="J601" s="36">
        <f t="shared" si="31"/>
        <v>0</v>
      </c>
      <c r="K601" s="36" t="str">
        <f t="shared" ca="1" si="32"/>
        <v/>
      </c>
    </row>
    <row r="602" spans="3:11" x14ac:dyDescent="0.25">
      <c r="C602" s="53"/>
      <c r="D602" s="54"/>
      <c r="E602" s="55"/>
      <c r="F602" s="54"/>
      <c r="G602" s="56"/>
      <c r="H602" s="56"/>
      <c r="I602" s="36" t="str">
        <f t="shared" si="30"/>
        <v/>
      </c>
      <c r="J602" s="36">
        <f t="shared" si="31"/>
        <v>0</v>
      </c>
      <c r="K602" s="36" t="str">
        <f t="shared" ca="1" si="32"/>
        <v/>
      </c>
    </row>
    <row r="603" spans="3:11" x14ac:dyDescent="0.25">
      <c r="C603" s="53"/>
      <c r="D603" s="54"/>
      <c r="E603" s="55"/>
      <c r="F603" s="54"/>
      <c r="G603" s="56"/>
      <c r="H603" s="56"/>
      <c r="I603" s="36" t="str">
        <f t="shared" si="30"/>
        <v/>
      </c>
      <c r="J603" s="36">
        <f t="shared" si="31"/>
        <v>0</v>
      </c>
      <c r="K603" s="36" t="str">
        <f t="shared" ca="1" si="32"/>
        <v/>
      </c>
    </row>
    <row r="604" spans="3:11" x14ac:dyDescent="0.25">
      <c r="C604" s="53"/>
      <c r="D604" s="54"/>
      <c r="E604" s="55"/>
      <c r="F604" s="54"/>
      <c r="G604" s="56"/>
      <c r="H604" s="56"/>
      <c r="I604" s="36" t="str">
        <f t="shared" si="30"/>
        <v/>
      </c>
      <c r="J604" s="36">
        <f t="shared" si="31"/>
        <v>0</v>
      </c>
      <c r="K604" s="36" t="str">
        <f t="shared" ca="1" si="32"/>
        <v/>
      </c>
    </row>
    <row r="605" spans="3:11" x14ac:dyDescent="0.25">
      <c r="C605" s="53"/>
      <c r="D605" s="54"/>
      <c r="E605" s="55"/>
      <c r="F605" s="54"/>
      <c r="G605" s="56"/>
      <c r="H605" s="56"/>
      <c r="I605" s="36" t="str">
        <f t="shared" si="30"/>
        <v/>
      </c>
      <c r="J605" s="36">
        <f t="shared" si="31"/>
        <v>0</v>
      </c>
      <c r="K605" s="36" t="str">
        <f t="shared" ca="1" si="32"/>
        <v/>
      </c>
    </row>
    <row r="606" spans="3:11" x14ac:dyDescent="0.25">
      <c r="C606" s="53"/>
      <c r="D606" s="54"/>
      <c r="E606" s="55"/>
      <c r="F606" s="54"/>
      <c r="G606" s="56"/>
      <c r="H606" s="56"/>
      <c r="I606" s="36" t="str">
        <f t="shared" si="30"/>
        <v/>
      </c>
      <c r="J606" s="36">
        <f t="shared" si="31"/>
        <v>0</v>
      </c>
      <c r="K606" s="36" t="str">
        <f t="shared" ca="1" si="32"/>
        <v/>
      </c>
    </row>
    <row r="607" spans="3:11" x14ac:dyDescent="0.25">
      <c r="C607" s="53"/>
      <c r="D607" s="54"/>
      <c r="E607" s="55"/>
      <c r="F607" s="54"/>
      <c r="G607" s="56"/>
      <c r="H607" s="56"/>
      <c r="I607" s="36" t="str">
        <f t="shared" si="30"/>
        <v/>
      </c>
      <c r="J607" s="36">
        <f t="shared" si="31"/>
        <v>0</v>
      </c>
      <c r="K607" s="36" t="str">
        <f t="shared" ca="1" si="32"/>
        <v/>
      </c>
    </row>
    <row r="608" spans="3:11" x14ac:dyDescent="0.25">
      <c r="C608" s="53"/>
      <c r="D608" s="54"/>
      <c r="E608" s="55"/>
      <c r="F608" s="54"/>
      <c r="G608" s="56"/>
      <c r="H608" s="56"/>
      <c r="I608" s="36" t="str">
        <f t="shared" si="30"/>
        <v/>
      </c>
      <c r="J608" s="36">
        <f t="shared" si="31"/>
        <v>0</v>
      </c>
      <c r="K608" s="36" t="str">
        <f t="shared" ca="1" si="32"/>
        <v/>
      </c>
    </row>
    <row r="609" spans="3:11" x14ac:dyDescent="0.25">
      <c r="C609" s="53"/>
      <c r="D609" s="54"/>
      <c r="E609" s="55"/>
      <c r="F609" s="54"/>
      <c r="G609" s="56"/>
      <c r="H609" s="56"/>
      <c r="I609" s="36" t="str">
        <f t="shared" si="30"/>
        <v/>
      </c>
      <c r="J609" s="36">
        <f t="shared" si="31"/>
        <v>0</v>
      </c>
      <c r="K609" s="36" t="str">
        <f t="shared" ca="1" si="32"/>
        <v/>
      </c>
    </row>
    <row r="610" spans="3:11" x14ac:dyDescent="0.25">
      <c r="C610" s="53"/>
      <c r="D610" s="54"/>
      <c r="E610" s="55"/>
      <c r="F610" s="54"/>
      <c r="G610" s="56"/>
      <c r="H610" s="56"/>
      <c r="I610" s="36" t="str">
        <f t="shared" si="30"/>
        <v/>
      </c>
      <c r="J610" s="36">
        <f t="shared" si="31"/>
        <v>0</v>
      </c>
      <c r="K610" s="36" t="str">
        <f t="shared" ca="1" si="32"/>
        <v/>
      </c>
    </row>
    <row r="611" spans="3:11" x14ac:dyDescent="0.25">
      <c r="C611" s="53"/>
      <c r="D611" s="54"/>
      <c r="E611" s="55"/>
      <c r="F611" s="54"/>
      <c r="G611" s="56"/>
      <c r="H611" s="56"/>
      <c r="I611" s="36" t="str">
        <f t="shared" si="30"/>
        <v/>
      </c>
      <c r="J611" s="36">
        <f t="shared" si="31"/>
        <v>0</v>
      </c>
      <c r="K611" s="36" t="str">
        <f t="shared" ca="1" si="32"/>
        <v/>
      </c>
    </row>
    <row r="612" spans="3:11" x14ac:dyDescent="0.25">
      <c r="C612" s="53"/>
      <c r="D612" s="54"/>
      <c r="E612" s="55"/>
      <c r="F612" s="54"/>
      <c r="G612" s="56"/>
      <c r="H612" s="56"/>
      <c r="I612" s="36" t="str">
        <f t="shared" si="30"/>
        <v/>
      </c>
      <c r="J612" s="36">
        <f t="shared" si="31"/>
        <v>0</v>
      </c>
      <c r="K612" s="36" t="str">
        <f t="shared" ca="1" si="32"/>
        <v/>
      </c>
    </row>
    <row r="613" spans="3:11" x14ac:dyDescent="0.25">
      <c r="C613" s="53"/>
      <c r="D613" s="54"/>
      <c r="E613" s="55"/>
      <c r="F613" s="54"/>
      <c r="G613" s="56"/>
      <c r="H613" s="56"/>
      <c r="I613" s="36" t="str">
        <f t="shared" si="30"/>
        <v/>
      </c>
      <c r="J613" s="36">
        <f t="shared" si="31"/>
        <v>0</v>
      </c>
      <c r="K613" s="36" t="str">
        <f t="shared" ca="1" si="32"/>
        <v/>
      </c>
    </row>
    <row r="614" spans="3:11" x14ac:dyDescent="0.25">
      <c r="C614" s="53"/>
      <c r="D614" s="54"/>
      <c r="E614" s="55"/>
      <c r="F614" s="54"/>
      <c r="G614" s="56"/>
      <c r="H614" s="56"/>
      <c r="I614" s="36" t="str">
        <f t="shared" si="30"/>
        <v/>
      </c>
      <c r="J614" s="36">
        <f t="shared" si="31"/>
        <v>0</v>
      </c>
      <c r="K614" s="36" t="str">
        <f t="shared" ca="1" si="32"/>
        <v/>
      </c>
    </row>
    <row r="615" spans="3:11" x14ac:dyDescent="0.25">
      <c r="C615" s="53"/>
      <c r="D615" s="54"/>
      <c r="E615" s="55"/>
      <c r="F615" s="54"/>
      <c r="G615" s="56"/>
      <c r="H615" s="56"/>
      <c r="I615" s="36" t="str">
        <f t="shared" si="30"/>
        <v/>
      </c>
      <c r="J615" s="36">
        <f t="shared" si="31"/>
        <v>0</v>
      </c>
      <c r="K615" s="36" t="str">
        <f t="shared" ca="1" si="32"/>
        <v/>
      </c>
    </row>
    <row r="616" spans="3:11" x14ac:dyDescent="0.25">
      <c r="C616" s="53"/>
      <c r="D616" s="54"/>
      <c r="E616" s="55"/>
      <c r="F616" s="54"/>
      <c r="G616" s="56"/>
      <c r="H616" s="56"/>
      <c r="I616" s="36" t="str">
        <f t="shared" si="30"/>
        <v/>
      </c>
      <c r="J616" s="36">
        <f t="shared" si="31"/>
        <v>0</v>
      </c>
      <c r="K616" s="36" t="str">
        <f t="shared" ca="1" si="32"/>
        <v/>
      </c>
    </row>
    <row r="617" spans="3:11" x14ac:dyDescent="0.25">
      <c r="C617" s="53"/>
      <c r="D617" s="54"/>
      <c r="E617" s="55"/>
      <c r="F617" s="54"/>
      <c r="G617" s="56"/>
      <c r="H617" s="56"/>
      <c r="I617" s="36" t="str">
        <f t="shared" si="30"/>
        <v/>
      </c>
      <c r="J617" s="36">
        <f t="shared" si="31"/>
        <v>0</v>
      </c>
      <c r="K617" s="36" t="str">
        <f t="shared" ca="1" si="32"/>
        <v/>
      </c>
    </row>
    <row r="618" spans="3:11" x14ac:dyDescent="0.25">
      <c r="C618" s="53"/>
      <c r="D618" s="54"/>
      <c r="E618" s="55"/>
      <c r="F618" s="54"/>
      <c r="G618" s="56"/>
      <c r="H618" s="56"/>
      <c r="I618" s="36" t="str">
        <f t="shared" si="30"/>
        <v/>
      </c>
      <c r="J618" s="36">
        <f t="shared" si="31"/>
        <v>0</v>
      </c>
      <c r="K618" s="36" t="str">
        <f t="shared" ca="1" si="32"/>
        <v/>
      </c>
    </row>
    <row r="619" spans="3:11" x14ac:dyDescent="0.25">
      <c r="C619" s="53"/>
      <c r="D619" s="54"/>
      <c r="E619" s="55"/>
      <c r="F619" s="54"/>
      <c r="G619" s="56"/>
      <c r="H619" s="56"/>
      <c r="I619" s="36" t="str">
        <f t="shared" si="30"/>
        <v/>
      </c>
      <c r="J619" s="36">
        <f t="shared" si="31"/>
        <v>0</v>
      </c>
      <c r="K619" s="36" t="str">
        <f t="shared" ca="1" si="32"/>
        <v/>
      </c>
    </row>
    <row r="620" spans="3:11" x14ac:dyDescent="0.25">
      <c r="C620" s="53"/>
      <c r="D620" s="54"/>
      <c r="E620" s="55"/>
      <c r="F620" s="54"/>
      <c r="G620" s="56"/>
      <c r="H620" s="56"/>
      <c r="I620" s="36" t="str">
        <f t="shared" si="30"/>
        <v/>
      </c>
      <c r="J620" s="36">
        <f t="shared" si="31"/>
        <v>0</v>
      </c>
      <c r="K620" s="36" t="str">
        <f t="shared" ca="1" si="32"/>
        <v/>
      </c>
    </row>
    <row r="621" spans="3:11" x14ac:dyDescent="0.25">
      <c r="C621" s="53"/>
      <c r="D621" s="54"/>
      <c r="E621" s="55"/>
      <c r="F621" s="54"/>
      <c r="G621" s="56"/>
      <c r="H621" s="56"/>
      <c r="I621" s="36" t="str">
        <f t="shared" si="30"/>
        <v/>
      </c>
      <c r="J621" s="36">
        <f t="shared" si="31"/>
        <v>0</v>
      </c>
      <c r="K621" s="36" t="str">
        <f t="shared" ca="1" si="32"/>
        <v/>
      </c>
    </row>
    <row r="622" spans="3:11" x14ac:dyDescent="0.25">
      <c r="C622" s="53"/>
      <c r="D622" s="54"/>
      <c r="E622" s="55"/>
      <c r="F622" s="54"/>
      <c r="G622" s="56"/>
      <c r="H622" s="56"/>
      <c r="I622" s="36" t="str">
        <f t="shared" si="30"/>
        <v/>
      </c>
      <c r="J622" s="36">
        <f t="shared" si="31"/>
        <v>0</v>
      </c>
      <c r="K622" s="36" t="str">
        <f t="shared" ca="1" si="32"/>
        <v/>
      </c>
    </row>
    <row r="623" spans="3:11" x14ac:dyDescent="0.25">
      <c r="C623" s="53"/>
      <c r="D623" s="54"/>
      <c r="E623" s="55"/>
      <c r="F623" s="54"/>
      <c r="G623" s="56"/>
      <c r="H623" s="56"/>
      <c r="I623" s="36" t="str">
        <f t="shared" si="30"/>
        <v/>
      </c>
      <c r="J623" s="36">
        <f t="shared" si="31"/>
        <v>0</v>
      </c>
      <c r="K623" s="36" t="str">
        <f t="shared" ca="1" si="32"/>
        <v/>
      </c>
    </row>
    <row r="624" spans="3:11" x14ac:dyDescent="0.25">
      <c r="C624" s="53"/>
      <c r="D624" s="54"/>
      <c r="E624" s="55"/>
      <c r="F624" s="54"/>
      <c r="G624" s="56"/>
      <c r="H624" s="56"/>
      <c r="I624" s="36" t="str">
        <f t="shared" si="30"/>
        <v/>
      </c>
      <c r="J624" s="36">
        <f t="shared" si="31"/>
        <v>0</v>
      </c>
      <c r="K624" s="36" t="str">
        <f t="shared" ca="1" si="32"/>
        <v/>
      </c>
    </row>
    <row r="625" spans="3:11" x14ac:dyDescent="0.25">
      <c r="C625" s="53"/>
      <c r="D625" s="54"/>
      <c r="E625" s="55"/>
      <c r="F625" s="54"/>
      <c r="G625" s="56"/>
      <c r="H625" s="56"/>
      <c r="I625" s="36" t="str">
        <f t="shared" si="30"/>
        <v/>
      </c>
      <c r="J625" s="36">
        <f t="shared" si="31"/>
        <v>0</v>
      </c>
      <c r="K625" s="36" t="str">
        <f t="shared" ca="1" si="32"/>
        <v/>
      </c>
    </row>
    <row r="626" spans="3:11" x14ac:dyDescent="0.25">
      <c r="C626" s="53"/>
      <c r="D626" s="54"/>
      <c r="E626" s="55"/>
      <c r="F626" s="54"/>
      <c r="G626" s="56"/>
      <c r="H626" s="56"/>
      <c r="I626" s="36" t="str">
        <f t="shared" si="30"/>
        <v/>
      </c>
      <c r="J626" s="36">
        <f t="shared" si="31"/>
        <v>0</v>
      </c>
      <c r="K626" s="36" t="str">
        <f t="shared" ca="1" si="32"/>
        <v/>
      </c>
    </row>
    <row r="627" spans="3:11" x14ac:dyDescent="0.25">
      <c r="C627" s="53"/>
      <c r="D627" s="54"/>
      <c r="E627" s="55"/>
      <c r="F627" s="54"/>
      <c r="G627" s="56"/>
      <c r="H627" s="56"/>
      <c r="I627" s="36" t="str">
        <f t="shared" si="30"/>
        <v/>
      </c>
      <c r="J627" s="36">
        <f t="shared" si="31"/>
        <v>0</v>
      </c>
      <c r="K627" s="36" t="str">
        <f t="shared" ca="1" si="32"/>
        <v/>
      </c>
    </row>
    <row r="628" spans="3:11" x14ac:dyDescent="0.25">
      <c r="C628" s="53"/>
      <c r="D628" s="54"/>
      <c r="E628" s="55"/>
      <c r="F628" s="54"/>
      <c r="G628" s="56"/>
      <c r="H628" s="56"/>
      <c r="I628" s="36" t="str">
        <f t="shared" si="30"/>
        <v/>
      </c>
      <c r="J628" s="36">
        <f t="shared" si="31"/>
        <v>0</v>
      </c>
      <c r="K628" s="36" t="str">
        <f t="shared" ca="1" si="32"/>
        <v/>
      </c>
    </row>
    <row r="629" spans="3:11" x14ac:dyDescent="0.25">
      <c r="C629" s="53"/>
      <c r="D629" s="54"/>
      <c r="E629" s="55"/>
      <c r="F629" s="54"/>
      <c r="G629" s="56"/>
      <c r="H629" s="56"/>
      <c r="I629" s="36" t="str">
        <f t="shared" si="30"/>
        <v/>
      </c>
      <c r="J629" s="36">
        <f t="shared" si="31"/>
        <v>0</v>
      </c>
      <c r="K629" s="36" t="str">
        <f t="shared" ca="1" si="32"/>
        <v/>
      </c>
    </row>
    <row r="630" spans="3:11" x14ac:dyDescent="0.25">
      <c r="C630" s="53"/>
      <c r="D630" s="54"/>
      <c r="E630" s="55"/>
      <c r="F630" s="54"/>
      <c r="G630" s="56"/>
      <c r="H630" s="56"/>
      <c r="I630" s="36" t="str">
        <f t="shared" si="30"/>
        <v/>
      </c>
      <c r="J630" s="36">
        <f t="shared" si="31"/>
        <v>0</v>
      </c>
      <c r="K630" s="36" t="str">
        <f t="shared" ca="1" si="32"/>
        <v/>
      </c>
    </row>
    <row r="631" spans="3:11" x14ac:dyDescent="0.25">
      <c r="C631" s="53"/>
      <c r="D631" s="54"/>
      <c r="E631" s="55"/>
      <c r="F631" s="54"/>
      <c r="G631" s="56"/>
      <c r="H631" s="56"/>
      <c r="I631" s="36" t="str">
        <f t="shared" si="30"/>
        <v/>
      </c>
      <c r="J631" s="36">
        <f t="shared" si="31"/>
        <v>0</v>
      </c>
      <c r="K631" s="36" t="str">
        <f t="shared" ca="1" si="32"/>
        <v/>
      </c>
    </row>
    <row r="632" spans="3:11" x14ac:dyDescent="0.25">
      <c r="C632" s="53"/>
      <c r="D632" s="54"/>
      <c r="E632" s="55"/>
      <c r="F632" s="54"/>
      <c r="G632" s="56"/>
      <c r="H632" s="56"/>
      <c r="I632" s="36" t="str">
        <f t="shared" si="30"/>
        <v/>
      </c>
      <c r="J632" s="36">
        <f t="shared" si="31"/>
        <v>0</v>
      </c>
      <c r="K632" s="36" t="str">
        <f t="shared" ca="1" si="32"/>
        <v/>
      </c>
    </row>
    <row r="633" spans="3:11" x14ac:dyDescent="0.25">
      <c r="C633" s="53"/>
      <c r="D633" s="54"/>
      <c r="E633" s="55"/>
      <c r="F633" s="54"/>
      <c r="G633" s="56"/>
      <c r="H633" s="56"/>
      <c r="I633" s="36" t="str">
        <f t="shared" si="30"/>
        <v/>
      </c>
      <c r="J633" s="36">
        <f t="shared" si="31"/>
        <v>0</v>
      </c>
      <c r="K633" s="36" t="str">
        <f t="shared" ca="1" si="32"/>
        <v/>
      </c>
    </row>
    <row r="634" spans="3:11" x14ac:dyDescent="0.25">
      <c r="C634" s="53"/>
      <c r="D634" s="54"/>
      <c r="E634" s="55"/>
      <c r="F634" s="54"/>
      <c r="G634" s="56"/>
      <c r="H634" s="56"/>
      <c r="I634" s="36" t="str">
        <f t="shared" si="30"/>
        <v/>
      </c>
      <c r="J634" s="36">
        <f t="shared" si="31"/>
        <v>0</v>
      </c>
      <c r="K634" s="36" t="str">
        <f t="shared" ca="1" si="32"/>
        <v/>
      </c>
    </row>
    <row r="635" spans="3:11" x14ac:dyDescent="0.25">
      <c r="C635" s="53"/>
      <c r="D635" s="54"/>
      <c r="E635" s="55"/>
      <c r="F635" s="54"/>
      <c r="G635" s="56"/>
      <c r="H635" s="56"/>
      <c r="I635" s="36" t="str">
        <f t="shared" si="30"/>
        <v/>
      </c>
      <c r="J635" s="36">
        <f t="shared" si="31"/>
        <v>0</v>
      </c>
      <c r="K635" s="36" t="str">
        <f t="shared" ca="1" si="32"/>
        <v/>
      </c>
    </row>
    <row r="636" spans="3:11" x14ac:dyDescent="0.25">
      <c r="C636" s="53"/>
      <c r="D636" s="54"/>
      <c r="E636" s="55"/>
      <c r="F636" s="54"/>
      <c r="G636" s="56"/>
      <c r="H636" s="56"/>
      <c r="I636" s="36" t="str">
        <f t="shared" si="30"/>
        <v/>
      </c>
      <c r="J636" s="36">
        <f t="shared" si="31"/>
        <v>0</v>
      </c>
      <c r="K636" s="36" t="str">
        <f t="shared" ca="1" si="32"/>
        <v/>
      </c>
    </row>
    <row r="637" spans="3:11" x14ac:dyDescent="0.25">
      <c r="C637" s="53"/>
      <c r="D637" s="54"/>
      <c r="E637" s="55"/>
      <c r="F637" s="54"/>
      <c r="G637" s="56"/>
      <c r="H637" s="56"/>
      <c r="I637" s="36" t="str">
        <f t="shared" si="30"/>
        <v/>
      </c>
      <c r="J637" s="36">
        <f t="shared" si="31"/>
        <v>0</v>
      </c>
      <c r="K637" s="36" t="str">
        <f t="shared" ca="1" si="32"/>
        <v/>
      </c>
    </row>
    <row r="638" spans="3:11" x14ac:dyDescent="0.25">
      <c r="C638" s="53"/>
      <c r="D638" s="54"/>
      <c r="E638" s="55"/>
      <c r="F638" s="54"/>
      <c r="G638" s="56"/>
      <c r="H638" s="56"/>
      <c r="I638" s="36" t="str">
        <f t="shared" si="30"/>
        <v/>
      </c>
      <c r="J638" s="36">
        <f t="shared" si="31"/>
        <v>0</v>
      </c>
      <c r="K638" s="36" t="str">
        <f t="shared" ca="1" si="32"/>
        <v/>
      </c>
    </row>
    <row r="639" spans="3:11" x14ac:dyDescent="0.25">
      <c r="C639" s="53"/>
      <c r="D639" s="54"/>
      <c r="E639" s="55"/>
      <c r="F639" s="54"/>
      <c r="G639" s="56"/>
      <c r="H639" s="56"/>
      <c r="I639" s="36" t="str">
        <f t="shared" si="30"/>
        <v/>
      </c>
      <c r="J639" s="36">
        <f t="shared" si="31"/>
        <v>0</v>
      </c>
      <c r="K639" s="36" t="str">
        <f t="shared" ca="1" si="32"/>
        <v/>
      </c>
    </row>
    <row r="640" spans="3:11" x14ac:dyDescent="0.25">
      <c r="C640" s="53"/>
      <c r="D640" s="54"/>
      <c r="E640" s="55"/>
      <c r="F640" s="54"/>
      <c r="G640" s="56"/>
      <c r="H640" s="56"/>
      <c r="I640" s="36" t="str">
        <f t="shared" si="30"/>
        <v/>
      </c>
      <c r="J640" s="36">
        <f t="shared" si="31"/>
        <v>0</v>
      </c>
      <c r="K640" s="36" t="str">
        <f t="shared" ca="1" si="32"/>
        <v/>
      </c>
    </row>
    <row r="641" spans="3:11" x14ac:dyDescent="0.25">
      <c r="C641" s="53"/>
      <c r="D641" s="54"/>
      <c r="E641" s="55"/>
      <c r="F641" s="54"/>
      <c r="G641" s="56"/>
      <c r="H641" s="56"/>
      <c r="I641" s="36" t="str">
        <f t="shared" si="30"/>
        <v/>
      </c>
      <c r="J641" s="36">
        <f t="shared" si="31"/>
        <v>0</v>
      </c>
      <c r="K641" s="36" t="str">
        <f t="shared" ca="1" si="32"/>
        <v/>
      </c>
    </row>
    <row r="642" spans="3:11" x14ac:dyDescent="0.25">
      <c r="C642" s="53"/>
      <c r="D642" s="54"/>
      <c r="E642" s="55"/>
      <c r="F642" s="54"/>
      <c r="G642" s="56"/>
      <c r="H642" s="56"/>
      <c r="I642" s="36" t="str">
        <f t="shared" si="30"/>
        <v/>
      </c>
      <c r="J642" s="36">
        <f t="shared" si="31"/>
        <v>0</v>
      </c>
      <c r="K642" s="36" t="str">
        <f t="shared" ca="1" si="32"/>
        <v/>
      </c>
    </row>
    <row r="643" spans="3:11" x14ac:dyDescent="0.25">
      <c r="C643" s="53"/>
      <c r="D643" s="54"/>
      <c r="E643" s="55"/>
      <c r="F643" s="54"/>
      <c r="G643" s="56"/>
      <c r="H643" s="56"/>
      <c r="I643" s="36" t="str">
        <f t="shared" si="30"/>
        <v/>
      </c>
      <c r="J643" s="36">
        <f t="shared" si="31"/>
        <v>0</v>
      </c>
      <c r="K643" s="36" t="str">
        <f t="shared" ca="1" si="32"/>
        <v/>
      </c>
    </row>
    <row r="644" spans="3:11" x14ac:dyDescent="0.25">
      <c r="C644" s="53"/>
      <c r="D644" s="54"/>
      <c r="E644" s="55"/>
      <c r="F644" s="54"/>
      <c r="G644" s="56"/>
      <c r="H644" s="56"/>
      <c r="I644" s="36" t="str">
        <f t="shared" si="30"/>
        <v/>
      </c>
      <c r="J644" s="36">
        <f t="shared" si="31"/>
        <v>0</v>
      </c>
      <c r="K644" s="36" t="str">
        <f t="shared" ca="1" si="32"/>
        <v/>
      </c>
    </row>
    <row r="645" spans="3:11" x14ac:dyDescent="0.25">
      <c r="C645" s="53"/>
      <c r="D645" s="54"/>
      <c r="E645" s="55"/>
      <c r="F645" s="54"/>
      <c r="G645" s="56"/>
      <c r="H645" s="56"/>
      <c r="I645" s="36" t="str">
        <f t="shared" si="30"/>
        <v/>
      </c>
      <c r="J645" s="36">
        <f t="shared" si="31"/>
        <v>0</v>
      </c>
      <c r="K645" s="36" t="str">
        <f t="shared" ca="1" si="32"/>
        <v/>
      </c>
    </row>
    <row r="646" spans="3:11" x14ac:dyDescent="0.25">
      <c r="C646" s="53"/>
      <c r="D646" s="54"/>
      <c r="E646" s="55"/>
      <c r="F646" s="54"/>
      <c r="G646" s="56"/>
      <c r="H646" s="56"/>
      <c r="I646" s="36" t="str">
        <f t="shared" si="30"/>
        <v/>
      </c>
      <c r="J646" s="36">
        <f t="shared" si="31"/>
        <v>0</v>
      </c>
      <c r="K646" s="36" t="str">
        <f t="shared" ca="1" si="32"/>
        <v/>
      </c>
    </row>
    <row r="647" spans="3:11" x14ac:dyDescent="0.25">
      <c r="C647" s="53"/>
      <c r="D647" s="54"/>
      <c r="E647" s="55"/>
      <c r="F647" s="54"/>
      <c r="G647" s="56"/>
      <c r="H647" s="56"/>
      <c r="I647" s="36" t="str">
        <f t="shared" si="30"/>
        <v/>
      </c>
      <c r="J647" s="36">
        <f t="shared" si="31"/>
        <v>0</v>
      </c>
      <c r="K647" s="36" t="str">
        <f t="shared" ca="1" si="32"/>
        <v/>
      </c>
    </row>
    <row r="648" spans="3:11" x14ac:dyDescent="0.25">
      <c r="C648" s="53"/>
      <c r="D648" s="54"/>
      <c r="E648" s="55"/>
      <c r="F648" s="54"/>
      <c r="G648" s="56"/>
      <c r="H648" s="56"/>
      <c r="I648" s="36" t="str">
        <f t="shared" si="30"/>
        <v/>
      </c>
      <c r="J648" s="36">
        <f t="shared" si="31"/>
        <v>0</v>
      </c>
      <c r="K648" s="36" t="str">
        <f t="shared" ca="1" si="32"/>
        <v/>
      </c>
    </row>
    <row r="649" spans="3:11" x14ac:dyDescent="0.25">
      <c r="C649" s="53"/>
      <c r="D649" s="54"/>
      <c r="E649" s="55"/>
      <c r="F649" s="54"/>
      <c r="G649" s="56"/>
      <c r="H649" s="56"/>
      <c r="I649" s="36" t="str">
        <f t="shared" si="30"/>
        <v/>
      </c>
      <c r="J649" s="36">
        <f t="shared" si="31"/>
        <v>0</v>
      </c>
      <c r="K649" s="36" t="str">
        <f t="shared" ca="1" si="32"/>
        <v/>
      </c>
    </row>
    <row r="650" spans="3:11" x14ac:dyDescent="0.25">
      <c r="C650" s="53"/>
      <c r="D650" s="54"/>
      <c r="E650" s="55"/>
      <c r="F650" s="54"/>
      <c r="G650" s="56"/>
      <c r="H650" s="56"/>
      <c r="I650" s="36" t="str">
        <f t="shared" si="30"/>
        <v/>
      </c>
      <c r="J650" s="36">
        <f t="shared" si="31"/>
        <v>0</v>
      </c>
      <c r="K650" s="36" t="str">
        <f t="shared" ca="1" si="32"/>
        <v/>
      </c>
    </row>
    <row r="651" spans="3:11" x14ac:dyDescent="0.25">
      <c r="C651" s="53"/>
      <c r="D651" s="54"/>
      <c r="E651" s="55"/>
      <c r="F651" s="54"/>
      <c r="G651" s="56"/>
      <c r="H651" s="56"/>
      <c r="I651" s="36" t="str">
        <f t="shared" ref="I651:I714" si="33">IF(C651="","",IF(H651&lt;=0,"Em aberto",IF(H651&gt;=G651,"Pagamento Total",IF(H651&lt;G651,"Pagamento Parcial"))))</f>
        <v/>
      </c>
      <c r="J651" s="36">
        <f t="shared" ref="J651:J714" si="34">IF(C651&gt;0,G651-H651,0)</f>
        <v>0</v>
      </c>
      <c r="K651" s="36" t="str">
        <f t="shared" ref="K651:K714" ca="1" si="35">IF(ISBLANK(C651),"",IF(H651=G651,"Pago",IF(C651=TODAY(),"Vence Hoje",IF(TRIM(UPPER(G650))&lt;&gt;"S",IF(C651-TODAY()&lt;0,"Vencida",IF(C651-TODAY()&lt;8,"Próximos sete dias","Em aberto"))))))</f>
        <v/>
      </c>
    </row>
    <row r="652" spans="3:11" x14ac:dyDescent="0.25">
      <c r="C652" s="53"/>
      <c r="D652" s="54"/>
      <c r="E652" s="55"/>
      <c r="F652" s="54"/>
      <c r="G652" s="56"/>
      <c r="H652" s="56"/>
      <c r="I652" s="36" t="str">
        <f t="shared" si="33"/>
        <v/>
      </c>
      <c r="J652" s="36">
        <f t="shared" si="34"/>
        <v>0</v>
      </c>
      <c r="K652" s="36" t="str">
        <f t="shared" ca="1" si="35"/>
        <v/>
      </c>
    </row>
    <row r="653" spans="3:11" x14ac:dyDescent="0.25">
      <c r="C653" s="53"/>
      <c r="D653" s="54"/>
      <c r="E653" s="55"/>
      <c r="F653" s="54"/>
      <c r="G653" s="56"/>
      <c r="H653" s="56"/>
      <c r="I653" s="36" t="str">
        <f t="shared" si="33"/>
        <v/>
      </c>
      <c r="J653" s="36">
        <f t="shared" si="34"/>
        <v>0</v>
      </c>
      <c r="K653" s="36" t="str">
        <f t="shared" ca="1" si="35"/>
        <v/>
      </c>
    </row>
    <row r="654" spans="3:11" x14ac:dyDescent="0.25">
      <c r="C654" s="53"/>
      <c r="D654" s="54"/>
      <c r="E654" s="55"/>
      <c r="F654" s="54"/>
      <c r="G654" s="56"/>
      <c r="H654" s="56"/>
      <c r="I654" s="36" t="str">
        <f t="shared" si="33"/>
        <v/>
      </c>
      <c r="J654" s="36">
        <f t="shared" si="34"/>
        <v>0</v>
      </c>
      <c r="K654" s="36" t="str">
        <f t="shared" ca="1" si="35"/>
        <v/>
      </c>
    </row>
    <row r="655" spans="3:11" x14ac:dyDescent="0.25">
      <c r="C655" s="53"/>
      <c r="D655" s="54"/>
      <c r="E655" s="55"/>
      <c r="F655" s="54"/>
      <c r="G655" s="56"/>
      <c r="H655" s="56"/>
      <c r="I655" s="36" t="str">
        <f t="shared" si="33"/>
        <v/>
      </c>
      <c r="J655" s="36">
        <f t="shared" si="34"/>
        <v>0</v>
      </c>
      <c r="K655" s="36" t="str">
        <f t="shared" ca="1" si="35"/>
        <v/>
      </c>
    </row>
    <row r="656" spans="3:11" x14ac:dyDescent="0.25">
      <c r="C656" s="53"/>
      <c r="D656" s="54"/>
      <c r="E656" s="55"/>
      <c r="F656" s="54"/>
      <c r="G656" s="56"/>
      <c r="H656" s="56"/>
      <c r="I656" s="36" t="str">
        <f t="shared" si="33"/>
        <v/>
      </c>
      <c r="J656" s="36">
        <f t="shared" si="34"/>
        <v>0</v>
      </c>
      <c r="K656" s="36" t="str">
        <f t="shared" ca="1" si="35"/>
        <v/>
      </c>
    </row>
    <row r="657" spans="3:11" x14ac:dyDescent="0.25">
      <c r="C657" s="53"/>
      <c r="D657" s="54"/>
      <c r="E657" s="55"/>
      <c r="F657" s="54"/>
      <c r="G657" s="56"/>
      <c r="H657" s="56"/>
      <c r="I657" s="36" t="str">
        <f t="shared" si="33"/>
        <v/>
      </c>
      <c r="J657" s="36">
        <f t="shared" si="34"/>
        <v>0</v>
      </c>
      <c r="K657" s="36" t="str">
        <f t="shared" ca="1" si="35"/>
        <v/>
      </c>
    </row>
    <row r="658" spans="3:11" x14ac:dyDescent="0.25">
      <c r="C658" s="53"/>
      <c r="D658" s="54"/>
      <c r="E658" s="55"/>
      <c r="F658" s="54"/>
      <c r="G658" s="56"/>
      <c r="H658" s="56"/>
      <c r="I658" s="36" t="str">
        <f t="shared" si="33"/>
        <v/>
      </c>
      <c r="J658" s="36">
        <f t="shared" si="34"/>
        <v>0</v>
      </c>
      <c r="K658" s="36" t="str">
        <f t="shared" ca="1" si="35"/>
        <v/>
      </c>
    </row>
    <row r="659" spans="3:11" x14ac:dyDescent="0.25">
      <c r="C659" s="53"/>
      <c r="D659" s="54"/>
      <c r="E659" s="55"/>
      <c r="F659" s="54"/>
      <c r="G659" s="56"/>
      <c r="H659" s="56"/>
      <c r="I659" s="36" t="str">
        <f t="shared" si="33"/>
        <v/>
      </c>
      <c r="J659" s="36">
        <f t="shared" si="34"/>
        <v>0</v>
      </c>
      <c r="K659" s="36" t="str">
        <f t="shared" ca="1" si="35"/>
        <v/>
      </c>
    </row>
    <row r="660" spans="3:11" x14ac:dyDescent="0.25">
      <c r="C660" s="53"/>
      <c r="D660" s="54"/>
      <c r="E660" s="55"/>
      <c r="F660" s="54"/>
      <c r="G660" s="56"/>
      <c r="H660" s="56"/>
      <c r="I660" s="36" t="str">
        <f t="shared" si="33"/>
        <v/>
      </c>
      <c r="J660" s="36">
        <f t="shared" si="34"/>
        <v>0</v>
      </c>
      <c r="K660" s="36" t="str">
        <f t="shared" ca="1" si="35"/>
        <v/>
      </c>
    </row>
    <row r="661" spans="3:11" x14ac:dyDescent="0.25">
      <c r="C661" s="53"/>
      <c r="D661" s="54"/>
      <c r="E661" s="55"/>
      <c r="F661" s="54"/>
      <c r="G661" s="56"/>
      <c r="H661" s="56"/>
      <c r="I661" s="36" t="str">
        <f t="shared" si="33"/>
        <v/>
      </c>
      <c r="J661" s="36">
        <f t="shared" si="34"/>
        <v>0</v>
      </c>
      <c r="K661" s="36" t="str">
        <f t="shared" ca="1" si="35"/>
        <v/>
      </c>
    </row>
    <row r="662" spans="3:11" x14ac:dyDescent="0.25">
      <c r="C662" s="53"/>
      <c r="D662" s="54"/>
      <c r="E662" s="55"/>
      <c r="F662" s="54"/>
      <c r="G662" s="56"/>
      <c r="H662" s="56"/>
      <c r="I662" s="36" t="str">
        <f t="shared" si="33"/>
        <v/>
      </c>
      <c r="J662" s="36">
        <f t="shared" si="34"/>
        <v>0</v>
      </c>
      <c r="K662" s="36" t="str">
        <f t="shared" ca="1" si="35"/>
        <v/>
      </c>
    </row>
    <row r="663" spans="3:11" x14ac:dyDescent="0.25">
      <c r="C663" s="53"/>
      <c r="D663" s="54"/>
      <c r="E663" s="55"/>
      <c r="F663" s="54"/>
      <c r="G663" s="56"/>
      <c r="H663" s="56"/>
      <c r="I663" s="36" t="str">
        <f t="shared" si="33"/>
        <v/>
      </c>
      <c r="J663" s="36">
        <f t="shared" si="34"/>
        <v>0</v>
      </c>
      <c r="K663" s="36" t="str">
        <f t="shared" ca="1" si="35"/>
        <v/>
      </c>
    </row>
    <row r="664" spans="3:11" x14ac:dyDescent="0.25">
      <c r="C664" s="53"/>
      <c r="D664" s="54"/>
      <c r="E664" s="55"/>
      <c r="F664" s="54"/>
      <c r="G664" s="56"/>
      <c r="H664" s="56"/>
      <c r="I664" s="36" t="str">
        <f t="shared" si="33"/>
        <v/>
      </c>
      <c r="J664" s="36">
        <f t="shared" si="34"/>
        <v>0</v>
      </c>
      <c r="K664" s="36" t="str">
        <f t="shared" ca="1" si="35"/>
        <v/>
      </c>
    </row>
    <row r="665" spans="3:11" x14ac:dyDescent="0.25">
      <c r="C665" s="53"/>
      <c r="D665" s="54"/>
      <c r="E665" s="55"/>
      <c r="F665" s="54"/>
      <c r="G665" s="56"/>
      <c r="H665" s="56"/>
      <c r="I665" s="36" t="str">
        <f t="shared" si="33"/>
        <v/>
      </c>
      <c r="J665" s="36">
        <f t="shared" si="34"/>
        <v>0</v>
      </c>
      <c r="K665" s="36" t="str">
        <f t="shared" ca="1" si="35"/>
        <v/>
      </c>
    </row>
    <row r="666" spans="3:11" x14ac:dyDescent="0.25">
      <c r="C666" s="53"/>
      <c r="D666" s="54"/>
      <c r="E666" s="55"/>
      <c r="F666" s="54"/>
      <c r="G666" s="56"/>
      <c r="H666" s="56"/>
      <c r="I666" s="36" t="str">
        <f t="shared" si="33"/>
        <v/>
      </c>
      <c r="J666" s="36">
        <f t="shared" si="34"/>
        <v>0</v>
      </c>
      <c r="K666" s="36" t="str">
        <f t="shared" ca="1" si="35"/>
        <v/>
      </c>
    </row>
    <row r="667" spans="3:11" x14ac:dyDescent="0.25">
      <c r="C667" s="53"/>
      <c r="D667" s="54"/>
      <c r="E667" s="55"/>
      <c r="F667" s="54"/>
      <c r="G667" s="56"/>
      <c r="H667" s="56"/>
      <c r="I667" s="36" t="str">
        <f t="shared" si="33"/>
        <v/>
      </c>
      <c r="J667" s="36">
        <f t="shared" si="34"/>
        <v>0</v>
      </c>
      <c r="K667" s="36" t="str">
        <f t="shared" ca="1" si="35"/>
        <v/>
      </c>
    </row>
    <row r="668" spans="3:11" x14ac:dyDescent="0.25">
      <c r="C668" s="53"/>
      <c r="D668" s="54"/>
      <c r="E668" s="55"/>
      <c r="F668" s="54"/>
      <c r="G668" s="56"/>
      <c r="H668" s="56"/>
      <c r="I668" s="36" t="str">
        <f t="shared" si="33"/>
        <v/>
      </c>
      <c r="J668" s="36">
        <f t="shared" si="34"/>
        <v>0</v>
      </c>
      <c r="K668" s="36" t="str">
        <f t="shared" ca="1" si="35"/>
        <v/>
      </c>
    </row>
    <row r="669" spans="3:11" x14ac:dyDescent="0.25">
      <c r="C669" s="53"/>
      <c r="D669" s="54"/>
      <c r="E669" s="55"/>
      <c r="F669" s="54"/>
      <c r="G669" s="56"/>
      <c r="H669" s="56"/>
      <c r="I669" s="36" t="str">
        <f t="shared" si="33"/>
        <v/>
      </c>
      <c r="J669" s="36">
        <f t="shared" si="34"/>
        <v>0</v>
      </c>
      <c r="K669" s="36" t="str">
        <f t="shared" ca="1" si="35"/>
        <v/>
      </c>
    </row>
    <row r="670" spans="3:11" x14ac:dyDescent="0.25">
      <c r="C670" s="53"/>
      <c r="D670" s="54"/>
      <c r="E670" s="55"/>
      <c r="F670" s="54"/>
      <c r="G670" s="56"/>
      <c r="H670" s="56"/>
      <c r="I670" s="36" t="str">
        <f t="shared" si="33"/>
        <v/>
      </c>
      <c r="J670" s="36">
        <f t="shared" si="34"/>
        <v>0</v>
      </c>
      <c r="K670" s="36" t="str">
        <f t="shared" ca="1" si="35"/>
        <v/>
      </c>
    </row>
    <row r="671" spans="3:11" x14ac:dyDescent="0.25">
      <c r="C671" s="53"/>
      <c r="D671" s="54"/>
      <c r="E671" s="55"/>
      <c r="F671" s="54"/>
      <c r="G671" s="56"/>
      <c r="H671" s="56"/>
      <c r="I671" s="36" t="str">
        <f t="shared" si="33"/>
        <v/>
      </c>
      <c r="J671" s="36">
        <f t="shared" si="34"/>
        <v>0</v>
      </c>
      <c r="K671" s="36" t="str">
        <f t="shared" ca="1" si="35"/>
        <v/>
      </c>
    </row>
    <row r="672" spans="3:11" x14ac:dyDescent="0.25">
      <c r="C672" s="53"/>
      <c r="D672" s="54"/>
      <c r="E672" s="55"/>
      <c r="F672" s="54"/>
      <c r="G672" s="56"/>
      <c r="H672" s="56"/>
      <c r="I672" s="36" t="str">
        <f t="shared" si="33"/>
        <v/>
      </c>
      <c r="J672" s="36">
        <f t="shared" si="34"/>
        <v>0</v>
      </c>
      <c r="K672" s="36" t="str">
        <f t="shared" ca="1" si="35"/>
        <v/>
      </c>
    </row>
    <row r="673" spans="3:11" x14ac:dyDescent="0.25">
      <c r="C673" s="53"/>
      <c r="D673" s="54"/>
      <c r="E673" s="55"/>
      <c r="F673" s="54"/>
      <c r="G673" s="56"/>
      <c r="H673" s="56"/>
      <c r="I673" s="36" t="str">
        <f t="shared" si="33"/>
        <v/>
      </c>
      <c r="J673" s="36">
        <f t="shared" si="34"/>
        <v>0</v>
      </c>
      <c r="K673" s="36" t="str">
        <f t="shared" ca="1" si="35"/>
        <v/>
      </c>
    </row>
    <row r="674" spans="3:11" x14ac:dyDescent="0.25">
      <c r="C674" s="53"/>
      <c r="D674" s="54"/>
      <c r="E674" s="55"/>
      <c r="F674" s="54"/>
      <c r="G674" s="56"/>
      <c r="H674" s="56"/>
      <c r="I674" s="36" t="str">
        <f t="shared" si="33"/>
        <v/>
      </c>
      <c r="J674" s="36">
        <f t="shared" si="34"/>
        <v>0</v>
      </c>
      <c r="K674" s="36" t="str">
        <f t="shared" ca="1" si="35"/>
        <v/>
      </c>
    </row>
    <row r="675" spans="3:11" x14ac:dyDescent="0.25">
      <c r="C675" s="53"/>
      <c r="D675" s="54"/>
      <c r="E675" s="55"/>
      <c r="F675" s="54"/>
      <c r="G675" s="56"/>
      <c r="H675" s="56"/>
      <c r="I675" s="36" t="str">
        <f t="shared" si="33"/>
        <v/>
      </c>
      <c r="J675" s="36">
        <f t="shared" si="34"/>
        <v>0</v>
      </c>
      <c r="K675" s="36" t="str">
        <f t="shared" ca="1" si="35"/>
        <v/>
      </c>
    </row>
    <row r="676" spans="3:11" x14ac:dyDescent="0.25">
      <c r="C676" s="53"/>
      <c r="D676" s="54"/>
      <c r="E676" s="55"/>
      <c r="F676" s="54"/>
      <c r="G676" s="56"/>
      <c r="H676" s="56"/>
      <c r="I676" s="36" t="str">
        <f t="shared" si="33"/>
        <v/>
      </c>
      <c r="J676" s="36">
        <f t="shared" si="34"/>
        <v>0</v>
      </c>
      <c r="K676" s="36" t="str">
        <f t="shared" ca="1" si="35"/>
        <v/>
      </c>
    </row>
    <row r="677" spans="3:11" x14ac:dyDescent="0.25">
      <c r="C677" s="53"/>
      <c r="D677" s="54"/>
      <c r="E677" s="55"/>
      <c r="F677" s="54"/>
      <c r="G677" s="56"/>
      <c r="H677" s="56"/>
      <c r="I677" s="36" t="str">
        <f t="shared" si="33"/>
        <v/>
      </c>
      <c r="J677" s="36">
        <f t="shared" si="34"/>
        <v>0</v>
      </c>
      <c r="K677" s="36" t="str">
        <f t="shared" ca="1" si="35"/>
        <v/>
      </c>
    </row>
    <row r="678" spans="3:11" x14ac:dyDescent="0.25">
      <c r="C678" s="53"/>
      <c r="D678" s="54"/>
      <c r="E678" s="55"/>
      <c r="F678" s="54"/>
      <c r="G678" s="56"/>
      <c r="H678" s="56"/>
      <c r="I678" s="36" t="str">
        <f t="shared" si="33"/>
        <v/>
      </c>
      <c r="J678" s="36">
        <f t="shared" si="34"/>
        <v>0</v>
      </c>
      <c r="K678" s="36" t="str">
        <f t="shared" ca="1" si="35"/>
        <v/>
      </c>
    </row>
    <row r="679" spans="3:11" x14ac:dyDescent="0.25">
      <c r="C679" s="53"/>
      <c r="D679" s="54"/>
      <c r="E679" s="55"/>
      <c r="F679" s="54"/>
      <c r="G679" s="56"/>
      <c r="H679" s="56"/>
      <c r="I679" s="36" t="str">
        <f t="shared" si="33"/>
        <v/>
      </c>
      <c r="J679" s="36">
        <f t="shared" si="34"/>
        <v>0</v>
      </c>
      <c r="K679" s="36" t="str">
        <f t="shared" ca="1" si="35"/>
        <v/>
      </c>
    </row>
    <row r="680" spans="3:11" x14ac:dyDescent="0.25">
      <c r="C680" s="53"/>
      <c r="D680" s="54"/>
      <c r="E680" s="55"/>
      <c r="F680" s="54"/>
      <c r="G680" s="56"/>
      <c r="H680" s="56"/>
      <c r="I680" s="36" t="str">
        <f t="shared" si="33"/>
        <v/>
      </c>
      <c r="J680" s="36">
        <f t="shared" si="34"/>
        <v>0</v>
      </c>
      <c r="K680" s="36" t="str">
        <f t="shared" ca="1" si="35"/>
        <v/>
      </c>
    </row>
    <row r="681" spans="3:11" x14ac:dyDescent="0.25">
      <c r="C681" s="53"/>
      <c r="D681" s="54"/>
      <c r="E681" s="55"/>
      <c r="F681" s="54"/>
      <c r="G681" s="56"/>
      <c r="H681" s="56"/>
      <c r="I681" s="36" t="str">
        <f t="shared" si="33"/>
        <v/>
      </c>
      <c r="J681" s="36">
        <f t="shared" si="34"/>
        <v>0</v>
      </c>
      <c r="K681" s="36" t="str">
        <f t="shared" ca="1" si="35"/>
        <v/>
      </c>
    </row>
    <row r="682" spans="3:11" x14ac:dyDescent="0.25">
      <c r="C682" s="53"/>
      <c r="D682" s="54"/>
      <c r="E682" s="55"/>
      <c r="F682" s="54"/>
      <c r="G682" s="56"/>
      <c r="H682" s="56"/>
      <c r="I682" s="36" t="str">
        <f t="shared" si="33"/>
        <v/>
      </c>
      <c r="J682" s="36">
        <f t="shared" si="34"/>
        <v>0</v>
      </c>
      <c r="K682" s="36" t="str">
        <f t="shared" ca="1" si="35"/>
        <v/>
      </c>
    </row>
    <row r="683" spans="3:11" x14ac:dyDescent="0.25">
      <c r="C683" s="53"/>
      <c r="D683" s="54"/>
      <c r="E683" s="55"/>
      <c r="F683" s="54"/>
      <c r="G683" s="56"/>
      <c r="H683" s="56"/>
      <c r="I683" s="36" t="str">
        <f t="shared" si="33"/>
        <v/>
      </c>
      <c r="J683" s="36">
        <f t="shared" si="34"/>
        <v>0</v>
      </c>
      <c r="K683" s="36" t="str">
        <f t="shared" ca="1" si="35"/>
        <v/>
      </c>
    </row>
    <row r="684" spans="3:11" x14ac:dyDescent="0.25">
      <c r="C684" s="53"/>
      <c r="D684" s="54"/>
      <c r="E684" s="55"/>
      <c r="F684" s="54"/>
      <c r="G684" s="56"/>
      <c r="H684" s="56"/>
      <c r="I684" s="36" t="str">
        <f t="shared" si="33"/>
        <v/>
      </c>
      <c r="J684" s="36">
        <f t="shared" si="34"/>
        <v>0</v>
      </c>
      <c r="K684" s="36" t="str">
        <f t="shared" ca="1" si="35"/>
        <v/>
      </c>
    </row>
    <row r="685" spans="3:11" x14ac:dyDescent="0.25">
      <c r="C685" s="53"/>
      <c r="D685" s="54"/>
      <c r="E685" s="55"/>
      <c r="F685" s="54"/>
      <c r="G685" s="56"/>
      <c r="H685" s="56"/>
      <c r="I685" s="36" t="str">
        <f t="shared" si="33"/>
        <v/>
      </c>
      <c r="J685" s="36">
        <f t="shared" si="34"/>
        <v>0</v>
      </c>
      <c r="K685" s="36" t="str">
        <f t="shared" ca="1" si="35"/>
        <v/>
      </c>
    </row>
    <row r="686" spans="3:11" x14ac:dyDescent="0.25">
      <c r="C686" s="53"/>
      <c r="D686" s="54"/>
      <c r="E686" s="55"/>
      <c r="F686" s="54"/>
      <c r="G686" s="56"/>
      <c r="H686" s="56"/>
      <c r="I686" s="36" t="str">
        <f t="shared" si="33"/>
        <v/>
      </c>
      <c r="J686" s="36">
        <f t="shared" si="34"/>
        <v>0</v>
      </c>
      <c r="K686" s="36" t="str">
        <f t="shared" ca="1" si="35"/>
        <v/>
      </c>
    </row>
    <row r="687" spans="3:11" x14ac:dyDescent="0.25">
      <c r="C687" s="53"/>
      <c r="D687" s="54"/>
      <c r="E687" s="55"/>
      <c r="F687" s="54"/>
      <c r="G687" s="56"/>
      <c r="H687" s="56"/>
      <c r="I687" s="36" t="str">
        <f t="shared" si="33"/>
        <v/>
      </c>
      <c r="J687" s="36">
        <f t="shared" si="34"/>
        <v>0</v>
      </c>
      <c r="K687" s="36" t="str">
        <f t="shared" ca="1" si="35"/>
        <v/>
      </c>
    </row>
    <row r="688" spans="3:11" x14ac:dyDescent="0.25">
      <c r="C688" s="53"/>
      <c r="D688" s="54"/>
      <c r="E688" s="55"/>
      <c r="F688" s="54"/>
      <c r="G688" s="56"/>
      <c r="H688" s="56"/>
      <c r="I688" s="36" t="str">
        <f t="shared" si="33"/>
        <v/>
      </c>
      <c r="J688" s="36">
        <f t="shared" si="34"/>
        <v>0</v>
      </c>
      <c r="K688" s="36" t="str">
        <f t="shared" ca="1" si="35"/>
        <v/>
      </c>
    </row>
    <row r="689" spans="3:11" x14ac:dyDescent="0.25">
      <c r="C689" s="53"/>
      <c r="D689" s="54"/>
      <c r="E689" s="55"/>
      <c r="F689" s="54"/>
      <c r="G689" s="56"/>
      <c r="H689" s="56"/>
      <c r="I689" s="36" t="str">
        <f t="shared" si="33"/>
        <v/>
      </c>
      <c r="J689" s="36">
        <f t="shared" si="34"/>
        <v>0</v>
      </c>
      <c r="K689" s="36" t="str">
        <f t="shared" ca="1" si="35"/>
        <v/>
      </c>
    </row>
    <row r="690" spans="3:11" x14ac:dyDescent="0.25">
      <c r="C690" s="53"/>
      <c r="D690" s="54"/>
      <c r="E690" s="55"/>
      <c r="F690" s="54"/>
      <c r="G690" s="56"/>
      <c r="H690" s="56"/>
      <c r="I690" s="36" t="str">
        <f t="shared" si="33"/>
        <v/>
      </c>
      <c r="J690" s="36">
        <f t="shared" si="34"/>
        <v>0</v>
      </c>
      <c r="K690" s="36" t="str">
        <f t="shared" ca="1" si="35"/>
        <v/>
      </c>
    </row>
    <row r="691" spans="3:11" x14ac:dyDescent="0.25">
      <c r="C691" s="53"/>
      <c r="D691" s="54"/>
      <c r="E691" s="55"/>
      <c r="F691" s="54"/>
      <c r="G691" s="56"/>
      <c r="H691" s="56"/>
      <c r="I691" s="36" t="str">
        <f t="shared" si="33"/>
        <v/>
      </c>
      <c r="J691" s="36">
        <f t="shared" si="34"/>
        <v>0</v>
      </c>
      <c r="K691" s="36" t="str">
        <f t="shared" ca="1" si="35"/>
        <v/>
      </c>
    </row>
    <row r="692" spans="3:11" x14ac:dyDescent="0.25">
      <c r="C692" s="53"/>
      <c r="D692" s="54"/>
      <c r="E692" s="55"/>
      <c r="F692" s="54"/>
      <c r="G692" s="56"/>
      <c r="H692" s="56"/>
      <c r="I692" s="36" t="str">
        <f t="shared" si="33"/>
        <v/>
      </c>
      <c r="J692" s="36">
        <f t="shared" si="34"/>
        <v>0</v>
      </c>
      <c r="K692" s="36" t="str">
        <f t="shared" ca="1" si="35"/>
        <v/>
      </c>
    </row>
    <row r="693" spans="3:11" x14ac:dyDescent="0.25">
      <c r="C693" s="53"/>
      <c r="D693" s="54"/>
      <c r="E693" s="55"/>
      <c r="F693" s="54"/>
      <c r="G693" s="56"/>
      <c r="H693" s="56"/>
      <c r="I693" s="36" t="str">
        <f t="shared" si="33"/>
        <v/>
      </c>
      <c r="J693" s="36">
        <f t="shared" si="34"/>
        <v>0</v>
      </c>
      <c r="K693" s="36" t="str">
        <f t="shared" ca="1" si="35"/>
        <v/>
      </c>
    </row>
    <row r="694" spans="3:11" x14ac:dyDescent="0.25">
      <c r="C694" s="53"/>
      <c r="D694" s="54"/>
      <c r="E694" s="55"/>
      <c r="F694" s="54"/>
      <c r="G694" s="56"/>
      <c r="H694" s="56"/>
      <c r="I694" s="36" t="str">
        <f t="shared" si="33"/>
        <v/>
      </c>
      <c r="J694" s="36">
        <f t="shared" si="34"/>
        <v>0</v>
      </c>
      <c r="K694" s="36" t="str">
        <f t="shared" ca="1" si="35"/>
        <v/>
      </c>
    </row>
    <row r="695" spans="3:11" x14ac:dyDescent="0.25">
      <c r="C695" s="53"/>
      <c r="D695" s="54"/>
      <c r="E695" s="55"/>
      <c r="F695" s="54"/>
      <c r="G695" s="56"/>
      <c r="H695" s="56"/>
      <c r="I695" s="36" t="str">
        <f t="shared" si="33"/>
        <v/>
      </c>
      <c r="J695" s="36">
        <f t="shared" si="34"/>
        <v>0</v>
      </c>
      <c r="K695" s="36" t="str">
        <f t="shared" ca="1" si="35"/>
        <v/>
      </c>
    </row>
    <row r="696" spans="3:11" x14ac:dyDescent="0.25">
      <c r="C696" s="53"/>
      <c r="D696" s="54"/>
      <c r="E696" s="55"/>
      <c r="F696" s="54"/>
      <c r="G696" s="56"/>
      <c r="H696" s="56"/>
      <c r="I696" s="36" t="str">
        <f t="shared" si="33"/>
        <v/>
      </c>
      <c r="J696" s="36">
        <f t="shared" si="34"/>
        <v>0</v>
      </c>
      <c r="K696" s="36" t="str">
        <f t="shared" ca="1" si="35"/>
        <v/>
      </c>
    </row>
    <row r="697" spans="3:11" x14ac:dyDescent="0.25">
      <c r="C697" s="53"/>
      <c r="D697" s="54"/>
      <c r="E697" s="55"/>
      <c r="F697" s="54"/>
      <c r="G697" s="56"/>
      <c r="H697" s="56"/>
      <c r="I697" s="36" t="str">
        <f t="shared" si="33"/>
        <v/>
      </c>
      <c r="J697" s="36">
        <f t="shared" si="34"/>
        <v>0</v>
      </c>
      <c r="K697" s="36" t="str">
        <f t="shared" ca="1" si="35"/>
        <v/>
      </c>
    </row>
    <row r="698" spans="3:11" x14ac:dyDescent="0.25">
      <c r="C698" s="53"/>
      <c r="D698" s="54"/>
      <c r="E698" s="55"/>
      <c r="F698" s="54"/>
      <c r="G698" s="56"/>
      <c r="H698" s="56"/>
      <c r="I698" s="36" t="str">
        <f t="shared" si="33"/>
        <v/>
      </c>
      <c r="J698" s="36">
        <f t="shared" si="34"/>
        <v>0</v>
      </c>
      <c r="K698" s="36" t="str">
        <f t="shared" ca="1" si="35"/>
        <v/>
      </c>
    </row>
    <row r="699" spans="3:11" x14ac:dyDescent="0.25">
      <c r="C699" s="53"/>
      <c r="D699" s="54"/>
      <c r="E699" s="55"/>
      <c r="F699" s="54"/>
      <c r="G699" s="56"/>
      <c r="H699" s="56"/>
      <c r="I699" s="36" t="str">
        <f t="shared" si="33"/>
        <v/>
      </c>
      <c r="J699" s="36">
        <f t="shared" si="34"/>
        <v>0</v>
      </c>
      <c r="K699" s="36" t="str">
        <f t="shared" ca="1" si="35"/>
        <v/>
      </c>
    </row>
    <row r="700" spans="3:11" x14ac:dyDescent="0.25">
      <c r="C700" s="53"/>
      <c r="D700" s="54"/>
      <c r="E700" s="55"/>
      <c r="F700" s="54"/>
      <c r="G700" s="56"/>
      <c r="H700" s="56"/>
      <c r="I700" s="36" t="str">
        <f t="shared" si="33"/>
        <v/>
      </c>
      <c r="J700" s="36">
        <f t="shared" si="34"/>
        <v>0</v>
      </c>
      <c r="K700" s="36" t="str">
        <f t="shared" ca="1" si="35"/>
        <v/>
      </c>
    </row>
    <row r="701" spans="3:11" x14ac:dyDescent="0.25">
      <c r="C701" s="53"/>
      <c r="D701" s="54"/>
      <c r="E701" s="55"/>
      <c r="F701" s="54"/>
      <c r="G701" s="56"/>
      <c r="H701" s="56"/>
      <c r="I701" s="36" t="str">
        <f t="shared" si="33"/>
        <v/>
      </c>
      <c r="J701" s="36">
        <f t="shared" si="34"/>
        <v>0</v>
      </c>
      <c r="K701" s="36" t="str">
        <f t="shared" ca="1" si="35"/>
        <v/>
      </c>
    </row>
    <row r="702" spans="3:11" x14ac:dyDescent="0.25">
      <c r="C702" s="53"/>
      <c r="D702" s="54"/>
      <c r="E702" s="55"/>
      <c r="F702" s="54"/>
      <c r="G702" s="56"/>
      <c r="H702" s="56"/>
      <c r="I702" s="36" t="str">
        <f t="shared" si="33"/>
        <v/>
      </c>
      <c r="J702" s="36">
        <f t="shared" si="34"/>
        <v>0</v>
      </c>
      <c r="K702" s="36" t="str">
        <f t="shared" ca="1" si="35"/>
        <v/>
      </c>
    </row>
    <row r="703" spans="3:11" x14ac:dyDescent="0.25">
      <c r="C703" s="53"/>
      <c r="D703" s="54"/>
      <c r="E703" s="55"/>
      <c r="F703" s="54"/>
      <c r="G703" s="56"/>
      <c r="H703" s="56"/>
      <c r="I703" s="36" t="str">
        <f t="shared" si="33"/>
        <v/>
      </c>
      <c r="J703" s="36">
        <f t="shared" si="34"/>
        <v>0</v>
      </c>
      <c r="K703" s="36" t="str">
        <f t="shared" ca="1" si="35"/>
        <v/>
      </c>
    </row>
    <row r="704" spans="3:11" x14ac:dyDescent="0.25">
      <c r="C704" s="53"/>
      <c r="D704" s="54"/>
      <c r="E704" s="55"/>
      <c r="F704" s="54"/>
      <c r="G704" s="56"/>
      <c r="H704" s="56"/>
      <c r="I704" s="36" t="str">
        <f t="shared" si="33"/>
        <v/>
      </c>
      <c r="J704" s="36">
        <f t="shared" si="34"/>
        <v>0</v>
      </c>
      <c r="K704" s="36" t="str">
        <f t="shared" ca="1" si="35"/>
        <v/>
      </c>
    </row>
    <row r="705" spans="3:11" x14ac:dyDescent="0.25">
      <c r="C705" s="53"/>
      <c r="D705" s="54"/>
      <c r="E705" s="55"/>
      <c r="F705" s="54"/>
      <c r="G705" s="56"/>
      <c r="H705" s="56"/>
      <c r="I705" s="36" t="str">
        <f t="shared" si="33"/>
        <v/>
      </c>
      <c r="J705" s="36">
        <f t="shared" si="34"/>
        <v>0</v>
      </c>
      <c r="K705" s="36" t="str">
        <f t="shared" ca="1" si="35"/>
        <v/>
      </c>
    </row>
    <row r="706" spans="3:11" x14ac:dyDescent="0.25">
      <c r="C706" s="53"/>
      <c r="D706" s="54"/>
      <c r="E706" s="55"/>
      <c r="F706" s="54"/>
      <c r="G706" s="56"/>
      <c r="H706" s="56"/>
      <c r="I706" s="36" t="str">
        <f t="shared" si="33"/>
        <v/>
      </c>
      <c r="J706" s="36">
        <f t="shared" si="34"/>
        <v>0</v>
      </c>
      <c r="K706" s="36" t="str">
        <f t="shared" ca="1" si="35"/>
        <v/>
      </c>
    </row>
    <row r="707" spans="3:11" x14ac:dyDescent="0.25">
      <c r="C707" s="53"/>
      <c r="D707" s="54"/>
      <c r="E707" s="55"/>
      <c r="F707" s="54"/>
      <c r="G707" s="56"/>
      <c r="H707" s="56"/>
      <c r="I707" s="36" t="str">
        <f t="shared" si="33"/>
        <v/>
      </c>
      <c r="J707" s="36">
        <f t="shared" si="34"/>
        <v>0</v>
      </c>
      <c r="K707" s="36" t="str">
        <f t="shared" ca="1" si="35"/>
        <v/>
      </c>
    </row>
    <row r="708" spans="3:11" x14ac:dyDescent="0.25">
      <c r="C708" s="53"/>
      <c r="D708" s="54"/>
      <c r="E708" s="55"/>
      <c r="F708" s="54"/>
      <c r="G708" s="56"/>
      <c r="H708" s="56"/>
      <c r="I708" s="36" t="str">
        <f t="shared" si="33"/>
        <v/>
      </c>
      <c r="J708" s="36">
        <f t="shared" si="34"/>
        <v>0</v>
      </c>
      <c r="K708" s="36" t="str">
        <f t="shared" ca="1" si="35"/>
        <v/>
      </c>
    </row>
    <row r="709" spans="3:11" x14ac:dyDescent="0.25">
      <c r="C709" s="53"/>
      <c r="D709" s="54"/>
      <c r="E709" s="55"/>
      <c r="F709" s="54"/>
      <c r="G709" s="56"/>
      <c r="H709" s="56"/>
      <c r="I709" s="36" t="str">
        <f t="shared" si="33"/>
        <v/>
      </c>
      <c r="J709" s="36">
        <f t="shared" si="34"/>
        <v>0</v>
      </c>
      <c r="K709" s="36" t="str">
        <f t="shared" ca="1" si="35"/>
        <v/>
      </c>
    </row>
    <row r="710" spans="3:11" x14ac:dyDescent="0.25">
      <c r="C710" s="53"/>
      <c r="D710" s="54"/>
      <c r="E710" s="55"/>
      <c r="F710" s="54"/>
      <c r="G710" s="56"/>
      <c r="H710" s="56"/>
      <c r="I710" s="36" t="str">
        <f t="shared" si="33"/>
        <v/>
      </c>
      <c r="J710" s="36">
        <f t="shared" si="34"/>
        <v>0</v>
      </c>
      <c r="K710" s="36" t="str">
        <f t="shared" ca="1" si="35"/>
        <v/>
      </c>
    </row>
    <row r="711" spans="3:11" x14ac:dyDescent="0.25">
      <c r="C711" s="53"/>
      <c r="D711" s="54"/>
      <c r="E711" s="55"/>
      <c r="F711" s="54"/>
      <c r="G711" s="56"/>
      <c r="H711" s="56"/>
      <c r="I711" s="36" t="str">
        <f t="shared" si="33"/>
        <v/>
      </c>
      <c r="J711" s="36">
        <f t="shared" si="34"/>
        <v>0</v>
      </c>
      <c r="K711" s="36" t="str">
        <f t="shared" ca="1" si="35"/>
        <v/>
      </c>
    </row>
    <row r="712" spans="3:11" x14ac:dyDescent="0.25">
      <c r="C712" s="53"/>
      <c r="D712" s="54"/>
      <c r="E712" s="55"/>
      <c r="F712" s="54"/>
      <c r="G712" s="56"/>
      <c r="H712" s="56"/>
      <c r="I712" s="36" t="str">
        <f t="shared" si="33"/>
        <v/>
      </c>
      <c r="J712" s="36">
        <f t="shared" si="34"/>
        <v>0</v>
      </c>
      <c r="K712" s="36" t="str">
        <f t="shared" ca="1" si="35"/>
        <v/>
      </c>
    </row>
    <row r="713" spans="3:11" x14ac:dyDescent="0.25">
      <c r="C713" s="53"/>
      <c r="D713" s="54"/>
      <c r="E713" s="55"/>
      <c r="F713" s="54"/>
      <c r="G713" s="56"/>
      <c r="H713" s="56"/>
      <c r="I713" s="36" t="str">
        <f t="shared" si="33"/>
        <v/>
      </c>
      <c r="J713" s="36">
        <f t="shared" si="34"/>
        <v>0</v>
      </c>
      <c r="K713" s="36" t="str">
        <f t="shared" ca="1" si="35"/>
        <v/>
      </c>
    </row>
    <row r="714" spans="3:11" x14ac:dyDescent="0.25">
      <c r="C714" s="53"/>
      <c r="D714" s="54"/>
      <c r="E714" s="55"/>
      <c r="F714" s="54"/>
      <c r="G714" s="56"/>
      <c r="H714" s="56"/>
      <c r="I714" s="36" t="str">
        <f t="shared" si="33"/>
        <v/>
      </c>
      <c r="J714" s="36">
        <f t="shared" si="34"/>
        <v>0</v>
      </c>
      <c r="K714" s="36" t="str">
        <f t="shared" ca="1" si="35"/>
        <v/>
      </c>
    </row>
    <row r="715" spans="3:11" x14ac:dyDescent="0.25">
      <c r="C715" s="53"/>
      <c r="D715" s="54"/>
      <c r="E715" s="55"/>
      <c r="F715" s="54"/>
      <c r="G715" s="56"/>
      <c r="H715" s="56"/>
      <c r="I715" s="36" t="str">
        <f t="shared" ref="I715:I775" si="36">IF(C715="","",IF(H715&lt;=0,"Em aberto",IF(H715&gt;=G715,"Pagamento Total",IF(H715&lt;G715,"Pagamento Parcial"))))</f>
        <v/>
      </c>
      <c r="J715" s="36">
        <f t="shared" ref="J715:J775" si="37">IF(C715&gt;0,G715-H715,0)</f>
        <v>0</v>
      </c>
      <c r="K715" s="36" t="str">
        <f t="shared" ref="K715:K775" ca="1" si="38">IF(ISBLANK(C715),"",IF(H715=G715,"Pago",IF(C715=TODAY(),"Vence Hoje",IF(TRIM(UPPER(G714))&lt;&gt;"S",IF(C715-TODAY()&lt;0,"Vencida",IF(C715-TODAY()&lt;8,"Próximos sete dias","Em aberto"))))))</f>
        <v/>
      </c>
    </row>
    <row r="716" spans="3:11" x14ac:dyDescent="0.25">
      <c r="C716" s="53"/>
      <c r="D716" s="54"/>
      <c r="E716" s="55"/>
      <c r="F716" s="54"/>
      <c r="G716" s="56"/>
      <c r="H716" s="56"/>
      <c r="I716" s="36" t="str">
        <f t="shared" si="36"/>
        <v/>
      </c>
      <c r="J716" s="36">
        <f t="shared" si="37"/>
        <v>0</v>
      </c>
      <c r="K716" s="36" t="str">
        <f t="shared" ca="1" si="38"/>
        <v/>
      </c>
    </row>
    <row r="717" spans="3:11" x14ac:dyDescent="0.25">
      <c r="C717" s="53"/>
      <c r="D717" s="54"/>
      <c r="E717" s="55"/>
      <c r="F717" s="54"/>
      <c r="G717" s="56"/>
      <c r="H717" s="56"/>
      <c r="I717" s="36" t="str">
        <f t="shared" si="36"/>
        <v/>
      </c>
      <c r="J717" s="36">
        <f t="shared" si="37"/>
        <v>0</v>
      </c>
      <c r="K717" s="36" t="str">
        <f t="shared" ca="1" si="38"/>
        <v/>
      </c>
    </row>
    <row r="718" spans="3:11" x14ac:dyDescent="0.25">
      <c r="C718" s="53"/>
      <c r="D718" s="54"/>
      <c r="E718" s="55"/>
      <c r="F718" s="54"/>
      <c r="G718" s="56"/>
      <c r="H718" s="56"/>
      <c r="I718" s="36" t="str">
        <f t="shared" si="36"/>
        <v/>
      </c>
      <c r="J718" s="36">
        <f t="shared" si="37"/>
        <v>0</v>
      </c>
      <c r="K718" s="36" t="str">
        <f t="shared" ca="1" si="38"/>
        <v/>
      </c>
    </row>
    <row r="719" spans="3:11" x14ac:dyDescent="0.25">
      <c r="C719" s="53"/>
      <c r="D719" s="54"/>
      <c r="E719" s="55"/>
      <c r="F719" s="54"/>
      <c r="G719" s="56"/>
      <c r="H719" s="56"/>
      <c r="I719" s="36" t="str">
        <f t="shared" si="36"/>
        <v/>
      </c>
      <c r="J719" s="36">
        <f t="shared" si="37"/>
        <v>0</v>
      </c>
      <c r="K719" s="36" t="str">
        <f t="shared" ca="1" si="38"/>
        <v/>
      </c>
    </row>
    <row r="720" spans="3:11" x14ac:dyDescent="0.25">
      <c r="C720" s="53"/>
      <c r="D720" s="54"/>
      <c r="E720" s="55"/>
      <c r="F720" s="54"/>
      <c r="G720" s="56"/>
      <c r="H720" s="56"/>
      <c r="I720" s="36" t="str">
        <f t="shared" si="36"/>
        <v/>
      </c>
      <c r="J720" s="36">
        <f t="shared" si="37"/>
        <v>0</v>
      </c>
      <c r="K720" s="36" t="str">
        <f t="shared" ca="1" si="38"/>
        <v/>
      </c>
    </row>
    <row r="721" spans="3:11" x14ac:dyDescent="0.25">
      <c r="C721" s="53"/>
      <c r="D721" s="54"/>
      <c r="E721" s="55"/>
      <c r="F721" s="54"/>
      <c r="G721" s="56"/>
      <c r="H721" s="56"/>
      <c r="I721" s="36" t="str">
        <f t="shared" si="36"/>
        <v/>
      </c>
      <c r="J721" s="36">
        <f t="shared" si="37"/>
        <v>0</v>
      </c>
      <c r="K721" s="36" t="str">
        <f t="shared" ca="1" si="38"/>
        <v/>
      </c>
    </row>
    <row r="722" spans="3:11" x14ac:dyDescent="0.25">
      <c r="C722" s="53"/>
      <c r="D722" s="54"/>
      <c r="E722" s="55"/>
      <c r="F722" s="54"/>
      <c r="G722" s="56"/>
      <c r="H722" s="56"/>
      <c r="I722" s="36" t="str">
        <f t="shared" si="36"/>
        <v/>
      </c>
      <c r="J722" s="36">
        <f t="shared" si="37"/>
        <v>0</v>
      </c>
      <c r="K722" s="36" t="str">
        <f t="shared" ca="1" si="38"/>
        <v/>
      </c>
    </row>
    <row r="723" spans="3:11" x14ac:dyDescent="0.25">
      <c r="C723" s="53"/>
      <c r="D723" s="54"/>
      <c r="E723" s="55"/>
      <c r="F723" s="54"/>
      <c r="G723" s="56"/>
      <c r="H723" s="56"/>
      <c r="I723" s="36" t="str">
        <f t="shared" si="36"/>
        <v/>
      </c>
      <c r="J723" s="36">
        <f t="shared" si="37"/>
        <v>0</v>
      </c>
      <c r="K723" s="36" t="str">
        <f t="shared" ca="1" si="38"/>
        <v/>
      </c>
    </row>
    <row r="724" spans="3:11" x14ac:dyDescent="0.25">
      <c r="C724" s="53"/>
      <c r="D724" s="54"/>
      <c r="E724" s="55"/>
      <c r="F724" s="54"/>
      <c r="G724" s="56"/>
      <c r="H724" s="56"/>
      <c r="I724" s="36" t="str">
        <f t="shared" si="36"/>
        <v/>
      </c>
      <c r="J724" s="36">
        <f t="shared" si="37"/>
        <v>0</v>
      </c>
      <c r="K724" s="36" t="str">
        <f t="shared" ca="1" si="38"/>
        <v/>
      </c>
    </row>
    <row r="725" spans="3:11" x14ac:dyDescent="0.25">
      <c r="C725" s="53"/>
      <c r="D725" s="54"/>
      <c r="E725" s="55"/>
      <c r="F725" s="54"/>
      <c r="G725" s="56"/>
      <c r="H725" s="56"/>
      <c r="I725" s="36" t="str">
        <f t="shared" si="36"/>
        <v/>
      </c>
      <c r="J725" s="36">
        <f t="shared" si="37"/>
        <v>0</v>
      </c>
      <c r="K725" s="36" t="str">
        <f t="shared" ca="1" si="38"/>
        <v/>
      </c>
    </row>
    <row r="726" spans="3:11" x14ac:dyDescent="0.25">
      <c r="C726" s="53"/>
      <c r="D726" s="54"/>
      <c r="E726" s="55"/>
      <c r="F726" s="54"/>
      <c r="G726" s="56"/>
      <c r="H726" s="56"/>
      <c r="I726" s="36" t="str">
        <f t="shared" si="36"/>
        <v/>
      </c>
      <c r="J726" s="36">
        <f t="shared" si="37"/>
        <v>0</v>
      </c>
      <c r="K726" s="36" t="str">
        <f t="shared" ca="1" si="38"/>
        <v/>
      </c>
    </row>
    <row r="727" spans="3:11" x14ac:dyDescent="0.25">
      <c r="C727" s="53"/>
      <c r="D727" s="54"/>
      <c r="E727" s="55"/>
      <c r="F727" s="54"/>
      <c r="G727" s="56"/>
      <c r="H727" s="56"/>
      <c r="I727" s="36" t="str">
        <f t="shared" si="36"/>
        <v/>
      </c>
      <c r="J727" s="36">
        <f t="shared" si="37"/>
        <v>0</v>
      </c>
      <c r="K727" s="36" t="str">
        <f t="shared" ca="1" si="38"/>
        <v/>
      </c>
    </row>
    <row r="728" spans="3:11" x14ac:dyDescent="0.25">
      <c r="C728" s="53"/>
      <c r="D728" s="54"/>
      <c r="E728" s="55"/>
      <c r="F728" s="54"/>
      <c r="G728" s="56"/>
      <c r="H728" s="56"/>
      <c r="I728" s="36" t="str">
        <f t="shared" si="36"/>
        <v/>
      </c>
      <c r="J728" s="36">
        <f t="shared" si="37"/>
        <v>0</v>
      </c>
      <c r="K728" s="36" t="str">
        <f t="shared" ca="1" si="38"/>
        <v/>
      </c>
    </row>
    <row r="729" spans="3:11" x14ac:dyDescent="0.25">
      <c r="C729" s="53"/>
      <c r="D729" s="54"/>
      <c r="E729" s="55"/>
      <c r="F729" s="54"/>
      <c r="G729" s="56"/>
      <c r="H729" s="56"/>
      <c r="I729" s="36" t="str">
        <f t="shared" si="36"/>
        <v/>
      </c>
      <c r="J729" s="36">
        <f t="shared" si="37"/>
        <v>0</v>
      </c>
      <c r="K729" s="36" t="str">
        <f t="shared" ca="1" si="38"/>
        <v/>
      </c>
    </row>
    <row r="730" spans="3:11" x14ac:dyDescent="0.25">
      <c r="C730" s="53"/>
      <c r="D730" s="54"/>
      <c r="E730" s="55"/>
      <c r="F730" s="54"/>
      <c r="G730" s="56"/>
      <c r="H730" s="56"/>
      <c r="I730" s="36" t="str">
        <f t="shared" si="36"/>
        <v/>
      </c>
      <c r="J730" s="36">
        <f t="shared" si="37"/>
        <v>0</v>
      </c>
      <c r="K730" s="36" t="str">
        <f t="shared" ca="1" si="38"/>
        <v/>
      </c>
    </row>
    <row r="731" spans="3:11" x14ac:dyDescent="0.25">
      <c r="C731" s="53"/>
      <c r="D731" s="54"/>
      <c r="E731" s="55"/>
      <c r="F731" s="54"/>
      <c r="G731" s="56"/>
      <c r="H731" s="56"/>
      <c r="I731" s="36" t="str">
        <f t="shared" si="36"/>
        <v/>
      </c>
      <c r="J731" s="36">
        <f t="shared" si="37"/>
        <v>0</v>
      </c>
      <c r="K731" s="36" t="str">
        <f t="shared" ca="1" si="38"/>
        <v/>
      </c>
    </row>
    <row r="732" spans="3:11" x14ac:dyDescent="0.25">
      <c r="C732" s="53"/>
      <c r="D732" s="54"/>
      <c r="E732" s="55"/>
      <c r="F732" s="54"/>
      <c r="G732" s="56"/>
      <c r="H732" s="56"/>
      <c r="I732" s="36" t="str">
        <f t="shared" si="36"/>
        <v/>
      </c>
      <c r="J732" s="36">
        <f t="shared" si="37"/>
        <v>0</v>
      </c>
      <c r="K732" s="36" t="str">
        <f t="shared" ca="1" si="38"/>
        <v/>
      </c>
    </row>
    <row r="733" spans="3:11" x14ac:dyDescent="0.25">
      <c r="C733" s="53"/>
      <c r="D733" s="54"/>
      <c r="E733" s="55"/>
      <c r="F733" s="54"/>
      <c r="G733" s="56"/>
      <c r="H733" s="56"/>
      <c r="I733" s="36" t="str">
        <f t="shared" si="36"/>
        <v/>
      </c>
      <c r="J733" s="36">
        <f t="shared" si="37"/>
        <v>0</v>
      </c>
      <c r="K733" s="36" t="str">
        <f t="shared" ca="1" si="38"/>
        <v/>
      </c>
    </row>
    <row r="734" spans="3:11" x14ac:dyDescent="0.25">
      <c r="C734" s="53"/>
      <c r="D734" s="54"/>
      <c r="E734" s="55"/>
      <c r="F734" s="54"/>
      <c r="G734" s="56"/>
      <c r="H734" s="56"/>
      <c r="I734" s="36" t="str">
        <f t="shared" si="36"/>
        <v/>
      </c>
      <c r="J734" s="36">
        <f t="shared" si="37"/>
        <v>0</v>
      </c>
      <c r="K734" s="36" t="str">
        <f t="shared" ca="1" si="38"/>
        <v/>
      </c>
    </row>
    <row r="735" spans="3:11" x14ac:dyDescent="0.25">
      <c r="C735" s="53"/>
      <c r="D735" s="54"/>
      <c r="E735" s="55"/>
      <c r="F735" s="54"/>
      <c r="G735" s="56"/>
      <c r="H735" s="56"/>
      <c r="I735" s="36" t="str">
        <f t="shared" si="36"/>
        <v/>
      </c>
      <c r="J735" s="36">
        <f t="shared" si="37"/>
        <v>0</v>
      </c>
      <c r="K735" s="36" t="str">
        <f t="shared" ca="1" si="38"/>
        <v/>
      </c>
    </row>
    <row r="736" spans="3:11" x14ac:dyDescent="0.25">
      <c r="C736" s="53"/>
      <c r="D736" s="54"/>
      <c r="E736" s="55"/>
      <c r="F736" s="54"/>
      <c r="G736" s="56"/>
      <c r="H736" s="56"/>
      <c r="I736" s="36" t="str">
        <f t="shared" si="36"/>
        <v/>
      </c>
      <c r="J736" s="36">
        <f t="shared" si="37"/>
        <v>0</v>
      </c>
      <c r="K736" s="36" t="str">
        <f t="shared" ca="1" si="38"/>
        <v/>
      </c>
    </row>
    <row r="737" spans="3:11" x14ac:dyDescent="0.25">
      <c r="C737" s="53"/>
      <c r="D737" s="54"/>
      <c r="E737" s="55"/>
      <c r="F737" s="54"/>
      <c r="G737" s="56"/>
      <c r="H737" s="56"/>
      <c r="I737" s="36" t="str">
        <f t="shared" si="36"/>
        <v/>
      </c>
      <c r="J737" s="36">
        <f t="shared" si="37"/>
        <v>0</v>
      </c>
      <c r="K737" s="36" t="str">
        <f t="shared" ca="1" si="38"/>
        <v/>
      </c>
    </row>
    <row r="738" spans="3:11" x14ac:dyDescent="0.25">
      <c r="C738" s="53"/>
      <c r="D738" s="54"/>
      <c r="E738" s="55"/>
      <c r="F738" s="54"/>
      <c r="G738" s="56"/>
      <c r="H738" s="56"/>
      <c r="I738" s="36" t="str">
        <f t="shared" si="36"/>
        <v/>
      </c>
      <c r="J738" s="36">
        <f t="shared" si="37"/>
        <v>0</v>
      </c>
      <c r="K738" s="36" t="str">
        <f t="shared" ca="1" si="38"/>
        <v/>
      </c>
    </row>
    <row r="739" spans="3:11" x14ac:dyDescent="0.25">
      <c r="C739" s="53"/>
      <c r="D739" s="54"/>
      <c r="E739" s="55"/>
      <c r="F739" s="54"/>
      <c r="G739" s="56"/>
      <c r="H739" s="56"/>
      <c r="I739" s="36" t="str">
        <f t="shared" si="36"/>
        <v/>
      </c>
      <c r="J739" s="36">
        <f t="shared" si="37"/>
        <v>0</v>
      </c>
      <c r="K739" s="36" t="str">
        <f t="shared" ca="1" si="38"/>
        <v/>
      </c>
    </row>
    <row r="740" spans="3:11" x14ac:dyDescent="0.25">
      <c r="C740" s="53"/>
      <c r="D740" s="54"/>
      <c r="E740" s="55"/>
      <c r="F740" s="54"/>
      <c r="G740" s="56"/>
      <c r="H740" s="56"/>
      <c r="I740" s="36" t="str">
        <f t="shared" si="36"/>
        <v/>
      </c>
      <c r="J740" s="36">
        <f t="shared" si="37"/>
        <v>0</v>
      </c>
      <c r="K740" s="36" t="str">
        <f t="shared" ca="1" si="38"/>
        <v/>
      </c>
    </row>
    <row r="741" spans="3:11" x14ac:dyDescent="0.25">
      <c r="C741" s="53"/>
      <c r="D741" s="54"/>
      <c r="E741" s="55"/>
      <c r="F741" s="54"/>
      <c r="G741" s="56"/>
      <c r="H741" s="56"/>
      <c r="I741" s="36" t="str">
        <f t="shared" si="36"/>
        <v/>
      </c>
      <c r="J741" s="36">
        <f t="shared" si="37"/>
        <v>0</v>
      </c>
      <c r="K741" s="36" t="str">
        <f t="shared" ca="1" si="38"/>
        <v/>
      </c>
    </row>
    <row r="742" spans="3:11" x14ac:dyDescent="0.25">
      <c r="C742" s="53"/>
      <c r="D742" s="54"/>
      <c r="E742" s="55"/>
      <c r="F742" s="54"/>
      <c r="G742" s="56"/>
      <c r="H742" s="56"/>
      <c r="I742" s="36" t="str">
        <f t="shared" si="36"/>
        <v/>
      </c>
      <c r="J742" s="36">
        <f t="shared" si="37"/>
        <v>0</v>
      </c>
      <c r="K742" s="36" t="str">
        <f t="shared" ca="1" si="38"/>
        <v/>
      </c>
    </row>
    <row r="743" spans="3:11" x14ac:dyDescent="0.25">
      <c r="C743" s="53"/>
      <c r="D743" s="54"/>
      <c r="E743" s="55"/>
      <c r="F743" s="54"/>
      <c r="G743" s="56"/>
      <c r="H743" s="56"/>
      <c r="I743" s="36" t="str">
        <f t="shared" si="36"/>
        <v/>
      </c>
      <c r="J743" s="36">
        <f t="shared" si="37"/>
        <v>0</v>
      </c>
      <c r="K743" s="36" t="str">
        <f t="shared" ca="1" si="38"/>
        <v/>
      </c>
    </row>
    <row r="744" spans="3:11" x14ac:dyDescent="0.25">
      <c r="C744" s="53"/>
      <c r="D744" s="54"/>
      <c r="E744" s="55"/>
      <c r="F744" s="54"/>
      <c r="G744" s="56"/>
      <c r="H744" s="56"/>
      <c r="I744" s="36" t="str">
        <f t="shared" si="36"/>
        <v/>
      </c>
      <c r="J744" s="36">
        <f t="shared" si="37"/>
        <v>0</v>
      </c>
      <c r="K744" s="36" t="str">
        <f t="shared" ca="1" si="38"/>
        <v/>
      </c>
    </row>
    <row r="745" spans="3:11" x14ac:dyDescent="0.25">
      <c r="C745" s="53"/>
      <c r="D745" s="54"/>
      <c r="E745" s="55"/>
      <c r="F745" s="54"/>
      <c r="G745" s="56"/>
      <c r="H745" s="56"/>
      <c r="I745" s="36" t="str">
        <f t="shared" si="36"/>
        <v/>
      </c>
      <c r="J745" s="36">
        <f t="shared" si="37"/>
        <v>0</v>
      </c>
      <c r="K745" s="36" t="str">
        <f t="shared" ca="1" si="38"/>
        <v/>
      </c>
    </row>
    <row r="746" spans="3:11" x14ac:dyDescent="0.25">
      <c r="C746" s="53"/>
      <c r="D746" s="54"/>
      <c r="E746" s="55"/>
      <c r="F746" s="54"/>
      <c r="G746" s="56"/>
      <c r="H746" s="56"/>
      <c r="I746" s="36" t="str">
        <f t="shared" si="36"/>
        <v/>
      </c>
      <c r="J746" s="36">
        <f t="shared" si="37"/>
        <v>0</v>
      </c>
      <c r="K746" s="36" t="str">
        <f t="shared" ca="1" si="38"/>
        <v/>
      </c>
    </row>
    <row r="747" spans="3:11" x14ac:dyDescent="0.25">
      <c r="C747" s="53"/>
      <c r="D747" s="54"/>
      <c r="E747" s="55"/>
      <c r="F747" s="54"/>
      <c r="G747" s="56"/>
      <c r="H747" s="56"/>
      <c r="I747" s="36" t="str">
        <f t="shared" si="36"/>
        <v/>
      </c>
      <c r="J747" s="36">
        <f t="shared" si="37"/>
        <v>0</v>
      </c>
      <c r="K747" s="36" t="str">
        <f t="shared" ca="1" si="38"/>
        <v/>
      </c>
    </row>
    <row r="748" spans="3:11" x14ac:dyDescent="0.25">
      <c r="C748" s="53"/>
      <c r="D748" s="54"/>
      <c r="E748" s="55"/>
      <c r="F748" s="54"/>
      <c r="G748" s="56"/>
      <c r="H748" s="56"/>
      <c r="I748" s="36" t="str">
        <f t="shared" si="36"/>
        <v/>
      </c>
      <c r="J748" s="36">
        <f t="shared" si="37"/>
        <v>0</v>
      </c>
      <c r="K748" s="36" t="str">
        <f t="shared" ca="1" si="38"/>
        <v/>
      </c>
    </row>
    <row r="749" spans="3:11" x14ac:dyDescent="0.25">
      <c r="C749" s="53"/>
      <c r="D749" s="54"/>
      <c r="E749" s="55"/>
      <c r="F749" s="54"/>
      <c r="G749" s="56"/>
      <c r="H749" s="56"/>
      <c r="I749" s="36" t="str">
        <f t="shared" si="36"/>
        <v/>
      </c>
      <c r="J749" s="36">
        <f t="shared" si="37"/>
        <v>0</v>
      </c>
      <c r="K749" s="36" t="str">
        <f t="shared" ca="1" si="38"/>
        <v/>
      </c>
    </row>
    <row r="750" spans="3:11" x14ac:dyDescent="0.25">
      <c r="C750" s="53"/>
      <c r="D750" s="54"/>
      <c r="E750" s="55"/>
      <c r="F750" s="54"/>
      <c r="G750" s="56"/>
      <c r="H750" s="56"/>
      <c r="I750" s="36" t="str">
        <f t="shared" si="36"/>
        <v/>
      </c>
      <c r="J750" s="36">
        <f t="shared" si="37"/>
        <v>0</v>
      </c>
      <c r="K750" s="36" t="str">
        <f t="shared" ca="1" si="38"/>
        <v/>
      </c>
    </row>
    <row r="751" spans="3:11" x14ac:dyDescent="0.25">
      <c r="C751" s="53"/>
      <c r="D751" s="54"/>
      <c r="E751" s="55"/>
      <c r="F751" s="54"/>
      <c r="G751" s="56"/>
      <c r="H751" s="56"/>
      <c r="I751" s="36" t="str">
        <f t="shared" si="36"/>
        <v/>
      </c>
      <c r="J751" s="36">
        <f t="shared" si="37"/>
        <v>0</v>
      </c>
      <c r="K751" s="36" t="str">
        <f t="shared" ca="1" si="38"/>
        <v/>
      </c>
    </row>
    <row r="752" spans="3:11" x14ac:dyDescent="0.25">
      <c r="C752" s="53"/>
      <c r="D752" s="54"/>
      <c r="E752" s="55"/>
      <c r="F752" s="54"/>
      <c r="G752" s="56"/>
      <c r="H752" s="56"/>
      <c r="I752" s="36" t="str">
        <f t="shared" si="36"/>
        <v/>
      </c>
      <c r="J752" s="36">
        <f t="shared" si="37"/>
        <v>0</v>
      </c>
      <c r="K752" s="36" t="str">
        <f t="shared" ca="1" si="38"/>
        <v/>
      </c>
    </row>
    <row r="753" spans="3:11" x14ac:dyDescent="0.25">
      <c r="C753" s="53"/>
      <c r="D753" s="54"/>
      <c r="E753" s="55"/>
      <c r="F753" s="54"/>
      <c r="G753" s="56"/>
      <c r="H753" s="56"/>
      <c r="I753" s="36" t="str">
        <f t="shared" si="36"/>
        <v/>
      </c>
      <c r="J753" s="36">
        <f t="shared" si="37"/>
        <v>0</v>
      </c>
      <c r="K753" s="36" t="str">
        <f t="shared" ca="1" si="38"/>
        <v/>
      </c>
    </row>
    <row r="754" spans="3:11" x14ac:dyDescent="0.25">
      <c r="C754" s="53"/>
      <c r="D754" s="54"/>
      <c r="E754" s="55"/>
      <c r="F754" s="54"/>
      <c r="G754" s="56"/>
      <c r="H754" s="56"/>
      <c r="I754" s="36" t="str">
        <f t="shared" si="36"/>
        <v/>
      </c>
      <c r="J754" s="36">
        <f t="shared" si="37"/>
        <v>0</v>
      </c>
      <c r="K754" s="36" t="str">
        <f t="shared" ca="1" si="38"/>
        <v/>
      </c>
    </row>
    <row r="755" spans="3:11" x14ac:dyDescent="0.25">
      <c r="C755" s="53"/>
      <c r="D755" s="54"/>
      <c r="E755" s="55"/>
      <c r="F755" s="54"/>
      <c r="G755" s="56"/>
      <c r="H755" s="56"/>
      <c r="I755" s="36" t="str">
        <f t="shared" si="36"/>
        <v/>
      </c>
      <c r="J755" s="36">
        <f t="shared" si="37"/>
        <v>0</v>
      </c>
      <c r="K755" s="36" t="str">
        <f t="shared" ca="1" si="38"/>
        <v/>
      </c>
    </row>
    <row r="756" spans="3:11" x14ac:dyDescent="0.25">
      <c r="C756" s="53"/>
      <c r="D756" s="54"/>
      <c r="E756" s="55"/>
      <c r="F756" s="54"/>
      <c r="G756" s="56"/>
      <c r="H756" s="56"/>
      <c r="I756" s="36" t="str">
        <f t="shared" si="36"/>
        <v/>
      </c>
      <c r="J756" s="36">
        <f t="shared" si="37"/>
        <v>0</v>
      </c>
      <c r="K756" s="36" t="str">
        <f t="shared" ca="1" si="38"/>
        <v/>
      </c>
    </row>
    <row r="757" spans="3:11" x14ac:dyDescent="0.25">
      <c r="C757" s="53"/>
      <c r="D757" s="54"/>
      <c r="E757" s="55"/>
      <c r="F757" s="54"/>
      <c r="G757" s="56"/>
      <c r="H757" s="56"/>
      <c r="I757" s="36" t="str">
        <f t="shared" si="36"/>
        <v/>
      </c>
      <c r="J757" s="36">
        <f t="shared" si="37"/>
        <v>0</v>
      </c>
      <c r="K757" s="36" t="str">
        <f t="shared" ca="1" si="38"/>
        <v/>
      </c>
    </row>
    <row r="758" spans="3:11" x14ac:dyDescent="0.25">
      <c r="C758" s="53"/>
      <c r="D758" s="54"/>
      <c r="E758" s="55"/>
      <c r="F758" s="54"/>
      <c r="G758" s="56"/>
      <c r="H758" s="56"/>
      <c r="I758" s="36" t="str">
        <f t="shared" si="36"/>
        <v/>
      </c>
      <c r="J758" s="36">
        <f t="shared" si="37"/>
        <v>0</v>
      </c>
      <c r="K758" s="36" t="str">
        <f t="shared" ca="1" si="38"/>
        <v/>
      </c>
    </row>
    <row r="759" spans="3:11" x14ac:dyDescent="0.25">
      <c r="C759" s="53"/>
      <c r="D759" s="54"/>
      <c r="E759" s="55"/>
      <c r="F759" s="54"/>
      <c r="G759" s="56"/>
      <c r="H759" s="56"/>
      <c r="I759" s="36" t="str">
        <f t="shared" si="36"/>
        <v/>
      </c>
      <c r="J759" s="36">
        <f t="shared" si="37"/>
        <v>0</v>
      </c>
      <c r="K759" s="36" t="str">
        <f t="shared" ca="1" si="38"/>
        <v/>
      </c>
    </row>
    <row r="760" spans="3:11" x14ac:dyDescent="0.25">
      <c r="C760" s="53"/>
      <c r="D760" s="54"/>
      <c r="E760" s="55"/>
      <c r="F760" s="54"/>
      <c r="G760" s="56"/>
      <c r="H760" s="56"/>
      <c r="I760" s="36" t="str">
        <f t="shared" si="36"/>
        <v/>
      </c>
      <c r="J760" s="36">
        <f t="shared" si="37"/>
        <v>0</v>
      </c>
      <c r="K760" s="36" t="str">
        <f t="shared" ca="1" si="38"/>
        <v/>
      </c>
    </row>
    <row r="761" spans="3:11" x14ac:dyDescent="0.25">
      <c r="C761" s="53"/>
      <c r="D761" s="54"/>
      <c r="E761" s="55"/>
      <c r="F761" s="54"/>
      <c r="G761" s="56"/>
      <c r="H761" s="56"/>
      <c r="I761" s="36" t="str">
        <f t="shared" si="36"/>
        <v/>
      </c>
      <c r="J761" s="36">
        <f t="shared" si="37"/>
        <v>0</v>
      </c>
      <c r="K761" s="36" t="str">
        <f t="shared" ca="1" si="38"/>
        <v/>
      </c>
    </row>
    <row r="762" spans="3:11" x14ac:dyDescent="0.25">
      <c r="C762" s="53"/>
      <c r="D762" s="54"/>
      <c r="E762" s="55"/>
      <c r="F762" s="54"/>
      <c r="G762" s="56"/>
      <c r="H762" s="56"/>
      <c r="I762" s="36" t="str">
        <f t="shared" si="36"/>
        <v/>
      </c>
      <c r="J762" s="36">
        <f t="shared" si="37"/>
        <v>0</v>
      </c>
      <c r="K762" s="36" t="str">
        <f t="shared" ca="1" si="38"/>
        <v/>
      </c>
    </row>
    <row r="763" spans="3:11" x14ac:dyDescent="0.25">
      <c r="C763" s="53"/>
      <c r="D763" s="54"/>
      <c r="E763" s="55"/>
      <c r="F763" s="54"/>
      <c r="G763" s="56"/>
      <c r="H763" s="56"/>
      <c r="I763" s="36" t="str">
        <f t="shared" si="36"/>
        <v/>
      </c>
      <c r="J763" s="36">
        <f t="shared" si="37"/>
        <v>0</v>
      </c>
      <c r="K763" s="36" t="str">
        <f t="shared" ca="1" si="38"/>
        <v/>
      </c>
    </row>
    <row r="764" spans="3:11" x14ac:dyDescent="0.25">
      <c r="C764" s="53"/>
      <c r="D764" s="54"/>
      <c r="E764" s="55"/>
      <c r="F764" s="54"/>
      <c r="G764" s="56"/>
      <c r="H764" s="56"/>
      <c r="I764" s="36" t="str">
        <f t="shared" si="36"/>
        <v/>
      </c>
      <c r="J764" s="36">
        <f t="shared" si="37"/>
        <v>0</v>
      </c>
      <c r="K764" s="36" t="str">
        <f t="shared" ca="1" si="38"/>
        <v/>
      </c>
    </row>
    <row r="765" spans="3:11" x14ac:dyDescent="0.25">
      <c r="C765" s="53"/>
      <c r="D765" s="54"/>
      <c r="E765" s="55"/>
      <c r="F765" s="54"/>
      <c r="G765" s="56"/>
      <c r="H765" s="56"/>
      <c r="I765" s="36" t="str">
        <f t="shared" si="36"/>
        <v/>
      </c>
      <c r="J765" s="36">
        <f t="shared" si="37"/>
        <v>0</v>
      </c>
      <c r="K765" s="36" t="str">
        <f t="shared" ca="1" si="38"/>
        <v/>
      </c>
    </row>
    <row r="766" spans="3:11" x14ac:dyDescent="0.25">
      <c r="C766" s="53"/>
      <c r="D766" s="54"/>
      <c r="E766" s="55"/>
      <c r="F766" s="54"/>
      <c r="G766" s="56"/>
      <c r="H766" s="56"/>
      <c r="I766" s="36" t="str">
        <f t="shared" si="36"/>
        <v/>
      </c>
      <c r="J766" s="36">
        <f t="shared" si="37"/>
        <v>0</v>
      </c>
      <c r="K766" s="36" t="str">
        <f t="shared" ca="1" si="38"/>
        <v/>
      </c>
    </row>
    <row r="767" spans="3:11" x14ac:dyDescent="0.25">
      <c r="C767" s="53"/>
      <c r="D767" s="54"/>
      <c r="E767" s="55"/>
      <c r="F767" s="54"/>
      <c r="G767" s="56"/>
      <c r="H767" s="56"/>
      <c r="I767" s="36" t="str">
        <f t="shared" si="36"/>
        <v/>
      </c>
      <c r="J767" s="36">
        <f t="shared" si="37"/>
        <v>0</v>
      </c>
      <c r="K767" s="36" t="str">
        <f t="shared" ca="1" si="38"/>
        <v/>
      </c>
    </row>
    <row r="768" spans="3:11" x14ac:dyDescent="0.25">
      <c r="C768" s="53"/>
      <c r="D768" s="54"/>
      <c r="E768" s="55"/>
      <c r="F768" s="54"/>
      <c r="G768" s="56"/>
      <c r="H768" s="56"/>
      <c r="I768" s="36" t="str">
        <f t="shared" si="36"/>
        <v/>
      </c>
      <c r="J768" s="36">
        <f t="shared" si="37"/>
        <v>0</v>
      </c>
      <c r="K768" s="36" t="str">
        <f t="shared" ca="1" si="38"/>
        <v/>
      </c>
    </row>
    <row r="769" spans="3:11" x14ac:dyDescent="0.25">
      <c r="C769" s="53"/>
      <c r="D769" s="54"/>
      <c r="E769" s="55"/>
      <c r="F769" s="54"/>
      <c r="G769" s="56"/>
      <c r="H769" s="56"/>
      <c r="I769" s="36" t="str">
        <f t="shared" si="36"/>
        <v/>
      </c>
      <c r="J769" s="36">
        <f t="shared" si="37"/>
        <v>0</v>
      </c>
      <c r="K769" s="36" t="str">
        <f t="shared" ca="1" si="38"/>
        <v/>
      </c>
    </row>
    <row r="770" spans="3:11" x14ac:dyDescent="0.25">
      <c r="C770" s="53"/>
      <c r="D770" s="54"/>
      <c r="E770" s="55"/>
      <c r="F770" s="54"/>
      <c r="G770" s="56"/>
      <c r="H770" s="56"/>
      <c r="I770" s="36" t="str">
        <f t="shared" si="36"/>
        <v/>
      </c>
      <c r="J770" s="36">
        <f t="shared" si="37"/>
        <v>0</v>
      </c>
      <c r="K770" s="36" t="str">
        <f t="shared" ca="1" si="38"/>
        <v/>
      </c>
    </row>
    <row r="771" spans="3:11" x14ac:dyDescent="0.25">
      <c r="C771" s="53"/>
      <c r="D771" s="54"/>
      <c r="E771" s="55"/>
      <c r="F771" s="54"/>
      <c r="G771" s="56"/>
      <c r="H771" s="56"/>
      <c r="I771" s="36" t="str">
        <f t="shared" si="36"/>
        <v/>
      </c>
      <c r="J771" s="36">
        <f t="shared" si="37"/>
        <v>0</v>
      </c>
      <c r="K771" s="36" t="str">
        <f t="shared" ca="1" si="38"/>
        <v/>
      </c>
    </row>
    <row r="772" spans="3:11" x14ac:dyDescent="0.25">
      <c r="C772" s="53"/>
      <c r="D772" s="54"/>
      <c r="E772" s="55"/>
      <c r="F772" s="54"/>
      <c r="G772" s="56"/>
      <c r="H772" s="56"/>
      <c r="I772" s="36" t="str">
        <f t="shared" si="36"/>
        <v/>
      </c>
      <c r="J772" s="36">
        <f t="shared" si="37"/>
        <v>0</v>
      </c>
      <c r="K772" s="36" t="str">
        <f t="shared" ca="1" si="38"/>
        <v/>
      </c>
    </row>
    <row r="773" spans="3:11" x14ac:dyDescent="0.25">
      <c r="C773" s="53"/>
      <c r="D773" s="54"/>
      <c r="E773" s="55"/>
      <c r="F773" s="54"/>
      <c r="G773" s="56"/>
      <c r="H773" s="56"/>
      <c r="I773" s="36" t="str">
        <f t="shared" si="36"/>
        <v/>
      </c>
      <c r="J773" s="36">
        <f t="shared" si="37"/>
        <v>0</v>
      </c>
      <c r="K773" s="36" t="str">
        <f t="shared" ca="1" si="38"/>
        <v/>
      </c>
    </row>
    <row r="774" spans="3:11" x14ac:dyDescent="0.25">
      <c r="C774" s="53"/>
      <c r="D774" s="54"/>
      <c r="E774" s="55"/>
      <c r="F774" s="54"/>
      <c r="G774" s="56"/>
      <c r="H774" s="56"/>
      <c r="I774" s="36" t="str">
        <f t="shared" si="36"/>
        <v/>
      </c>
      <c r="J774" s="36">
        <f t="shared" si="37"/>
        <v>0</v>
      </c>
      <c r="K774" s="36" t="str">
        <f t="shared" ca="1" si="38"/>
        <v/>
      </c>
    </row>
    <row r="775" spans="3:11" x14ac:dyDescent="0.25">
      <c r="C775" s="53"/>
      <c r="D775" s="54"/>
      <c r="E775" s="55"/>
      <c r="F775" s="54"/>
      <c r="G775" s="56"/>
      <c r="H775" s="56"/>
      <c r="I775" s="36" t="str">
        <f t="shared" si="36"/>
        <v/>
      </c>
      <c r="J775" s="36">
        <f t="shared" si="37"/>
        <v>0</v>
      </c>
      <c r="K775" s="36" t="str">
        <f t="shared" ca="1" si="38"/>
        <v/>
      </c>
    </row>
  </sheetData>
  <sheetProtection selectLockedCells="1"/>
  <autoFilter ref="C14:K14" xr:uid="{01300E15-3204-407F-B29E-A1AA936ADD5D}"/>
  <mergeCells count="6">
    <mergeCell ref="F11:G11"/>
    <mergeCell ref="F12:G12"/>
    <mergeCell ref="J6:K6"/>
    <mergeCell ref="C4:K4"/>
    <mergeCell ref="F9:G9"/>
    <mergeCell ref="F10:G10"/>
  </mergeCells>
  <printOptions horizontalCentered="1"/>
  <pageMargins left="0.19685039370078741" right="0.19685039370078741" top="0.19685039370078741" bottom="0.19685039370078741" header="0.11811023622047245" footer="0.11811023622047245"/>
  <pageSetup paperSize="9" scale="6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EBD4D-DAE2-40C4-8B20-02AB649BBBA5}">
  <dimension ref="A1:K776"/>
  <sheetViews>
    <sheetView showGridLines="0" topLeftCell="A10" zoomScale="90" zoomScaleNormal="90" zoomScaleSheetLayoutView="115" workbookViewId="0">
      <selection activeCell="H21" sqref="H15:H21"/>
    </sheetView>
  </sheetViews>
  <sheetFormatPr defaultColWidth="9.140625" defaultRowHeight="15" x14ac:dyDescent="0.25"/>
  <cols>
    <col min="1" max="2" width="1.7109375" style="1" customWidth="1"/>
    <col min="3" max="3" width="12.85546875" style="1" customWidth="1"/>
    <col min="4" max="4" width="35" style="1" customWidth="1"/>
    <col min="5" max="5" width="29" style="13" customWidth="1"/>
    <col min="6" max="6" width="15.85546875" style="1" bestFit="1" customWidth="1"/>
    <col min="7" max="11" width="18.7109375" style="1" customWidth="1"/>
    <col min="12" max="16384" width="9.140625" style="1"/>
  </cols>
  <sheetData>
    <row r="1" spans="1:11" ht="16.5" thickBot="1" x14ac:dyDescent="0.3">
      <c r="C1" s="40"/>
      <c r="D1" s="40"/>
      <c r="E1" s="3"/>
      <c r="F1" s="2"/>
      <c r="G1" s="2"/>
      <c r="H1" s="2"/>
    </row>
    <row r="2" spans="1:11" ht="11.25" customHeight="1" x14ac:dyDescent="0.25">
      <c r="C2" s="43"/>
      <c r="D2" s="41"/>
      <c r="E2" s="5"/>
      <c r="F2" s="4"/>
      <c r="G2" s="4"/>
      <c r="H2" s="4"/>
      <c r="I2" s="22"/>
      <c r="J2" s="22"/>
      <c r="K2" s="23"/>
    </row>
    <row r="3" spans="1:11" s="7" customFormat="1" ht="39.950000000000003" customHeight="1" x14ac:dyDescent="0.25">
      <c r="A3" s="6"/>
      <c r="B3" s="6"/>
      <c r="C3" s="44"/>
      <c r="D3" s="42"/>
      <c r="E3" s="15"/>
      <c r="F3" s="14"/>
      <c r="G3" s="14"/>
      <c r="H3" s="16"/>
      <c r="I3" s="24"/>
      <c r="J3" s="24"/>
      <c r="K3" s="25"/>
    </row>
    <row r="4" spans="1:11" s="7" customFormat="1" ht="39.950000000000003" customHeight="1" x14ac:dyDescent="0.25">
      <c r="A4" s="6"/>
      <c r="B4" s="6"/>
      <c r="C4" s="60" t="s">
        <v>3</v>
      </c>
      <c r="D4" s="61"/>
      <c r="E4" s="61"/>
      <c r="F4" s="61"/>
      <c r="G4" s="61"/>
      <c r="H4" s="61"/>
      <c r="I4" s="61"/>
      <c r="J4" s="61"/>
      <c r="K4" s="62"/>
    </row>
    <row r="5" spans="1:11" ht="15.75" x14ac:dyDescent="0.25">
      <c r="C5" s="8"/>
      <c r="D5" s="49"/>
      <c r="E5" s="18"/>
      <c r="F5" s="17"/>
      <c r="G5" s="17"/>
      <c r="I5" s="26"/>
      <c r="J5" s="19"/>
      <c r="K5" s="9" t="s">
        <v>0</v>
      </c>
    </row>
    <row r="6" spans="1:11" ht="15.75" x14ac:dyDescent="0.25">
      <c r="C6" s="45"/>
      <c r="D6" s="48"/>
      <c r="E6" s="20"/>
      <c r="F6" s="21"/>
      <c r="G6" s="21"/>
      <c r="I6" s="26"/>
      <c r="J6" s="63"/>
      <c r="K6" s="64"/>
    </row>
    <row r="7" spans="1:11" ht="16.5" thickBot="1" x14ac:dyDescent="0.3">
      <c r="C7" s="46"/>
      <c r="D7" s="47"/>
      <c r="E7" s="11"/>
      <c r="F7" s="12"/>
      <c r="G7" s="12"/>
      <c r="H7" s="12"/>
      <c r="I7" s="27"/>
      <c r="J7" s="27"/>
      <c r="K7" s="28"/>
    </row>
    <row r="8" spans="1:11" s="29" customFormat="1" ht="7.5" customHeight="1" x14ac:dyDescent="0.25">
      <c r="C8" s="30"/>
      <c r="D8" s="30"/>
      <c r="E8" s="30"/>
      <c r="F8" s="33"/>
      <c r="G8" s="33"/>
      <c r="H8" s="34"/>
      <c r="I8" s="30"/>
    </row>
    <row r="9" spans="1:11" ht="15.75" x14ac:dyDescent="0.25">
      <c r="C9" s="39"/>
      <c r="D9" s="39"/>
      <c r="E9" s="39" t="s">
        <v>11</v>
      </c>
      <c r="F9" s="65">
        <f>SUM(H15:H741)</f>
        <v>0</v>
      </c>
      <c r="G9" s="65"/>
      <c r="H9" s="21"/>
    </row>
    <row r="10" spans="1:11" ht="15.75" x14ac:dyDescent="0.25">
      <c r="C10" s="39" t="s">
        <v>1</v>
      </c>
      <c r="D10" s="39"/>
      <c r="E10" s="39" t="s">
        <v>13</v>
      </c>
      <c r="F10" s="65">
        <f>SUMIF(I15:I741,"&lt;&gt;Sim",J15:J741)</f>
        <v>0</v>
      </c>
      <c r="G10" s="66"/>
      <c r="H10" s="37"/>
    </row>
    <row r="11" spans="1:11" ht="15.75" x14ac:dyDescent="0.25">
      <c r="C11" s="39" t="s">
        <v>16</v>
      </c>
      <c r="D11" s="39" t="s">
        <v>27</v>
      </c>
      <c r="E11" s="39" t="s">
        <v>12</v>
      </c>
      <c r="F11" s="65">
        <f ca="1">SUMIF(K15:K741,"=Próximos sete dias",J15:J741)</f>
        <v>0</v>
      </c>
      <c r="G11" s="66"/>
      <c r="H11" s="38"/>
    </row>
    <row r="12" spans="1:11" ht="16.5" thickBot="1" x14ac:dyDescent="0.3">
      <c r="C12" s="10"/>
      <c r="D12" s="10"/>
      <c r="E12" s="39" t="s">
        <v>14</v>
      </c>
      <c r="F12" s="59">
        <f ca="1">SUMIF(K15:K741,"VENCIDA",J15:J741)</f>
        <v>0</v>
      </c>
      <c r="G12" s="59"/>
      <c r="H12" s="35"/>
      <c r="I12" s="10"/>
    </row>
    <row r="13" spans="1:11" s="29" customFormat="1" ht="7.5" customHeight="1" thickTop="1" thickBot="1" x14ac:dyDescent="0.3">
      <c r="C13" s="30"/>
      <c r="D13" s="30"/>
      <c r="E13" s="30"/>
      <c r="F13" s="31"/>
      <c r="G13" s="31"/>
      <c r="H13" s="32"/>
      <c r="I13" s="30"/>
    </row>
    <row r="14" spans="1:11" ht="15.75" thickTop="1" x14ac:dyDescent="0.25">
      <c r="C14" s="50" t="s">
        <v>4</v>
      </c>
      <c r="D14" s="51" t="s">
        <v>5</v>
      </c>
      <c r="E14" s="51" t="s">
        <v>7</v>
      </c>
      <c r="F14" s="51" t="s">
        <v>6</v>
      </c>
      <c r="G14" s="51" t="s">
        <v>8</v>
      </c>
      <c r="H14" s="51" t="s">
        <v>15</v>
      </c>
      <c r="I14" s="51" t="s">
        <v>10</v>
      </c>
      <c r="J14" s="51" t="s">
        <v>2</v>
      </c>
      <c r="K14" s="52" t="s">
        <v>9</v>
      </c>
    </row>
    <row r="15" spans="1:11" x14ac:dyDescent="0.25">
      <c r="C15" s="53"/>
      <c r="D15" s="54"/>
      <c r="E15" s="55"/>
      <c r="F15" s="54"/>
      <c r="G15" s="56"/>
      <c r="H15" s="57"/>
      <c r="I15" s="36" t="str">
        <f>IF(C15="","",IF(H15&lt;=0,"Em aberto",IF(H15&gt;=G15,"Pagamento Total",IF(H15&lt;G15,"Pagamento Parcial"))))</f>
        <v/>
      </c>
      <c r="J15" s="36">
        <f>IF(C15&gt;0,G15-H15,0)</f>
        <v>0</v>
      </c>
      <c r="K15" s="36" t="str">
        <f ca="1">IF(ISBLANK(C15),"",IF(H15=G15,"Pago",IF(C15=TODAY(),"Vence Hoje",IF(TRIM(UPPER(G14))&lt;&gt;"S",IF(C15-TODAY()&lt;0,"Vencida",IF(C15-TODAY()&lt;8,"Próximos sete dias","Em aberto"))))))</f>
        <v/>
      </c>
    </row>
    <row r="16" spans="1:11" x14ac:dyDescent="0.25">
      <c r="C16" s="53"/>
      <c r="D16" s="54"/>
      <c r="E16" s="55"/>
      <c r="F16" s="54"/>
      <c r="G16" s="56"/>
      <c r="H16" s="57"/>
      <c r="I16" s="36" t="str">
        <f t="shared" ref="I16:I80" si="0">IF(C16="","",IF(H16&lt;=0,"Em aberto",IF(H16&gt;=G16,"Pagamento Total",IF(H16&lt;G16,"Pagamento Parcial"))))</f>
        <v/>
      </c>
      <c r="J16" s="36">
        <f t="shared" ref="J16:J80" si="1">IF(C16&gt;0,G16-H16,0)</f>
        <v>0</v>
      </c>
      <c r="K16" s="36" t="str">
        <f t="shared" ref="K16:K80" ca="1" si="2">IF(ISBLANK(C16),"",IF(H16=G16,"Pago",IF(C16=TODAY(),"Vence Hoje",IF(TRIM(UPPER(G15))&lt;&gt;"S",IF(C16-TODAY()&lt;0,"Vencida",IF(C16-TODAY()&lt;8,"Próximos sete dias","Em aberto"))))))</f>
        <v/>
      </c>
    </row>
    <row r="17" spans="3:11" x14ac:dyDescent="0.25">
      <c r="C17" s="53"/>
      <c r="D17" s="54"/>
      <c r="E17" s="55"/>
      <c r="F17" s="54"/>
      <c r="G17" s="56"/>
      <c r="H17" s="57"/>
      <c r="I17" s="36" t="str">
        <f t="shared" si="0"/>
        <v/>
      </c>
      <c r="J17" s="36">
        <f t="shared" si="1"/>
        <v>0</v>
      </c>
      <c r="K17" s="36" t="str">
        <f ca="1">IF(ISBLANK(C17),"",IF(H17=G17,"Pago",IF(C17=TODAY(),"Vence Hoje",IF(TRIM(UPPER(G16))&lt;&gt;"S",IF(C17-TODAY()&lt;0,"Vencida",IF(C17-TODAY()&lt;8,"Próximos sete dias","Em aberto"))))))</f>
        <v/>
      </c>
    </row>
    <row r="18" spans="3:11" x14ac:dyDescent="0.25">
      <c r="C18" s="53"/>
      <c r="D18" s="54"/>
      <c r="E18" s="55"/>
      <c r="F18" s="54"/>
      <c r="G18" s="56"/>
      <c r="H18" s="57"/>
      <c r="I18" s="36" t="str">
        <f t="shared" si="0"/>
        <v/>
      </c>
      <c r="J18" s="36">
        <f t="shared" si="1"/>
        <v>0</v>
      </c>
      <c r="K18" s="36" t="str">
        <f t="shared" ca="1" si="2"/>
        <v/>
      </c>
    </row>
    <row r="19" spans="3:11" x14ac:dyDescent="0.25">
      <c r="C19" s="53"/>
      <c r="D19" s="54"/>
      <c r="E19" s="55"/>
      <c r="F19" s="54"/>
      <c r="G19" s="56"/>
      <c r="H19" s="57"/>
      <c r="I19" s="36" t="str">
        <f t="shared" si="0"/>
        <v/>
      </c>
      <c r="J19" s="36">
        <f t="shared" si="1"/>
        <v>0</v>
      </c>
      <c r="K19" s="36" t="str">
        <f t="shared" ca="1" si="2"/>
        <v/>
      </c>
    </row>
    <row r="20" spans="3:11" x14ac:dyDescent="0.25">
      <c r="C20" s="53"/>
      <c r="D20" s="54"/>
      <c r="E20" s="55"/>
      <c r="F20" s="54"/>
      <c r="G20" s="56"/>
      <c r="H20" s="57"/>
      <c r="I20" s="36" t="str">
        <f t="shared" si="0"/>
        <v/>
      </c>
      <c r="J20" s="36">
        <f t="shared" si="1"/>
        <v>0</v>
      </c>
      <c r="K20" s="36" t="str">
        <f t="shared" ca="1" si="2"/>
        <v/>
      </c>
    </row>
    <row r="21" spans="3:11" x14ac:dyDescent="0.25">
      <c r="C21" s="53"/>
      <c r="D21" s="54"/>
      <c r="E21" s="55"/>
      <c r="F21" s="54"/>
      <c r="G21" s="56"/>
      <c r="H21" s="57"/>
      <c r="I21" s="36" t="str">
        <f t="shared" si="0"/>
        <v/>
      </c>
      <c r="J21" s="36">
        <f t="shared" si="1"/>
        <v>0</v>
      </c>
      <c r="K21" s="36"/>
    </row>
    <row r="22" spans="3:11" x14ac:dyDescent="0.25">
      <c r="C22" s="53"/>
      <c r="D22" s="54"/>
      <c r="E22" s="55"/>
      <c r="F22" s="54"/>
      <c r="G22" s="56"/>
      <c r="H22" s="57"/>
      <c r="I22" s="36" t="str">
        <f t="shared" si="0"/>
        <v/>
      </c>
      <c r="J22" s="36">
        <f t="shared" si="1"/>
        <v>0</v>
      </c>
      <c r="K22" s="36" t="str">
        <f ca="1">IF(ISBLANK(C22),"",IF(H22=G22,"Pago",IF(C22=TODAY(),"Vence Hoje",IF(TRIM(UPPER(G20))&lt;&gt;"S",IF(C22-TODAY()&lt;0,"Vencida",IF(C22-TODAY()&lt;8,"Próximos sete dias","Em aberto"))))))</f>
        <v/>
      </c>
    </row>
    <row r="23" spans="3:11" x14ac:dyDescent="0.25">
      <c r="C23" s="53"/>
      <c r="D23" s="54"/>
      <c r="E23" s="55"/>
      <c r="F23" s="54"/>
      <c r="G23" s="56"/>
      <c r="H23" s="57"/>
      <c r="I23" s="36" t="str">
        <f t="shared" si="0"/>
        <v/>
      </c>
      <c r="J23" s="36">
        <f t="shared" si="1"/>
        <v>0</v>
      </c>
      <c r="K23" s="36" t="str">
        <f t="shared" ca="1" si="2"/>
        <v/>
      </c>
    </row>
    <row r="24" spans="3:11" x14ac:dyDescent="0.25">
      <c r="C24" s="53"/>
      <c r="D24" s="54"/>
      <c r="E24" s="55"/>
      <c r="F24" s="54"/>
      <c r="G24" s="56"/>
      <c r="H24" s="57"/>
      <c r="I24" s="36" t="str">
        <f t="shared" si="0"/>
        <v/>
      </c>
      <c r="J24" s="36">
        <f t="shared" si="1"/>
        <v>0</v>
      </c>
      <c r="K24" s="36" t="str">
        <f t="shared" ca="1" si="2"/>
        <v/>
      </c>
    </row>
    <row r="25" spans="3:11" x14ac:dyDescent="0.25">
      <c r="C25" s="53"/>
      <c r="D25" s="54"/>
      <c r="E25" s="55"/>
      <c r="F25" s="54"/>
      <c r="G25" s="56"/>
      <c r="H25" s="57"/>
      <c r="I25" s="36" t="str">
        <f t="shared" si="0"/>
        <v/>
      </c>
      <c r="J25" s="36">
        <f t="shared" si="1"/>
        <v>0</v>
      </c>
      <c r="K25" s="36" t="str">
        <f t="shared" ca="1" si="2"/>
        <v/>
      </c>
    </row>
    <row r="26" spans="3:11" x14ac:dyDescent="0.25">
      <c r="C26" s="53"/>
      <c r="D26" s="54"/>
      <c r="E26" s="55"/>
      <c r="F26" s="54"/>
      <c r="G26" s="56"/>
      <c r="H26" s="57"/>
      <c r="I26" s="36" t="str">
        <f t="shared" si="0"/>
        <v/>
      </c>
      <c r="J26" s="36">
        <f t="shared" si="1"/>
        <v>0</v>
      </c>
      <c r="K26" s="36" t="str">
        <f t="shared" ca="1" si="2"/>
        <v/>
      </c>
    </row>
    <row r="27" spans="3:11" x14ac:dyDescent="0.25">
      <c r="C27" s="53"/>
      <c r="D27" s="54"/>
      <c r="E27" s="55"/>
      <c r="F27" s="54"/>
      <c r="G27" s="56"/>
      <c r="H27" s="57"/>
      <c r="I27" s="36" t="str">
        <f t="shared" si="0"/>
        <v/>
      </c>
      <c r="J27" s="36">
        <f t="shared" si="1"/>
        <v>0</v>
      </c>
      <c r="K27" s="36" t="str">
        <f t="shared" ca="1" si="2"/>
        <v/>
      </c>
    </row>
    <row r="28" spans="3:11" x14ac:dyDescent="0.25">
      <c r="C28" s="53"/>
      <c r="D28" s="54"/>
      <c r="E28" s="55"/>
      <c r="F28" s="54"/>
      <c r="G28" s="56"/>
      <c r="H28" s="57"/>
      <c r="I28" s="36" t="str">
        <f t="shared" si="0"/>
        <v/>
      </c>
      <c r="J28" s="36">
        <f t="shared" si="1"/>
        <v>0</v>
      </c>
      <c r="K28" s="36" t="str">
        <f t="shared" ca="1" si="2"/>
        <v/>
      </c>
    </row>
    <row r="29" spans="3:11" x14ac:dyDescent="0.25">
      <c r="C29" s="53"/>
      <c r="D29" s="54"/>
      <c r="E29" s="55"/>
      <c r="F29" s="54"/>
      <c r="G29" s="56"/>
      <c r="H29" s="57"/>
      <c r="I29" s="36" t="str">
        <f t="shared" si="0"/>
        <v/>
      </c>
      <c r="J29" s="36">
        <f t="shared" si="1"/>
        <v>0</v>
      </c>
      <c r="K29" s="36" t="str">
        <f t="shared" ca="1" si="2"/>
        <v/>
      </c>
    </row>
    <row r="30" spans="3:11" x14ac:dyDescent="0.25">
      <c r="C30" s="53"/>
      <c r="D30" s="54"/>
      <c r="E30" s="55"/>
      <c r="F30" s="54"/>
      <c r="G30" s="56"/>
      <c r="H30" s="57"/>
      <c r="I30" s="36" t="str">
        <f t="shared" si="0"/>
        <v/>
      </c>
      <c r="J30" s="36">
        <f t="shared" si="1"/>
        <v>0</v>
      </c>
      <c r="K30" s="36" t="str">
        <f t="shared" ca="1" si="2"/>
        <v/>
      </c>
    </row>
    <row r="31" spans="3:11" x14ac:dyDescent="0.25">
      <c r="C31" s="53"/>
      <c r="D31" s="54"/>
      <c r="E31" s="55"/>
      <c r="F31" s="54"/>
      <c r="G31" s="56"/>
      <c r="H31" s="57"/>
      <c r="I31" s="36" t="str">
        <f t="shared" si="0"/>
        <v/>
      </c>
      <c r="J31" s="36">
        <f t="shared" si="1"/>
        <v>0</v>
      </c>
      <c r="K31" s="36" t="str">
        <f t="shared" ca="1" si="2"/>
        <v/>
      </c>
    </row>
    <row r="32" spans="3:11" x14ac:dyDescent="0.25">
      <c r="C32" s="53"/>
      <c r="D32" s="54"/>
      <c r="E32" s="55"/>
      <c r="F32" s="54"/>
      <c r="G32" s="56"/>
      <c r="H32" s="57"/>
      <c r="I32" s="36" t="str">
        <f t="shared" si="0"/>
        <v/>
      </c>
      <c r="J32" s="36">
        <f t="shared" si="1"/>
        <v>0</v>
      </c>
      <c r="K32" s="36" t="str">
        <f t="shared" ca="1" si="2"/>
        <v/>
      </c>
    </row>
    <row r="33" spans="3:11" x14ac:dyDescent="0.25">
      <c r="C33" s="53"/>
      <c r="D33" s="54"/>
      <c r="E33" s="55"/>
      <c r="F33" s="54"/>
      <c r="G33" s="56"/>
      <c r="H33" s="57"/>
      <c r="I33" s="36" t="str">
        <f t="shared" si="0"/>
        <v/>
      </c>
      <c r="J33" s="36">
        <f t="shared" si="1"/>
        <v>0</v>
      </c>
      <c r="K33" s="36" t="str">
        <f t="shared" ca="1" si="2"/>
        <v/>
      </c>
    </row>
    <row r="34" spans="3:11" x14ac:dyDescent="0.25">
      <c r="C34" s="53"/>
      <c r="D34" s="54"/>
      <c r="E34" s="55"/>
      <c r="F34" s="54"/>
      <c r="G34" s="56"/>
      <c r="H34" s="57"/>
      <c r="I34" s="36" t="str">
        <f t="shared" si="0"/>
        <v/>
      </c>
      <c r="J34" s="36">
        <f t="shared" si="1"/>
        <v>0</v>
      </c>
      <c r="K34" s="36" t="str">
        <f t="shared" ca="1" si="2"/>
        <v/>
      </c>
    </row>
    <row r="35" spans="3:11" x14ac:dyDescent="0.25">
      <c r="C35" s="53"/>
      <c r="D35" s="54"/>
      <c r="E35" s="55"/>
      <c r="F35" s="54"/>
      <c r="G35" s="56"/>
      <c r="H35" s="57"/>
      <c r="I35" s="36" t="str">
        <f t="shared" si="0"/>
        <v/>
      </c>
      <c r="J35" s="36">
        <f t="shared" si="1"/>
        <v>0</v>
      </c>
      <c r="K35" s="36" t="str">
        <f t="shared" ca="1" si="2"/>
        <v/>
      </c>
    </row>
    <row r="36" spans="3:11" x14ac:dyDescent="0.25">
      <c r="C36" s="53"/>
      <c r="D36" s="54"/>
      <c r="E36" s="55"/>
      <c r="F36" s="54"/>
      <c r="G36" s="56"/>
      <c r="H36" s="57"/>
      <c r="I36" s="36" t="str">
        <f t="shared" si="0"/>
        <v/>
      </c>
      <c r="J36" s="36">
        <f t="shared" si="1"/>
        <v>0</v>
      </c>
      <c r="K36" s="36" t="str">
        <f t="shared" ca="1" si="2"/>
        <v/>
      </c>
    </row>
    <row r="37" spans="3:11" x14ac:dyDescent="0.25">
      <c r="C37" s="53"/>
      <c r="D37" s="54"/>
      <c r="E37" s="55"/>
      <c r="F37" s="54"/>
      <c r="G37" s="56"/>
      <c r="H37" s="57"/>
      <c r="I37" s="36" t="str">
        <f t="shared" si="0"/>
        <v/>
      </c>
      <c r="J37" s="36">
        <f t="shared" si="1"/>
        <v>0</v>
      </c>
      <c r="K37" s="36" t="str">
        <f t="shared" ca="1" si="2"/>
        <v/>
      </c>
    </row>
    <row r="38" spans="3:11" x14ac:dyDescent="0.25">
      <c r="C38" s="53"/>
      <c r="D38" s="54"/>
      <c r="E38" s="55"/>
      <c r="F38" s="54"/>
      <c r="G38" s="56"/>
      <c r="H38" s="57"/>
      <c r="I38" s="36" t="str">
        <f t="shared" si="0"/>
        <v/>
      </c>
      <c r="J38" s="36">
        <f t="shared" si="1"/>
        <v>0</v>
      </c>
      <c r="K38" s="36" t="str">
        <f t="shared" ca="1" si="2"/>
        <v/>
      </c>
    </row>
    <row r="39" spans="3:11" x14ac:dyDescent="0.25">
      <c r="C39" s="53"/>
      <c r="D39" s="54"/>
      <c r="E39" s="55"/>
      <c r="F39" s="54"/>
      <c r="G39" s="56"/>
      <c r="H39" s="57"/>
      <c r="I39" s="36" t="str">
        <f t="shared" si="0"/>
        <v/>
      </c>
      <c r="J39" s="36">
        <f t="shared" si="1"/>
        <v>0</v>
      </c>
      <c r="K39" s="36" t="str">
        <f t="shared" ca="1" si="2"/>
        <v/>
      </c>
    </row>
    <row r="40" spans="3:11" x14ac:dyDescent="0.25">
      <c r="C40" s="53"/>
      <c r="D40" s="54"/>
      <c r="E40" s="55"/>
      <c r="F40" s="54"/>
      <c r="G40" s="56"/>
      <c r="H40" s="57"/>
      <c r="I40" s="36" t="str">
        <f t="shared" si="0"/>
        <v/>
      </c>
      <c r="J40" s="36">
        <f t="shared" si="1"/>
        <v>0</v>
      </c>
      <c r="K40" s="36" t="str">
        <f t="shared" ca="1" si="2"/>
        <v/>
      </c>
    </row>
    <row r="41" spans="3:11" x14ac:dyDescent="0.25">
      <c r="C41" s="53"/>
      <c r="D41" s="54"/>
      <c r="E41" s="55"/>
      <c r="F41" s="54"/>
      <c r="G41" s="56"/>
      <c r="H41" s="57"/>
      <c r="I41" s="36" t="str">
        <f t="shared" si="0"/>
        <v/>
      </c>
      <c r="J41" s="36">
        <f t="shared" si="1"/>
        <v>0</v>
      </c>
      <c r="K41" s="36" t="str">
        <f t="shared" ca="1" si="2"/>
        <v/>
      </c>
    </row>
    <row r="42" spans="3:11" x14ac:dyDescent="0.25">
      <c r="C42" s="53"/>
      <c r="D42" s="54"/>
      <c r="E42" s="55"/>
      <c r="F42" s="54"/>
      <c r="G42" s="56"/>
      <c r="H42" s="57"/>
      <c r="I42" s="36" t="str">
        <f t="shared" si="0"/>
        <v/>
      </c>
      <c r="J42" s="36">
        <f t="shared" si="1"/>
        <v>0</v>
      </c>
      <c r="K42" s="36" t="str">
        <f t="shared" ca="1" si="2"/>
        <v/>
      </c>
    </row>
    <row r="43" spans="3:11" x14ac:dyDescent="0.25">
      <c r="C43" s="53"/>
      <c r="D43" s="54"/>
      <c r="E43" s="55"/>
      <c r="F43" s="54"/>
      <c r="G43" s="56"/>
      <c r="H43" s="57"/>
      <c r="I43" s="36" t="str">
        <f t="shared" si="0"/>
        <v/>
      </c>
      <c r="J43" s="36">
        <f t="shared" si="1"/>
        <v>0</v>
      </c>
      <c r="K43" s="36" t="str">
        <f t="shared" ca="1" si="2"/>
        <v/>
      </c>
    </row>
    <row r="44" spans="3:11" x14ac:dyDescent="0.25">
      <c r="C44" s="53"/>
      <c r="D44" s="54"/>
      <c r="E44" s="55"/>
      <c r="F44" s="54"/>
      <c r="G44" s="56"/>
      <c r="H44" s="57"/>
      <c r="I44" s="36" t="str">
        <f t="shared" si="0"/>
        <v/>
      </c>
      <c r="J44" s="36">
        <f t="shared" si="1"/>
        <v>0</v>
      </c>
      <c r="K44" s="36" t="str">
        <f t="shared" ca="1" si="2"/>
        <v/>
      </c>
    </row>
    <row r="45" spans="3:11" x14ac:dyDescent="0.25">
      <c r="C45" s="53"/>
      <c r="D45" s="54"/>
      <c r="E45" s="55"/>
      <c r="F45" s="54"/>
      <c r="G45" s="56"/>
      <c r="H45" s="57"/>
      <c r="I45" s="36" t="str">
        <f t="shared" si="0"/>
        <v/>
      </c>
      <c r="J45" s="36">
        <f t="shared" si="1"/>
        <v>0</v>
      </c>
      <c r="K45" s="36" t="str">
        <f t="shared" ca="1" si="2"/>
        <v/>
      </c>
    </row>
    <row r="46" spans="3:11" x14ac:dyDescent="0.25">
      <c r="C46" s="53"/>
      <c r="D46" s="54"/>
      <c r="E46" s="55"/>
      <c r="F46" s="54"/>
      <c r="G46" s="56"/>
      <c r="H46" s="57"/>
      <c r="I46" s="36" t="str">
        <f t="shared" si="0"/>
        <v/>
      </c>
      <c r="J46" s="36">
        <f t="shared" si="1"/>
        <v>0</v>
      </c>
      <c r="K46" s="36" t="str">
        <f t="shared" ca="1" si="2"/>
        <v/>
      </c>
    </row>
    <row r="47" spans="3:11" x14ac:dyDescent="0.25">
      <c r="C47" s="53"/>
      <c r="D47" s="54"/>
      <c r="E47" s="55"/>
      <c r="F47" s="54"/>
      <c r="G47" s="56"/>
      <c r="H47" s="57"/>
      <c r="I47" s="36" t="str">
        <f t="shared" si="0"/>
        <v/>
      </c>
      <c r="J47" s="36">
        <f t="shared" si="1"/>
        <v>0</v>
      </c>
      <c r="K47" s="36" t="str">
        <f t="shared" ca="1" si="2"/>
        <v/>
      </c>
    </row>
    <row r="48" spans="3:11" x14ac:dyDescent="0.25">
      <c r="C48" s="53"/>
      <c r="D48" s="54"/>
      <c r="E48" s="55"/>
      <c r="F48" s="54"/>
      <c r="G48" s="56"/>
      <c r="H48" s="57"/>
      <c r="I48" s="36" t="str">
        <f t="shared" si="0"/>
        <v/>
      </c>
      <c r="J48" s="36">
        <f t="shared" si="1"/>
        <v>0</v>
      </c>
      <c r="K48" s="36" t="str">
        <f t="shared" ca="1" si="2"/>
        <v/>
      </c>
    </row>
    <row r="49" spans="3:11" x14ac:dyDescent="0.25">
      <c r="C49" s="53"/>
      <c r="D49" s="54"/>
      <c r="E49" s="55"/>
      <c r="F49" s="54"/>
      <c r="G49" s="56"/>
      <c r="H49" s="57"/>
      <c r="I49" s="36" t="str">
        <f t="shared" si="0"/>
        <v/>
      </c>
      <c r="J49" s="36">
        <f t="shared" si="1"/>
        <v>0</v>
      </c>
      <c r="K49" s="36" t="str">
        <f t="shared" ca="1" si="2"/>
        <v/>
      </c>
    </row>
    <row r="50" spans="3:11" x14ac:dyDescent="0.25">
      <c r="C50" s="53"/>
      <c r="D50" s="54"/>
      <c r="E50" s="55"/>
      <c r="F50" s="54"/>
      <c r="G50" s="56"/>
      <c r="H50" s="57"/>
      <c r="I50" s="36" t="str">
        <f t="shared" si="0"/>
        <v/>
      </c>
      <c r="J50" s="36">
        <f t="shared" si="1"/>
        <v>0</v>
      </c>
      <c r="K50" s="36" t="str">
        <f t="shared" ca="1" si="2"/>
        <v/>
      </c>
    </row>
    <row r="51" spans="3:11" x14ac:dyDescent="0.25">
      <c r="C51" s="53"/>
      <c r="D51" s="54"/>
      <c r="E51" s="55"/>
      <c r="F51" s="54"/>
      <c r="G51" s="56"/>
      <c r="H51" s="57"/>
      <c r="I51" s="36" t="str">
        <f t="shared" si="0"/>
        <v/>
      </c>
      <c r="J51" s="36">
        <f t="shared" si="1"/>
        <v>0</v>
      </c>
      <c r="K51" s="36" t="str">
        <f t="shared" ca="1" si="2"/>
        <v/>
      </c>
    </row>
    <row r="52" spans="3:11" x14ac:dyDescent="0.25">
      <c r="C52" s="53"/>
      <c r="D52" s="54"/>
      <c r="E52" s="55"/>
      <c r="F52" s="54"/>
      <c r="G52" s="56"/>
      <c r="H52" s="57"/>
      <c r="I52" s="36" t="str">
        <f t="shared" si="0"/>
        <v/>
      </c>
      <c r="J52" s="36">
        <f t="shared" si="1"/>
        <v>0</v>
      </c>
      <c r="K52" s="36" t="str">
        <f t="shared" ca="1" si="2"/>
        <v/>
      </c>
    </row>
    <row r="53" spans="3:11" x14ac:dyDescent="0.25">
      <c r="C53" s="53"/>
      <c r="D53" s="54"/>
      <c r="E53" s="55"/>
      <c r="F53" s="54"/>
      <c r="G53" s="56"/>
      <c r="H53" s="57"/>
      <c r="I53" s="36" t="str">
        <f t="shared" si="0"/>
        <v/>
      </c>
      <c r="J53" s="36">
        <f t="shared" si="1"/>
        <v>0</v>
      </c>
      <c r="K53" s="36" t="str">
        <f t="shared" ca="1" si="2"/>
        <v/>
      </c>
    </row>
    <row r="54" spans="3:11" x14ac:dyDescent="0.25">
      <c r="C54" s="53"/>
      <c r="D54" s="54"/>
      <c r="E54" s="55"/>
      <c r="F54" s="54"/>
      <c r="G54" s="56"/>
      <c r="H54" s="57"/>
      <c r="I54" s="36" t="str">
        <f t="shared" si="0"/>
        <v/>
      </c>
      <c r="J54" s="36">
        <f t="shared" si="1"/>
        <v>0</v>
      </c>
      <c r="K54" s="36" t="str">
        <f t="shared" ca="1" si="2"/>
        <v/>
      </c>
    </row>
    <row r="55" spans="3:11" x14ac:dyDescent="0.25">
      <c r="C55" s="53"/>
      <c r="D55" s="54"/>
      <c r="E55" s="55"/>
      <c r="F55" s="54"/>
      <c r="G55" s="56"/>
      <c r="H55" s="57"/>
      <c r="I55" s="36" t="str">
        <f t="shared" si="0"/>
        <v/>
      </c>
      <c r="J55" s="36">
        <f t="shared" si="1"/>
        <v>0</v>
      </c>
      <c r="K55" s="36" t="str">
        <f t="shared" ca="1" si="2"/>
        <v/>
      </c>
    </row>
    <row r="56" spans="3:11" x14ac:dyDescent="0.25">
      <c r="C56" s="53"/>
      <c r="D56" s="54"/>
      <c r="E56" s="55"/>
      <c r="F56" s="54"/>
      <c r="G56" s="56"/>
      <c r="H56" s="57"/>
      <c r="I56" s="36" t="str">
        <f t="shared" si="0"/>
        <v/>
      </c>
      <c r="J56" s="36">
        <f t="shared" si="1"/>
        <v>0</v>
      </c>
      <c r="K56" s="36" t="str">
        <f t="shared" ca="1" si="2"/>
        <v/>
      </c>
    </row>
    <row r="57" spans="3:11" x14ac:dyDescent="0.25">
      <c r="C57" s="53"/>
      <c r="D57" s="54"/>
      <c r="E57" s="55"/>
      <c r="F57" s="54"/>
      <c r="G57" s="56"/>
      <c r="H57" s="56"/>
      <c r="I57" s="36" t="str">
        <f t="shared" si="0"/>
        <v/>
      </c>
      <c r="J57" s="36">
        <f t="shared" si="1"/>
        <v>0</v>
      </c>
      <c r="K57" s="36" t="str">
        <f t="shared" ca="1" si="2"/>
        <v/>
      </c>
    </row>
    <row r="58" spans="3:11" x14ac:dyDescent="0.25">
      <c r="C58" s="53"/>
      <c r="D58" s="54"/>
      <c r="E58" s="55"/>
      <c r="F58" s="54"/>
      <c r="G58" s="56"/>
      <c r="H58" s="56"/>
      <c r="I58" s="36" t="str">
        <f t="shared" si="0"/>
        <v/>
      </c>
      <c r="J58" s="36">
        <f t="shared" si="1"/>
        <v>0</v>
      </c>
      <c r="K58" s="36" t="str">
        <f t="shared" ca="1" si="2"/>
        <v/>
      </c>
    </row>
    <row r="59" spans="3:11" x14ac:dyDescent="0.25">
      <c r="C59" s="53"/>
      <c r="D59" s="54"/>
      <c r="E59" s="55"/>
      <c r="F59" s="54"/>
      <c r="G59" s="56"/>
      <c r="H59" s="56"/>
      <c r="I59" s="36" t="str">
        <f t="shared" si="0"/>
        <v/>
      </c>
      <c r="J59" s="36">
        <f t="shared" si="1"/>
        <v>0</v>
      </c>
      <c r="K59" s="36" t="str">
        <f t="shared" ca="1" si="2"/>
        <v/>
      </c>
    </row>
    <row r="60" spans="3:11" x14ac:dyDescent="0.25">
      <c r="C60" s="53"/>
      <c r="D60" s="54"/>
      <c r="E60" s="55"/>
      <c r="F60" s="54"/>
      <c r="G60" s="56"/>
      <c r="H60" s="56"/>
      <c r="I60" s="36" t="str">
        <f t="shared" si="0"/>
        <v/>
      </c>
      <c r="J60" s="36">
        <f t="shared" si="1"/>
        <v>0</v>
      </c>
      <c r="K60" s="36" t="str">
        <f t="shared" ca="1" si="2"/>
        <v/>
      </c>
    </row>
    <row r="61" spans="3:11" x14ac:dyDescent="0.25">
      <c r="C61" s="53"/>
      <c r="D61" s="54"/>
      <c r="E61" s="55"/>
      <c r="F61" s="54"/>
      <c r="G61" s="56"/>
      <c r="H61" s="56"/>
      <c r="I61" s="36" t="str">
        <f t="shared" si="0"/>
        <v/>
      </c>
      <c r="J61" s="36">
        <f t="shared" si="1"/>
        <v>0</v>
      </c>
      <c r="K61" s="36" t="str">
        <f t="shared" ca="1" si="2"/>
        <v/>
      </c>
    </row>
    <row r="62" spans="3:11" x14ac:dyDescent="0.25">
      <c r="C62" s="53"/>
      <c r="D62" s="54"/>
      <c r="E62" s="55"/>
      <c r="F62" s="54"/>
      <c r="G62" s="56"/>
      <c r="H62" s="56"/>
      <c r="I62" s="36" t="str">
        <f t="shared" si="0"/>
        <v/>
      </c>
      <c r="J62" s="36">
        <f t="shared" si="1"/>
        <v>0</v>
      </c>
      <c r="K62" s="36" t="str">
        <f t="shared" ca="1" si="2"/>
        <v/>
      </c>
    </row>
    <row r="63" spans="3:11" x14ac:dyDescent="0.25">
      <c r="C63" s="53"/>
      <c r="D63" s="54"/>
      <c r="E63" s="55"/>
      <c r="F63" s="54"/>
      <c r="G63" s="56"/>
      <c r="H63" s="56"/>
      <c r="I63" s="36" t="str">
        <f t="shared" si="0"/>
        <v/>
      </c>
      <c r="J63" s="36">
        <f t="shared" si="1"/>
        <v>0</v>
      </c>
      <c r="K63" s="36" t="str">
        <f t="shared" ca="1" si="2"/>
        <v/>
      </c>
    </row>
    <row r="64" spans="3:11" x14ac:dyDescent="0.25">
      <c r="C64" s="53"/>
      <c r="D64" s="54"/>
      <c r="E64" s="55"/>
      <c r="F64" s="54"/>
      <c r="G64" s="56"/>
      <c r="H64" s="56"/>
      <c r="I64" s="36" t="str">
        <f t="shared" si="0"/>
        <v/>
      </c>
      <c r="J64" s="36">
        <f t="shared" si="1"/>
        <v>0</v>
      </c>
      <c r="K64" s="36" t="str">
        <f t="shared" ca="1" si="2"/>
        <v/>
      </c>
    </row>
    <row r="65" spans="3:11" x14ac:dyDescent="0.25">
      <c r="C65" s="53"/>
      <c r="D65" s="54"/>
      <c r="E65" s="55"/>
      <c r="F65" s="54"/>
      <c r="G65" s="56"/>
      <c r="H65" s="56"/>
      <c r="I65" s="36" t="str">
        <f t="shared" si="0"/>
        <v/>
      </c>
      <c r="J65" s="36">
        <f t="shared" si="1"/>
        <v>0</v>
      </c>
      <c r="K65" s="36" t="str">
        <f t="shared" ca="1" si="2"/>
        <v/>
      </c>
    </row>
    <row r="66" spans="3:11" x14ac:dyDescent="0.25">
      <c r="C66" s="53"/>
      <c r="D66" s="54"/>
      <c r="E66" s="55"/>
      <c r="F66" s="54"/>
      <c r="G66" s="56"/>
      <c r="H66" s="56"/>
      <c r="I66" s="36" t="str">
        <f t="shared" si="0"/>
        <v/>
      </c>
      <c r="J66" s="36">
        <f t="shared" si="1"/>
        <v>0</v>
      </c>
      <c r="K66" s="36" t="str">
        <f t="shared" ca="1" si="2"/>
        <v/>
      </c>
    </row>
    <row r="67" spans="3:11" x14ac:dyDescent="0.25">
      <c r="C67" s="53"/>
      <c r="D67" s="54"/>
      <c r="E67" s="55"/>
      <c r="F67" s="54"/>
      <c r="G67" s="56"/>
      <c r="H67" s="56"/>
      <c r="I67" s="36" t="str">
        <f t="shared" si="0"/>
        <v/>
      </c>
      <c r="J67" s="36">
        <f t="shared" si="1"/>
        <v>0</v>
      </c>
      <c r="K67" s="36" t="str">
        <f t="shared" ca="1" si="2"/>
        <v/>
      </c>
    </row>
    <row r="68" spans="3:11" x14ac:dyDescent="0.25">
      <c r="C68" s="53"/>
      <c r="D68" s="54"/>
      <c r="E68" s="55"/>
      <c r="F68" s="54"/>
      <c r="G68" s="56"/>
      <c r="H68" s="56"/>
      <c r="I68" s="36" t="str">
        <f t="shared" si="0"/>
        <v/>
      </c>
      <c r="J68" s="36">
        <f t="shared" si="1"/>
        <v>0</v>
      </c>
      <c r="K68" s="36" t="str">
        <f t="shared" ca="1" si="2"/>
        <v/>
      </c>
    </row>
    <row r="69" spans="3:11" x14ac:dyDescent="0.25">
      <c r="C69" s="53"/>
      <c r="D69" s="54"/>
      <c r="E69" s="55"/>
      <c r="F69" s="54"/>
      <c r="G69" s="56"/>
      <c r="H69" s="56"/>
      <c r="I69" s="36" t="str">
        <f t="shared" si="0"/>
        <v/>
      </c>
      <c r="J69" s="36">
        <f t="shared" si="1"/>
        <v>0</v>
      </c>
      <c r="K69" s="36" t="str">
        <f t="shared" ca="1" si="2"/>
        <v/>
      </c>
    </row>
    <row r="70" spans="3:11" x14ac:dyDescent="0.25">
      <c r="C70" s="53"/>
      <c r="D70" s="54"/>
      <c r="E70" s="55"/>
      <c r="F70" s="54"/>
      <c r="G70" s="56"/>
      <c r="H70" s="56"/>
      <c r="I70" s="36" t="str">
        <f t="shared" si="0"/>
        <v/>
      </c>
      <c r="J70" s="36">
        <f t="shared" si="1"/>
        <v>0</v>
      </c>
      <c r="K70" s="36" t="str">
        <f t="shared" ca="1" si="2"/>
        <v/>
      </c>
    </row>
    <row r="71" spans="3:11" x14ac:dyDescent="0.25">
      <c r="C71" s="53"/>
      <c r="D71" s="54"/>
      <c r="E71" s="55"/>
      <c r="F71" s="54"/>
      <c r="G71" s="56"/>
      <c r="H71" s="56"/>
      <c r="I71" s="36" t="str">
        <f t="shared" si="0"/>
        <v/>
      </c>
      <c r="J71" s="36">
        <f t="shared" si="1"/>
        <v>0</v>
      </c>
      <c r="K71" s="36" t="str">
        <f t="shared" ca="1" si="2"/>
        <v/>
      </c>
    </row>
    <row r="72" spans="3:11" x14ac:dyDescent="0.25">
      <c r="C72" s="53"/>
      <c r="D72" s="54"/>
      <c r="E72" s="55"/>
      <c r="F72" s="54"/>
      <c r="G72" s="56"/>
      <c r="H72" s="56"/>
      <c r="I72" s="36" t="str">
        <f t="shared" si="0"/>
        <v/>
      </c>
      <c r="J72" s="36">
        <f t="shared" si="1"/>
        <v>0</v>
      </c>
      <c r="K72" s="36" t="str">
        <f t="shared" ca="1" si="2"/>
        <v/>
      </c>
    </row>
    <row r="73" spans="3:11" x14ac:dyDescent="0.25">
      <c r="C73" s="53"/>
      <c r="D73" s="54"/>
      <c r="E73" s="55"/>
      <c r="F73" s="54"/>
      <c r="G73" s="56"/>
      <c r="H73" s="56"/>
      <c r="I73" s="36" t="str">
        <f t="shared" si="0"/>
        <v/>
      </c>
      <c r="J73" s="36">
        <f t="shared" si="1"/>
        <v>0</v>
      </c>
      <c r="K73" s="36" t="str">
        <f t="shared" ca="1" si="2"/>
        <v/>
      </c>
    </row>
    <row r="74" spans="3:11" x14ac:dyDescent="0.25">
      <c r="C74" s="53"/>
      <c r="D74" s="54"/>
      <c r="E74" s="55"/>
      <c r="F74" s="54"/>
      <c r="G74" s="56"/>
      <c r="H74" s="56"/>
      <c r="I74" s="36" t="str">
        <f t="shared" si="0"/>
        <v/>
      </c>
      <c r="J74" s="36">
        <f t="shared" si="1"/>
        <v>0</v>
      </c>
      <c r="K74" s="36" t="str">
        <f t="shared" ca="1" si="2"/>
        <v/>
      </c>
    </row>
    <row r="75" spans="3:11" x14ac:dyDescent="0.25">
      <c r="C75" s="53"/>
      <c r="D75" s="54"/>
      <c r="E75" s="55"/>
      <c r="F75" s="54"/>
      <c r="G75" s="56"/>
      <c r="H75" s="56"/>
      <c r="I75" s="36" t="str">
        <f t="shared" si="0"/>
        <v/>
      </c>
      <c r="J75" s="36">
        <f t="shared" si="1"/>
        <v>0</v>
      </c>
      <c r="K75" s="36" t="str">
        <f t="shared" ca="1" si="2"/>
        <v/>
      </c>
    </row>
    <row r="76" spans="3:11" x14ac:dyDescent="0.25">
      <c r="C76" s="53"/>
      <c r="D76" s="54"/>
      <c r="E76" s="55"/>
      <c r="F76" s="54"/>
      <c r="G76" s="56"/>
      <c r="H76" s="56"/>
      <c r="I76" s="36" t="str">
        <f t="shared" si="0"/>
        <v/>
      </c>
      <c r="J76" s="36">
        <f t="shared" si="1"/>
        <v>0</v>
      </c>
      <c r="K76" s="36" t="str">
        <f t="shared" ca="1" si="2"/>
        <v/>
      </c>
    </row>
    <row r="77" spans="3:11" x14ac:dyDescent="0.25">
      <c r="C77" s="53"/>
      <c r="D77" s="54"/>
      <c r="E77" s="55"/>
      <c r="F77" s="54"/>
      <c r="G77" s="56"/>
      <c r="H77" s="56"/>
      <c r="I77" s="36" t="str">
        <f t="shared" si="0"/>
        <v/>
      </c>
      <c r="J77" s="36">
        <f t="shared" si="1"/>
        <v>0</v>
      </c>
      <c r="K77" s="36" t="str">
        <f t="shared" ca="1" si="2"/>
        <v/>
      </c>
    </row>
    <row r="78" spans="3:11" x14ac:dyDescent="0.25">
      <c r="C78" s="53"/>
      <c r="D78" s="54"/>
      <c r="E78" s="55"/>
      <c r="F78" s="54"/>
      <c r="G78" s="56"/>
      <c r="H78" s="56"/>
      <c r="I78" s="36" t="str">
        <f t="shared" si="0"/>
        <v/>
      </c>
      <c r="J78" s="36">
        <f t="shared" si="1"/>
        <v>0</v>
      </c>
      <c r="K78" s="36" t="str">
        <f t="shared" ca="1" si="2"/>
        <v/>
      </c>
    </row>
    <row r="79" spans="3:11" x14ac:dyDescent="0.25">
      <c r="C79" s="53"/>
      <c r="D79" s="54"/>
      <c r="E79" s="55"/>
      <c r="F79" s="54"/>
      <c r="G79" s="56"/>
      <c r="H79" s="56"/>
      <c r="I79" s="36" t="str">
        <f t="shared" si="0"/>
        <v/>
      </c>
      <c r="J79" s="36">
        <f t="shared" si="1"/>
        <v>0</v>
      </c>
      <c r="K79" s="36" t="str">
        <f t="shared" ca="1" si="2"/>
        <v/>
      </c>
    </row>
    <row r="80" spans="3:11" x14ac:dyDescent="0.25">
      <c r="C80" s="53"/>
      <c r="D80" s="54"/>
      <c r="E80" s="55"/>
      <c r="F80" s="54"/>
      <c r="G80" s="56"/>
      <c r="H80" s="56"/>
      <c r="I80" s="36" t="str">
        <f t="shared" si="0"/>
        <v/>
      </c>
      <c r="J80" s="36">
        <f t="shared" si="1"/>
        <v>0</v>
      </c>
      <c r="K80" s="36" t="str">
        <f t="shared" ca="1" si="2"/>
        <v/>
      </c>
    </row>
    <row r="81" spans="3:11" x14ac:dyDescent="0.25">
      <c r="C81" s="53"/>
      <c r="D81" s="54"/>
      <c r="E81" s="55"/>
      <c r="F81" s="54"/>
      <c r="G81" s="56"/>
      <c r="H81" s="56"/>
      <c r="I81" s="36" t="str">
        <f t="shared" ref="I81:I144" si="3">IF(C81="","",IF(H81&lt;=0,"Em aberto",IF(H81&gt;=G81,"Pagamento Total",IF(H81&lt;G81,"Pagamento Parcial"))))</f>
        <v/>
      </c>
      <c r="J81" s="36">
        <f t="shared" ref="J81:J144" si="4">IF(C81&gt;0,G81-H81,0)</f>
        <v>0</v>
      </c>
      <c r="K81" s="36" t="str">
        <f t="shared" ref="K81:K144" ca="1" si="5">IF(ISBLANK(C81),"",IF(H81=G81,"Pago",IF(C81=TODAY(),"Vence Hoje",IF(TRIM(UPPER(G80))&lt;&gt;"S",IF(C81-TODAY()&lt;0,"Vencida",IF(C81-TODAY()&lt;8,"Próximos sete dias","Em aberto"))))))</f>
        <v/>
      </c>
    </row>
    <row r="82" spans="3:11" x14ac:dyDescent="0.25">
      <c r="C82" s="53"/>
      <c r="D82" s="54"/>
      <c r="E82" s="55"/>
      <c r="F82" s="54"/>
      <c r="G82" s="56"/>
      <c r="H82" s="56"/>
      <c r="I82" s="36" t="str">
        <f t="shared" si="3"/>
        <v/>
      </c>
      <c r="J82" s="36">
        <f t="shared" si="4"/>
        <v>0</v>
      </c>
      <c r="K82" s="36" t="str">
        <f t="shared" ca="1" si="5"/>
        <v/>
      </c>
    </row>
    <row r="83" spans="3:11" x14ac:dyDescent="0.25">
      <c r="C83" s="53"/>
      <c r="D83" s="54"/>
      <c r="E83" s="55"/>
      <c r="F83" s="54"/>
      <c r="G83" s="56"/>
      <c r="H83" s="56"/>
      <c r="I83" s="36" t="str">
        <f t="shared" si="3"/>
        <v/>
      </c>
      <c r="J83" s="36">
        <f t="shared" si="4"/>
        <v>0</v>
      </c>
      <c r="K83" s="36" t="str">
        <f t="shared" ca="1" si="5"/>
        <v/>
      </c>
    </row>
    <row r="84" spans="3:11" x14ac:dyDescent="0.25">
      <c r="C84" s="53"/>
      <c r="D84" s="54"/>
      <c r="E84" s="55"/>
      <c r="F84" s="54"/>
      <c r="G84" s="56"/>
      <c r="H84" s="56"/>
      <c r="I84" s="36" t="str">
        <f t="shared" si="3"/>
        <v/>
      </c>
      <c r="J84" s="36">
        <f t="shared" si="4"/>
        <v>0</v>
      </c>
      <c r="K84" s="36" t="str">
        <f t="shared" ca="1" si="5"/>
        <v/>
      </c>
    </row>
    <row r="85" spans="3:11" x14ac:dyDescent="0.25">
      <c r="C85" s="53"/>
      <c r="D85" s="54"/>
      <c r="E85" s="55"/>
      <c r="F85" s="54"/>
      <c r="G85" s="56"/>
      <c r="H85" s="56"/>
      <c r="I85" s="36" t="str">
        <f t="shared" si="3"/>
        <v/>
      </c>
      <c r="J85" s="36">
        <f t="shared" si="4"/>
        <v>0</v>
      </c>
      <c r="K85" s="36" t="str">
        <f t="shared" ca="1" si="5"/>
        <v/>
      </c>
    </row>
    <row r="86" spans="3:11" x14ac:dyDescent="0.25">
      <c r="C86" s="53"/>
      <c r="D86" s="54"/>
      <c r="E86" s="55"/>
      <c r="F86" s="54"/>
      <c r="G86" s="56"/>
      <c r="H86" s="56"/>
      <c r="I86" s="36" t="str">
        <f t="shared" si="3"/>
        <v/>
      </c>
      <c r="J86" s="36">
        <f t="shared" si="4"/>
        <v>0</v>
      </c>
      <c r="K86" s="36" t="str">
        <f t="shared" ca="1" si="5"/>
        <v/>
      </c>
    </row>
    <row r="87" spans="3:11" x14ac:dyDescent="0.25">
      <c r="C87" s="53"/>
      <c r="D87" s="54"/>
      <c r="E87" s="55"/>
      <c r="F87" s="54"/>
      <c r="G87" s="56"/>
      <c r="H87" s="56"/>
      <c r="I87" s="36" t="str">
        <f t="shared" si="3"/>
        <v/>
      </c>
      <c r="J87" s="36">
        <f t="shared" si="4"/>
        <v>0</v>
      </c>
      <c r="K87" s="36" t="str">
        <f t="shared" ca="1" si="5"/>
        <v/>
      </c>
    </row>
    <row r="88" spans="3:11" x14ac:dyDescent="0.25">
      <c r="C88" s="53"/>
      <c r="D88" s="54"/>
      <c r="E88" s="55"/>
      <c r="F88" s="54"/>
      <c r="G88" s="56"/>
      <c r="H88" s="56"/>
      <c r="I88" s="36" t="str">
        <f t="shared" si="3"/>
        <v/>
      </c>
      <c r="J88" s="36">
        <f t="shared" si="4"/>
        <v>0</v>
      </c>
      <c r="K88" s="36" t="str">
        <f t="shared" ca="1" si="5"/>
        <v/>
      </c>
    </row>
    <row r="89" spans="3:11" x14ac:dyDescent="0.25">
      <c r="C89" s="53"/>
      <c r="D89" s="54"/>
      <c r="E89" s="55"/>
      <c r="F89" s="54"/>
      <c r="G89" s="56"/>
      <c r="H89" s="56"/>
      <c r="I89" s="36" t="str">
        <f t="shared" si="3"/>
        <v/>
      </c>
      <c r="J89" s="36">
        <f t="shared" si="4"/>
        <v>0</v>
      </c>
      <c r="K89" s="36" t="str">
        <f t="shared" ca="1" si="5"/>
        <v/>
      </c>
    </row>
    <row r="90" spans="3:11" x14ac:dyDescent="0.25">
      <c r="C90" s="53"/>
      <c r="D90" s="54"/>
      <c r="E90" s="55"/>
      <c r="F90" s="54"/>
      <c r="G90" s="56"/>
      <c r="H90" s="56"/>
      <c r="I90" s="36" t="str">
        <f t="shared" si="3"/>
        <v/>
      </c>
      <c r="J90" s="36">
        <f t="shared" si="4"/>
        <v>0</v>
      </c>
      <c r="K90" s="36" t="str">
        <f t="shared" ca="1" si="5"/>
        <v/>
      </c>
    </row>
    <row r="91" spans="3:11" x14ac:dyDescent="0.25">
      <c r="C91" s="53"/>
      <c r="D91" s="54"/>
      <c r="E91" s="55"/>
      <c r="F91" s="54"/>
      <c r="G91" s="56"/>
      <c r="H91" s="56"/>
      <c r="I91" s="36" t="str">
        <f t="shared" si="3"/>
        <v/>
      </c>
      <c r="J91" s="36">
        <f t="shared" si="4"/>
        <v>0</v>
      </c>
      <c r="K91" s="36" t="str">
        <f t="shared" ca="1" si="5"/>
        <v/>
      </c>
    </row>
    <row r="92" spans="3:11" x14ac:dyDescent="0.25">
      <c r="C92" s="53"/>
      <c r="D92" s="54"/>
      <c r="E92" s="55"/>
      <c r="F92" s="54"/>
      <c r="G92" s="56"/>
      <c r="H92" s="56"/>
      <c r="I92" s="36" t="str">
        <f t="shared" si="3"/>
        <v/>
      </c>
      <c r="J92" s="36">
        <f t="shared" si="4"/>
        <v>0</v>
      </c>
      <c r="K92" s="36" t="str">
        <f t="shared" ca="1" si="5"/>
        <v/>
      </c>
    </row>
    <row r="93" spans="3:11" x14ac:dyDescent="0.25">
      <c r="C93" s="53"/>
      <c r="D93" s="54"/>
      <c r="E93" s="55"/>
      <c r="F93" s="54"/>
      <c r="G93" s="56"/>
      <c r="H93" s="56"/>
      <c r="I93" s="36" t="str">
        <f t="shared" si="3"/>
        <v/>
      </c>
      <c r="J93" s="36">
        <f t="shared" si="4"/>
        <v>0</v>
      </c>
      <c r="K93" s="36" t="str">
        <f t="shared" ca="1" si="5"/>
        <v/>
      </c>
    </row>
    <row r="94" spans="3:11" x14ac:dyDescent="0.25">
      <c r="C94" s="53"/>
      <c r="D94" s="54"/>
      <c r="E94" s="55"/>
      <c r="F94" s="54"/>
      <c r="G94" s="56"/>
      <c r="H94" s="56"/>
      <c r="I94" s="36" t="str">
        <f t="shared" si="3"/>
        <v/>
      </c>
      <c r="J94" s="36">
        <f t="shared" si="4"/>
        <v>0</v>
      </c>
      <c r="K94" s="36" t="str">
        <f t="shared" ca="1" si="5"/>
        <v/>
      </c>
    </row>
    <row r="95" spans="3:11" x14ac:dyDescent="0.25">
      <c r="C95" s="53"/>
      <c r="D95" s="54"/>
      <c r="E95" s="55"/>
      <c r="F95" s="54"/>
      <c r="G95" s="56"/>
      <c r="H95" s="56"/>
      <c r="I95" s="36" t="str">
        <f t="shared" si="3"/>
        <v/>
      </c>
      <c r="J95" s="36">
        <f t="shared" si="4"/>
        <v>0</v>
      </c>
      <c r="K95" s="36" t="str">
        <f t="shared" ca="1" si="5"/>
        <v/>
      </c>
    </row>
    <row r="96" spans="3:11" x14ac:dyDescent="0.25">
      <c r="C96" s="53"/>
      <c r="D96" s="54"/>
      <c r="E96" s="55"/>
      <c r="F96" s="54"/>
      <c r="G96" s="56"/>
      <c r="H96" s="56"/>
      <c r="I96" s="36" t="str">
        <f t="shared" si="3"/>
        <v/>
      </c>
      <c r="J96" s="36">
        <f t="shared" si="4"/>
        <v>0</v>
      </c>
      <c r="K96" s="36" t="str">
        <f t="shared" ca="1" si="5"/>
        <v/>
      </c>
    </row>
    <row r="97" spans="3:11" x14ac:dyDescent="0.25">
      <c r="C97" s="53"/>
      <c r="D97" s="54"/>
      <c r="E97" s="55"/>
      <c r="F97" s="54"/>
      <c r="G97" s="56"/>
      <c r="H97" s="56"/>
      <c r="I97" s="36" t="str">
        <f t="shared" si="3"/>
        <v/>
      </c>
      <c r="J97" s="36">
        <f t="shared" si="4"/>
        <v>0</v>
      </c>
      <c r="K97" s="36" t="str">
        <f t="shared" ca="1" si="5"/>
        <v/>
      </c>
    </row>
    <row r="98" spans="3:11" x14ac:dyDescent="0.25">
      <c r="C98" s="53"/>
      <c r="D98" s="54"/>
      <c r="E98" s="55"/>
      <c r="F98" s="54"/>
      <c r="G98" s="56"/>
      <c r="H98" s="56"/>
      <c r="I98" s="36" t="str">
        <f t="shared" si="3"/>
        <v/>
      </c>
      <c r="J98" s="36">
        <f t="shared" si="4"/>
        <v>0</v>
      </c>
      <c r="K98" s="36" t="str">
        <f t="shared" ca="1" si="5"/>
        <v/>
      </c>
    </row>
    <row r="99" spans="3:11" x14ac:dyDescent="0.25">
      <c r="C99" s="53"/>
      <c r="D99" s="54"/>
      <c r="E99" s="55"/>
      <c r="F99" s="54"/>
      <c r="G99" s="56"/>
      <c r="H99" s="56"/>
      <c r="I99" s="36" t="str">
        <f t="shared" si="3"/>
        <v/>
      </c>
      <c r="J99" s="36">
        <f t="shared" si="4"/>
        <v>0</v>
      </c>
      <c r="K99" s="36" t="str">
        <f t="shared" ca="1" si="5"/>
        <v/>
      </c>
    </row>
    <row r="100" spans="3:11" x14ac:dyDescent="0.25">
      <c r="C100" s="53"/>
      <c r="D100" s="54"/>
      <c r="E100" s="55"/>
      <c r="F100" s="54"/>
      <c r="G100" s="56"/>
      <c r="H100" s="56"/>
      <c r="I100" s="36" t="str">
        <f t="shared" si="3"/>
        <v/>
      </c>
      <c r="J100" s="36">
        <f t="shared" si="4"/>
        <v>0</v>
      </c>
      <c r="K100" s="36" t="str">
        <f t="shared" ca="1" si="5"/>
        <v/>
      </c>
    </row>
    <row r="101" spans="3:11" x14ac:dyDescent="0.25">
      <c r="C101" s="53"/>
      <c r="D101" s="54"/>
      <c r="E101" s="55"/>
      <c r="F101" s="54"/>
      <c r="G101" s="56"/>
      <c r="H101" s="56"/>
      <c r="I101" s="36" t="str">
        <f t="shared" si="3"/>
        <v/>
      </c>
      <c r="J101" s="36">
        <f t="shared" si="4"/>
        <v>0</v>
      </c>
      <c r="K101" s="36" t="str">
        <f t="shared" ca="1" si="5"/>
        <v/>
      </c>
    </row>
    <row r="102" spans="3:11" x14ac:dyDescent="0.25">
      <c r="C102" s="53"/>
      <c r="D102" s="54"/>
      <c r="E102" s="55"/>
      <c r="F102" s="54"/>
      <c r="G102" s="56"/>
      <c r="H102" s="56"/>
      <c r="I102" s="36" t="str">
        <f t="shared" si="3"/>
        <v/>
      </c>
      <c r="J102" s="36">
        <f t="shared" si="4"/>
        <v>0</v>
      </c>
      <c r="K102" s="36" t="str">
        <f t="shared" ca="1" si="5"/>
        <v/>
      </c>
    </row>
    <row r="103" spans="3:11" x14ac:dyDescent="0.25">
      <c r="C103" s="53"/>
      <c r="D103" s="54"/>
      <c r="E103" s="55"/>
      <c r="F103" s="54"/>
      <c r="G103" s="56"/>
      <c r="H103" s="56"/>
      <c r="I103" s="36" t="str">
        <f t="shared" si="3"/>
        <v/>
      </c>
      <c r="J103" s="36">
        <f t="shared" si="4"/>
        <v>0</v>
      </c>
      <c r="K103" s="36" t="str">
        <f t="shared" ca="1" si="5"/>
        <v/>
      </c>
    </row>
    <row r="104" spans="3:11" x14ac:dyDescent="0.25">
      <c r="C104" s="53"/>
      <c r="D104" s="54"/>
      <c r="E104" s="55"/>
      <c r="F104" s="54"/>
      <c r="G104" s="56"/>
      <c r="H104" s="56"/>
      <c r="I104" s="36" t="str">
        <f t="shared" si="3"/>
        <v/>
      </c>
      <c r="J104" s="36">
        <f t="shared" si="4"/>
        <v>0</v>
      </c>
      <c r="K104" s="36" t="str">
        <f t="shared" ca="1" si="5"/>
        <v/>
      </c>
    </row>
    <row r="105" spans="3:11" x14ac:dyDescent="0.25">
      <c r="C105" s="53"/>
      <c r="D105" s="54"/>
      <c r="E105" s="55"/>
      <c r="F105" s="54"/>
      <c r="G105" s="56"/>
      <c r="H105" s="56"/>
      <c r="I105" s="36" t="str">
        <f t="shared" si="3"/>
        <v/>
      </c>
      <c r="J105" s="36">
        <f t="shared" si="4"/>
        <v>0</v>
      </c>
      <c r="K105" s="36" t="str">
        <f t="shared" ca="1" si="5"/>
        <v/>
      </c>
    </row>
    <row r="106" spans="3:11" x14ac:dyDescent="0.25">
      <c r="C106" s="53"/>
      <c r="D106" s="54"/>
      <c r="E106" s="55"/>
      <c r="F106" s="54"/>
      <c r="G106" s="56"/>
      <c r="H106" s="56"/>
      <c r="I106" s="36" t="str">
        <f t="shared" si="3"/>
        <v/>
      </c>
      <c r="J106" s="36">
        <f t="shared" si="4"/>
        <v>0</v>
      </c>
      <c r="K106" s="36" t="str">
        <f t="shared" ca="1" si="5"/>
        <v/>
      </c>
    </row>
    <row r="107" spans="3:11" x14ac:dyDescent="0.25">
      <c r="C107" s="53"/>
      <c r="D107" s="54"/>
      <c r="E107" s="55"/>
      <c r="F107" s="54"/>
      <c r="G107" s="56"/>
      <c r="H107" s="56"/>
      <c r="I107" s="36" t="str">
        <f t="shared" si="3"/>
        <v/>
      </c>
      <c r="J107" s="36">
        <f t="shared" si="4"/>
        <v>0</v>
      </c>
      <c r="K107" s="36" t="str">
        <f t="shared" ca="1" si="5"/>
        <v/>
      </c>
    </row>
    <row r="108" spans="3:11" x14ac:dyDescent="0.25">
      <c r="C108" s="53"/>
      <c r="D108" s="54"/>
      <c r="E108" s="55"/>
      <c r="F108" s="54"/>
      <c r="G108" s="56"/>
      <c r="H108" s="56"/>
      <c r="I108" s="36" t="str">
        <f t="shared" si="3"/>
        <v/>
      </c>
      <c r="J108" s="36">
        <f t="shared" si="4"/>
        <v>0</v>
      </c>
      <c r="K108" s="36" t="str">
        <f t="shared" ca="1" si="5"/>
        <v/>
      </c>
    </row>
    <row r="109" spans="3:11" x14ac:dyDescent="0.25">
      <c r="C109" s="53"/>
      <c r="D109" s="54"/>
      <c r="E109" s="55"/>
      <c r="F109" s="54"/>
      <c r="G109" s="56"/>
      <c r="H109" s="56"/>
      <c r="I109" s="36" t="str">
        <f t="shared" si="3"/>
        <v/>
      </c>
      <c r="J109" s="36">
        <f t="shared" si="4"/>
        <v>0</v>
      </c>
      <c r="K109" s="36" t="str">
        <f t="shared" ca="1" si="5"/>
        <v/>
      </c>
    </row>
    <row r="110" spans="3:11" x14ac:dyDescent="0.25">
      <c r="C110" s="53"/>
      <c r="D110" s="54"/>
      <c r="E110" s="55"/>
      <c r="F110" s="54"/>
      <c r="G110" s="56"/>
      <c r="H110" s="56"/>
      <c r="I110" s="36" t="str">
        <f t="shared" si="3"/>
        <v/>
      </c>
      <c r="J110" s="36">
        <f t="shared" si="4"/>
        <v>0</v>
      </c>
      <c r="K110" s="36" t="str">
        <f t="shared" ca="1" si="5"/>
        <v/>
      </c>
    </row>
    <row r="111" spans="3:11" x14ac:dyDescent="0.25">
      <c r="C111" s="53"/>
      <c r="D111" s="54"/>
      <c r="E111" s="55"/>
      <c r="F111" s="54"/>
      <c r="G111" s="56"/>
      <c r="H111" s="56"/>
      <c r="I111" s="36" t="str">
        <f t="shared" si="3"/>
        <v/>
      </c>
      <c r="J111" s="36">
        <f t="shared" si="4"/>
        <v>0</v>
      </c>
      <c r="K111" s="36" t="str">
        <f t="shared" ca="1" si="5"/>
        <v/>
      </c>
    </row>
    <row r="112" spans="3:11" x14ac:dyDescent="0.25">
      <c r="C112" s="53"/>
      <c r="D112" s="54"/>
      <c r="E112" s="55"/>
      <c r="F112" s="54"/>
      <c r="G112" s="56"/>
      <c r="H112" s="56"/>
      <c r="I112" s="36" t="str">
        <f t="shared" si="3"/>
        <v/>
      </c>
      <c r="J112" s="36">
        <f t="shared" si="4"/>
        <v>0</v>
      </c>
      <c r="K112" s="36" t="str">
        <f t="shared" ca="1" si="5"/>
        <v/>
      </c>
    </row>
    <row r="113" spans="3:11" x14ac:dyDescent="0.25">
      <c r="C113" s="53"/>
      <c r="D113" s="54"/>
      <c r="E113" s="55"/>
      <c r="F113" s="54"/>
      <c r="G113" s="56"/>
      <c r="H113" s="56"/>
      <c r="I113" s="36" t="str">
        <f t="shared" si="3"/>
        <v/>
      </c>
      <c r="J113" s="36">
        <f t="shared" si="4"/>
        <v>0</v>
      </c>
      <c r="K113" s="36" t="str">
        <f t="shared" ca="1" si="5"/>
        <v/>
      </c>
    </row>
    <row r="114" spans="3:11" x14ac:dyDescent="0.25">
      <c r="C114" s="53"/>
      <c r="D114" s="54"/>
      <c r="E114" s="55"/>
      <c r="F114" s="54"/>
      <c r="G114" s="56"/>
      <c r="H114" s="56"/>
      <c r="I114" s="36" t="str">
        <f t="shared" si="3"/>
        <v/>
      </c>
      <c r="J114" s="36">
        <f t="shared" si="4"/>
        <v>0</v>
      </c>
      <c r="K114" s="36" t="str">
        <f t="shared" ca="1" si="5"/>
        <v/>
      </c>
    </row>
    <row r="115" spans="3:11" x14ac:dyDescent="0.25">
      <c r="C115" s="53"/>
      <c r="D115" s="54"/>
      <c r="E115" s="55"/>
      <c r="F115" s="54"/>
      <c r="G115" s="56"/>
      <c r="H115" s="56"/>
      <c r="I115" s="36" t="str">
        <f t="shared" si="3"/>
        <v/>
      </c>
      <c r="J115" s="36">
        <f t="shared" si="4"/>
        <v>0</v>
      </c>
      <c r="K115" s="36" t="str">
        <f t="shared" ca="1" si="5"/>
        <v/>
      </c>
    </row>
    <row r="116" spans="3:11" x14ac:dyDescent="0.25">
      <c r="C116" s="53"/>
      <c r="D116" s="54"/>
      <c r="E116" s="55"/>
      <c r="F116" s="54"/>
      <c r="G116" s="56"/>
      <c r="H116" s="56"/>
      <c r="I116" s="36" t="str">
        <f t="shared" si="3"/>
        <v/>
      </c>
      <c r="J116" s="36">
        <f t="shared" si="4"/>
        <v>0</v>
      </c>
      <c r="K116" s="36" t="str">
        <f t="shared" ca="1" si="5"/>
        <v/>
      </c>
    </row>
    <row r="117" spans="3:11" x14ac:dyDescent="0.25">
      <c r="C117" s="53"/>
      <c r="D117" s="54"/>
      <c r="E117" s="55"/>
      <c r="F117" s="54"/>
      <c r="G117" s="56"/>
      <c r="H117" s="56"/>
      <c r="I117" s="36" t="str">
        <f t="shared" si="3"/>
        <v/>
      </c>
      <c r="J117" s="36">
        <f t="shared" si="4"/>
        <v>0</v>
      </c>
      <c r="K117" s="36" t="str">
        <f t="shared" ca="1" si="5"/>
        <v/>
      </c>
    </row>
    <row r="118" spans="3:11" x14ac:dyDescent="0.25">
      <c r="C118" s="53"/>
      <c r="D118" s="54"/>
      <c r="E118" s="55"/>
      <c r="F118" s="54"/>
      <c r="G118" s="56"/>
      <c r="H118" s="56"/>
      <c r="I118" s="36" t="str">
        <f t="shared" si="3"/>
        <v/>
      </c>
      <c r="J118" s="36">
        <f t="shared" si="4"/>
        <v>0</v>
      </c>
      <c r="K118" s="36" t="str">
        <f t="shared" ca="1" si="5"/>
        <v/>
      </c>
    </row>
    <row r="119" spans="3:11" x14ac:dyDescent="0.25">
      <c r="C119" s="53"/>
      <c r="D119" s="54"/>
      <c r="E119" s="55"/>
      <c r="F119" s="54"/>
      <c r="G119" s="56"/>
      <c r="H119" s="56"/>
      <c r="I119" s="36" t="str">
        <f t="shared" si="3"/>
        <v/>
      </c>
      <c r="J119" s="36">
        <f t="shared" si="4"/>
        <v>0</v>
      </c>
      <c r="K119" s="36" t="str">
        <f t="shared" ca="1" si="5"/>
        <v/>
      </c>
    </row>
    <row r="120" spans="3:11" x14ac:dyDescent="0.25">
      <c r="C120" s="53"/>
      <c r="D120" s="54"/>
      <c r="E120" s="55"/>
      <c r="F120" s="54"/>
      <c r="G120" s="56"/>
      <c r="H120" s="56"/>
      <c r="I120" s="36" t="str">
        <f t="shared" si="3"/>
        <v/>
      </c>
      <c r="J120" s="36">
        <f t="shared" si="4"/>
        <v>0</v>
      </c>
      <c r="K120" s="36" t="str">
        <f t="shared" ca="1" si="5"/>
        <v/>
      </c>
    </row>
    <row r="121" spans="3:11" x14ac:dyDescent="0.25">
      <c r="C121" s="53"/>
      <c r="D121" s="54"/>
      <c r="E121" s="55"/>
      <c r="F121" s="54"/>
      <c r="G121" s="56"/>
      <c r="H121" s="56"/>
      <c r="I121" s="36" t="str">
        <f t="shared" si="3"/>
        <v/>
      </c>
      <c r="J121" s="36">
        <f t="shared" si="4"/>
        <v>0</v>
      </c>
      <c r="K121" s="36" t="str">
        <f t="shared" ca="1" si="5"/>
        <v/>
      </c>
    </row>
    <row r="122" spans="3:11" x14ac:dyDescent="0.25">
      <c r="C122" s="53"/>
      <c r="D122" s="54"/>
      <c r="E122" s="55"/>
      <c r="F122" s="54"/>
      <c r="G122" s="56"/>
      <c r="H122" s="56"/>
      <c r="I122" s="36" t="str">
        <f t="shared" si="3"/>
        <v/>
      </c>
      <c r="J122" s="36">
        <f t="shared" si="4"/>
        <v>0</v>
      </c>
      <c r="K122" s="36" t="str">
        <f t="shared" ca="1" si="5"/>
        <v/>
      </c>
    </row>
    <row r="123" spans="3:11" x14ac:dyDescent="0.25">
      <c r="C123" s="53"/>
      <c r="D123" s="54"/>
      <c r="E123" s="55"/>
      <c r="F123" s="54"/>
      <c r="G123" s="56"/>
      <c r="H123" s="56"/>
      <c r="I123" s="36" t="str">
        <f t="shared" si="3"/>
        <v/>
      </c>
      <c r="J123" s="36">
        <f t="shared" si="4"/>
        <v>0</v>
      </c>
      <c r="K123" s="36" t="str">
        <f t="shared" ca="1" si="5"/>
        <v/>
      </c>
    </row>
    <row r="124" spans="3:11" x14ac:dyDescent="0.25">
      <c r="C124" s="53"/>
      <c r="D124" s="54"/>
      <c r="E124" s="55"/>
      <c r="F124" s="54"/>
      <c r="G124" s="56"/>
      <c r="H124" s="56"/>
      <c r="I124" s="36" t="str">
        <f t="shared" si="3"/>
        <v/>
      </c>
      <c r="J124" s="36">
        <f t="shared" si="4"/>
        <v>0</v>
      </c>
      <c r="K124" s="36" t="str">
        <f t="shared" ca="1" si="5"/>
        <v/>
      </c>
    </row>
    <row r="125" spans="3:11" x14ac:dyDescent="0.25">
      <c r="C125" s="53"/>
      <c r="D125" s="54"/>
      <c r="E125" s="55"/>
      <c r="F125" s="54"/>
      <c r="G125" s="56"/>
      <c r="H125" s="56"/>
      <c r="I125" s="36" t="str">
        <f t="shared" si="3"/>
        <v/>
      </c>
      <c r="J125" s="36">
        <f t="shared" si="4"/>
        <v>0</v>
      </c>
      <c r="K125" s="36" t="str">
        <f t="shared" ca="1" si="5"/>
        <v/>
      </c>
    </row>
    <row r="126" spans="3:11" x14ac:dyDescent="0.25">
      <c r="C126" s="53"/>
      <c r="D126" s="54"/>
      <c r="E126" s="55"/>
      <c r="F126" s="54"/>
      <c r="G126" s="56"/>
      <c r="H126" s="56"/>
      <c r="I126" s="36" t="str">
        <f t="shared" si="3"/>
        <v/>
      </c>
      <c r="J126" s="36">
        <f t="shared" si="4"/>
        <v>0</v>
      </c>
      <c r="K126" s="36" t="str">
        <f t="shared" ca="1" si="5"/>
        <v/>
      </c>
    </row>
    <row r="127" spans="3:11" x14ac:dyDescent="0.25">
      <c r="C127" s="53"/>
      <c r="D127" s="54"/>
      <c r="E127" s="55"/>
      <c r="F127" s="54"/>
      <c r="G127" s="56"/>
      <c r="H127" s="56"/>
      <c r="I127" s="36" t="str">
        <f t="shared" si="3"/>
        <v/>
      </c>
      <c r="J127" s="36">
        <f t="shared" si="4"/>
        <v>0</v>
      </c>
      <c r="K127" s="36" t="str">
        <f t="shared" ca="1" si="5"/>
        <v/>
      </c>
    </row>
    <row r="128" spans="3:11" x14ac:dyDescent="0.25">
      <c r="C128" s="53"/>
      <c r="D128" s="54"/>
      <c r="E128" s="55"/>
      <c r="F128" s="54"/>
      <c r="G128" s="56"/>
      <c r="H128" s="56"/>
      <c r="I128" s="36" t="str">
        <f t="shared" si="3"/>
        <v/>
      </c>
      <c r="J128" s="36">
        <f t="shared" si="4"/>
        <v>0</v>
      </c>
      <c r="K128" s="36" t="str">
        <f t="shared" ca="1" si="5"/>
        <v/>
      </c>
    </row>
    <row r="129" spans="3:11" x14ac:dyDescent="0.25">
      <c r="C129" s="53"/>
      <c r="D129" s="54"/>
      <c r="E129" s="55"/>
      <c r="F129" s="54"/>
      <c r="G129" s="56"/>
      <c r="H129" s="56"/>
      <c r="I129" s="36" t="str">
        <f t="shared" si="3"/>
        <v/>
      </c>
      <c r="J129" s="36">
        <f t="shared" si="4"/>
        <v>0</v>
      </c>
      <c r="K129" s="36" t="str">
        <f t="shared" ca="1" si="5"/>
        <v/>
      </c>
    </row>
    <row r="130" spans="3:11" x14ac:dyDescent="0.25">
      <c r="C130" s="53"/>
      <c r="D130" s="54"/>
      <c r="E130" s="55"/>
      <c r="F130" s="54"/>
      <c r="G130" s="56"/>
      <c r="H130" s="56"/>
      <c r="I130" s="36" t="str">
        <f t="shared" si="3"/>
        <v/>
      </c>
      <c r="J130" s="36">
        <f t="shared" si="4"/>
        <v>0</v>
      </c>
      <c r="K130" s="36" t="str">
        <f t="shared" ca="1" si="5"/>
        <v/>
      </c>
    </row>
    <row r="131" spans="3:11" x14ac:dyDescent="0.25">
      <c r="C131" s="53"/>
      <c r="D131" s="54"/>
      <c r="E131" s="55"/>
      <c r="F131" s="54"/>
      <c r="G131" s="56"/>
      <c r="H131" s="56"/>
      <c r="I131" s="36" t="str">
        <f t="shared" si="3"/>
        <v/>
      </c>
      <c r="J131" s="36">
        <f t="shared" si="4"/>
        <v>0</v>
      </c>
      <c r="K131" s="36" t="str">
        <f t="shared" ca="1" si="5"/>
        <v/>
      </c>
    </row>
    <row r="132" spans="3:11" x14ac:dyDescent="0.25">
      <c r="C132" s="53"/>
      <c r="D132" s="54"/>
      <c r="E132" s="55"/>
      <c r="F132" s="54"/>
      <c r="G132" s="56"/>
      <c r="H132" s="56"/>
      <c r="I132" s="36" t="str">
        <f t="shared" si="3"/>
        <v/>
      </c>
      <c r="J132" s="36">
        <f t="shared" si="4"/>
        <v>0</v>
      </c>
      <c r="K132" s="36" t="str">
        <f t="shared" ca="1" si="5"/>
        <v/>
      </c>
    </row>
    <row r="133" spans="3:11" x14ac:dyDescent="0.25">
      <c r="C133" s="53"/>
      <c r="D133" s="54"/>
      <c r="E133" s="55"/>
      <c r="F133" s="54"/>
      <c r="G133" s="56"/>
      <c r="H133" s="56"/>
      <c r="I133" s="36" t="str">
        <f t="shared" si="3"/>
        <v/>
      </c>
      <c r="J133" s="36">
        <f t="shared" si="4"/>
        <v>0</v>
      </c>
      <c r="K133" s="36" t="str">
        <f t="shared" ca="1" si="5"/>
        <v/>
      </c>
    </row>
    <row r="134" spans="3:11" x14ac:dyDescent="0.25">
      <c r="C134" s="53"/>
      <c r="D134" s="54"/>
      <c r="E134" s="55"/>
      <c r="F134" s="54"/>
      <c r="G134" s="56"/>
      <c r="H134" s="56"/>
      <c r="I134" s="36" t="str">
        <f t="shared" si="3"/>
        <v/>
      </c>
      <c r="J134" s="36">
        <f t="shared" si="4"/>
        <v>0</v>
      </c>
      <c r="K134" s="36" t="str">
        <f t="shared" ca="1" si="5"/>
        <v/>
      </c>
    </row>
    <row r="135" spans="3:11" x14ac:dyDescent="0.25">
      <c r="C135" s="53"/>
      <c r="D135" s="54"/>
      <c r="E135" s="55"/>
      <c r="F135" s="54"/>
      <c r="G135" s="56"/>
      <c r="H135" s="56"/>
      <c r="I135" s="36" t="str">
        <f t="shared" si="3"/>
        <v/>
      </c>
      <c r="J135" s="36">
        <f t="shared" si="4"/>
        <v>0</v>
      </c>
      <c r="K135" s="36" t="str">
        <f t="shared" ca="1" si="5"/>
        <v/>
      </c>
    </row>
    <row r="136" spans="3:11" x14ac:dyDescent="0.25">
      <c r="C136" s="53"/>
      <c r="D136" s="54"/>
      <c r="E136" s="55"/>
      <c r="F136" s="54"/>
      <c r="G136" s="56"/>
      <c r="H136" s="56"/>
      <c r="I136" s="36" t="str">
        <f t="shared" si="3"/>
        <v/>
      </c>
      <c r="J136" s="36">
        <f t="shared" si="4"/>
        <v>0</v>
      </c>
      <c r="K136" s="36" t="str">
        <f t="shared" ca="1" si="5"/>
        <v/>
      </c>
    </row>
    <row r="137" spans="3:11" x14ac:dyDescent="0.25">
      <c r="C137" s="53"/>
      <c r="D137" s="54"/>
      <c r="E137" s="55"/>
      <c r="F137" s="54"/>
      <c r="G137" s="56"/>
      <c r="H137" s="56"/>
      <c r="I137" s="36" t="str">
        <f t="shared" si="3"/>
        <v/>
      </c>
      <c r="J137" s="36">
        <f t="shared" si="4"/>
        <v>0</v>
      </c>
      <c r="K137" s="36" t="str">
        <f t="shared" ca="1" si="5"/>
        <v/>
      </c>
    </row>
    <row r="138" spans="3:11" x14ac:dyDescent="0.25">
      <c r="C138" s="53"/>
      <c r="D138" s="54"/>
      <c r="E138" s="55"/>
      <c r="F138" s="54"/>
      <c r="G138" s="56"/>
      <c r="H138" s="56"/>
      <c r="I138" s="36" t="str">
        <f t="shared" si="3"/>
        <v/>
      </c>
      <c r="J138" s="36">
        <f t="shared" si="4"/>
        <v>0</v>
      </c>
      <c r="K138" s="36" t="str">
        <f t="shared" ca="1" si="5"/>
        <v/>
      </c>
    </row>
    <row r="139" spans="3:11" x14ac:dyDescent="0.25">
      <c r="C139" s="53"/>
      <c r="D139" s="54"/>
      <c r="E139" s="55"/>
      <c r="F139" s="54"/>
      <c r="G139" s="56"/>
      <c r="H139" s="56"/>
      <c r="I139" s="36" t="str">
        <f t="shared" si="3"/>
        <v/>
      </c>
      <c r="J139" s="36">
        <f t="shared" si="4"/>
        <v>0</v>
      </c>
      <c r="K139" s="36" t="str">
        <f t="shared" ca="1" si="5"/>
        <v/>
      </c>
    </row>
    <row r="140" spans="3:11" x14ac:dyDescent="0.25">
      <c r="C140" s="53"/>
      <c r="D140" s="54"/>
      <c r="E140" s="55"/>
      <c r="F140" s="54"/>
      <c r="G140" s="56"/>
      <c r="H140" s="56"/>
      <c r="I140" s="36" t="str">
        <f t="shared" si="3"/>
        <v/>
      </c>
      <c r="J140" s="36">
        <f t="shared" si="4"/>
        <v>0</v>
      </c>
      <c r="K140" s="36" t="str">
        <f t="shared" ca="1" si="5"/>
        <v/>
      </c>
    </row>
    <row r="141" spans="3:11" x14ac:dyDescent="0.25">
      <c r="C141" s="53"/>
      <c r="D141" s="54"/>
      <c r="E141" s="55"/>
      <c r="F141" s="54"/>
      <c r="G141" s="56"/>
      <c r="H141" s="56"/>
      <c r="I141" s="36" t="str">
        <f t="shared" si="3"/>
        <v/>
      </c>
      <c r="J141" s="36">
        <f t="shared" si="4"/>
        <v>0</v>
      </c>
      <c r="K141" s="36" t="str">
        <f t="shared" ca="1" si="5"/>
        <v/>
      </c>
    </row>
    <row r="142" spans="3:11" x14ac:dyDescent="0.25">
      <c r="C142" s="53"/>
      <c r="D142" s="54"/>
      <c r="E142" s="55"/>
      <c r="F142" s="54"/>
      <c r="G142" s="56"/>
      <c r="H142" s="56"/>
      <c r="I142" s="36" t="str">
        <f t="shared" si="3"/>
        <v/>
      </c>
      <c r="J142" s="36">
        <f t="shared" si="4"/>
        <v>0</v>
      </c>
      <c r="K142" s="36" t="str">
        <f t="shared" ca="1" si="5"/>
        <v/>
      </c>
    </row>
    <row r="143" spans="3:11" x14ac:dyDescent="0.25">
      <c r="C143" s="53"/>
      <c r="D143" s="54"/>
      <c r="E143" s="55"/>
      <c r="F143" s="54"/>
      <c r="G143" s="56"/>
      <c r="H143" s="56"/>
      <c r="I143" s="36" t="str">
        <f t="shared" si="3"/>
        <v/>
      </c>
      <c r="J143" s="36">
        <f t="shared" si="4"/>
        <v>0</v>
      </c>
      <c r="K143" s="36" t="str">
        <f t="shared" ca="1" si="5"/>
        <v/>
      </c>
    </row>
    <row r="144" spans="3:11" x14ac:dyDescent="0.25">
      <c r="C144" s="53"/>
      <c r="D144" s="54"/>
      <c r="E144" s="55"/>
      <c r="F144" s="54"/>
      <c r="G144" s="56"/>
      <c r="H144" s="56"/>
      <c r="I144" s="36" t="str">
        <f t="shared" si="3"/>
        <v/>
      </c>
      <c r="J144" s="36">
        <f t="shared" si="4"/>
        <v>0</v>
      </c>
      <c r="K144" s="36" t="str">
        <f t="shared" ca="1" si="5"/>
        <v/>
      </c>
    </row>
    <row r="145" spans="3:11" x14ac:dyDescent="0.25">
      <c r="C145" s="53"/>
      <c r="D145" s="54"/>
      <c r="E145" s="55"/>
      <c r="F145" s="54"/>
      <c r="G145" s="56"/>
      <c r="H145" s="56"/>
      <c r="I145" s="36" t="str">
        <f t="shared" ref="I145:I208" si="6">IF(C145="","",IF(H145&lt;=0,"Em aberto",IF(H145&gt;=G145,"Pagamento Total",IF(H145&lt;G145,"Pagamento Parcial"))))</f>
        <v/>
      </c>
      <c r="J145" s="36">
        <f t="shared" ref="J145:J208" si="7">IF(C145&gt;0,G145-H145,0)</f>
        <v>0</v>
      </c>
      <c r="K145" s="36" t="str">
        <f t="shared" ref="K145:K208" ca="1" si="8">IF(ISBLANK(C145),"",IF(H145=G145,"Pago",IF(C145=TODAY(),"Vence Hoje",IF(TRIM(UPPER(G144))&lt;&gt;"S",IF(C145-TODAY()&lt;0,"Vencida",IF(C145-TODAY()&lt;8,"Próximos sete dias","Em aberto"))))))</f>
        <v/>
      </c>
    </row>
    <row r="146" spans="3:11" x14ac:dyDescent="0.25">
      <c r="C146" s="53"/>
      <c r="D146" s="54"/>
      <c r="E146" s="55"/>
      <c r="F146" s="54"/>
      <c r="G146" s="56"/>
      <c r="H146" s="56"/>
      <c r="I146" s="36" t="str">
        <f t="shared" si="6"/>
        <v/>
      </c>
      <c r="J146" s="36">
        <f t="shared" si="7"/>
        <v>0</v>
      </c>
      <c r="K146" s="36" t="str">
        <f t="shared" ca="1" si="8"/>
        <v/>
      </c>
    </row>
    <row r="147" spans="3:11" x14ac:dyDescent="0.25">
      <c r="C147" s="53"/>
      <c r="D147" s="54"/>
      <c r="E147" s="55"/>
      <c r="F147" s="54"/>
      <c r="G147" s="56"/>
      <c r="H147" s="56"/>
      <c r="I147" s="36" t="str">
        <f t="shared" si="6"/>
        <v/>
      </c>
      <c r="J147" s="36">
        <f t="shared" si="7"/>
        <v>0</v>
      </c>
      <c r="K147" s="36" t="str">
        <f t="shared" ca="1" si="8"/>
        <v/>
      </c>
    </row>
    <row r="148" spans="3:11" x14ac:dyDescent="0.25">
      <c r="C148" s="53"/>
      <c r="D148" s="54"/>
      <c r="E148" s="55"/>
      <c r="F148" s="54"/>
      <c r="G148" s="56"/>
      <c r="H148" s="56"/>
      <c r="I148" s="36" t="str">
        <f t="shared" si="6"/>
        <v/>
      </c>
      <c r="J148" s="36">
        <f t="shared" si="7"/>
        <v>0</v>
      </c>
      <c r="K148" s="36" t="str">
        <f t="shared" ca="1" si="8"/>
        <v/>
      </c>
    </row>
    <row r="149" spans="3:11" x14ac:dyDescent="0.25">
      <c r="C149" s="53"/>
      <c r="D149" s="54"/>
      <c r="E149" s="55"/>
      <c r="F149" s="54"/>
      <c r="G149" s="56"/>
      <c r="H149" s="56"/>
      <c r="I149" s="36" t="str">
        <f t="shared" si="6"/>
        <v/>
      </c>
      <c r="J149" s="36">
        <f t="shared" si="7"/>
        <v>0</v>
      </c>
      <c r="K149" s="36" t="str">
        <f t="shared" ca="1" si="8"/>
        <v/>
      </c>
    </row>
    <row r="150" spans="3:11" x14ac:dyDescent="0.25">
      <c r="C150" s="53"/>
      <c r="D150" s="54"/>
      <c r="E150" s="55"/>
      <c r="F150" s="54"/>
      <c r="G150" s="56"/>
      <c r="H150" s="56"/>
      <c r="I150" s="36" t="str">
        <f t="shared" si="6"/>
        <v/>
      </c>
      <c r="J150" s="36">
        <f t="shared" si="7"/>
        <v>0</v>
      </c>
      <c r="K150" s="36" t="str">
        <f t="shared" ca="1" si="8"/>
        <v/>
      </c>
    </row>
    <row r="151" spans="3:11" x14ac:dyDescent="0.25">
      <c r="C151" s="53"/>
      <c r="D151" s="54"/>
      <c r="E151" s="55"/>
      <c r="F151" s="54"/>
      <c r="G151" s="56"/>
      <c r="H151" s="56"/>
      <c r="I151" s="36" t="str">
        <f t="shared" si="6"/>
        <v/>
      </c>
      <c r="J151" s="36">
        <f t="shared" si="7"/>
        <v>0</v>
      </c>
      <c r="K151" s="36" t="str">
        <f t="shared" ca="1" si="8"/>
        <v/>
      </c>
    </row>
    <row r="152" spans="3:11" x14ac:dyDescent="0.25">
      <c r="C152" s="53"/>
      <c r="D152" s="54"/>
      <c r="E152" s="55"/>
      <c r="F152" s="54"/>
      <c r="G152" s="56"/>
      <c r="H152" s="56"/>
      <c r="I152" s="36" t="str">
        <f t="shared" si="6"/>
        <v/>
      </c>
      <c r="J152" s="36">
        <f t="shared" si="7"/>
        <v>0</v>
      </c>
      <c r="K152" s="36" t="str">
        <f t="shared" ca="1" si="8"/>
        <v/>
      </c>
    </row>
    <row r="153" spans="3:11" x14ac:dyDescent="0.25">
      <c r="C153" s="53"/>
      <c r="D153" s="54"/>
      <c r="E153" s="55"/>
      <c r="F153" s="54"/>
      <c r="G153" s="56"/>
      <c r="H153" s="56"/>
      <c r="I153" s="36" t="str">
        <f t="shared" si="6"/>
        <v/>
      </c>
      <c r="J153" s="36">
        <f t="shared" si="7"/>
        <v>0</v>
      </c>
      <c r="K153" s="36" t="str">
        <f t="shared" ca="1" si="8"/>
        <v/>
      </c>
    </row>
    <row r="154" spans="3:11" x14ac:dyDescent="0.25">
      <c r="C154" s="53"/>
      <c r="D154" s="54"/>
      <c r="E154" s="55"/>
      <c r="F154" s="54"/>
      <c r="G154" s="56"/>
      <c r="H154" s="56"/>
      <c r="I154" s="36" t="str">
        <f t="shared" si="6"/>
        <v/>
      </c>
      <c r="J154" s="36">
        <f t="shared" si="7"/>
        <v>0</v>
      </c>
      <c r="K154" s="36" t="str">
        <f t="shared" ca="1" si="8"/>
        <v/>
      </c>
    </row>
    <row r="155" spans="3:11" x14ac:dyDescent="0.25">
      <c r="C155" s="53"/>
      <c r="D155" s="54"/>
      <c r="E155" s="55"/>
      <c r="F155" s="54"/>
      <c r="G155" s="56"/>
      <c r="H155" s="56"/>
      <c r="I155" s="36" t="str">
        <f t="shared" si="6"/>
        <v/>
      </c>
      <c r="J155" s="36">
        <f t="shared" si="7"/>
        <v>0</v>
      </c>
      <c r="K155" s="36" t="str">
        <f t="shared" ca="1" si="8"/>
        <v/>
      </c>
    </row>
    <row r="156" spans="3:11" x14ac:dyDescent="0.25">
      <c r="C156" s="53"/>
      <c r="D156" s="54"/>
      <c r="E156" s="55"/>
      <c r="F156" s="54"/>
      <c r="G156" s="56"/>
      <c r="H156" s="56"/>
      <c r="I156" s="36" t="str">
        <f t="shared" si="6"/>
        <v/>
      </c>
      <c r="J156" s="36">
        <f t="shared" si="7"/>
        <v>0</v>
      </c>
      <c r="K156" s="36" t="str">
        <f t="shared" ca="1" si="8"/>
        <v/>
      </c>
    </row>
    <row r="157" spans="3:11" x14ac:dyDescent="0.25">
      <c r="C157" s="53"/>
      <c r="D157" s="54"/>
      <c r="E157" s="55"/>
      <c r="F157" s="54"/>
      <c r="G157" s="56"/>
      <c r="H157" s="56"/>
      <c r="I157" s="36" t="str">
        <f t="shared" si="6"/>
        <v/>
      </c>
      <c r="J157" s="36">
        <f t="shared" si="7"/>
        <v>0</v>
      </c>
      <c r="K157" s="36" t="str">
        <f t="shared" ca="1" si="8"/>
        <v/>
      </c>
    </row>
    <row r="158" spans="3:11" x14ac:dyDescent="0.25">
      <c r="C158" s="53"/>
      <c r="D158" s="54"/>
      <c r="E158" s="55"/>
      <c r="F158" s="54"/>
      <c r="G158" s="56"/>
      <c r="H158" s="56"/>
      <c r="I158" s="36" t="str">
        <f t="shared" si="6"/>
        <v/>
      </c>
      <c r="J158" s="36">
        <f t="shared" si="7"/>
        <v>0</v>
      </c>
      <c r="K158" s="36" t="str">
        <f t="shared" ca="1" si="8"/>
        <v/>
      </c>
    </row>
    <row r="159" spans="3:11" x14ac:dyDescent="0.25">
      <c r="C159" s="53"/>
      <c r="D159" s="54"/>
      <c r="E159" s="55"/>
      <c r="F159" s="54"/>
      <c r="G159" s="56"/>
      <c r="H159" s="56"/>
      <c r="I159" s="36" t="str">
        <f t="shared" si="6"/>
        <v/>
      </c>
      <c r="J159" s="36">
        <f t="shared" si="7"/>
        <v>0</v>
      </c>
      <c r="K159" s="36" t="str">
        <f t="shared" ca="1" si="8"/>
        <v/>
      </c>
    </row>
    <row r="160" spans="3:11" x14ac:dyDescent="0.25">
      <c r="C160" s="53"/>
      <c r="D160" s="54"/>
      <c r="E160" s="55"/>
      <c r="F160" s="54"/>
      <c r="G160" s="56"/>
      <c r="H160" s="56"/>
      <c r="I160" s="36" t="str">
        <f t="shared" si="6"/>
        <v/>
      </c>
      <c r="J160" s="36">
        <f t="shared" si="7"/>
        <v>0</v>
      </c>
      <c r="K160" s="36" t="str">
        <f t="shared" ca="1" si="8"/>
        <v/>
      </c>
    </row>
    <row r="161" spans="3:11" x14ac:dyDescent="0.25">
      <c r="C161" s="53"/>
      <c r="D161" s="54"/>
      <c r="E161" s="55"/>
      <c r="F161" s="54"/>
      <c r="G161" s="56"/>
      <c r="H161" s="56"/>
      <c r="I161" s="36" t="str">
        <f t="shared" si="6"/>
        <v/>
      </c>
      <c r="J161" s="36">
        <f t="shared" si="7"/>
        <v>0</v>
      </c>
      <c r="K161" s="36" t="str">
        <f t="shared" ca="1" si="8"/>
        <v/>
      </c>
    </row>
    <row r="162" spans="3:11" x14ac:dyDescent="0.25">
      <c r="C162" s="53"/>
      <c r="D162" s="54"/>
      <c r="E162" s="55"/>
      <c r="F162" s="54"/>
      <c r="G162" s="56"/>
      <c r="H162" s="56"/>
      <c r="I162" s="36" t="str">
        <f t="shared" si="6"/>
        <v/>
      </c>
      <c r="J162" s="36">
        <f t="shared" si="7"/>
        <v>0</v>
      </c>
      <c r="K162" s="36" t="str">
        <f t="shared" ca="1" si="8"/>
        <v/>
      </c>
    </row>
    <row r="163" spans="3:11" x14ac:dyDescent="0.25">
      <c r="C163" s="53"/>
      <c r="D163" s="54"/>
      <c r="E163" s="55"/>
      <c r="F163" s="54"/>
      <c r="G163" s="56"/>
      <c r="H163" s="56"/>
      <c r="I163" s="36" t="str">
        <f t="shared" si="6"/>
        <v/>
      </c>
      <c r="J163" s="36">
        <f t="shared" si="7"/>
        <v>0</v>
      </c>
      <c r="K163" s="36" t="str">
        <f t="shared" ca="1" si="8"/>
        <v/>
      </c>
    </row>
    <row r="164" spans="3:11" x14ac:dyDescent="0.25">
      <c r="C164" s="53"/>
      <c r="D164" s="54"/>
      <c r="E164" s="55"/>
      <c r="F164" s="54"/>
      <c r="G164" s="56"/>
      <c r="H164" s="56"/>
      <c r="I164" s="36" t="str">
        <f t="shared" si="6"/>
        <v/>
      </c>
      <c r="J164" s="36">
        <f t="shared" si="7"/>
        <v>0</v>
      </c>
      <c r="K164" s="36" t="str">
        <f t="shared" ca="1" si="8"/>
        <v/>
      </c>
    </row>
    <row r="165" spans="3:11" x14ac:dyDescent="0.25">
      <c r="C165" s="53"/>
      <c r="D165" s="54"/>
      <c r="E165" s="55"/>
      <c r="F165" s="54"/>
      <c r="G165" s="56"/>
      <c r="H165" s="56"/>
      <c r="I165" s="36" t="str">
        <f t="shared" si="6"/>
        <v/>
      </c>
      <c r="J165" s="36">
        <f t="shared" si="7"/>
        <v>0</v>
      </c>
      <c r="K165" s="36" t="str">
        <f t="shared" ca="1" si="8"/>
        <v/>
      </c>
    </row>
    <row r="166" spans="3:11" x14ac:dyDescent="0.25">
      <c r="C166" s="53"/>
      <c r="D166" s="54"/>
      <c r="E166" s="55"/>
      <c r="F166" s="54"/>
      <c r="G166" s="56"/>
      <c r="H166" s="56"/>
      <c r="I166" s="36" t="str">
        <f t="shared" si="6"/>
        <v/>
      </c>
      <c r="J166" s="36">
        <f t="shared" si="7"/>
        <v>0</v>
      </c>
      <c r="K166" s="36" t="str">
        <f t="shared" ca="1" si="8"/>
        <v/>
      </c>
    </row>
    <row r="167" spans="3:11" x14ac:dyDescent="0.25">
      <c r="C167" s="53"/>
      <c r="D167" s="54"/>
      <c r="E167" s="55"/>
      <c r="F167" s="54"/>
      <c r="G167" s="56"/>
      <c r="H167" s="56"/>
      <c r="I167" s="36" t="str">
        <f t="shared" si="6"/>
        <v/>
      </c>
      <c r="J167" s="36">
        <f t="shared" si="7"/>
        <v>0</v>
      </c>
      <c r="K167" s="36" t="str">
        <f t="shared" ca="1" si="8"/>
        <v/>
      </c>
    </row>
    <row r="168" spans="3:11" x14ac:dyDescent="0.25">
      <c r="C168" s="53"/>
      <c r="D168" s="54"/>
      <c r="E168" s="55"/>
      <c r="F168" s="54"/>
      <c r="G168" s="56"/>
      <c r="H168" s="56"/>
      <c r="I168" s="36" t="str">
        <f t="shared" si="6"/>
        <v/>
      </c>
      <c r="J168" s="36">
        <f t="shared" si="7"/>
        <v>0</v>
      </c>
      <c r="K168" s="36" t="str">
        <f t="shared" ca="1" si="8"/>
        <v/>
      </c>
    </row>
    <row r="169" spans="3:11" x14ac:dyDescent="0.25">
      <c r="C169" s="53"/>
      <c r="D169" s="54"/>
      <c r="E169" s="55"/>
      <c r="F169" s="54"/>
      <c r="G169" s="56"/>
      <c r="H169" s="56"/>
      <c r="I169" s="36" t="str">
        <f t="shared" si="6"/>
        <v/>
      </c>
      <c r="J169" s="36">
        <f t="shared" si="7"/>
        <v>0</v>
      </c>
      <c r="K169" s="36" t="str">
        <f t="shared" ca="1" si="8"/>
        <v/>
      </c>
    </row>
    <row r="170" spans="3:11" x14ac:dyDescent="0.25">
      <c r="C170" s="53"/>
      <c r="D170" s="54"/>
      <c r="E170" s="55"/>
      <c r="F170" s="54"/>
      <c r="G170" s="56"/>
      <c r="H170" s="56"/>
      <c r="I170" s="36" t="str">
        <f t="shared" si="6"/>
        <v/>
      </c>
      <c r="J170" s="36">
        <f t="shared" si="7"/>
        <v>0</v>
      </c>
      <c r="K170" s="36" t="str">
        <f t="shared" ca="1" si="8"/>
        <v/>
      </c>
    </row>
    <row r="171" spans="3:11" x14ac:dyDescent="0.25">
      <c r="C171" s="53"/>
      <c r="D171" s="54"/>
      <c r="E171" s="55"/>
      <c r="F171" s="54"/>
      <c r="G171" s="56"/>
      <c r="H171" s="56"/>
      <c r="I171" s="36" t="str">
        <f t="shared" si="6"/>
        <v/>
      </c>
      <c r="J171" s="36">
        <f t="shared" si="7"/>
        <v>0</v>
      </c>
      <c r="K171" s="36" t="str">
        <f t="shared" ca="1" si="8"/>
        <v/>
      </c>
    </row>
    <row r="172" spans="3:11" x14ac:dyDescent="0.25">
      <c r="C172" s="53"/>
      <c r="D172" s="54"/>
      <c r="E172" s="55"/>
      <c r="F172" s="54"/>
      <c r="G172" s="56"/>
      <c r="H172" s="56"/>
      <c r="I172" s="36" t="str">
        <f t="shared" si="6"/>
        <v/>
      </c>
      <c r="J172" s="36">
        <f t="shared" si="7"/>
        <v>0</v>
      </c>
      <c r="K172" s="36" t="str">
        <f t="shared" ca="1" si="8"/>
        <v/>
      </c>
    </row>
    <row r="173" spans="3:11" x14ac:dyDescent="0.25">
      <c r="C173" s="53"/>
      <c r="D173" s="54"/>
      <c r="E173" s="55"/>
      <c r="F173" s="54"/>
      <c r="G173" s="56"/>
      <c r="H173" s="56"/>
      <c r="I173" s="36" t="str">
        <f t="shared" si="6"/>
        <v/>
      </c>
      <c r="J173" s="36">
        <f t="shared" si="7"/>
        <v>0</v>
      </c>
      <c r="K173" s="36" t="str">
        <f t="shared" ca="1" si="8"/>
        <v/>
      </c>
    </row>
    <row r="174" spans="3:11" x14ac:dyDescent="0.25">
      <c r="C174" s="53"/>
      <c r="D174" s="54"/>
      <c r="E174" s="55"/>
      <c r="F174" s="54"/>
      <c r="G174" s="56"/>
      <c r="H174" s="56"/>
      <c r="I174" s="36" t="str">
        <f t="shared" si="6"/>
        <v/>
      </c>
      <c r="J174" s="36">
        <f t="shared" si="7"/>
        <v>0</v>
      </c>
      <c r="K174" s="36" t="str">
        <f t="shared" ca="1" si="8"/>
        <v/>
      </c>
    </row>
    <row r="175" spans="3:11" x14ac:dyDescent="0.25">
      <c r="C175" s="53"/>
      <c r="D175" s="54"/>
      <c r="E175" s="55"/>
      <c r="F175" s="54"/>
      <c r="G175" s="56"/>
      <c r="H175" s="56"/>
      <c r="I175" s="36" t="str">
        <f t="shared" si="6"/>
        <v/>
      </c>
      <c r="J175" s="36">
        <f t="shared" si="7"/>
        <v>0</v>
      </c>
      <c r="K175" s="36" t="str">
        <f t="shared" ca="1" si="8"/>
        <v/>
      </c>
    </row>
    <row r="176" spans="3:11" x14ac:dyDescent="0.25">
      <c r="C176" s="53"/>
      <c r="D176" s="54"/>
      <c r="E176" s="55"/>
      <c r="F176" s="54"/>
      <c r="G176" s="56"/>
      <c r="H176" s="56"/>
      <c r="I176" s="36" t="str">
        <f t="shared" si="6"/>
        <v/>
      </c>
      <c r="J176" s="36">
        <f t="shared" si="7"/>
        <v>0</v>
      </c>
      <c r="K176" s="36" t="str">
        <f t="shared" ca="1" si="8"/>
        <v/>
      </c>
    </row>
    <row r="177" spans="3:11" x14ac:dyDescent="0.25">
      <c r="C177" s="53"/>
      <c r="D177" s="54"/>
      <c r="E177" s="55"/>
      <c r="F177" s="54"/>
      <c r="G177" s="56"/>
      <c r="H177" s="56"/>
      <c r="I177" s="36" t="str">
        <f t="shared" si="6"/>
        <v/>
      </c>
      <c r="J177" s="36">
        <f t="shared" si="7"/>
        <v>0</v>
      </c>
      <c r="K177" s="36" t="str">
        <f t="shared" ca="1" si="8"/>
        <v/>
      </c>
    </row>
    <row r="178" spans="3:11" x14ac:dyDescent="0.25">
      <c r="C178" s="53"/>
      <c r="D178" s="54"/>
      <c r="E178" s="55"/>
      <c r="F178" s="54"/>
      <c r="G178" s="56"/>
      <c r="H178" s="56"/>
      <c r="I178" s="36" t="str">
        <f t="shared" si="6"/>
        <v/>
      </c>
      <c r="J178" s="36">
        <f t="shared" si="7"/>
        <v>0</v>
      </c>
      <c r="K178" s="36" t="str">
        <f t="shared" ca="1" si="8"/>
        <v/>
      </c>
    </row>
    <row r="179" spans="3:11" x14ac:dyDescent="0.25">
      <c r="C179" s="53"/>
      <c r="D179" s="54"/>
      <c r="E179" s="55"/>
      <c r="F179" s="54"/>
      <c r="G179" s="56"/>
      <c r="H179" s="56"/>
      <c r="I179" s="36" t="str">
        <f t="shared" si="6"/>
        <v/>
      </c>
      <c r="J179" s="36">
        <f t="shared" si="7"/>
        <v>0</v>
      </c>
      <c r="K179" s="36" t="str">
        <f t="shared" ca="1" si="8"/>
        <v/>
      </c>
    </row>
    <row r="180" spans="3:11" x14ac:dyDescent="0.25">
      <c r="C180" s="53"/>
      <c r="D180" s="54"/>
      <c r="E180" s="55"/>
      <c r="F180" s="54"/>
      <c r="G180" s="56"/>
      <c r="H180" s="56"/>
      <c r="I180" s="36" t="str">
        <f t="shared" si="6"/>
        <v/>
      </c>
      <c r="J180" s="36">
        <f t="shared" si="7"/>
        <v>0</v>
      </c>
      <c r="K180" s="36" t="str">
        <f t="shared" ca="1" si="8"/>
        <v/>
      </c>
    </row>
    <row r="181" spans="3:11" x14ac:dyDescent="0.25">
      <c r="C181" s="53"/>
      <c r="D181" s="54"/>
      <c r="E181" s="55"/>
      <c r="F181" s="54"/>
      <c r="G181" s="56"/>
      <c r="H181" s="56"/>
      <c r="I181" s="36" t="str">
        <f t="shared" si="6"/>
        <v/>
      </c>
      <c r="J181" s="36">
        <f t="shared" si="7"/>
        <v>0</v>
      </c>
      <c r="K181" s="36" t="str">
        <f t="shared" ca="1" si="8"/>
        <v/>
      </c>
    </row>
    <row r="182" spans="3:11" x14ac:dyDescent="0.25">
      <c r="C182" s="53"/>
      <c r="D182" s="54"/>
      <c r="E182" s="55"/>
      <c r="F182" s="54"/>
      <c r="G182" s="56"/>
      <c r="H182" s="56"/>
      <c r="I182" s="36" t="str">
        <f t="shared" si="6"/>
        <v/>
      </c>
      <c r="J182" s="36">
        <f t="shared" si="7"/>
        <v>0</v>
      </c>
      <c r="K182" s="36" t="str">
        <f t="shared" ca="1" si="8"/>
        <v/>
      </c>
    </row>
    <row r="183" spans="3:11" x14ac:dyDescent="0.25">
      <c r="C183" s="53"/>
      <c r="D183" s="54"/>
      <c r="E183" s="55"/>
      <c r="F183" s="54"/>
      <c r="G183" s="56"/>
      <c r="H183" s="56"/>
      <c r="I183" s="36" t="str">
        <f t="shared" si="6"/>
        <v/>
      </c>
      <c r="J183" s="36">
        <f t="shared" si="7"/>
        <v>0</v>
      </c>
      <c r="K183" s="36" t="str">
        <f t="shared" ca="1" si="8"/>
        <v/>
      </c>
    </row>
    <row r="184" spans="3:11" x14ac:dyDescent="0.25">
      <c r="C184" s="53"/>
      <c r="D184" s="54"/>
      <c r="E184" s="55"/>
      <c r="F184" s="54"/>
      <c r="G184" s="56"/>
      <c r="H184" s="56"/>
      <c r="I184" s="36" t="str">
        <f t="shared" si="6"/>
        <v/>
      </c>
      <c r="J184" s="36">
        <f t="shared" si="7"/>
        <v>0</v>
      </c>
      <c r="K184" s="36" t="str">
        <f t="shared" ca="1" si="8"/>
        <v/>
      </c>
    </row>
    <row r="185" spans="3:11" x14ac:dyDescent="0.25">
      <c r="C185" s="53"/>
      <c r="D185" s="54"/>
      <c r="E185" s="55"/>
      <c r="F185" s="54"/>
      <c r="G185" s="56"/>
      <c r="H185" s="56"/>
      <c r="I185" s="36" t="str">
        <f t="shared" si="6"/>
        <v/>
      </c>
      <c r="J185" s="36">
        <f t="shared" si="7"/>
        <v>0</v>
      </c>
      <c r="K185" s="36" t="str">
        <f t="shared" ca="1" si="8"/>
        <v/>
      </c>
    </row>
    <row r="186" spans="3:11" x14ac:dyDescent="0.25">
      <c r="C186" s="53"/>
      <c r="D186" s="54"/>
      <c r="E186" s="55"/>
      <c r="F186" s="54"/>
      <c r="G186" s="56"/>
      <c r="H186" s="56"/>
      <c r="I186" s="36" t="str">
        <f t="shared" si="6"/>
        <v/>
      </c>
      <c r="J186" s="36">
        <f t="shared" si="7"/>
        <v>0</v>
      </c>
      <c r="K186" s="36" t="str">
        <f t="shared" ca="1" si="8"/>
        <v/>
      </c>
    </row>
    <row r="187" spans="3:11" x14ac:dyDescent="0.25">
      <c r="C187" s="53"/>
      <c r="D187" s="54"/>
      <c r="E187" s="55"/>
      <c r="F187" s="54"/>
      <c r="G187" s="56"/>
      <c r="H187" s="56"/>
      <c r="I187" s="36" t="str">
        <f t="shared" si="6"/>
        <v/>
      </c>
      <c r="J187" s="36">
        <f t="shared" si="7"/>
        <v>0</v>
      </c>
      <c r="K187" s="36" t="str">
        <f t="shared" ca="1" si="8"/>
        <v/>
      </c>
    </row>
    <row r="188" spans="3:11" x14ac:dyDescent="0.25">
      <c r="C188" s="53"/>
      <c r="D188" s="54"/>
      <c r="E188" s="55"/>
      <c r="F188" s="54"/>
      <c r="G188" s="56"/>
      <c r="H188" s="56"/>
      <c r="I188" s="36" t="str">
        <f t="shared" si="6"/>
        <v/>
      </c>
      <c r="J188" s="36">
        <f t="shared" si="7"/>
        <v>0</v>
      </c>
      <c r="K188" s="36" t="str">
        <f t="shared" ca="1" si="8"/>
        <v/>
      </c>
    </row>
    <row r="189" spans="3:11" x14ac:dyDescent="0.25">
      <c r="C189" s="53"/>
      <c r="D189" s="54"/>
      <c r="E189" s="55"/>
      <c r="F189" s="54"/>
      <c r="G189" s="56"/>
      <c r="H189" s="56"/>
      <c r="I189" s="36" t="str">
        <f t="shared" si="6"/>
        <v/>
      </c>
      <c r="J189" s="36">
        <f t="shared" si="7"/>
        <v>0</v>
      </c>
      <c r="K189" s="36" t="str">
        <f t="shared" ca="1" si="8"/>
        <v/>
      </c>
    </row>
    <row r="190" spans="3:11" x14ac:dyDescent="0.25">
      <c r="C190" s="53"/>
      <c r="D190" s="54"/>
      <c r="E190" s="55"/>
      <c r="F190" s="54"/>
      <c r="G190" s="56"/>
      <c r="H190" s="56"/>
      <c r="I190" s="36" t="str">
        <f t="shared" si="6"/>
        <v/>
      </c>
      <c r="J190" s="36">
        <f t="shared" si="7"/>
        <v>0</v>
      </c>
      <c r="K190" s="36" t="str">
        <f t="shared" ca="1" si="8"/>
        <v/>
      </c>
    </row>
    <row r="191" spans="3:11" x14ac:dyDescent="0.25">
      <c r="C191" s="53"/>
      <c r="D191" s="54"/>
      <c r="E191" s="55"/>
      <c r="F191" s="54"/>
      <c r="G191" s="56"/>
      <c r="H191" s="56"/>
      <c r="I191" s="36" t="str">
        <f t="shared" si="6"/>
        <v/>
      </c>
      <c r="J191" s="36">
        <f t="shared" si="7"/>
        <v>0</v>
      </c>
      <c r="K191" s="36" t="str">
        <f t="shared" ca="1" si="8"/>
        <v/>
      </c>
    </row>
    <row r="192" spans="3:11" x14ac:dyDescent="0.25">
      <c r="C192" s="53"/>
      <c r="D192" s="54"/>
      <c r="E192" s="55"/>
      <c r="F192" s="54"/>
      <c r="G192" s="56"/>
      <c r="H192" s="56"/>
      <c r="I192" s="36" t="str">
        <f t="shared" si="6"/>
        <v/>
      </c>
      <c r="J192" s="36">
        <f t="shared" si="7"/>
        <v>0</v>
      </c>
      <c r="K192" s="36" t="str">
        <f t="shared" ca="1" si="8"/>
        <v/>
      </c>
    </row>
    <row r="193" spans="3:11" x14ac:dyDescent="0.25">
      <c r="C193" s="53"/>
      <c r="D193" s="54"/>
      <c r="E193" s="55"/>
      <c r="F193" s="54"/>
      <c r="G193" s="56"/>
      <c r="H193" s="56"/>
      <c r="I193" s="36" t="str">
        <f t="shared" si="6"/>
        <v/>
      </c>
      <c r="J193" s="36">
        <f t="shared" si="7"/>
        <v>0</v>
      </c>
      <c r="K193" s="36" t="str">
        <f t="shared" ca="1" si="8"/>
        <v/>
      </c>
    </row>
    <row r="194" spans="3:11" x14ac:dyDescent="0.25">
      <c r="C194" s="53"/>
      <c r="D194" s="54"/>
      <c r="E194" s="55"/>
      <c r="F194" s="54"/>
      <c r="G194" s="56"/>
      <c r="H194" s="56"/>
      <c r="I194" s="36" t="str">
        <f t="shared" si="6"/>
        <v/>
      </c>
      <c r="J194" s="36">
        <f t="shared" si="7"/>
        <v>0</v>
      </c>
      <c r="K194" s="36" t="str">
        <f t="shared" ca="1" si="8"/>
        <v/>
      </c>
    </row>
    <row r="195" spans="3:11" x14ac:dyDescent="0.25">
      <c r="C195" s="53"/>
      <c r="D195" s="54"/>
      <c r="E195" s="55"/>
      <c r="F195" s="54"/>
      <c r="G195" s="56"/>
      <c r="H195" s="56"/>
      <c r="I195" s="36" t="str">
        <f t="shared" si="6"/>
        <v/>
      </c>
      <c r="J195" s="36">
        <f t="shared" si="7"/>
        <v>0</v>
      </c>
      <c r="K195" s="36" t="str">
        <f t="shared" ca="1" si="8"/>
        <v/>
      </c>
    </row>
    <row r="196" spans="3:11" x14ac:dyDescent="0.25">
      <c r="C196" s="53"/>
      <c r="D196" s="54"/>
      <c r="E196" s="55"/>
      <c r="F196" s="54"/>
      <c r="G196" s="56"/>
      <c r="H196" s="56"/>
      <c r="I196" s="36" t="str">
        <f t="shared" si="6"/>
        <v/>
      </c>
      <c r="J196" s="36">
        <f t="shared" si="7"/>
        <v>0</v>
      </c>
      <c r="K196" s="36" t="str">
        <f t="shared" ca="1" si="8"/>
        <v/>
      </c>
    </row>
    <row r="197" spans="3:11" x14ac:dyDescent="0.25">
      <c r="C197" s="53"/>
      <c r="D197" s="54"/>
      <c r="E197" s="55"/>
      <c r="F197" s="54"/>
      <c r="G197" s="56"/>
      <c r="H197" s="56"/>
      <c r="I197" s="36" t="str">
        <f t="shared" si="6"/>
        <v/>
      </c>
      <c r="J197" s="36">
        <f t="shared" si="7"/>
        <v>0</v>
      </c>
      <c r="K197" s="36" t="str">
        <f t="shared" ca="1" si="8"/>
        <v/>
      </c>
    </row>
    <row r="198" spans="3:11" x14ac:dyDescent="0.25">
      <c r="C198" s="53"/>
      <c r="D198" s="54"/>
      <c r="E198" s="55"/>
      <c r="F198" s="54"/>
      <c r="G198" s="56"/>
      <c r="H198" s="56"/>
      <c r="I198" s="36" t="str">
        <f t="shared" si="6"/>
        <v/>
      </c>
      <c r="J198" s="36">
        <f t="shared" si="7"/>
        <v>0</v>
      </c>
      <c r="K198" s="36" t="str">
        <f t="shared" ca="1" si="8"/>
        <v/>
      </c>
    </row>
    <row r="199" spans="3:11" x14ac:dyDescent="0.25">
      <c r="C199" s="53"/>
      <c r="D199" s="54"/>
      <c r="E199" s="55"/>
      <c r="F199" s="54"/>
      <c r="G199" s="56"/>
      <c r="H199" s="56"/>
      <c r="I199" s="36" t="str">
        <f t="shared" si="6"/>
        <v/>
      </c>
      <c r="J199" s="36">
        <f t="shared" si="7"/>
        <v>0</v>
      </c>
      <c r="K199" s="36" t="str">
        <f t="shared" ca="1" si="8"/>
        <v/>
      </c>
    </row>
    <row r="200" spans="3:11" x14ac:dyDescent="0.25">
      <c r="C200" s="53"/>
      <c r="D200" s="54"/>
      <c r="E200" s="55"/>
      <c r="F200" s="54"/>
      <c r="G200" s="56"/>
      <c r="H200" s="56"/>
      <c r="I200" s="36" t="str">
        <f t="shared" si="6"/>
        <v/>
      </c>
      <c r="J200" s="36">
        <f t="shared" si="7"/>
        <v>0</v>
      </c>
      <c r="K200" s="36" t="str">
        <f t="shared" ca="1" si="8"/>
        <v/>
      </c>
    </row>
    <row r="201" spans="3:11" x14ac:dyDescent="0.25">
      <c r="C201" s="53"/>
      <c r="D201" s="54"/>
      <c r="E201" s="55"/>
      <c r="F201" s="54"/>
      <c r="G201" s="56"/>
      <c r="H201" s="56"/>
      <c r="I201" s="36" t="str">
        <f t="shared" si="6"/>
        <v/>
      </c>
      <c r="J201" s="36">
        <f t="shared" si="7"/>
        <v>0</v>
      </c>
      <c r="K201" s="36" t="str">
        <f t="shared" ca="1" si="8"/>
        <v/>
      </c>
    </row>
    <row r="202" spans="3:11" x14ac:dyDescent="0.25">
      <c r="C202" s="53"/>
      <c r="D202" s="54"/>
      <c r="E202" s="55"/>
      <c r="F202" s="54"/>
      <c r="G202" s="56"/>
      <c r="H202" s="56"/>
      <c r="I202" s="36" t="str">
        <f t="shared" si="6"/>
        <v/>
      </c>
      <c r="J202" s="36">
        <f t="shared" si="7"/>
        <v>0</v>
      </c>
      <c r="K202" s="36" t="str">
        <f t="shared" ca="1" si="8"/>
        <v/>
      </c>
    </row>
    <row r="203" spans="3:11" x14ac:dyDescent="0.25">
      <c r="C203" s="53"/>
      <c r="D203" s="54"/>
      <c r="E203" s="55"/>
      <c r="F203" s="54"/>
      <c r="G203" s="56"/>
      <c r="H203" s="56"/>
      <c r="I203" s="36" t="str">
        <f t="shared" si="6"/>
        <v/>
      </c>
      <c r="J203" s="36">
        <f t="shared" si="7"/>
        <v>0</v>
      </c>
      <c r="K203" s="36" t="str">
        <f t="shared" ca="1" si="8"/>
        <v/>
      </c>
    </row>
    <row r="204" spans="3:11" x14ac:dyDescent="0.25">
      <c r="C204" s="53"/>
      <c r="D204" s="54"/>
      <c r="E204" s="55"/>
      <c r="F204" s="54"/>
      <c r="G204" s="56"/>
      <c r="H204" s="56"/>
      <c r="I204" s="36" t="str">
        <f t="shared" si="6"/>
        <v/>
      </c>
      <c r="J204" s="36">
        <f t="shared" si="7"/>
        <v>0</v>
      </c>
      <c r="K204" s="36" t="str">
        <f t="shared" ca="1" si="8"/>
        <v/>
      </c>
    </row>
    <row r="205" spans="3:11" x14ac:dyDescent="0.25">
      <c r="C205" s="53"/>
      <c r="D205" s="54"/>
      <c r="E205" s="55"/>
      <c r="F205" s="54"/>
      <c r="G205" s="56"/>
      <c r="H205" s="56"/>
      <c r="I205" s="36" t="str">
        <f t="shared" si="6"/>
        <v/>
      </c>
      <c r="J205" s="36">
        <f t="shared" si="7"/>
        <v>0</v>
      </c>
      <c r="K205" s="36" t="str">
        <f t="shared" ca="1" si="8"/>
        <v/>
      </c>
    </row>
    <row r="206" spans="3:11" x14ac:dyDescent="0.25">
      <c r="C206" s="53"/>
      <c r="D206" s="54"/>
      <c r="E206" s="55"/>
      <c r="F206" s="54"/>
      <c r="G206" s="56"/>
      <c r="H206" s="56"/>
      <c r="I206" s="36" t="str">
        <f t="shared" si="6"/>
        <v/>
      </c>
      <c r="J206" s="36">
        <f t="shared" si="7"/>
        <v>0</v>
      </c>
      <c r="K206" s="36" t="str">
        <f t="shared" ca="1" si="8"/>
        <v/>
      </c>
    </row>
    <row r="207" spans="3:11" x14ac:dyDescent="0.25">
      <c r="C207" s="53"/>
      <c r="D207" s="54"/>
      <c r="E207" s="55"/>
      <c r="F207" s="54"/>
      <c r="G207" s="56"/>
      <c r="H207" s="56"/>
      <c r="I207" s="36" t="str">
        <f t="shared" si="6"/>
        <v/>
      </c>
      <c r="J207" s="36">
        <f t="shared" si="7"/>
        <v>0</v>
      </c>
      <c r="K207" s="36" t="str">
        <f t="shared" ca="1" si="8"/>
        <v/>
      </c>
    </row>
    <row r="208" spans="3:11" x14ac:dyDescent="0.25">
      <c r="C208" s="53"/>
      <c r="D208" s="54"/>
      <c r="E208" s="55"/>
      <c r="F208" s="54"/>
      <c r="G208" s="56"/>
      <c r="H208" s="56"/>
      <c r="I208" s="36" t="str">
        <f t="shared" si="6"/>
        <v/>
      </c>
      <c r="J208" s="36">
        <f t="shared" si="7"/>
        <v>0</v>
      </c>
      <c r="K208" s="36" t="str">
        <f t="shared" ca="1" si="8"/>
        <v/>
      </c>
    </row>
    <row r="209" spans="3:11" x14ac:dyDescent="0.25">
      <c r="C209" s="53"/>
      <c r="D209" s="54"/>
      <c r="E209" s="55"/>
      <c r="F209" s="54"/>
      <c r="G209" s="56"/>
      <c r="H209" s="56"/>
      <c r="I209" s="36" t="str">
        <f t="shared" ref="I209:I272" si="9">IF(C209="","",IF(H209&lt;=0,"Em aberto",IF(H209&gt;=G209,"Pagamento Total",IF(H209&lt;G209,"Pagamento Parcial"))))</f>
        <v/>
      </c>
      <c r="J209" s="36">
        <f t="shared" ref="J209:J272" si="10">IF(C209&gt;0,G209-H209,0)</f>
        <v>0</v>
      </c>
      <c r="K209" s="36" t="str">
        <f t="shared" ref="K209:K272" ca="1" si="11">IF(ISBLANK(C209),"",IF(H209=G209,"Pago",IF(C209=TODAY(),"Vence Hoje",IF(TRIM(UPPER(G208))&lt;&gt;"S",IF(C209-TODAY()&lt;0,"Vencida",IF(C209-TODAY()&lt;8,"Próximos sete dias","Em aberto"))))))</f>
        <v/>
      </c>
    </row>
    <row r="210" spans="3:11" x14ac:dyDescent="0.25">
      <c r="C210" s="53"/>
      <c r="D210" s="54"/>
      <c r="E210" s="55"/>
      <c r="F210" s="54"/>
      <c r="G210" s="56"/>
      <c r="H210" s="56"/>
      <c r="I210" s="36" t="str">
        <f t="shared" si="9"/>
        <v/>
      </c>
      <c r="J210" s="36">
        <f t="shared" si="10"/>
        <v>0</v>
      </c>
      <c r="K210" s="36" t="str">
        <f t="shared" ca="1" si="11"/>
        <v/>
      </c>
    </row>
    <row r="211" spans="3:11" x14ac:dyDescent="0.25">
      <c r="C211" s="53"/>
      <c r="D211" s="54"/>
      <c r="E211" s="55"/>
      <c r="F211" s="54"/>
      <c r="G211" s="56"/>
      <c r="H211" s="56"/>
      <c r="I211" s="36" t="str">
        <f t="shared" si="9"/>
        <v/>
      </c>
      <c r="J211" s="36">
        <f t="shared" si="10"/>
        <v>0</v>
      </c>
      <c r="K211" s="36" t="str">
        <f t="shared" ca="1" si="11"/>
        <v/>
      </c>
    </row>
    <row r="212" spans="3:11" x14ac:dyDescent="0.25">
      <c r="C212" s="53"/>
      <c r="D212" s="54"/>
      <c r="E212" s="55"/>
      <c r="F212" s="54"/>
      <c r="G212" s="56"/>
      <c r="H212" s="56"/>
      <c r="I212" s="36" t="str">
        <f t="shared" si="9"/>
        <v/>
      </c>
      <c r="J212" s="36">
        <f t="shared" si="10"/>
        <v>0</v>
      </c>
      <c r="K212" s="36" t="str">
        <f t="shared" ca="1" si="11"/>
        <v/>
      </c>
    </row>
    <row r="213" spans="3:11" x14ac:dyDescent="0.25">
      <c r="C213" s="53"/>
      <c r="D213" s="54"/>
      <c r="E213" s="55"/>
      <c r="F213" s="54"/>
      <c r="G213" s="56"/>
      <c r="H213" s="56"/>
      <c r="I213" s="36" t="str">
        <f t="shared" si="9"/>
        <v/>
      </c>
      <c r="J213" s="36">
        <f t="shared" si="10"/>
        <v>0</v>
      </c>
      <c r="K213" s="36" t="str">
        <f t="shared" ca="1" si="11"/>
        <v/>
      </c>
    </row>
    <row r="214" spans="3:11" x14ac:dyDescent="0.25">
      <c r="C214" s="53"/>
      <c r="D214" s="54"/>
      <c r="E214" s="55"/>
      <c r="F214" s="54"/>
      <c r="G214" s="56"/>
      <c r="H214" s="56"/>
      <c r="I214" s="36" t="str">
        <f t="shared" si="9"/>
        <v/>
      </c>
      <c r="J214" s="36">
        <f t="shared" si="10"/>
        <v>0</v>
      </c>
      <c r="K214" s="36" t="str">
        <f t="shared" ca="1" si="11"/>
        <v/>
      </c>
    </row>
    <row r="215" spans="3:11" x14ac:dyDescent="0.25">
      <c r="C215" s="53"/>
      <c r="D215" s="54"/>
      <c r="E215" s="55"/>
      <c r="F215" s="54"/>
      <c r="G215" s="56"/>
      <c r="H215" s="56"/>
      <c r="I215" s="36" t="str">
        <f t="shared" si="9"/>
        <v/>
      </c>
      <c r="J215" s="36">
        <f t="shared" si="10"/>
        <v>0</v>
      </c>
      <c r="K215" s="36" t="str">
        <f t="shared" ca="1" si="11"/>
        <v/>
      </c>
    </row>
    <row r="216" spans="3:11" x14ac:dyDescent="0.25">
      <c r="C216" s="53"/>
      <c r="D216" s="54"/>
      <c r="E216" s="55"/>
      <c r="F216" s="54"/>
      <c r="G216" s="56"/>
      <c r="H216" s="56"/>
      <c r="I216" s="36" t="str">
        <f t="shared" si="9"/>
        <v/>
      </c>
      <c r="J216" s="36">
        <f t="shared" si="10"/>
        <v>0</v>
      </c>
      <c r="K216" s="36" t="str">
        <f t="shared" ca="1" si="11"/>
        <v/>
      </c>
    </row>
    <row r="217" spans="3:11" x14ac:dyDescent="0.25">
      <c r="C217" s="53"/>
      <c r="D217" s="54"/>
      <c r="E217" s="55"/>
      <c r="F217" s="54"/>
      <c r="G217" s="56"/>
      <c r="H217" s="56"/>
      <c r="I217" s="36" t="str">
        <f t="shared" si="9"/>
        <v/>
      </c>
      <c r="J217" s="36">
        <f t="shared" si="10"/>
        <v>0</v>
      </c>
      <c r="K217" s="36" t="str">
        <f t="shared" ca="1" si="11"/>
        <v/>
      </c>
    </row>
    <row r="218" spans="3:11" x14ac:dyDescent="0.25">
      <c r="C218" s="53"/>
      <c r="D218" s="54"/>
      <c r="E218" s="55"/>
      <c r="F218" s="54"/>
      <c r="G218" s="56"/>
      <c r="H218" s="56"/>
      <c r="I218" s="36" t="str">
        <f t="shared" si="9"/>
        <v/>
      </c>
      <c r="J218" s="36">
        <f t="shared" si="10"/>
        <v>0</v>
      </c>
      <c r="K218" s="36" t="str">
        <f t="shared" ca="1" si="11"/>
        <v/>
      </c>
    </row>
    <row r="219" spans="3:11" x14ac:dyDescent="0.25">
      <c r="C219" s="53"/>
      <c r="D219" s="54"/>
      <c r="E219" s="55"/>
      <c r="F219" s="54"/>
      <c r="G219" s="56"/>
      <c r="H219" s="56"/>
      <c r="I219" s="36" t="str">
        <f t="shared" si="9"/>
        <v/>
      </c>
      <c r="J219" s="36">
        <f t="shared" si="10"/>
        <v>0</v>
      </c>
      <c r="K219" s="36" t="str">
        <f t="shared" ca="1" si="11"/>
        <v/>
      </c>
    </row>
    <row r="220" spans="3:11" x14ac:dyDescent="0.25">
      <c r="C220" s="53"/>
      <c r="D220" s="54"/>
      <c r="E220" s="55"/>
      <c r="F220" s="54"/>
      <c r="G220" s="56"/>
      <c r="H220" s="56"/>
      <c r="I220" s="36" t="str">
        <f t="shared" si="9"/>
        <v/>
      </c>
      <c r="J220" s="36">
        <f t="shared" si="10"/>
        <v>0</v>
      </c>
      <c r="K220" s="36" t="str">
        <f t="shared" ca="1" si="11"/>
        <v/>
      </c>
    </row>
    <row r="221" spans="3:11" x14ac:dyDescent="0.25">
      <c r="C221" s="53"/>
      <c r="D221" s="54"/>
      <c r="E221" s="55"/>
      <c r="F221" s="54"/>
      <c r="G221" s="56"/>
      <c r="H221" s="56"/>
      <c r="I221" s="36" t="str">
        <f t="shared" si="9"/>
        <v/>
      </c>
      <c r="J221" s="36">
        <f t="shared" si="10"/>
        <v>0</v>
      </c>
      <c r="K221" s="36" t="str">
        <f t="shared" ca="1" si="11"/>
        <v/>
      </c>
    </row>
    <row r="222" spans="3:11" x14ac:dyDescent="0.25">
      <c r="C222" s="53"/>
      <c r="D222" s="54"/>
      <c r="E222" s="55"/>
      <c r="F222" s="54"/>
      <c r="G222" s="56"/>
      <c r="H222" s="56"/>
      <c r="I222" s="36" t="str">
        <f t="shared" si="9"/>
        <v/>
      </c>
      <c r="J222" s="36">
        <f t="shared" si="10"/>
        <v>0</v>
      </c>
      <c r="K222" s="36" t="str">
        <f t="shared" ca="1" si="11"/>
        <v/>
      </c>
    </row>
    <row r="223" spans="3:11" x14ac:dyDescent="0.25">
      <c r="C223" s="53"/>
      <c r="D223" s="54"/>
      <c r="E223" s="55"/>
      <c r="F223" s="54"/>
      <c r="G223" s="56"/>
      <c r="H223" s="56"/>
      <c r="I223" s="36" t="str">
        <f t="shared" si="9"/>
        <v/>
      </c>
      <c r="J223" s="36">
        <f t="shared" si="10"/>
        <v>0</v>
      </c>
      <c r="K223" s="36" t="str">
        <f t="shared" ca="1" si="11"/>
        <v/>
      </c>
    </row>
    <row r="224" spans="3:11" x14ac:dyDescent="0.25">
      <c r="C224" s="53"/>
      <c r="D224" s="54"/>
      <c r="E224" s="55"/>
      <c r="F224" s="54"/>
      <c r="G224" s="56"/>
      <c r="H224" s="56"/>
      <c r="I224" s="36" t="str">
        <f t="shared" si="9"/>
        <v/>
      </c>
      <c r="J224" s="36">
        <f t="shared" si="10"/>
        <v>0</v>
      </c>
      <c r="K224" s="36" t="str">
        <f t="shared" ca="1" si="11"/>
        <v/>
      </c>
    </row>
    <row r="225" spans="3:11" x14ac:dyDescent="0.25">
      <c r="C225" s="53"/>
      <c r="D225" s="54"/>
      <c r="E225" s="55"/>
      <c r="F225" s="54"/>
      <c r="G225" s="56"/>
      <c r="H225" s="56"/>
      <c r="I225" s="36" t="str">
        <f t="shared" si="9"/>
        <v/>
      </c>
      <c r="J225" s="36">
        <f t="shared" si="10"/>
        <v>0</v>
      </c>
      <c r="K225" s="36" t="str">
        <f t="shared" ca="1" si="11"/>
        <v/>
      </c>
    </row>
    <row r="226" spans="3:11" x14ac:dyDescent="0.25">
      <c r="C226" s="53"/>
      <c r="D226" s="54"/>
      <c r="E226" s="55"/>
      <c r="F226" s="54"/>
      <c r="G226" s="56"/>
      <c r="H226" s="56"/>
      <c r="I226" s="36" t="str">
        <f t="shared" si="9"/>
        <v/>
      </c>
      <c r="J226" s="36">
        <f t="shared" si="10"/>
        <v>0</v>
      </c>
      <c r="K226" s="36" t="str">
        <f t="shared" ca="1" si="11"/>
        <v/>
      </c>
    </row>
    <row r="227" spans="3:11" x14ac:dyDescent="0.25">
      <c r="C227" s="53"/>
      <c r="D227" s="54"/>
      <c r="E227" s="55"/>
      <c r="F227" s="54"/>
      <c r="G227" s="56"/>
      <c r="H227" s="56"/>
      <c r="I227" s="36" t="str">
        <f t="shared" si="9"/>
        <v/>
      </c>
      <c r="J227" s="36">
        <f t="shared" si="10"/>
        <v>0</v>
      </c>
      <c r="K227" s="36" t="str">
        <f t="shared" ca="1" si="11"/>
        <v/>
      </c>
    </row>
    <row r="228" spans="3:11" x14ac:dyDescent="0.25">
      <c r="C228" s="53"/>
      <c r="D228" s="54"/>
      <c r="E228" s="55"/>
      <c r="F228" s="54"/>
      <c r="G228" s="56"/>
      <c r="H228" s="56"/>
      <c r="I228" s="36" t="str">
        <f t="shared" si="9"/>
        <v/>
      </c>
      <c r="J228" s="36">
        <f t="shared" si="10"/>
        <v>0</v>
      </c>
      <c r="K228" s="36" t="str">
        <f t="shared" ca="1" si="11"/>
        <v/>
      </c>
    </row>
    <row r="229" spans="3:11" x14ac:dyDescent="0.25">
      <c r="C229" s="53"/>
      <c r="D229" s="54"/>
      <c r="E229" s="55"/>
      <c r="F229" s="54"/>
      <c r="G229" s="56"/>
      <c r="H229" s="56"/>
      <c r="I229" s="36" t="str">
        <f t="shared" si="9"/>
        <v/>
      </c>
      <c r="J229" s="36">
        <f t="shared" si="10"/>
        <v>0</v>
      </c>
      <c r="K229" s="36" t="str">
        <f t="shared" ca="1" si="11"/>
        <v/>
      </c>
    </row>
    <row r="230" spans="3:11" x14ac:dyDescent="0.25">
      <c r="C230" s="53"/>
      <c r="D230" s="54"/>
      <c r="E230" s="55"/>
      <c r="F230" s="54"/>
      <c r="G230" s="56"/>
      <c r="H230" s="56"/>
      <c r="I230" s="36" t="str">
        <f t="shared" si="9"/>
        <v/>
      </c>
      <c r="J230" s="36">
        <f t="shared" si="10"/>
        <v>0</v>
      </c>
      <c r="K230" s="36" t="str">
        <f t="shared" ca="1" si="11"/>
        <v/>
      </c>
    </row>
    <row r="231" spans="3:11" x14ac:dyDescent="0.25">
      <c r="C231" s="53"/>
      <c r="D231" s="54"/>
      <c r="E231" s="55"/>
      <c r="F231" s="54"/>
      <c r="G231" s="56"/>
      <c r="H231" s="56"/>
      <c r="I231" s="36" t="str">
        <f t="shared" si="9"/>
        <v/>
      </c>
      <c r="J231" s="36">
        <f t="shared" si="10"/>
        <v>0</v>
      </c>
      <c r="K231" s="36" t="str">
        <f t="shared" ca="1" si="11"/>
        <v/>
      </c>
    </row>
    <row r="232" spans="3:11" x14ac:dyDescent="0.25">
      <c r="C232" s="53"/>
      <c r="D232" s="54"/>
      <c r="E232" s="55"/>
      <c r="F232" s="54"/>
      <c r="G232" s="56"/>
      <c r="H232" s="56"/>
      <c r="I232" s="36" t="str">
        <f t="shared" si="9"/>
        <v/>
      </c>
      <c r="J232" s="36">
        <f t="shared" si="10"/>
        <v>0</v>
      </c>
      <c r="K232" s="36" t="str">
        <f t="shared" ca="1" si="11"/>
        <v/>
      </c>
    </row>
    <row r="233" spans="3:11" x14ac:dyDescent="0.25">
      <c r="C233" s="53"/>
      <c r="D233" s="54"/>
      <c r="E233" s="55"/>
      <c r="F233" s="54"/>
      <c r="G233" s="56"/>
      <c r="H233" s="56"/>
      <c r="I233" s="36" t="str">
        <f t="shared" si="9"/>
        <v/>
      </c>
      <c r="J233" s="36">
        <f t="shared" si="10"/>
        <v>0</v>
      </c>
      <c r="K233" s="36" t="str">
        <f t="shared" ca="1" si="11"/>
        <v/>
      </c>
    </row>
    <row r="234" spans="3:11" x14ac:dyDescent="0.25">
      <c r="C234" s="53"/>
      <c r="D234" s="54"/>
      <c r="E234" s="55"/>
      <c r="F234" s="54"/>
      <c r="G234" s="56"/>
      <c r="H234" s="56"/>
      <c r="I234" s="36" t="str">
        <f t="shared" si="9"/>
        <v/>
      </c>
      <c r="J234" s="36">
        <f t="shared" si="10"/>
        <v>0</v>
      </c>
      <c r="K234" s="36" t="str">
        <f t="shared" ca="1" si="11"/>
        <v/>
      </c>
    </row>
    <row r="235" spans="3:11" x14ac:dyDescent="0.25">
      <c r="C235" s="53"/>
      <c r="D235" s="54"/>
      <c r="E235" s="55"/>
      <c r="F235" s="54"/>
      <c r="G235" s="56"/>
      <c r="H235" s="56"/>
      <c r="I235" s="36" t="str">
        <f t="shared" si="9"/>
        <v/>
      </c>
      <c r="J235" s="36">
        <f t="shared" si="10"/>
        <v>0</v>
      </c>
      <c r="K235" s="36" t="str">
        <f t="shared" ca="1" si="11"/>
        <v/>
      </c>
    </row>
    <row r="236" spans="3:11" x14ac:dyDescent="0.25">
      <c r="C236" s="53"/>
      <c r="D236" s="54"/>
      <c r="E236" s="55"/>
      <c r="F236" s="54"/>
      <c r="G236" s="56"/>
      <c r="H236" s="56"/>
      <c r="I236" s="36" t="str">
        <f t="shared" si="9"/>
        <v/>
      </c>
      <c r="J236" s="36">
        <f t="shared" si="10"/>
        <v>0</v>
      </c>
      <c r="K236" s="36" t="str">
        <f t="shared" ca="1" si="11"/>
        <v/>
      </c>
    </row>
    <row r="237" spans="3:11" x14ac:dyDescent="0.25">
      <c r="C237" s="53"/>
      <c r="D237" s="54"/>
      <c r="E237" s="55"/>
      <c r="F237" s="54"/>
      <c r="G237" s="56"/>
      <c r="H237" s="56"/>
      <c r="I237" s="36" t="str">
        <f t="shared" si="9"/>
        <v/>
      </c>
      <c r="J237" s="36">
        <f t="shared" si="10"/>
        <v>0</v>
      </c>
      <c r="K237" s="36" t="str">
        <f t="shared" ca="1" si="11"/>
        <v/>
      </c>
    </row>
    <row r="238" spans="3:11" x14ac:dyDescent="0.25">
      <c r="C238" s="53"/>
      <c r="D238" s="54"/>
      <c r="E238" s="55"/>
      <c r="F238" s="54"/>
      <c r="G238" s="56"/>
      <c r="H238" s="56"/>
      <c r="I238" s="36" t="str">
        <f t="shared" si="9"/>
        <v/>
      </c>
      <c r="J238" s="36">
        <f t="shared" si="10"/>
        <v>0</v>
      </c>
      <c r="K238" s="36" t="str">
        <f t="shared" ca="1" si="11"/>
        <v/>
      </c>
    </row>
    <row r="239" spans="3:11" x14ac:dyDescent="0.25">
      <c r="C239" s="53"/>
      <c r="D239" s="54"/>
      <c r="E239" s="55"/>
      <c r="F239" s="54"/>
      <c r="G239" s="56"/>
      <c r="H239" s="56"/>
      <c r="I239" s="36" t="str">
        <f t="shared" si="9"/>
        <v/>
      </c>
      <c r="J239" s="36">
        <f t="shared" si="10"/>
        <v>0</v>
      </c>
      <c r="K239" s="36" t="str">
        <f t="shared" ca="1" si="11"/>
        <v/>
      </c>
    </row>
    <row r="240" spans="3:11" x14ac:dyDescent="0.25">
      <c r="C240" s="53"/>
      <c r="D240" s="54"/>
      <c r="E240" s="55"/>
      <c r="F240" s="54"/>
      <c r="G240" s="56"/>
      <c r="H240" s="56"/>
      <c r="I240" s="36" t="str">
        <f t="shared" si="9"/>
        <v/>
      </c>
      <c r="J240" s="36">
        <f t="shared" si="10"/>
        <v>0</v>
      </c>
      <c r="K240" s="36" t="str">
        <f t="shared" ca="1" si="11"/>
        <v/>
      </c>
    </row>
    <row r="241" spans="3:11" x14ac:dyDescent="0.25">
      <c r="C241" s="53"/>
      <c r="D241" s="54"/>
      <c r="E241" s="55"/>
      <c r="F241" s="54"/>
      <c r="G241" s="56"/>
      <c r="H241" s="56"/>
      <c r="I241" s="36" t="str">
        <f t="shared" si="9"/>
        <v/>
      </c>
      <c r="J241" s="36">
        <f t="shared" si="10"/>
        <v>0</v>
      </c>
      <c r="K241" s="36" t="str">
        <f t="shared" ca="1" si="11"/>
        <v/>
      </c>
    </row>
    <row r="242" spans="3:11" x14ac:dyDescent="0.25">
      <c r="C242" s="53"/>
      <c r="D242" s="54"/>
      <c r="E242" s="55"/>
      <c r="F242" s="54"/>
      <c r="G242" s="56"/>
      <c r="H242" s="56"/>
      <c r="I242" s="36" t="str">
        <f t="shared" si="9"/>
        <v/>
      </c>
      <c r="J242" s="36">
        <f t="shared" si="10"/>
        <v>0</v>
      </c>
      <c r="K242" s="36" t="str">
        <f t="shared" ca="1" si="11"/>
        <v/>
      </c>
    </row>
    <row r="243" spans="3:11" x14ac:dyDescent="0.25">
      <c r="C243" s="53"/>
      <c r="D243" s="54"/>
      <c r="E243" s="55"/>
      <c r="F243" s="54"/>
      <c r="G243" s="56"/>
      <c r="H243" s="56"/>
      <c r="I243" s="36" t="str">
        <f t="shared" si="9"/>
        <v/>
      </c>
      <c r="J243" s="36">
        <f t="shared" si="10"/>
        <v>0</v>
      </c>
      <c r="K243" s="36" t="str">
        <f t="shared" ca="1" si="11"/>
        <v/>
      </c>
    </row>
    <row r="244" spans="3:11" x14ac:dyDescent="0.25">
      <c r="C244" s="53"/>
      <c r="D244" s="54"/>
      <c r="E244" s="55"/>
      <c r="F244" s="54"/>
      <c r="G244" s="56"/>
      <c r="H244" s="56"/>
      <c r="I244" s="36" t="str">
        <f t="shared" si="9"/>
        <v/>
      </c>
      <c r="J244" s="36">
        <f t="shared" si="10"/>
        <v>0</v>
      </c>
      <c r="K244" s="36" t="str">
        <f t="shared" ca="1" si="11"/>
        <v/>
      </c>
    </row>
    <row r="245" spans="3:11" x14ac:dyDescent="0.25">
      <c r="C245" s="53"/>
      <c r="D245" s="54"/>
      <c r="E245" s="55"/>
      <c r="F245" s="54"/>
      <c r="G245" s="56"/>
      <c r="H245" s="56"/>
      <c r="I245" s="36" t="str">
        <f t="shared" si="9"/>
        <v/>
      </c>
      <c r="J245" s="36">
        <f t="shared" si="10"/>
        <v>0</v>
      </c>
      <c r="K245" s="36" t="str">
        <f t="shared" ca="1" si="11"/>
        <v/>
      </c>
    </row>
    <row r="246" spans="3:11" x14ac:dyDescent="0.25">
      <c r="C246" s="53"/>
      <c r="D246" s="54"/>
      <c r="E246" s="55"/>
      <c r="F246" s="54"/>
      <c r="G246" s="56"/>
      <c r="H246" s="56"/>
      <c r="I246" s="36" t="str">
        <f t="shared" si="9"/>
        <v/>
      </c>
      <c r="J246" s="36">
        <f t="shared" si="10"/>
        <v>0</v>
      </c>
      <c r="K246" s="36" t="str">
        <f t="shared" ca="1" si="11"/>
        <v/>
      </c>
    </row>
    <row r="247" spans="3:11" x14ac:dyDescent="0.25">
      <c r="C247" s="53"/>
      <c r="D247" s="54"/>
      <c r="E247" s="55"/>
      <c r="F247" s="54"/>
      <c r="G247" s="56"/>
      <c r="H247" s="56"/>
      <c r="I247" s="36" t="str">
        <f t="shared" si="9"/>
        <v/>
      </c>
      <c r="J247" s="36">
        <f t="shared" si="10"/>
        <v>0</v>
      </c>
      <c r="K247" s="36" t="str">
        <f t="shared" ca="1" si="11"/>
        <v/>
      </c>
    </row>
    <row r="248" spans="3:11" x14ac:dyDescent="0.25">
      <c r="C248" s="53"/>
      <c r="D248" s="54"/>
      <c r="E248" s="55"/>
      <c r="F248" s="54"/>
      <c r="G248" s="56"/>
      <c r="H248" s="56"/>
      <c r="I248" s="36" t="str">
        <f t="shared" si="9"/>
        <v/>
      </c>
      <c r="J248" s="36">
        <f t="shared" si="10"/>
        <v>0</v>
      </c>
      <c r="K248" s="36" t="str">
        <f t="shared" ca="1" si="11"/>
        <v/>
      </c>
    </row>
    <row r="249" spans="3:11" x14ac:dyDescent="0.25">
      <c r="C249" s="53"/>
      <c r="D249" s="54"/>
      <c r="E249" s="55"/>
      <c r="F249" s="54"/>
      <c r="G249" s="56"/>
      <c r="H249" s="56"/>
      <c r="I249" s="36" t="str">
        <f t="shared" si="9"/>
        <v/>
      </c>
      <c r="J249" s="36">
        <f t="shared" si="10"/>
        <v>0</v>
      </c>
      <c r="K249" s="36" t="str">
        <f t="shared" ca="1" si="11"/>
        <v/>
      </c>
    </row>
    <row r="250" spans="3:11" x14ac:dyDescent="0.25">
      <c r="C250" s="53"/>
      <c r="D250" s="54"/>
      <c r="E250" s="55"/>
      <c r="F250" s="54"/>
      <c r="G250" s="56"/>
      <c r="H250" s="56"/>
      <c r="I250" s="36" t="str">
        <f t="shared" si="9"/>
        <v/>
      </c>
      <c r="J250" s="36">
        <f t="shared" si="10"/>
        <v>0</v>
      </c>
      <c r="K250" s="36" t="str">
        <f t="shared" ca="1" si="11"/>
        <v/>
      </c>
    </row>
    <row r="251" spans="3:11" x14ac:dyDescent="0.25">
      <c r="C251" s="53"/>
      <c r="D251" s="54"/>
      <c r="E251" s="55"/>
      <c r="F251" s="54"/>
      <c r="G251" s="56"/>
      <c r="H251" s="56"/>
      <c r="I251" s="36" t="str">
        <f t="shared" si="9"/>
        <v/>
      </c>
      <c r="J251" s="36">
        <f t="shared" si="10"/>
        <v>0</v>
      </c>
      <c r="K251" s="36" t="str">
        <f t="shared" ca="1" si="11"/>
        <v/>
      </c>
    </row>
    <row r="252" spans="3:11" x14ac:dyDescent="0.25">
      <c r="C252" s="53"/>
      <c r="D252" s="54"/>
      <c r="E252" s="55"/>
      <c r="F252" s="54"/>
      <c r="G252" s="56"/>
      <c r="H252" s="56"/>
      <c r="I252" s="36" t="str">
        <f t="shared" si="9"/>
        <v/>
      </c>
      <c r="J252" s="36">
        <f t="shared" si="10"/>
        <v>0</v>
      </c>
      <c r="K252" s="36" t="str">
        <f t="shared" ca="1" si="11"/>
        <v/>
      </c>
    </row>
    <row r="253" spans="3:11" x14ac:dyDescent="0.25">
      <c r="C253" s="53"/>
      <c r="D253" s="54"/>
      <c r="E253" s="55"/>
      <c r="F253" s="54"/>
      <c r="G253" s="56"/>
      <c r="H253" s="56"/>
      <c r="I253" s="36" t="str">
        <f t="shared" si="9"/>
        <v/>
      </c>
      <c r="J253" s="36">
        <f t="shared" si="10"/>
        <v>0</v>
      </c>
      <c r="K253" s="36" t="str">
        <f t="shared" ca="1" si="11"/>
        <v/>
      </c>
    </row>
    <row r="254" spans="3:11" x14ac:dyDescent="0.25">
      <c r="C254" s="53"/>
      <c r="D254" s="54"/>
      <c r="E254" s="55"/>
      <c r="F254" s="54"/>
      <c r="G254" s="56"/>
      <c r="H254" s="56"/>
      <c r="I254" s="36" t="str">
        <f t="shared" si="9"/>
        <v/>
      </c>
      <c r="J254" s="36">
        <f t="shared" si="10"/>
        <v>0</v>
      </c>
      <c r="K254" s="36" t="str">
        <f t="shared" ca="1" si="11"/>
        <v/>
      </c>
    </row>
    <row r="255" spans="3:11" x14ac:dyDescent="0.25">
      <c r="C255" s="53"/>
      <c r="D255" s="54"/>
      <c r="E255" s="55"/>
      <c r="F255" s="54"/>
      <c r="G255" s="56"/>
      <c r="H255" s="56"/>
      <c r="I255" s="36" t="str">
        <f t="shared" si="9"/>
        <v/>
      </c>
      <c r="J255" s="36">
        <f t="shared" si="10"/>
        <v>0</v>
      </c>
      <c r="K255" s="36" t="str">
        <f t="shared" ca="1" si="11"/>
        <v/>
      </c>
    </row>
    <row r="256" spans="3:11" x14ac:dyDescent="0.25">
      <c r="C256" s="53"/>
      <c r="D256" s="54"/>
      <c r="E256" s="55"/>
      <c r="F256" s="54"/>
      <c r="G256" s="56"/>
      <c r="H256" s="56"/>
      <c r="I256" s="36" t="str">
        <f t="shared" si="9"/>
        <v/>
      </c>
      <c r="J256" s="36">
        <f t="shared" si="10"/>
        <v>0</v>
      </c>
      <c r="K256" s="36" t="str">
        <f t="shared" ca="1" si="11"/>
        <v/>
      </c>
    </row>
    <row r="257" spans="3:11" x14ac:dyDescent="0.25">
      <c r="C257" s="53"/>
      <c r="D257" s="54"/>
      <c r="E257" s="55"/>
      <c r="F257" s="54"/>
      <c r="G257" s="56"/>
      <c r="H257" s="56"/>
      <c r="I257" s="36" t="str">
        <f t="shared" si="9"/>
        <v/>
      </c>
      <c r="J257" s="36">
        <f t="shared" si="10"/>
        <v>0</v>
      </c>
      <c r="K257" s="36" t="str">
        <f t="shared" ca="1" si="11"/>
        <v/>
      </c>
    </row>
    <row r="258" spans="3:11" x14ac:dyDescent="0.25">
      <c r="C258" s="53"/>
      <c r="D258" s="54"/>
      <c r="E258" s="55"/>
      <c r="F258" s="54"/>
      <c r="G258" s="56"/>
      <c r="H258" s="56"/>
      <c r="I258" s="36" t="str">
        <f t="shared" si="9"/>
        <v/>
      </c>
      <c r="J258" s="36">
        <f t="shared" si="10"/>
        <v>0</v>
      </c>
      <c r="K258" s="36" t="str">
        <f t="shared" ca="1" si="11"/>
        <v/>
      </c>
    </row>
    <row r="259" spans="3:11" x14ac:dyDescent="0.25">
      <c r="C259" s="53"/>
      <c r="D259" s="54"/>
      <c r="E259" s="55"/>
      <c r="F259" s="54"/>
      <c r="G259" s="56"/>
      <c r="H259" s="56"/>
      <c r="I259" s="36" t="str">
        <f t="shared" si="9"/>
        <v/>
      </c>
      <c r="J259" s="36">
        <f t="shared" si="10"/>
        <v>0</v>
      </c>
      <c r="K259" s="36" t="str">
        <f t="shared" ca="1" si="11"/>
        <v/>
      </c>
    </row>
    <row r="260" spans="3:11" x14ac:dyDescent="0.25">
      <c r="C260" s="53"/>
      <c r="D260" s="54"/>
      <c r="E260" s="55"/>
      <c r="F260" s="54"/>
      <c r="G260" s="56"/>
      <c r="H260" s="56"/>
      <c r="I260" s="36" t="str">
        <f t="shared" si="9"/>
        <v/>
      </c>
      <c r="J260" s="36">
        <f t="shared" si="10"/>
        <v>0</v>
      </c>
      <c r="K260" s="36" t="str">
        <f t="shared" ca="1" si="11"/>
        <v/>
      </c>
    </row>
    <row r="261" spans="3:11" x14ac:dyDescent="0.25">
      <c r="C261" s="53"/>
      <c r="D261" s="54"/>
      <c r="E261" s="55"/>
      <c r="F261" s="54"/>
      <c r="G261" s="56"/>
      <c r="H261" s="56"/>
      <c r="I261" s="36" t="str">
        <f t="shared" si="9"/>
        <v/>
      </c>
      <c r="J261" s="36">
        <f t="shared" si="10"/>
        <v>0</v>
      </c>
      <c r="K261" s="36" t="str">
        <f t="shared" ca="1" si="11"/>
        <v/>
      </c>
    </row>
    <row r="262" spans="3:11" x14ac:dyDescent="0.25">
      <c r="C262" s="53"/>
      <c r="D262" s="54"/>
      <c r="E262" s="55"/>
      <c r="F262" s="54"/>
      <c r="G262" s="56"/>
      <c r="H262" s="56"/>
      <c r="I262" s="36" t="str">
        <f t="shared" si="9"/>
        <v/>
      </c>
      <c r="J262" s="36">
        <f t="shared" si="10"/>
        <v>0</v>
      </c>
      <c r="K262" s="36" t="str">
        <f t="shared" ca="1" si="11"/>
        <v/>
      </c>
    </row>
    <row r="263" spans="3:11" x14ac:dyDescent="0.25">
      <c r="C263" s="53"/>
      <c r="D263" s="54"/>
      <c r="E263" s="55"/>
      <c r="F263" s="54"/>
      <c r="G263" s="56"/>
      <c r="H263" s="56"/>
      <c r="I263" s="36" t="str">
        <f t="shared" si="9"/>
        <v/>
      </c>
      <c r="J263" s="36">
        <f t="shared" si="10"/>
        <v>0</v>
      </c>
      <c r="K263" s="36" t="str">
        <f t="shared" ca="1" si="11"/>
        <v/>
      </c>
    </row>
    <row r="264" spans="3:11" x14ac:dyDescent="0.25">
      <c r="C264" s="53"/>
      <c r="D264" s="54"/>
      <c r="E264" s="55"/>
      <c r="F264" s="54"/>
      <c r="G264" s="56"/>
      <c r="H264" s="56"/>
      <c r="I264" s="36" t="str">
        <f t="shared" si="9"/>
        <v/>
      </c>
      <c r="J264" s="36">
        <f t="shared" si="10"/>
        <v>0</v>
      </c>
      <c r="K264" s="36" t="str">
        <f t="shared" ca="1" si="11"/>
        <v/>
      </c>
    </row>
    <row r="265" spans="3:11" x14ac:dyDescent="0.25">
      <c r="C265" s="53"/>
      <c r="D265" s="54"/>
      <c r="E265" s="55"/>
      <c r="F265" s="54"/>
      <c r="G265" s="56"/>
      <c r="H265" s="56"/>
      <c r="I265" s="36" t="str">
        <f t="shared" si="9"/>
        <v/>
      </c>
      <c r="J265" s="36">
        <f t="shared" si="10"/>
        <v>0</v>
      </c>
      <c r="K265" s="36" t="str">
        <f t="shared" ca="1" si="11"/>
        <v/>
      </c>
    </row>
    <row r="266" spans="3:11" x14ac:dyDescent="0.25">
      <c r="C266" s="53"/>
      <c r="D266" s="54"/>
      <c r="E266" s="55"/>
      <c r="F266" s="54"/>
      <c r="G266" s="56"/>
      <c r="H266" s="56"/>
      <c r="I266" s="36" t="str">
        <f t="shared" si="9"/>
        <v/>
      </c>
      <c r="J266" s="36">
        <f t="shared" si="10"/>
        <v>0</v>
      </c>
      <c r="K266" s="36" t="str">
        <f t="shared" ca="1" si="11"/>
        <v/>
      </c>
    </row>
    <row r="267" spans="3:11" x14ac:dyDescent="0.25">
      <c r="C267" s="53"/>
      <c r="D267" s="54"/>
      <c r="E267" s="55"/>
      <c r="F267" s="54"/>
      <c r="G267" s="56"/>
      <c r="H267" s="56"/>
      <c r="I267" s="36" t="str">
        <f t="shared" si="9"/>
        <v/>
      </c>
      <c r="J267" s="36">
        <f t="shared" si="10"/>
        <v>0</v>
      </c>
      <c r="K267" s="36" t="str">
        <f t="shared" ca="1" si="11"/>
        <v/>
      </c>
    </row>
    <row r="268" spans="3:11" x14ac:dyDescent="0.25">
      <c r="C268" s="53"/>
      <c r="D268" s="54"/>
      <c r="E268" s="55"/>
      <c r="F268" s="54"/>
      <c r="G268" s="56"/>
      <c r="H268" s="56"/>
      <c r="I268" s="36" t="str">
        <f t="shared" si="9"/>
        <v/>
      </c>
      <c r="J268" s="36">
        <f t="shared" si="10"/>
        <v>0</v>
      </c>
      <c r="K268" s="36" t="str">
        <f t="shared" ca="1" si="11"/>
        <v/>
      </c>
    </row>
    <row r="269" spans="3:11" x14ac:dyDescent="0.25">
      <c r="C269" s="53"/>
      <c r="D269" s="54"/>
      <c r="E269" s="55"/>
      <c r="F269" s="54"/>
      <c r="G269" s="56"/>
      <c r="H269" s="56"/>
      <c r="I269" s="36" t="str">
        <f t="shared" si="9"/>
        <v/>
      </c>
      <c r="J269" s="36">
        <f t="shared" si="10"/>
        <v>0</v>
      </c>
      <c r="K269" s="36" t="str">
        <f t="shared" ca="1" si="11"/>
        <v/>
      </c>
    </row>
    <row r="270" spans="3:11" x14ac:dyDescent="0.25">
      <c r="C270" s="53"/>
      <c r="D270" s="54"/>
      <c r="E270" s="55"/>
      <c r="F270" s="54"/>
      <c r="G270" s="56"/>
      <c r="H270" s="56"/>
      <c r="I270" s="36" t="str">
        <f t="shared" si="9"/>
        <v/>
      </c>
      <c r="J270" s="36">
        <f t="shared" si="10"/>
        <v>0</v>
      </c>
      <c r="K270" s="36" t="str">
        <f t="shared" ca="1" si="11"/>
        <v/>
      </c>
    </row>
    <row r="271" spans="3:11" x14ac:dyDescent="0.25">
      <c r="C271" s="53"/>
      <c r="D271" s="54"/>
      <c r="E271" s="55"/>
      <c r="F271" s="54"/>
      <c r="G271" s="56"/>
      <c r="H271" s="56"/>
      <c r="I271" s="36" t="str">
        <f t="shared" si="9"/>
        <v/>
      </c>
      <c r="J271" s="36">
        <f t="shared" si="10"/>
        <v>0</v>
      </c>
      <c r="K271" s="36" t="str">
        <f t="shared" ca="1" si="11"/>
        <v/>
      </c>
    </row>
    <row r="272" spans="3:11" x14ac:dyDescent="0.25">
      <c r="C272" s="53"/>
      <c r="D272" s="54"/>
      <c r="E272" s="55"/>
      <c r="F272" s="54"/>
      <c r="G272" s="56"/>
      <c r="H272" s="56"/>
      <c r="I272" s="36" t="str">
        <f t="shared" si="9"/>
        <v/>
      </c>
      <c r="J272" s="36">
        <f t="shared" si="10"/>
        <v>0</v>
      </c>
      <c r="K272" s="36" t="str">
        <f t="shared" ca="1" si="11"/>
        <v/>
      </c>
    </row>
    <row r="273" spans="3:11" x14ac:dyDescent="0.25">
      <c r="C273" s="53"/>
      <c r="D273" s="54"/>
      <c r="E273" s="55"/>
      <c r="F273" s="54"/>
      <c r="G273" s="56"/>
      <c r="H273" s="56"/>
      <c r="I273" s="36" t="str">
        <f t="shared" ref="I273:I336" si="12">IF(C273="","",IF(H273&lt;=0,"Em aberto",IF(H273&gt;=G273,"Pagamento Total",IF(H273&lt;G273,"Pagamento Parcial"))))</f>
        <v/>
      </c>
      <c r="J273" s="36">
        <f t="shared" ref="J273:J336" si="13">IF(C273&gt;0,G273-H273,0)</f>
        <v>0</v>
      </c>
      <c r="K273" s="36" t="str">
        <f t="shared" ref="K273:K336" ca="1" si="14">IF(ISBLANK(C273),"",IF(H273=G273,"Pago",IF(C273=TODAY(),"Vence Hoje",IF(TRIM(UPPER(G272))&lt;&gt;"S",IF(C273-TODAY()&lt;0,"Vencida",IF(C273-TODAY()&lt;8,"Próximos sete dias","Em aberto"))))))</f>
        <v/>
      </c>
    </row>
    <row r="274" spans="3:11" x14ac:dyDescent="0.25">
      <c r="C274" s="53"/>
      <c r="D274" s="54"/>
      <c r="E274" s="55"/>
      <c r="F274" s="54"/>
      <c r="G274" s="56"/>
      <c r="H274" s="56"/>
      <c r="I274" s="36" t="str">
        <f t="shared" si="12"/>
        <v/>
      </c>
      <c r="J274" s="36">
        <f t="shared" si="13"/>
        <v>0</v>
      </c>
      <c r="K274" s="36" t="str">
        <f t="shared" ca="1" si="14"/>
        <v/>
      </c>
    </row>
    <row r="275" spans="3:11" x14ac:dyDescent="0.25">
      <c r="C275" s="53"/>
      <c r="D275" s="54"/>
      <c r="E275" s="55"/>
      <c r="F275" s="54"/>
      <c r="G275" s="56"/>
      <c r="H275" s="56"/>
      <c r="I275" s="36" t="str">
        <f t="shared" si="12"/>
        <v/>
      </c>
      <c r="J275" s="36">
        <f t="shared" si="13"/>
        <v>0</v>
      </c>
      <c r="K275" s="36" t="str">
        <f t="shared" ca="1" si="14"/>
        <v/>
      </c>
    </row>
    <row r="276" spans="3:11" x14ac:dyDescent="0.25">
      <c r="C276" s="53"/>
      <c r="D276" s="54"/>
      <c r="E276" s="55"/>
      <c r="F276" s="54"/>
      <c r="G276" s="56"/>
      <c r="H276" s="56"/>
      <c r="I276" s="36" t="str">
        <f t="shared" si="12"/>
        <v/>
      </c>
      <c r="J276" s="36">
        <f t="shared" si="13"/>
        <v>0</v>
      </c>
      <c r="K276" s="36" t="str">
        <f t="shared" ca="1" si="14"/>
        <v/>
      </c>
    </row>
    <row r="277" spans="3:11" x14ac:dyDescent="0.25">
      <c r="C277" s="53"/>
      <c r="D277" s="54"/>
      <c r="E277" s="55"/>
      <c r="F277" s="54"/>
      <c r="G277" s="56"/>
      <c r="H277" s="56"/>
      <c r="I277" s="36" t="str">
        <f t="shared" si="12"/>
        <v/>
      </c>
      <c r="J277" s="36">
        <f t="shared" si="13"/>
        <v>0</v>
      </c>
      <c r="K277" s="36" t="str">
        <f t="shared" ca="1" si="14"/>
        <v/>
      </c>
    </row>
    <row r="278" spans="3:11" x14ac:dyDescent="0.25">
      <c r="C278" s="53"/>
      <c r="D278" s="54"/>
      <c r="E278" s="55"/>
      <c r="F278" s="54"/>
      <c r="G278" s="56"/>
      <c r="H278" s="56"/>
      <c r="I278" s="36" t="str">
        <f t="shared" si="12"/>
        <v/>
      </c>
      <c r="J278" s="36">
        <f t="shared" si="13"/>
        <v>0</v>
      </c>
      <c r="K278" s="36" t="str">
        <f t="shared" ca="1" si="14"/>
        <v/>
      </c>
    </row>
    <row r="279" spans="3:11" x14ac:dyDescent="0.25">
      <c r="C279" s="53"/>
      <c r="D279" s="54"/>
      <c r="E279" s="55"/>
      <c r="F279" s="54"/>
      <c r="G279" s="56"/>
      <c r="H279" s="56"/>
      <c r="I279" s="36" t="str">
        <f t="shared" si="12"/>
        <v/>
      </c>
      <c r="J279" s="36">
        <f t="shared" si="13"/>
        <v>0</v>
      </c>
      <c r="K279" s="36" t="str">
        <f t="shared" ca="1" si="14"/>
        <v/>
      </c>
    </row>
    <row r="280" spans="3:11" x14ac:dyDescent="0.25">
      <c r="C280" s="53"/>
      <c r="D280" s="54"/>
      <c r="E280" s="55"/>
      <c r="F280" s="54"/>
      <c r="G280" s="56"/>
      <c r="H280" s="56"/>
      <c r="I280" s="36" t="str">
        <f t="shared" si="12"/>
        <v/>
      </c>
      <c r="J280" s="36">
        <f t="shared" si="13"/>
        <v>0</v>
      </c>
      <c r="K280" s="36" t="str">
        <f t="shared" ca="1" si="14"/>
        <v/>
      </c>
    </row>
    <row r="281" spans="3:11" x14ac:dyDescent="0.25">
      <c r="C281" s="53"/>
      <c r="D281" s="54"/>
      <c r="E281" s="55"/>
      <c r="F281" s="54"/>
      <c r="G281" s="56"/>
      <c r="H281" s="56"/>
      <c r="I281" s="36" t="str">
        <f t="shared" si="12"/>
        <v/>
      </c>
      <c r="J281" s="36">
        <f t="shared" si="13"/>
        <v>0</v>
      </c>
      <c r="K281" s="36" t="str">
        <f t="shared" ca="1" si="14"/>
        <v/>
      </c>
    </row>
    <row r="282" spans="3:11" x14ac:dyDescent="0.25">
      <c r="C282" s="53"/>
      <c r="D282" s="54"/>
      <c r="E282" s="55"/>
      <c r="F282" s="54"/>
      <c r="G282" s="56"/>
      <c r="H282" s="56"/>
      <c r="I282" s="36" t="str">
        <f t="shared" si="12"/>
        <v/>
      </c>
      <c r="J282" s="36">
        <f t="shared" si="13"/>
        <v>0</v>
      </c>
      <c r="K282" s="36" t="str">
        <f t="shared" ca="1" si="14"/>
        <v/>
      </c>
    </row>
    <row r="283" spans="3:11" x14ac:dyDescent="0.25">
      <c r="C283" s="53"/>
      <c r="D283" s="54"/>
      <c r="E283" s="55"/>
      <c r="F283" s="54"/>
      <c r="G283" s="56"/>
      <c r="H283" s="56"/>
      <c r="I283" s="36" t="str">
        <f t="shared" si="12"/>
        <v/>
      </c>
      <c r="J283" s="36">
        <f t="shared" si="13"/>
        <v>0</v>
      </c>
      <c r="K283" s="36" t="str">
        <f t="shared" ca="1" si="14"/>
        <v/>
      </c>
    </row>
    <row r="284" spans="3:11" x14ac:dyDescent="0.25">
      <c r="C284" s="53"/>
      <c r="D284" s="54"/>
      <c r="E284" s="55"/>
      <c r="F284" s="54"/>
      <c r="G284" s="56"/>
      <c r="H284" s="56"/>
      <c r="I284" s="36" t="str">
        <f t="shared" si="12"/>
        <v/>
      </c>
      <c r="J284" s="36">
        <f t="shared" si="13"/>
        <v>0</v>
      </c>
      <c r="K284" s="36" t="str">
        <f t="shared" ca="1" si="14"/>
        <v/>
      </c>
    </row>
    <row r="285" spans="3:11" x14ac:dyDescent="0.25">
      <c r="C285" s="53"/>
      <c r="D285" s="54"/>
      <c r="E285" s="55"/>
      <c r="F285" s="54"/>
      <c r="G285" s="56"/>
      <c r="H285" s="56"/>
      <c r="I285" s="36" t="str">
        <f t="shared" si="12"/>
        <v/>
      </c>
      <c r="J285" s="36">
        <f t="shared" si="13"/>
        <v>0</v>
      </c>
      <c r="K285" s="36" t="str">
        <f t="shared" ca="1" si="14"/>
        <v/>
      </c>
    </row>
    <row r="286" spans="3:11" x14ac:dyDescent="0.25">
      <c r="C286" s="53"/>
      <c r="D286" s="54"/>
      <c r="E286" s="55"/>
      <c r="F286" s="54"/>
      <c r="G286" s="56"/>
      <c r="H286" s="56"/>
      <c r="I286" s="36" t="str">
        <f t="shared" si="12"/>
        <v/>
      </c>
      <c r="J286" s="36">
        <f t="shared" si="13"/>
        <v>0</v>
      </c>
      <c r="K286" s="36" t="str">
        <f t="shared" ca="1" si="14"/>
        <v/>
      </c>
    </row>
    <row r="287" spans="3:11" x14ac:dyDescent="0.25">
      <c r="C287" s="53"/>
      <c r="D287" s="54"/>
      <c r="E287" s="55"/>
      <c r="F287" s="54"/>
      <c r="G287" s="56"/>
      <c r="H287" s="56"/>
      <c r="I287" s="36" t="str">
        <f t="shared" si="12"/>
        <v/>
      </c>
      <c r="J287" s="36">
        <f t="shared" si="13"/>
        <v>0</v>
      </c>
      <c r="K287" s="36" t="str">
        <f t="shared" ca="1" si="14"/>
        <v/>
      </c>
    </row>
    <row r="288" spans="3:11" x14ac:dyDescent="0.25">
      <c r="C288" s="53"/>
      <c r="D288" s="54"/>
      <c r="E288" s="55"/>
      <c r="F288" s="54"/>
      <c r="G288" s="56"/>
      <c r="H288" s="56"/>
      <c r="I288" s="36" t="str">
        <f t="shared" si="12"/>
        <v/>
      </c>
      <c r="J288" s="36">
        <f t="shared" si="13"/>
        <v>0</v>
      </c>
      <c r="K288" s="36" t="str">
        <f t="shared" ca="1" si="14"/>
        <v/>
      </c>
    </row>
    <row r="289" spans="3:11" x14ac:dyDescent="0.25">
      <c r="C289" s="53"/>
      <c r="D289" s="54"/>
      <c r="E289" s="55"/>
      <c r="F289" s="54"/>
      <c r="G289" s="56"/>
      <c r="H289" s="56"/>
      <c r="I289" s="36" t="str">
        <f t="shared" si="12"/>
        <v/>
      </c>
      <c r="J289" s="36">
        <f t="shared" si="13"/>
        <v>0</v>
      </c>
      <c r="K289" s="36" t="str">
        <f t="shared" ca="1" si="14"/>
        <v/>
      </c>
    </row>
    <row r="290" spans="3:11" x14ac:dyDescent="0.25">
      <c r="C290" s="53"/>
      <c r="D290" s="54"/>
      <c r="E290" s="55"/>
      <c r="F290" s="54"/>
      <c r="G290" s="56"/>
      <c r="H290" s="56"/>
      <c r="I290" s="36" t="str">
        <f t="shared" si="12"/>
        <v/>
      </c>
      <c r="J290" s="36">
        <f t="shared" si="13"/>
        <v>0</v>
      </c>
      <c r="K290" s="36" t="str">
        <f t="shared" ca="1" si="14"/>
        <v/>
      </c>
    </row>
    <row r="291" spans="3:11" x14ac:dyDescent="0.25">
      <c r="C291" s="53"/>
      <c r="D291" s="54"/>
      <c r="E291" s="55"/>
      <c r="F291" s="54"/>
      <c r="G291" s="56"/>
      <c r="H291" s="56"/>
      <c r="I291" s="36" t="str">
        <f t="shared" si="12"/>
        <v/>
      </c>
      <c r="J291" s="36">
        <f t="shared" si="13"/>
        <v>0</v>
      </c>
      <c r="K291" s="36" t="str">
        <f t="shared" ca="1" si="14"/>
        <v/>
      </c>
    </row>
    <row r="292" spans="3:11" x14ac:dyDescent="0.25">
      <c r="C292" s="53"/>
      <c r="D292" s="54"/>
      <c r="E292" s="55"/>
      <c r="F292" s="54"/>
      <c r="G292" s="56"/>
      <c r="H292" s="56"/>
      <c r="I292" s="36" t="str">
        <f t="shared" si="12"/>
        <v/>
      </c>
      <c r="J292" s="36">
        <f t="shared" si="13"/>
        <v>0</v>
      </c>
      <c r="K292" s="36" t="str">
        <f t="shared" ca="1" si="14"/>
        <v/>
      </c>
    </row>
    <row r="293" spans="3:11" x14ac:dyDescent="0.25">
      <c r="C293" s="53"/>
      <c r="D293" s="54"/>
      <c r="E293" s="55"/>
      <c r="F293" s="54"/>
      <c r="G293" s="56"/>
      <c r="H293" s="56"/>
      <c r="I293" s="36" t="str">
        <f t="shared" si="12"/>
        <v/>
      </c>
      <c r="J293" s="36">
        <f t="shared" si="13"/>
        <v>0</v>
      </c>
      <c r="K293" s="36" t="str">
        <f t="shared" ca="1" si="14"/>
        <v/>
      </c>
    </row>
    <row r="294" spans="3:11" x14ac:dyDescent="0.25">
      <c r="C294" s="53"/>
      <c r="D294" s="54"/>
      <c r="E294" s="55"/>
      <c r="F294" s="54"/>
      <c r="G294" s="56"/>
      <c r="H294" s="56"/>
      <c r="I294" s="36" t="str">
        <f t="shared" si="12"/>
        <v/>
      </c>
      <c r="J294" s="36">
        <f t="shared" si="13"/>
        <v>0</v>
      </c>
      <c r="K294" s="36" t="str">
        <f t="shared" ca="1" si="14"/>
        <v/>
      </c>
    </row>
    <row r="295" spans="3:11" x14ac:dyDescent="0.25">
      <c r="C295" s="53"/>
      <c r="D295" s="54"/>
      <c r="E295" s="55"/>
      <c r="F295" s="54"/>
      <c r="G295" s="56"/>
      <c r="H295" s="56"/>
      <c r="I295" s="36" t="str">
        <f t="shared" si="12"/>
        <v/>
      </c>
      <c r="J295" s="36">
        <f t="shared" si="13"/>
        <v>0</v>
      </c>
      <c r="K295" s="36" t="str">
        <f t="shared" ca="1" si="14"/>
        <v/>
      </c>
    </row>
    <row r="296" spans="3:11" x14ac:dyDescent="0.25">
      <c r="C296" s="53"/>
      <c r="D296" s="54"/>
      <c r="E296" s="55"/>
      <c r="F296" s="54"/>
      <c r="G296" s="56"/>
      <c r="H296" s="56"/>
      <c r="I296" s="36" t="str">
        <f t="shared" si="12"/>
        <v/>
      </c>
      <c r="J296" s="36">
        <f t="shared" si="13"/>
        <v>0</v>
      </c>
      <c r="K296" s="36" t="str">
        <f t="shared" ca="1" si="14"/>
        <v/>
      </c>
    </row>
    <row r="297" spans="3:11" x14ac:dyDescent="0.25">
      <c r="C297" s="53"/>
      <c r="D297" s="54"/>
      <c r="E297" s="55"/>
      <c r="F297" s="54"/>
      <c r="G297" s="56"/>
      <c r="H297" s="56"/>
      <c r="I297" s="36" t="str">
        <f t="shared" si="12"/>
        <v/>
      </c>
      <c r="J297" s="36">
        <f t="shared" si="13"/>
        <v>0</v>
      </c>
      <c r="K297" s="36" t="str">
        <f t="shared" ca="1" si="14"/>
        <v/>
      </c>
    </row>
    <row r="298" spans="3:11" x14ac:dyDescent="0.25">
      <c r="C298" s="53"/>
      <c r="D298" s="54"/>
      <c r="E298" s="55"/>
      <c r="F298" s="54"/>
      <c r="G298" s="56"/>
      <c r="H298" s="56"/>
      <c r="I298" s="36" t="str">
        <f t="shared" si="12"/>
        <v/>
      </c>
      <c r="J298" s="36">
        <f t="shared" si="13"/>
        <v>0</v>
      </c>
      <c r="K298" s="36" t="str">
        <f t="shared" ca="1" si="14"/>
        <v/>
      </c>
    </row>
    <row r="299" spans="3:11" x14ac:dyDescent="0.25">
      <c r="C299" s="53"/>
      <c r="D299" s="54"/>
      <c r="E299" s="55"/>
      <c r="F299" s="54"/>
      <c r="G299" s="56"/>
      <c r="H299" s="56"/>
      <c r="I299" s="36" t="str">
        <f t="shared" si="12"/>
        <v/>
      </c>
      <c r="J299" s="36">
        <f t="shared" si="13"/>
        <v>0</v>
      </c>
      <c r="K299" s="36" t="str">
        <f t="shared" ca="1" si="14"/>
        <v/>
      </c>
    </row>
    <row r="300" spans="3:11" x14ac:dyDescent="0.25">
      <c r="C300" s="53"/>
      <c r="D300" s="54"/>
      <c r="E300" s="55"/>
      <c r="F300" s="54"/>
      <c r="G300" s="56"/>
      <c r="H300" s="56"/>
      <c r="I300" s="36" t="str">
        <f t="shared" si="12"/>
        <v/>
      </c>
      <c r="J300" s="36">
        <f t="shared" si="13"/>
        <v>0</v>
      </c>
      <c r="K300" s="36" t="str">
        <f t="shared" ca="1" si="14"/>
        <v/>
      </c>
    </row>
    <row r="301" spans="3:11" x14ac:dyDescent="0.25">
      <c r="C301" s="53"/>
      <c r="D301" s="54"/>
      <c r="E301" s="55"/>
      <c r="F301" s="54"/>
      <c r="G301" s="56"/>
      <c r="H301" s="56"/>
      <c r="I301" s="36" t="str">
        <f t="shared" si="12"/>
        <v/>
      </c>
      <c r="J301" s="36">
        <f t="shared" si="13"/>
        <v>0</v>
      </c>
      <c r="K301" s="36" t="str">
        <f t="shared" ca="1" si="14"/>
        <v/>
      </c>
    </row>
    <row r="302" spans="3:11" x14ac:dyDescent="0.25">
      <c r="C302" s="53"/>
      <c r="D302" s="54"/>
      <c r="E302" s="55"/>
      <c r="F302" s="54"/>
      <c r="G302" s="56"/>
      <c r="H302" s="56"/>
      <c r="I302" s="36" t="str">
        <f t="shared" si="12"/>
        <v/>
      </c>
      <c r="J302" s="36">
        <f t="shared" si="13"/>
        <v>0</v>
      </c>
      <c r="K302" s="36" t="str">
        <f t="shared" ca="1" si="14"/>
        <v/>
      </c>
    </row>
    <row r="303" spans="3:11" x14ac:dyDescent="0.25">
      <c r="C303" s="53"/>
      <c r="D303" s="54"/>
      <c r="E303" s="55"/>
      <c r="F303" s="54"/>
      <c r="G303" s="56"/>
      <c r="H303" s="56"/>
      <c r="I303" s="36" t="str">
        <f t="shared" si="12"/>
        <v/>
      </c>
      <c r="J303" s="36">
        <f t="shared" si="13"/>
        <v>0</v>
      </c>
      <c r="K303" s="36" t="str">
        <f t="shared" ca="1" si="14"/>
        <v/>
      </c>
    </row>
    <row r="304" spans="3:11" x14ac:dyDescent="0.25">
      <c r="C304" s="53"/>
      <c r="D304" s="54"/>
      <c r="E304" s="55"/>
      <c r="F304" s="54"/>
      <c r="G304" s="56"/>
      <c r="H304" s="56"/>
      <c r="I304" s="36" t="str">
        <f t="shared" si="12"/>
        <v/>
      </c>
      <c r="J304" s="36">
        <f t="shared" si="13"/>
        <v>0</v>
      </c>
      <c r="K304" s="36" t="str">
        <f t="shared" ca="1" si="14"/>
        <v/>
      </c>
    </row>
    <row r="305" spans="3:11" x14ac:dyDescent="0.25">
      <c r="C305" s="53"/>
      <c r="D305" s="54"/>
      <c r="E305" s="55"/>
      <c r="F305" s="54"/>
      <c r="G305" s="56"/>
      <c r="H305" s="56"/>
      <c r="I305" s="36" t="str">
        <f t="shared" si="12"/>
        <v/>
      </c>
      <c r="J305" s="36">
        <f t="shared" si="13"/>
        <v>0</v>
      </c>
      <c r="K305" s="36" t="str">
        <f t="shared" ca="1" si="14"/>
        <v/>
      </c>
    </row>
    <row r="306" spans="3:11" x14ac:dyDescent="0.25">
      <c r="C306" s="53"/>
      <c r="D306" s="54"/>
      <c r="E306" s="55"/>
      <c r="F306" s="54"/>
      <c r="G306" s="56"/>
      <c r="H306" s="56"/>
      <c r="I306" s="36" t="str">
        <f t="shared" si="12"/>
        <v/>
      </c>
      <c r="J306" s="36">
        <f t="shared" si="13"/>
        <v>0</v>
      </c>
      <c r="K306" s="36" t="str">
        <f t="shared" ca="1" si="14"/>
        <v/>
      </c>
    </row>
    <row r="307" spans="3:11" x14ac:dyDescent="0.25">
      <c r="C307" s="53"/>
      <c r="D307" s="54"/>
      <c r="E307" s="55"/>
      <c r="F307" s="54"/>
      <c r="G307" s="56"/>
      <c r="H307" s="56"/>
      <c r="I307" s="36" t="str">
        <f t="shared" si="12"/>
        <v/>
      </c>
      <c r="J307" s="36">
        <f t="shared" si="13"/>
        <v>0</v>
      </c>
      <c r="K307" s="36" t="str">
        <f t="shared" ca="1" si="14"/>
        <v/>
      </c>
    </row>
    <row r="308" spans="3:11" x14ac:dyDescent="0.25">
      <c r="C308" s="53"/>
      <c r="D308" s="54"/>
      <c r="E308" s="55"/>
      <c r="F308" s="54"/>
      <c r="G308" s="56"/>
      <c r="H308" s="56"/>
      <c r="I308" s="36" t="str">
        <f t="shared" si="12"/>
        <v/>
      </c>
      <c r="J308" s="36">
        <f t="shared" si="13"/>
        <v>0</v>
      </c>
      <c r="K308" s="36" t="str">
        <f t="shared" ca="1" si="14"/>
        <v/>
      </c>
    </row>
    <row r="309" spans="3:11" x14ac:dyDescent="0.25">
      <c r="C309" s="53"/>
      <c r="D309" s="54"/>
      <c r="E309" s="55"/>
      <c r="F309" s="54"/>
      <c r="G309" s="56"/>
      <c r="H309" s="56"/>
      <c r="I309" s="36" t="str">
        <f t="shared" si="12"/>
        <v/>
      </c>
      <c r="J309" s="36">
        <f t="shared" si="13"/>
        <v>0</v>
      </c>
      <c r="K309" s="36" t="str">
        <f t="shared" ca="1" si="14"/>
        <v/>
      </c>
    </row>
    <row r="310" spans="3:11" x14ac:dyDescent="0.25">
      <c r="C310" s="53"/>
      <c r="D310" s="54"/>
      <c r="E310" s="55"/>
      <c r="F310" s="54"/>
      <c r="G310" s="56"/>
      <c r="H310" s="56"/>
      <c r="I310" s="36" t="str">
        <f t="shared" si="12"/>
        <v/>
      </c>
      <c r="J310" s="36">
        <f t="shared" si="13"/>
        <v>0</v>
      </c>
      <c r="K310" s="36" t="str">
        <f t="shared" ca="1" si="14"/>
        <v/>
      </c>
    </row>
    <row r="311" spans="3:11" x14ac:dyDescent="0.25">
      <c r="C311" s="53"/>
      <c r="D311" s="54"/>
      <c r="E311" s="55"/>
      <c r="F311" s="54"/>
      <c r="G311" s="56"/>
      <c r="H311" s="56"/>
      <c r="I311" s="36" t="str">
        <f t="shared" si="12"/>
        <v/>
      </c>
      <c r="J311" s="36">
        <f t="shared" si="13"/>
        <v>0</v>
      </c>
      <c r="K311" s="36" t="str">
        <f t="shared" ca="1" si="14"/>
        <v/>
      </c>
    </row>
    <row r="312" spans="3:11" x14ac:dyDescent="0.25">
      <c r="C312" s="53"/>
      <c r="D312" s="54"/>
      <c r="E312" s="55"/>
      <c r="F312" s="54"/>
      <c r="G312" s="56"/>
      <c r="H312" s="56"/>
      <c r="I312" s="36" t="str">
        <f t="shared" si="12"/>
        <v/>
      </c>
      <c r="J312" s="36">
        <f t="shared" si="13"/>
        <v>0</v>
      </c>
      <c r="K312" s="36" t="str">
        <f t="shared" ca="1" si="14"/>
        <v/>
      </c>
    </row>
    <row r="313" spans="3:11" x14ac:dyDescent="0.25">
      <c r="C313" s="53"/>
      <c r="D313" s="54"/>
      <c r="E313" s="55"/>
      <c r="F313" s="54"/>
      <c r="G313" s="56"/>
      <c r="H313" s="56"/>
      <c r="I313" s="36" t="str">
        <f t="shared" si="12"/>
        <v/>
      </c>
      <c r="J313" s="36">
        <f t="shared" si="13"/>
        <v>0</v>
      </c>
      <c r="K313" s="36" t="str">
        <f t="shared" ca="1" si="14"/>
        <v/>
      </c>
    </row>
    <row r="314" spans="3:11" x14ac:dyDescent="0.25">
      <c r="C314" s="53"/>
      <c r="D314" s="54"/>
      <c r="E314" s="55"/>
      <c r="F314" s="54"/>
      <c r="G314" s="56"/>
      <c r="H314" s="56"/>
      <c r="I314" s="36" t="str">
        <f t="shared" si="12"/>
        <v/>
      </c>
      <c r="J314" s="36">
        <f t="shared" si="13"/>
        <v>0</v>
      </c>
      <c r="K314" s="36" t="str">
        <f t="shared" ca="1" si="14"/>
        <v/>
      </c>
    </row>
    <row r="315" spans="3:11" x14ac:dyDescent="0.25">
      <c r="C315" s="53"/>
      <c r="D315" s="54"/>
      <c r="E315" s="55"/>
      <c r="F315" s="54"/>
      <c r="G315" s="56"/>
      <c r="H315" s="56"/>
      <c r="I315" s="36" t="str">
        <f t="shared" si="12"/>
        <v/>
      </c>
      <c r="J315" s="36">
        <f t="shared" si="13"/>
        <v>0</v>
      </c>
      <c r="K315" s="36" t="str">
        <f t="shared" ca="1" si="14"/>
        <v/>
      </c>
    </row>
    <row r="316" spans="3:11" x14ac:dyDescent="0.25">
      <c r="C316" s="53"/>
      <c r="D316" s="54"/>
      <c r="E316" s="55"/>
      <c r="F316" s="54"/>
      <c r="G316" s="56"/>
      <c r="H316" s="56"/>
      <c r="I316" s="36" t="str">
        <f t="shared" si="12"/>
        <v/>
      </c>
      <c r="J316" s="36">
        <f t="shared" si="13"/>
        <v>0</v>
      </c>
      <c r="K316" s="36" t="str">
        <f t="shared" ca="1" si="14"/>
        <v/>
      </c>
    </row>
    <row r="317" spans="3:11" x14ac:dyDescent="0.25">
      <c r="C317" s="53"/>
      <c r="D317" s="54"/>
      <c r="E317" s="55"/>
      <c r="F317" s="54"/>
      <c r="G317" s="56"/>
      <c r="H317" s="56"/>
      <c r="I317" s="36" t="str">
        <f t="shared" si="12"/>
        <v/>
      </c>
      <c r="J317" s="36">
        <f t="shared" si="13"/>
        <v>0</v>
      </c>
      <c r="K317" s="36" t="str">
        <f t="shared" ca="1" si="14"/>
        <v/>
      </c>
    </row>
    <row r="318" spans="3:11" x14ac:dyDescent="0.25">
      <c r="C318" s="53"/>
      <c r="D318" s="54"/>
      <c r="E318" s="55"/>
      <c r="F318" s="54"/>
      <c r="G318" s="56"/>
      <c r="H318" s="56"/>
      <c r="I318" s="36" t="str">
        <f t="shared" si="12"/>
        <v/>
      </c>
      <c r="J318" s="36">
        <f t="shared" si="13"/>
        <v>0</v>
      </c>
      <c r="K318" s="36" t="str">
        <f t="shared" ca="1" si="14"/>
        <v/>
      </c>
    </row>
    <row r="319" spans="3:11" x14ac:dyDescent="0.25">
      <c r="C319" s="53"/>
      <c r="D319" s="54"/>
      <c r="E319" s="55"/>
      <c r="F319" s="54"/>
      <c r="G319" s="56"/>
      <c r="H319" s="56"/>
      <c r="I319" s="36" t="str">
        <f t="shared" si="12"/>
        <v/>
      </c>
      <c r="J319" s="36">
        <f t="shared" si="13"/>
        <v>0</v>
      </c>
      <c r="K319" s="36" t="str">
        <f t="shared" ca="1" si="14"/>
        <v/>
      </c>
    </row>
    <row r="320" spans="3:11" x14ac:dyDescent="0.25">
      <c r="C320" s="53"/>
      <c r="D320" s="54"/>
      <c r="E320" s="55"/>
      <c r="F320" s="54"/>
      <c r="G320" s="56"/>
      <c r="H320" s="56"/>
      <c r="I320" s="36" t="str">
        <f t="shared" si="12"/>
        <v/>
      </c>
      <c r="J320" s="36">
        <f t="shared" si="13"/>
        <v>0</v>
      </c>
      <c r="K320" s="36" t="str">
        <f t="shared" ca="1" si="14"/>
        <v/>
      </c>
    </row>
    <row r="321" spans="3:11" x14ac:dyDescent="0.25">
      <c r="C321" s="53"/>
      <c r="D321" s="54"/>
      <c r="E321" s="55"/>
      <c r="F321" s="54"/>
      <c r="G321" s="56"/>
      <c r="H321" s="56"/>
      <c r="I321" s="36" t="str">
        <f t="shared" si="12"/>
        <v/>
      </c>
      <c r="J321" s="36">
        <f t="shared" si="13"/>
        <v>0</v>
      </c>
      <c r="K321" s="36" t="str">
        <f t="shared" ca="1" si="14"/>
        <v/>
      </c>
    </row>
    <row r="322" spans="3:11" x14ac:dyDescent="0.25">
      <c r="C322" s="53"/>
      <c r="D322" s="54"/>
      <c r="E322" s="55"/>
      <c r="F322" s="54"/>
      <c r="G322" s="56"/>
      <c r="H322" s="56"/>
      <c r="I322" s="36" t="str">
        <f t="shared" si="12"/>
        <v/>
      </c>
      <c r="J322" s="36">
        <f t="shared" si="13"/>
        <v>0</v>
      </c>
      <c r="K322" s="36" t="str">
        <f t="shared" ca="1" si="14"/>
        <v/>
      </c>
    </row>
    <row r="323" spans="3:11" x14ac:dyDescent="0.25">
      <c r="C323" s="53"/>
      <c r="D323" s="54"/>
      <c r="E323" s="55"/>
      <c r="F323" s="54"/>
      <c r="G323" s="56"/>
      <c r="H323" s="56"/>
      <c r="I323" s="36" t="str">
        <f t="shared" si="12"/>
        <v/>
      </c>
      <c r="J323" s="36">
        <f t="shared" si="13"/>
        <v>0</v>
      </c>
      <c r="K323" s="36" t="str">
        <f t="shared" ca="1" si="14"/>
        <v/>
      </c>
    </row>
    <row r="324" spans="3:11" x14ac:dyDescent="0.25">
      <c r="C324" s="53"/>
      <c r="D324" s="54"/>
      <c r="E324" s="55"/>
      <c r="F324" s="54"/>
      <c r="G324" s="56"/>
      <c r="H324" s="56"/>
      <c r="I324" s="36" t="str">
        <f t="shared" si="12"/>
        <v/>
      </c>
      <c r="J324" s="36">
        <f t="shared" si="13"/>
        <v>0</v>
      </c>
      <c r="K324" s="36" t="str">
        <f t="shared" ca="1" si="14"/>
        <v/>
      </c>
    </row>
    <row r="325" spans="3:11" x14ac:dyDescent="0.25">
      <c r="C325" s="53"/>
      <c r="D325" s="54"/>
      <c r="E325" s="55"/>
      <c r="F325" s="54"/>
      <c r="G325" s="56"/>
      <c r="H325" s="56"/>
      <c r="I325" s="36" t="str">
        <f t="shared" si="12"/>
        <v/>
      </c>
      <c r="J325" s="36">
        <f t="shared" si="13"/>
        <v>0</v>
      </c>
      <c r="K325" s="36" t="str">
        <f t="shared" ca="1" si="14"/>
        <v/>
      </c>
    </row>
    <row r="326" spans="3:11" x14ac:dyDescent="0.25">
      <c r="C326" s="53"/>
      <c r="D326" s="54"/>
      <c r="E326" s="55"/>
      <c r="F326" s="54"/>
      <c r="G326" s="56"/>
      <c r="H326" s="56"/>
      <c r="I326" s="36" t="str">
        <f t="shared" si="12"/>
        <v/>
      </c>
      <c r="J326" s="36">
        <f t="shared" si="13"/>
        <v>0</v>
      </c>
      <c r="K326" s="36" t="str">
        <f t="shared" ca="1" si="14"/>
        <v/>
      </c>
    </row>
    <row r="327" spans="3:11" x14ac:dyDescent="0.25">
      <c r="C327" s="53"/>
      <c r="D327" s="54"/>
      <c r="E327" s="55"/>
      <c r="F327" s="54"/>
      <c r="G327" s="56"/>
      <c r="H327" s="56"/>
      <c r="I327" s="36" t="str">
        <f t="shared" si="12"/>
        <v/>
      </c>
      <c r="J327" s="36">
        <f t="shared" si="13"/>
        <v>0</v>
      </c>
      <c r="K327" s="36" t="str">
        <f t="shared" ca="1" si="14"/>
        <v/>
      </c>
    </row>
    <row r="328" spans="3:11" x14ac:dyDescent="0.25">
      <c r="C328" s="53"/>
      <c r="D328" s="54"/>
      <c r="E328" s="55"/>
      <c r="F328" s="54"/>
      <c r="G328" s="56"/>
      <c r="H328" s="56"/>
      <c r="I328" s="36" t="str">
        <f t="shared" si="12"/>
        <v/>
      </c>
      <c r="J328" s="36">
        <f t="shared" si="13"/>
        <v>0</v>
      </c>
      <c r="K328" s="36" t="str">
        <f t="shared" ca="1" si="14"/>
        <v/>
      </c>
    </row>
    <row r="329" spans="3:11" x14ac:dyDescent="0.25">
      <c r="C329" s="53"/>
      <c r="D329" s="54"/>
      <c r="E329" s="55"/>
      <c r="F329" s="54"/>
      <c r="G329" s="56"/>
      <c r="H329" s="56"/>
      <c r="I329" s="36" t="str">
        <f t="shared" si="12"/>
        <v/>
      </c>
      <c r="J329" s="36">
        <f t="shared" si="13"/>
        <v>0</v>
      </c>
      <c r="K329" s="36" t="str">
        <f t="shared" ca="1" si="14"/>
        <v/>
      </c>
    </row>
    <row r="330" spans="3:11" x14ac:dyDescent="0.25">
      <c r="C330" s="53"/>
      <c r="D330" s="54"/>
      <c r="E330" s="55"/>
      <c r="F330" s="54"/>
      <c r="G330" s="56"/>
      <c r="H330" s="56"/>
      <c r="I330" s="36" t="str">
        <f t="shared" si="12"/>
        <v/>
      </c>
      <c r="J330" s="36">
        <f t="shared" si="13"/>
        <v>0</v>
      </c>
      <c r="K330" s="36" t="str">
        <f t="shared" ca="1" si="14"/>
        <v/>
      </c>
    </row>
    <row r="331" spans="3:11" x14ac:dyDescent="0.25">
      <c r="C331" s="53"/>
      <c r="D331" s="54"/>
      <c r="E331" s="55"/>
      <c r="F331" s="54"/>
      <c r="G331" s="56"/>
      <c r="H331" s="56"/>
      <c r="I331" s="36" t="str">
        <f t="shared" si="12"/>
        <v/>
      </c>
      <c r="J331" s="36">
        <f t="shared" si="13"/>
        <v>0</v>
      </c>
      <c r="K331" s="36" t="str">
        <f t="shared" ca="1" si="14"/>
        <v/>
      </c>
    </row>
    <row r="332" spans="3:11" x14ac:dyDescent="0.25">
      <c r="C332" s="53"/>
      <c r="D332" s="54"/>
      <c r="E332" s="55"/>
      <c r="F332" s="54"/>
      <c r="G332" s="56"/>
      <c r="H332" s="56"/>
      <c r="I332" s="36" t="str">
        <f t="shared" si="12"/>
        <v/>
      </c>
      <c r="J332" s="36">
        <f t="shared" si="13"/>
        <v>0</v>
      </c>
      <c r="K332" s="36" t="str">
        <f t="shared" ca="1" si="14"/>
        <v/>
      </c>
    </row>
    <row r="333" spans="3:11" x14ac:dyDescent="0.25">
      <c r="C333" s="53"/>
      <c r="D333" s="54"/>
      <c r="E333" s="55"/>
      <c r="F333" s="54"/>
      <c r="G333" s="56"/>
      <c r="H333" s="56"/>
      <c r="I333" s="36" t="str">
        <f t="shared" si="12"/>
        <v/>
      </c>
      <c r="J333" s="36">
        <f t="shared" si="13"/>
        <v>0</v>
      </c>
      <c r="K333" s="36" t="str">
        <f t="shared" ca="1" si="14"/>
        <v/>
      </c>
    </row>
    <row r="334" spans="3:11" x14ac:dyDescent="0.25">
      <c r="C334" s="53"/>
      <c r="D334" s="54"/>
      <c r="E334" s="55"/>
      <c r="F334" s="54"/>
      <c r="G334" s="56"/>
      <c r="H334" s="56"/>
      <c r="I334" s="36" t="str">
        <f t="shared" si="12"/>
        <v/>
      </c>
      <c r="J334" s="36">
        <f t="shared" si="13"/>
        <v>0</v>
      </c>
      <c r="K334" s="36" t="str">
        <f t="shared" ca="1" si="14"/>
        <v/>
      </c>
    </row>
    <row r="335" spans="3:11" x14ac:dyDescent="0.25">
      <c r="C335" s="53"/>
      <c r="D335" s="54"/>
      <c r="E335" s="55"/>
      <c r="F335" s="54"/>
      <c r="G335" s="56"/>
      <c r="H335" s="56"/>
      <c r="I335" s="36" t="str">
        <f t="shared" si="12"/>
        <v/>
      </c>
      <c r="J335" s="36">
        <f t="shared" si="13"/>
        <v>0</v>
      </c>
      <c r="K335" s="36" t="str">
        <f t="shared" ca="1" si="14"/>
        <v/>
      </c>
    </row>
    <row r="336" spans="3:11" x14ac:dyDescent="0.25">
      <c r="C336" s="53"/>
      <c r="D336" s="54"/>
      <c r="E336" s="55"/>
      <c r="F336" s="54"/>
      <c r="G336" s="56"/>
      <c r="H336" s="56"/>
      <c r="I336" s="36" t="str">
        <f t="shared" si="12"/>
        <v/>
      </c>
      <c r="J336" s="36">
        <f t="shared" si="13"/>
        <v>0</v>
      </c>
      <c r="K336" s="36" t="str">
        <f t="shared" ca="1" si="14"/>
        <v/>
      </c>
    </row>
    <row r="337" spans="3:11" x14ac:dyDescent="0.25">
      <c r="C337" s="53"/>
      <c r="D337" s="54"/>
      <c r="E337" s="55"/>
      <c r="F337" s="54"/>
      <c r="G337" s="56"/>
      <c r="H337" s="56"/>
      <c r="I337" s="36" t="str">
        <f t="shared" ref="I337:I400" si="15">IF(C337="","",IF(H337&lt;=0,"Em aberto",IF(H337&gt;=G337,"Pagamento Total",IF(H337&lt;G337,"Pagamento Parcial"))))</f>
        <v/>
      </c>
      <c r="J337" s="36">
        <f t="shared" ref="J337:J400" si="16">IF(C337&gt;0,G337-H337,0)</f>
        <v>0</v>
      </c>
      <c r="K337" s="36" t="str">
        <f t="shared" ref="K337:K400" ca="1" si="17">IF(ISBLANK(C337),"",IF(H337=G337,"Pago",IF(C337=TODAY(),"Vence Hoje",IF(TRIM(UPPER(G336))&lt;&gt;"S",IF(C337-TODAY()&lt;0,"Vencida",IF(C337-TODAY()&lt;8,"Próximos sete dias","Em aberto"))))))</f>
        <v/>
      </c>
    </row>
    <row r="338" spans="3:11" x14ac:dyDescent="0.25">
      <c r="C338" s="53"/>
      <c r="D338" s="54"/>
      <c r="E338" s="55"/>
      <c r="F338" s="54"/>
      <c r="G338" s="56"/>
      <c r="H338" s="56"/>
      <c r="I338" s="36" t="str">
        <f t="shared" si="15"/>
        <v/>
      </c>
      <c r="J338" s="36">
        <f t="shared" si="16"/>
        <v>0</v>
      </c>
      <c r="K338" s="36" t="str">
        <f t="shared" ca="1" si="17"/>
        <v/>
      </c>
    </row>
    <row r="339" spans="3:11" x14ac:dyDescent="0.25">
      <c r="C339" s="53"/>
      <c r="D339" s="54"/>
      <c r="E339" s="55"/>
      <c r="F339" s="54"/>
      <c r="G339" s="56"/>
      <c r="H339" s="56"/>
      <c r="I339" s="36" t="str">
        <f t="shared" si="15"/>
        <v/>
      </c>
      <c r="J339" s="36">
        <f t="shared" si="16"/>
        <v>0</v>
      </c>
      <c r="K339" s="36" t="str">
        <f t="shared" ca="1" si="17"/>
        <v/>
      </c>
    </row>
    <row r="340" spans="3:11" x14ac:dyDescent="0.25">
      <c r="C340" s="53"/>
      <c r="D340" s="54"/>
      <c r="E340" s="55"/>
      <c r="F340" s="54"/>
      <c r="G340" s="56"/>
      <c r="H340" s="56"/>
      <c r="I340" s="36" t="str">
        <f t="shared" si="15"/>
        <v/>
      </c>
      <c r="J340" s="36">
        <f t="shared" si="16"/>
        <v>0</v>
      </c>
      <c r="K340" s="36" t="str">
        <f t="shared" ca="1" si="17"/>
        <v/>
      </c>
    </row>
    <row r="341" spans="3:11" x14ac:dyDescent="0.25">
      <c r="C341" s="53"/>
      <c r="D341" s="54"/>
      <c r="E341" s="55"/>
      <c r="F341" s="54"/>
      <c r="G341" s="56"/>
      <c r="H341" s="56"/>
      <c r="I341" s="36" t="str">
        <f t="shared" si="15"/>
        <v/>
      </c>
      <c r="J341" s="36">
        <f t="shared" si="16"/>
        <v>0</v>
      </c>
      <c r="K341" s="36" t="str">
        <f t="shared" ca="1" si="17"/>
        <v/>
      </c>
    </row>
    <row r="342" spans="3:11" x14ac:dyDescent="0.25">
      <c r="C342" s="53"/>
      <c r="D342" s="54"/>
      <c r="E342" s="55"/>
      <c r="F342" s="54"/>
      <c r="G342" s="56"/>
      <c r="H342" s="56"/>
      <c r="I342" s="36" t="str">
        <f t="shared" si="15"/>
        <v/>
      </c>
      <c r="J342" s="36">
        <f t="shared" si="16"/>
        <v>0</v>
      </c>
      <c r="K342" s="36" t="str">
        <f t="shared" ca="1" si="17"/>
        <v/>
      </c>
    </row>
    <row r="343" spans="3:11" x14ac:dyDescent="0.25">
      <c r="C343" s="53"/>
      <c r="D343" s="54"/>
      <c r="E343" s="55"/>
      <c r="F343" s="54"/>
      <c r="G343" s="56"/>
      <c r="H343" s="56"/>
      <c r="I343" s="36" t="str">
        <f t="shared" si="15"/>
        <v/>
      </c>
      <c r="J343" s="36">
        <f t="shared" si="16"/>
        <v>0</v>
      </c>
      <c r="K343" s="36" t="str">
        <f t="shared" ca="1" si="17"/>
        <v/>
      </c>
    </row>
    <row r="344" spans="3:11" x14ac:dyDescent="0.25">
      <c r="C344" s="53"/>
      <c r="D344" s="54"/>
      <c r="E344" s="55"/>
      <c r="F344" s="54"/>
      <c r="G344" s="56"/>
      <c r="H344" s="56"/>
      <c r="I344" s="36" t="str">
        <f t="shared" si="15"/>
        <v/>
      </c>
      <c r="J344" s="36">
        <f t="shared" si="16"/>
        <v>0</v>
      </c>
      <c r="K344" s="36" t="str">
        <f t="shared" ca="1" si="17"/>
        <v/>
      </c>
    </row>
    <row r="345" spans="3:11" x14ac:dyDescent="0.25">
      <c r="C345" s="53"/>
      <c r="D345" s="54"/>
      <c r="E345" s="55"/>
      <c r="F345" s="54"/>
      <c r="G345" s="56"/>
      <c r="H345" s="56"/>
      <c r="I345" s="36" t="str">
        <f t="shared" si="15"/>
        <v/>
      </c>
      <c r="J345" s="36">
        <f t="shared" si="16"/>
        <v>0</v>
      </c>
      <c r="K345" s="36" t="str">
        <f t="shared" ca="1" si="17"/>
        <v/>
      </c>
    </row>
    <row r="346" spans="3:11" x14ac:dyDescent="0.25">
      <c r="C346" s="53"/>
      <c r="D346" s="54"/>
      <c r="E346" s="55"/>
      <c r="F346" s="54"/>
      <c r="G346" s="56"/>
      <c r="H346" s="56"/>
      <c r="I346" s="36" t="str">
        <f t="shared" si="15"/>
        <v/>
      </c>
      <c r="J346" s="36">
        <f t="shared" si="16"/>
        <v>0</v>
      </c>
      <c r="K346" s="36" t="str">
        <f t="shared" ca="1" si="17"/>
        <v/>
      </c>
    </row>
    <row r="347" spans="3:11" x14ac:dyDescent="0.25">
      <c r="C347" s="53"/>
      <c r="D347" s="54"/>
      <c r="E347" s="55"/>
      <c r="F347" s="54"/>
      <c r="G347" s="56"/>
      <c r="H347" s="56"/>
      <c r="I347" s="36" t="str">
        <f t="shared" si="15"/>
        <v/>
      </c>
      <c r="J347" s="36">
        <f t="shared" si="16"/>
        <v>0</v>
      </c>
      <c r="K347" s="36" t="str">
        <f t="shared" ca="1" si="17"/>
        <v/>
      </c>
    </row>
    <row r="348" spans="3:11" x14ac:dyDescent="0.25">
      <c r="C348" s="53"/>
      <c r="D348" s="54"/>
      <c r="E348" s="55"/>
      <c r="F348" s="54"/>
      <c r="G348" s="56"/>
      <c r="H348" s="56"/>
      <c r="I348" s="36" t="str">
        <f t="shared" si="15"/>
        <v/>
      </c>
      <c r="J348" s="36">
        <f t="shared" si="16"/>
        <v>0</v>
      </c>
      <c r="K348" s="36" t="str">
        <f t="shared" ca="1" si="17"/>
        <v/>
      </c>
    </row>
    <row r="349" spans="3:11" x14ac:dyDescent="0.25">
      <c r="C349" s="53"/>
      <c r="D349" s="54"/>
      <c r="E349" s="55"/>
      <c r="F349" s="54"/>
      <c r="G349" s="56"/>
      <c r="H349" s="56"/>
      <c r="I349" s="36" t="str">
        <f t="shared" si="15"/>
        <v/>
      </c>
      <c r="J349" s="36">
        <f t="shared" si="16"/>
        <v>0</v>
      </c>
      <c r="K349" s="36" t="str">
        <f t="shared" ca="1" si="17"/>
        <v/>
      </c>
    </row>
    <row r="350" spans="3:11" x14ac:dyDescent="0.25">
      <c r="C350" s="53"/>
      <c r="D350" s="54"/>
      <c r="E350" s="55"/>
      <c r="F350" s="54"/>
      <c r="G350" s="56"/>
      <c r="H350" s="56"/>
      <c r="I350" s="36" t="str">
        <f t="shared" si="15"/>
        <v/>
      </c>
      <c r="J350" s="36">
        <f t="shared" si="16"/>
        <v>0</v>
      </c>
      <c r="K350" s="36" t="str">
        <f t="shared" ca="1" si="17"/>
        <v/>
      </c>
    </row>
    <row r="351" spans="3:11" x14ac:dyDescent="0.25">
      <c r="C351" s="53"/>
      <c r="D351" s="54"/>
      <c r="E351" s="55"/>
      <c r="F351" s="54"/>
      <c r="G351" s="56"/>
      <c r="H351" s="56"/>
      <c r="I351" s="36" t="str">
        <f t="shared" si="15"/>
        <v/>
      </c>
      <c r="J351" s="36">
        <f t="shared" si="16"/>
        <v>0</v>
      </c>
      <c r="K351" s="36" t="str">
        <f t="shared" ca="1" si="17"/>
        <v/>
      </c>
    </row>
    <row r="352" spans="3:11" x14ac:dyDescent="0.25">
      <c r="C352" s="53"/>
      <c r="D352" s="54"/>
      <c r="E352" s="55"/>
      <c r="F352" s="54"/>
      <c r="G352" s="56"/>
      <c r="H352" s="56"/>
      <c r="I352" s="36" t="str">
        <f t="shared" si="15"/>
        <v/>
      </c>
      <c r="J352" s="36">
        <f t="shared" si="16"/>
        <v>0</v>
      </c>
      <c r="K352" s="36" t="str">
        <f t="shared" ca="1" si="17"/>
        <v/>
      </c>
    </row>
    <row r="353" spans="3:11" x14ac:dyDescent="0.25">
      <c r="C353" s="53"/>
      <c r="D353" s="54"/>
      <c r="E353" s="55"/>
      <c r="F353" s="54"/>
      <c r="G353" s="56"/>
      <c r="H353" s="56"/>
      <c r="I353" s="36" t="str">
        <f t="shared" si="15"/>
        <v/>
      </c>
      <c r="J353" s="36">
        <f t="shared" si="16"/>
        <v>0</v>
      </c>
      <c r="K353" s="36" t="str">
        <f t="shared" ca="1" si="17"/>
        <v/>
      </c>
    </row>
    <row r="354" spans="3:11" x14ac:dyDescent="0.25">
      <c r="C354" s="53"/>
      <c r="D354" s="54"/>
      <c r="E354" s="55"/>
      <c r="F354" s="54"/>
      <c r="G354" s="56"/>
      <c r="H354" s="56"/>
      <c r="I354" s="36" t="str">
        <f t="shared" si="15"/>
        <v/>
      </c>
      <c r="J354" s="36">
        <f t="shared" si="16"/>
        <v>0</v>
      </c>
      <c r="K354" s="36" t="str">
        <f t="shared" ca="1" si="17"/>
        <v/>
      </c>
    </row>
    <row r="355" spans="3:11" x14ac:dyDescent="0.25">
      <c r="C355" s="53"/>
      <c r="D355" s="54"/>
      <c r="E355" s="55"/>
      <c r="F355" s="54"/>
      <c r="G355" s="56"/>
      <c r="H355" s="56"/>
      <c r="I355" s="36" t="str">
        <f t="shared" si="15"/>
        <v/>
      </c>
      <c r="J355" s="36">
        <f t="shared" si="16"/>
        <v>0</v>
      </c>
      <c r="K355" s="36" t="str">
        <f t="shared" ca="1" si="17"/>
        <v/>
      </c>
    </row>
    <row r="356" spans="3:11" x14ac:dyDescent="0.25">
      <c r="C356" s="53"/>
      <c r="D356" s="54"/>
      <c r="E356" s="55"/>
      <c r="F356" s="54"/>
      <c r="G356" s="56"/>
      <c r="H356" s="56"/>
      <c r="I356" s="36" t="str">
        <f t="shared" si="15"/>
        <v/>
      </c>
      <c r="J356" s="36">
        <f t="shared" si="16"/>
        <v>0</v>
      </c>
      <c r="K356" s="36" t="str">
        <f t="shared" ca="1" si="17"/>
        <v/>
      </c>
    </row>
    <row r="357" spans="3:11" x14ac:dyDescent="0.25">
      <c r="C357" s="53"/>
      <c r="D357" s="54"/>
      <c r="E357" s="55"/>
      <c r="F357" s="54"/>
      <c r="G357" s="56"/>
      <c r="H357" s="56"/>
      <c r="I357" s="36" t="str">
        <f t="shared" si="15"/>
        <v/>
      </c>
      <c r="J357" s="36">
        <f t="shared" si="16"/>
        <v>0</v>
      </c>
      <c r="K357" s="36" t="str">
        <f t="shared" ca="1" si="17"/>
        <v/>
      </c>
    </row>
    <row r="358" spans="3:11" x14ac:dyDescent="0.25">
      <c r="C358" s="53"/>
      <c r="D358" s="54"/>
      <c r="E358" s="55"/>
      <c r="F358" s="54"/>
      <c r="G358" s="56"/>
      <c r="H358" s="56"/>
      <c r="I358" s="36" t="str">
        <f t="shared" si="15"/>
        <v/>
      </c>
      <c r="J358" s="36">
        <f t="shared" si="16"/>
        <v>0</v>
      </c>
      <c r="K358" s="36" t="str">
        <f t="shared" ca="1" si="17"/>
        <v/>
      </c>
    </row>
    <row r="359" spans="3:11" x14ac:dyDescent="0.25">
      <c r="C359" s="53"/>
      <c r="D359" s="54"/>
      <c r="E359" s="55"/>
      <c r="F359" s="54"/>
      <c r="G359" s="56"/>
      <c r="H359" s="56"/>
      <c r="I359" s="36" t="str">
        <f t="shared" si="15"/>
        <v/>
      </c>
      <c r="J359" s="36">
        <f t="shared" si="16"/>
        <v>0</v>
      </c>
      <c r="K359" s="36" t="str">
        <f t="shared" ca="1" si="17"/>
        <v/>
      </c>
    </row>
    <row r="360" spans="3:11" x14ac:dyDescent="0.25">
      <c r="C360" s="53"/>
      <c r="D360" s="54"/>
      <c r="E360" s="55"/>
      <c r="F360" s="54"/>
      <c r="G360" s="56"/>
      <c r="H360" s="56"/>
      <c r="I360" s="36" t="str">
        <f t="shared" si="15"/>
        <v/>
      </c>
      <c r="J360" s="36">
        <f t="shared" si="16"/>
        <v>0</v>
      </c>
      <c r="K360" s="36" t="str">
        <f t="shared" ca="1" si="17"/>
        <v/>
      </c>
    </row>
    <row r="361" spans="3:11" x14ac:dyDescent="0.25">
      <c r="C361" s="53"/>
      <c r="D361" s="54"/>
      <c r="E361" s="55"/>
      <c r="F361" s="54"/>
      <c r="G361" s="56"/>
      <c r="H361" s="56"/>
      <c r="I361" s="36" t="str">
        <f t="shared" si="15"/>
        <v/>
      </c>
      <c r="J361" s="36">
        <f t="shared" si="16"/>
        <v>0</v>
      </c>
      <c r="K361" s="36" t="str">
        <f t="shared" ca="1" si="17"/>
        <v/>
      </c>
    </row>
    <row r="362" spans="3:11" x14ac:dyDescent="0.25">
      <c r="C362" s="53"/>
      <c r="D362" s="54"/>
      <c r="E362" s="55"/>
      <c r="F362" s="54"/>
      <c r="G362" s="56"/>
      <c r="H362" s="56"/>
      <c r="I362" s="36" t="str">
        <f t="shared" si="15"/>
        <v/>
      </c>
      <c r="J362" s="36">
        <f t="shared" si="16"/>
        <v>0</v>
      </c>
      <c r="K362" s="36" t="str">
        <f t="shared" ca="1" si="17"/>
        <v/>
      </c>
    </row>
    <row r="363" spans="3:11" x14ac:dyDescent="0.25">
      <c r="C363" s="53"/>
      <c r="D363" s="54"/>
      <c r="E363" s="55"/>
      <c r="F363" s="54"/>
      <c r="G363" s="56"/>
      <c r="H363" s="56"/>
      <c r="I363" s="36" t="str">
        <f t="shared" si="15"/>
        <v/>
      </c>
      <c r="J363" s="36">
        <f t="shared" si="16"/>
        <v>0</v>
      </c>
      <c r="K363" s="36" t="str">
        <f t="shared" ca="1" si="17"/>
        <v/>
      </c>
    </row>
    <row r="364" spans="3:11" x14ac:dyDescent="0.25">
      <c r="C364" s="53"/>
      <c r="D364" s="54"/>
      <c r="E364" s="55"/>
      <c r="F364" s="54"/>
      <c r="G364" s="56"/>
      <c r="H364" s="56"/>
      <c r="I364" s="36" t="str">
        <f t="shared" si="15"/>
        <v/>
      </c>
      <c r="J364" s="36">
        <f t="shared" si="16"/>
        <v>0</v>
      </c>
      <c r="K364" s="36" t="str">
        <f t="shared" ca="1" si="17"/>
        <v/>
      </c>
    </row>
    <row r="365" spans="3:11" x14ac:dyDescent="0.25">
      <c r="C365" s="53"/>
      <c r="D365" s="54"/>
      <c r="E365" s="55"/>
      <c r="F365" s="54"/>
      <c r="G365" s="56"/>
      <c r="H365" s="56"/>
      <c r="I365" s="36" t="str">
        <f t="shared" si="15"/>
        <v/>
      </c>
      <c r="J365" s="36">
        <f t="shared" si="16"/>
        <v>0</v>
      </c>
      <c r="K365" s="36" t="str">
        <f t="shared" ca="1" si="17"/>
        <v/>
      </c>
    </row>
    <row r="366" spans="3:11" x14ac:dyDescent="0.25">
      <c r="C366" s="53"/>
      <c r="D366" s="54"/>
      <c r="E366" s="55"/>
      <c r="F366" s="54"/>
      <c r="G366" s="56"/>
      <c r="H366" s="56"/>
      <c r="I366" s="36" t="str">
        <f t="shared" si="15"/>
        <v/>
      </c>
      <c r="J366" s="36">
        <f t="shared" si="16"/>
        <v>0</v>
      </c>
      <c r="K366" s="36" t="str">
        <f t="shared" ca="1" si="17"/>
        <v/>
      </c>
    </row>
    <row r="367" spans="3:11" x14ac:dyDescent="0.25">
      <c r="C367" s="53"/>
      <c r="D367" s="54"/>
      <c r="E367" s="55"/>
      <c r="F367" s="54"/>
      <c r="G367" s="56"/>
      <c r="H367" s="56"/>
      <c r="I367" s="36" t="str">
        <f t="shared" si="15"/>
        <v/>
      </c>
      <c r="J367" s="36">
        <f t="shared" si="16"/>
        <v>0</v>
      </c>
      <c r="K367" s="36" t="str">
        <f t="shared" ca="1" si="17"/>
        <v/>
      </c>
    </row>
    <row r="368" spans="3:11" x14ac:dyDescent="0.25">
      <c r="C368" s="53"/>
      <c r="D368" s="54"/>
      <c r="E368" s="55"/>
      <c r="F368" s="54"/>
      <c r="G368" s="56"/>
      <c r="H368" s="56"/>
      <c r="I368" s="36" t="str">
        <f t="shared" si="15"/>
        <v/>
      </c>
      <c r="J368" s="36">
        <f t="shared" si="16"/>
        <v>0</v>
      </c>
      <c r="K368" s="36" t="str">
        <f t="shared" ca="1" si="17"/>
        <v/>
      </c>
    </row>
    <row r="369" spans="3:11" x14ac:dyDescent="0.25">
      <c r="C369" s="53"/>
      <c r="D369" s="54"/>
      <c r="E369" s="55"/>
      <c r="F369" s="54"/>
      <c r="G369" s="56"/>
      <c r="H369" s="56"/>
      <c r="I369" s="36" t="str">
        <f t="shared" si="15"/>
        <v/>
      </c>
      <c r="J369" s="36">
        <f t="shared" si="16"/>
        <v>0</v>
      </c>
      <c r="K369" s="36" t="str">
        <f t="shared" ca="1" si="17"/>
        <v/>
      </c>
    </row>
    <row r="370" spans="3:11" x14ac:dyDescent="0.25">
      <c r="C370" s="53"/>
      <c r="D370" s="54"/>
      <c r="E370" s="55"/>
      <c r="F370" s="54"/>
      <c r="G370" s="56"/>
      <c r="H370" s="56"/>
      <c r="I370" s="36" t="str">
        <f t="shared" si="15"/>
        <v/>
      </c>
      <c r="J370" s="36">
        <f t="shared" si="16"/>
        <v>0</v>
      </c>
      <c r="K370" s="36" t="str">
        <f t="shared" ca="1" si="17"/>
        <v/>
      </c>
    </row>
    <row r="371" spans="3:11" x14ac:dyDescent="0.25">
      <c r="C371" s="53"/>
      <c r="D371" s="54"/>
      <c r="E371" s="55"/>
      <c r="F371" s="54"/>
      <c r="G371" s="56"/>
      <c r="H371" s="56"/>
      <c r="I371" s="36" t="str">
        <f t="shared" si="15"/>
        <v/>
      </c>
      <c r="J371" s="36">
        <f t="shared" si="16"/>
        <v>0</v>
      </c>
      <c r="K371" s="36" t="str">
        <f t="shared" ca="1" si="17"/>
        <v/>
      </c>
    </row>
    <row r="372" spans="3:11" x14ac:dyDescent="0.25">
      <c r="C372" s="53"/>
      <c r="D372" s="54"/>
      <c r="E372" s="55"/>
      <c r="F372" s="54"/>
      <c r="G372" s="56"/>
      <c r="H372" s="56"/>
      <c r="I372" s="36" t="str">
        <f t="shared" si="15"/>
        <v/>
      </c>
      <c r="J372" s="36">
        <f t="shared" si="16"/>
        <v>0</v>
      </c>
      <c r="K372" s="36" t="str">
        <f t="shared" ca="1" si="17"/>
        <v/>
      </c>
    </row>
    <row r="373" spans="3:11" x14ac:dyDescent="0.25">
      <c r="C373" s="53"/>
      <c r="D373" s="54"/>
      <c r="E373" s="55"/>
      <c r="F373" s="54"/>
      <c r="G373" s="56"/>
      <c r="H373" s="56"/>
      <c r="I373" s="36" t="str">
        <f t="shared" si="15"/>
        <v/>
      </c>
      <c r="J373" s="36">
        <f t="shared" si="16"/>
        <v>0</v>
      </c>
      <c r="K373" s="36" t="str">
        <f t="shared" ca="1" si="17"/>
        <v/>
      </c>
    </row>
    <row r="374" spans="3:11" x14ac:dyDescent="0.25">
      <c r="C374" s="53"/>
      <c r="D374" s="54"/>
      <c r="E374" s="55"/>
      <c r="F374" s="54"/>
      <c r="G374" s="56"/>
      <c r="H374" s="56"/>
      <c r="I374" s="36" t="str">
        <f t="shared" si="15"/>
        <v/>
      </c>
      <c r="J374" s="36">
        <f t="shared" si="16"/>
        <v>0</v>
      </c>
      <c r="K374" s="36" t="str">
        <f t="shared" ca="1" si="17"/>
        <v/>
      </c>
    </row>
    <row r="375" spans="3:11" x14ac:dyDescent="0.25">
      <c r="C375" s="53"/>
      <c r="D375" s="54"/>
      <c r="E375" s="55"/>
      <c r="F375" s="54"/>
      <c r="G375" s="56"/>
      <c r="H375" s="56"/>
      <c r="I375" s="36" t="str">
        <f t="shared" si="15"/>
        <v/>
      </c>
      <c r="J375" s="36">
        <f t="shared" si="16"/>
        <v>0</v>
      </c>
      <c r="K375" s="36" t="str">
        <f t="shared" ca="1" si="17"/>
        <v/>
      </c>
    </row>
    <row r="376" spans="3:11" x14ac:dyDescent="0.25">
      <c r="C376" s="53"/>
      <c r="D376" s="54"/>
      <c r="E376" s="55"/>
      <c r="F376" s="54"/>
      <c r="G376" s="56"/>
      <c r="H376" s="56"/>
      <c r="I376" s="36" t="str">
        <f t="shared" si="15"/>
        <v/>
      </c>
      <c r="J376" s="36">
        <f t="shared" si="16"/>
        <v>0</v>
      </c>
      <c r="K376" s="36" t="str">
        <f t="shared" ca="1" si="17"/>
        <v/>
      </c>
    </row>
    <row r="377" spans="3:11" x14ac:dyDescent="0.25">
      <c r="C377" s="53"/>
      <c r="D377" s="54"/>
      <c r="E377" s="55"/>
      <c r="F377" s="54"/>
      <c r="G377" s="56"/>
      <c r="H377" s="56"/>
      <c r="I377" s="36" t="str">
        <f t="shared" si="15"/>
        <v/>
      </c>
      <c r="J377" s="36">
        <f t="shared" si="16"/>
        <v>0</v>
      </c>
      <c r="K377" s="36" t="str">
        <f t="shared" ca="1" si="17"/>
        <v/>
      </c>
    </row>
    <row r="378" spans="3:11" x14ac:dyDescent="0.25">
      <c r="C378" s="53"/>
      <c r="D378" s="54"/>
      <c r="E378" s="55"/>
      <c r="F378" s="54"/>
      <c r="G378" s="56"/>
      <c r="H378" s="56"/>
      <c r="I378" s="36" t="str">
        <f t="shared" si="15"/>
        <v/>
      </c>
      <c r="J378" s="36">
        <f t="shared" si="16"/>
        <v>0</v>
      </c>
      <c r="K378" s="36" t="str">
        <f t="shared" ca="1" si="17"/>
        <v/>
      </c>
    </row>
    <row r="379" spans="3:11" x14ac:dyDescent="0.25">
      <c r="C379" s="53"/>
      <c r="D379" s="54"/>
      <c r="E379" s="55"/>
      <c r="F379" s="54"/>
      <c r="G379" s="56"/>
      <c r="H379" s="56"/>
      <c r="I379" s="36" t="str">
        <f t="shared" si="15"/>
        <v/>
      </c>
      <c r="J379" s="36">
        <f t="shared" si="16"/>
        <v>0</v>
      </c>
      <c r="K379" s="36" t="str">
        <f t="shared" ca="1" si="17"/>
        <v/>
      </c>
    </row>
    <row r="380" spans="3:11" x14ac:dyDescent="0.25">
      <c r="C380" s="53"/>
      <c r="D380" s="54"/>
      <c r="E380" s="55"/>
      <c r="F380" s="54"/>
      <c r="G380" s="56"/>
      <c r="H380" s="56"/>
      <c r="I380" s="36" t="str">
        <f t="shared" si="15"/>
        <v/>
      </c>
      <c r="J380" s="36">
        <f t="shared" si="16"/>
        <v>0</v>
      </c>
      <c r="K380" s="36" t="str">
        <f t="shared" ca="1" si="17"/>
        <v/>
      </c>
    </row>
    <row r="381" spans="3:11" x14ac:dyDescent="0.25">
      <c r="C381" s="53"/>
      <c r="D381" s="54"/>
      <c r="E381" s="55"/>
      <c r="F381" s="54"/>
      <c r="G381" s="56"/>
      <c r="H381" s="56"/>
      <c r="I381" s="36" t="str">
        <f t="shared" si="15"/>
        <v/>
      </c>
      <c r="J381" s="36">
        <f t="shared" si="16"/>
        <v>0</v>
      </c>
      <c r="K381" s="36" t="str">
        <f t="shared" ca="1" si="17"/>
        <v/>
      </c>
    </row>
    <row r="382" spans="3:11" x14ac:dyDescent="0.25">
      <c r="C382" s="53"/>
      <c r="D382" s="54"/>
      <c r="E382" s="55"/>
      <c r="F382" s="54"/>
      <c r="G382" s="56"/>
      <c r="H382" s="56"/>
      <c r="I382" s="36" t="str">
        <f t="shared" si="15"/>
        <v/>
      </c>
      <c r="J382" s="36">
        <f t="shared" si="16"/>
        <v>0</v>
      </c>
      <c r="K382" s="36" t="str">
        <f t="shared" ca="1" si="17"/>
        <v/>
      </c>
    </row>
    <row r="383" spans="3:11" x14ac:dyDescent="0.25">
      <c r="C383" s="53"/>
      <c r="D383" s="54"/>
      <c r="E383" s="55"/>
      <c r="F383" s="54"/>
      <c r="G383" s="56"/>
      <c r="H383" s="56"/>
      <c r="I383" s="36" t="str">
        <f t="shared" si="15"/>
        <v/>
      </c>
      <c r="J383" s="36">
        <f t="shared" si="16"/>
        <v>0</v>
      </c>
      <c r="K383" s="36" t="str">
        <f t="shared" ca="1" si="17"/>
        <v/>
      </c>
    </row>
    <row r="384" spans="3:11" x14ac:dyDescent="0.25">
      <c r="C384" s="53"/>
      <c r="D384" s="54"/>
      <c r="E384" s="55"/>
      <c r="F384" s="54"/>
      <c r="G384" s="56"/>
      <c r="H384" s="56"/>
      <c r="I384" s="36" t="str">
        <f t="shared" si="15"/>
        <v/>
      </c>
      <c r="J384" s="36">
        <f t="shared" si="16"/>
        <v>0</v>
      </c>
      <c r="K384" s="36" t="str">
        <f t="shared" ca="1" si="17"/>
        <v/>
      </c>
    </row>
    <row r="385" spans="3:11" x14ac:dyDescent="0.25">
      <c r="C385" s="53"/>
      <c r="D385" s="54"/>
      <c r="E385" s="55"/>
      <c r="F385" s="54"/>
      <c r="G385" s="56"/>
      <c r="H385" s="56"/>
      <c r="I385" s="36" t="str">
        <f t="shared" si="15"/>
        <v/>
      </c>
      <c r="J385" s="36">
        <f t="shared" si="16"/>
        <v>0</v>
      </c>
      <c r="K385" s="36" t="str">
        <f t="shared" ca="1" si="17"/>
        <v/>
      </c>
    </row>
    <row r="386" spans="3:11" x14ac:dyDescent="0.25">
      <c r="C386" s="53"/>
      <c r="D386" s="54"/>
      <c r="E386" s="55"/>
      <c r="F386" s="54"/>
      <c r="G386" s="56"/>
      <c r="H386" s="56"/>
      <c r="I386" s="36" t="str">
        <f t="shared" si="15"/>
        <v/>
      </c>
      <c r="J386" s="36">
        <f t="shared" si="16"/>
        <v>0</v>
      </c>
      <c r="K386" s="36" t="str">
        <f t="shared" ca="1" si="17"/>
        <v/>
      </c>
    </row>
    <row r="387" spans="3:11" x14ac:dyDescent="0.25">
      <c r="C387" s="53"/>
      <c r="D387" s="54"/>
      <c r="E387" s="55"/>
      <c r="F387" s="54"/>
      <c r="G387" s="56"/>
      <c r="H387" s="56"/>
      <c r="I387" s="36" t="str">
        <f t="shared" si="15"/>
        <v/>
      </c>
      <c r="J387" s="36">
        <f t="shared" si="16"/>
        <v>0</v>
      </c>
      <c r="K387" s="36" t="str">
        <f t="shared" ca="1" si="17"/>
        <v/>
      </c>
    </row>
    <row r="388" spans="3:11" x14ac:dyDescent="0.25">
      <c r="C388" s="53"/>
      <c r="D388" s="54"/>
      <c r="E388" s="55"/>
      <c r="F388" s="54"/>
      <c r="G388" s="56"/>
      <c r="H388" s="56"/>
      <c r="I388" s="36" t="str">
        <f t="shared" si="15"/>
        <v/>
      </c>
      <c r="J388" s="36">
        <f t="shared" si="16"/>
        <v>0</v>
      </c>
      <c r="K388" s="36" t="str">
        <f t="shared" ca="1" si="17"/>
        <v/>
      </c>
    </row>
    <row r="389" spans="3:11" x14ac:dyDescent="0.25">
      <c r="C389" s="53"/>
      <c r="D389" s="54"/>
      <c r="E389" s="55"/>
      <c r="F389" s="54"/>
      <c r="G389" s="56"/>
      <c r="H389" s="56"/>
      <c r="I389" s="36" t="str">
        <f t="shared" si="15"/>
        <v/>
      </c>
      <c r="J389" s="36">
        <f t="shared" si="16"/>
        <v>0</v>
      </c>
      <c r="K389" s="36" t="str">
        <f t="shared" ca="1" si="17"/>
        <v/>
      </c>
    </row>
    <row r="390" spans="3:11" x14ac:dyDescent="0.25">
      <c r="C390" s="53"/>
      <c r="D390" s="54"/>
      <c r="E390" s="55"/>
      <c r="F390" s="54"/>
      <c r="G390" s="56"/>
      <c r="H390" s="56"/>
      <c r="I390" s="36" t="str">
        <f t="shared" si="15"/>
        <v/>
      </c>
      <c r="J390" s="36">
        <f t="shared" si="16"/>
        <v>0</v>
      </c>
      <c r="K390" s="36" t="str">
        <f t="shared" ca="1" si="17"/>
        <v/>
      </c>
    </row>
    <row r="391" spans="3:11" x14ac:dyDescent="0.25">
      <c r="C391" s="53"/>
      <c r="D391" s="54"/>
      <c r="E391" s="55"/>
      <c r="F391" s="54"/>
      <c r="G391" s="56"/>
      <c r="H391" s="56"/>
      <c r="I391" s="36" t="str">
        <f t="shared" si="15"/>
        <v/>
      </c>
      <c r="J391" s="36">
        <f t="shared" si="16"/>
        <v>0</v>
      </c>
      <c r="K391" s="36" t="str">
        <f t="shared" ca="1" si="17"/>
        <v/>
      </c>
    </row>
    <row r="392" spans="3:11" x14ac:dyDescent="0.25">
      <c r="C392" s="53"/>
      <c r="D392" s="54"/>
      <c r="E392" s="55"/>
      <c r="F392" s="54"/>
      <c r="G392" s="56"/>
      <c r="H392" s="56"/>
      <c r="I392" s="36" t="str">
        <f t="shared" si="15"/>
        <v/>
      </c>
      <c r="J392" s="36">
        <f t="shared" si="16"/>
        <v>0</v>
      </c>
      <c r="K392" s="36" t="str">
        <f t="shared" ca="1" si="17"/>
        <v/>
      </c>
    </row>
    <row r="393" spans="3:11" x14ac:dyDescent="0.25">
      <c r="C393" s="53"/>
      <c r="D393" s="54"/>
      <c r="E393" s="55"/>
      <c r="F393" s="54"/>
      <c r="G393" s="56"/>
      <c r="H393" s="56"/>
      <c r="I393" s="36" t="str">
        <f t="shared" si="15"/>
        <v/>
      </c>
      <c r="J393" s="36">
        <f t="shared" si="16"/>
        <v>0</v>
      </c>
      <c r="K393" s="36" t="str">
        <f t="shared" ca="1" si="17"/>
        <v/>
      </c>
    </row>
    <row r="394" spans="3:11" x14ac:dyDescent="0.25">
      <c r="C394" s="53"/>
      <c r="D394" s="54"/>
      <c r="E394" s="55"/>
      <c r="F394" s="54"/>
      <c r="G394" s="56"/>
      <c r="H394" s="56"/>
      <c r="I394" s="36" t="str">
        <f t="shared" si="15"/>
        <v/>
      </c>
      <c r="J394" s="36">
        <f t="shared" si="16"/>
        <v>0</v>
      </c>
      <c r="K394" s="36" t="str">
        <f t="shared" ca="1" si="17"/>
        <v/>
      </c>
    </row>
    <row r="395" spans="3:11" x14ac:dyDescent="0.25">
      <c r="C395" s="53"/>
      <c r="D395" s="54"/>
      <c r="E395" s="55"/>
      <c r="F395" s="54"/>
      <c r="G395" s="56"/>
      <c r="H395" s="56"/>
      <c r="I395" s="36" t="str">
        <f t="shared" si="15"/>
        <v/>
      </c>
      <c r="J395" s="36">
        <f t="shared" si="16"/>
        <v>0</v>
      </c>
      <c r="K395" s="36" t="str">
        <f t="shared" ca="1" si="17"/>
        <v/>
      </c>
    </row>
    <row r="396" spans="3:11" x14ac:dyDescent="0.25">
      <c r="C396" s="53"/>
      <c r="D396" s="54"/>
      <c r="E396" s="55"/>
      <c r="F396" s="54"/>
      <c r="G396" s="56"/>
      <c r="H396" s="56"/>
      <c r="I396" s="36" t="str">
        <f t="shared" si="15"/>
        <v/>
      </c>
      <c r="J396" s="36">
        <f t="shared" si="16"/>
        <v>0</v>
      </c>
      <c r="K396" s="36" t="str">
        <f t="shared" ca="1" si="17"/>
        <v/>
      </c>
    </row>
    <row r="397" spans="3:11" x14ac:dyDescent="0.25">
      <c r="C397" s="53"/>
      <c r="D397" s="54"/>
      <c r="E397" s="55"/>
      <c r="F397" s="54"/>
      <c r="G397" s="56"/>
      <c r="H397" s="56"/>
      <c r="I397" s="36" t="str">
        <f t="shared" si="15"/>
        <v/>
      </c>
      <c r="J397" s="36">
        <f t="shared" si="16"/>
        <v>0</v>
      </c>
      <c r="K397" s="36" t="str">
        <f t="shared" ca="1" si="17"/>
        <v/>
      </c>
    </row>
    <row r="398" spans="3:11" x14ac:dyDescent="0.25">
      <c r="C398" s="53"/>
      <c r="D398" s="54"/>
      <c r="E398" s="55"/>
      <c r="F398" s="54"/>
      <c r="G398" s="56"/>
      <c r="H398" s="56"/>
      <c r="I398" s="36" t="str">
        <f t="shared" si="15"/>
        <v/>
      </c>
      <c r="J398" s="36">
        <f t="shared" si="16"/>
        <v>0</v>
      </c>
      <c r="K398" s="36" t="str">
        <f t="shared" ca="1" si="17"/>
        <v/>
      </c>
    </row>
    <row r="399" spans="3:11" x14ac:dyDescent="0.25">
      <c r="C399" s="53"/>
      <c r="D399" s="54"/>
      <c r="E399" s="55"/>
      <c r="F399" s="54"/>
      <c r="G399" s="56"/>
      <c r="H399" s="56"/>
      <c r="I399" s="36" t="str">
        <f t="shared" si="15"/>
        <v/>
      </c>
      <c r="J399" s="36">
        <f t="shared" si="16"/>
        <v>0</v>
      </c>
      <c r="K399" s="36" t="str">
        <f t="shared" ca="1" si="17"/>
        <v/>
      </c>
    </row>
    <row r="400" spans="3:11" x14ac:dyDescent="0.25">
      <c r="C400" s="53"/>
      <c r="D400" s="54"/>
      <c r="E400" s="55"/>
      <c r="F400" s="54"/>
      <c r="G400" s="56"/>
      <c r="H400" s="56"/>
      <c r="I400" s="36" t="str">
        <f t="shared" si="15"/>
        <v/>
      </c>
      <c r="J400" s="36">
        <f t="shared" si="16"/>
        <v>0</v>
      </c>
      <c r="K400" s="36" t="str">
        <f t="shared" ca="1" si="17"/>
        <v/>
      </c>
    </row>
    <row r="401" spans="3:11" x14ac:dyDescent="0.25">
      <c r="C401" s="53"/>
      <c r="D401" s="54"/>
      <c r="E401" s="55"/>
      <c r="F401" s="54"/>
      <c r="G401" s="56"/>
      <c r="H401" s="56"/>
      <c r="I401" s="36" t="str">
        <f t="shared" ref="I401:I464" si="18">IF(C401="","",IF(H401&lt;=0,"Em aberto",IF(H401&gt;=G401,"Pagamento Total",IF(H401&lt;G401,"Pagamento Parcial"))))</f>
        <v/>
      </c>
      <c r="J401" s="36">
        <f t="shared" ref="J401:J464" si="19">IF(C401&gt;0,G401-H401,0)</f>
        <v>0</v>
      </c>
      <c r="K401" s="36" t="str">
        <f t="shared" ref="K401:K464" ca="1" si="20">IF(ISBLANK(C401),"",IF(H401=G401,"Pago",IF(C401=TODAY(),"Vence Hoje",IF(TRIM(UPPER(G400))&lt;&gt;"S",IF(C401-TODAY()&lt;0,"Vencida",IF(C401-TODAY()&lt;8,"Próximos sete dias","Em aberto"))))))</f>
        <v/>
      </c>
    </row>
    <row r="402" spans="3:11" x14ac:dyDescent="0.25">
      <c r="C402" s="53"/>
      <c r="D402" s="54"/>
      <c r="E402" s="55"/>
      <c r="F402" s="54"/>
      <c r="G402" s="56"/>
      <c r="H402" s="56"/>
      <c r="I402" s="36" t="str">
        <f t="shared" si="18"/>
        <v/>
      </c>
      <c r="J402" s="36">
        <f t="shared" si="19"/>
        <v>0</v>
      </c>
      <c r="K402" s="36" t="str">
        <f t="shared" ca="1" si="20"/>
        <v/>
      </c>
    </row>
    <row r="403" spans="3:11" x14ac:dyDescent="0.25">
      <c r="C403" s="53"/>
      <c r="D403" s="54"/>
      <c r="E403" s="55"/>
      <c r="F403" s="54"/>
      <c r="G403" s="56"/>
      <c r="H403" s="56"/>
      <c r="I403" s="36" t="str">
        <f t="shared" si="18"/>
        <v/>
      </c>
      <c r="J403" s="36">
        <f t="shared" si="19"/>
        <v>0</v>
      </c>
      <c r="K403" s="36" t="str">
        <f t="shared" ca="1" si="20"/>
        <v/>
      </c>
    </row>
    <row r="404" spans="3:11" x14ac:dyDescent="0.25">
      <c r="C404" s="53"/>
      <c r="D404" s="54"/>
      <c r="E404" s="55"/>
      <c r="F404" s="54"/>
      <c r="G404" s="56"/>
      <c r="H404" s="56"/>
      <c r="I404" s="36" t="str">
        <f t="shared" si="18"/>
        <v/>
      </c>
      <c r="J404" s="36">
        <f t="shared" si="19"/>
        <v>0</v>
      </c>
      <c r="K404" s="36" t="str">
        <f t="shared" ca="1" si="20"/>
        <v/>
      </c>
    </row>
    <row r="405" spans="3:11" x14ac:dyDescent="0.25">
      <c r="C405" s="53"/>
      <c r="D405" s="54"/>
      <c r="E405" s="55"/>
      <c r="F405" s="54"/>
      <c r="G405" s="56"/>
      <c r="H405" s="56"/>
      <c r="I405" s="36" t="str">
        <f t="shared" si="18"/>
        <v/>
      </c>
      <c r="J405" s="36">
        <f t="shared" si="19"/>
        <v>0</v>
      </c>
      <c r="K405" s="36" t="str">
        <f t="shared" ca="1" si="20"/>
        <v/>
      </c>
    </row>
    <row r="406" spans="3:11" x14ac:dyDescent="0.25">
      <c r="C406" s="53"/>
      <c r="D406" s="54"/>
      <c r="E406" s="55"/>
      <c r="F406" s="54"/>
      <c r="G406" s="56"/>
      <c r="H406" s="56"/>
      <c r="I406" s="36" t="str">
        <f t="shared" si="18"/>
        <v/>
      </c>
      <c r="J406" s="36">
        <f t="shared" si="19"/>
        <v>0</v>
      </c>
      <c r="K406" s="36" t="str">
        <f t="shared" ca="1" si="20"/>
        <v/>
      </c>
    </row>
    <row r="407" spans="3:11" x14ac:dyDescent="0.25">
      <c r="C407" s="53"/>
      <c r="D407" s="54"/>
      <c r="E407" s="55"/>
      <c r="F407" s="54"/>
      <c r="G407" s="56"/>
      <c r="H407" s="56"/>
      <c r="I407" s="36" t="str">
        <f t="shared" si="18"/>
        <v/>
      </c>
      <c r="J407" s="36">
        <f t="shared" si="19"/>
        <v>0</v>
      </c>
      <c r="K407" s="36" t="str">
        <f t="shared" ca="1" si="20"/>
        <v/>
      </c>
    </row>
    <row r="408" spans="3:11" x14ac:dyDescent="0.25">
      <c r="C408" s="53"/>
      <c r="D408" s="54"/>
      <c r="E408" s="55"/>
      <c r="F408" s="54"/>
      <c r="G408" s="56"/>
      <c r="H408" s="56"/>
      <c r="I408" s="36" t="str">
        <f t="shared" si="18"/>
        <v/>
      </c>
      <c r="J408" s="36">
        <f t="shared" si="19"/>
        <v>0</v>
      </c>
      <c r="K408" s="36" t="str">
        <f t="shared" ca="1" si="20"/>
        <v/>
      </c>
    </row>
    <row r="409" spans="3:11" x14ac:dyDescent="0.25">
      <c r="C409" s="53"/>
      <c r="D409" s="54"/>
      <c r="E409" s="55"/>
      <c r="F409" s="54"/>
      <c r="G409" s="56"/>
      <c r="H409" s="56"/>
      <c r="I409" s="36" t="str">
        <f t="shared" si="18"/>
        <v/>
      </c>
      <c r="J409" s="36">
        <f t="shared" si="19"/>
        <v>0</v>
      </c>
      <c r="K409" s="36" t="str">
        <f t="shared" ca="1" si="20"/>
        <v/>
      </c>
    </row>
    <row r="410" spans="3:11" x14ac:dyDescent="0.25">
      <c r="C410" s="53"/>
      <c r="D410" s="54"/>
      <c r="E410" s="55"/>
      <c r="F410" s="54"/>
      <c r="G410" s="56"/>
      <c r="H410" s="56"/>
      <c r="I410" s="36" t="str">
        <f t="shared" si="18"/>
        <v/>
      </c>
      <c r="J410" s="36">
        <f t="shared" si="19"/>
        <v>0</v>
      </c>
      <c r="K410" s="36" t="str">
        <f t="shared" ca="1" si="20"/>
        <v/>
      </c>
    </row>
    <row r="411" spans="3:11" x14ac:dyDescent="0.25">
      <c r="C411" s="53"/>
      <c r="D411" s="54"/>
      <c r="E411" s="55"/>
      <c r="F411" s="54"/>
      <c r="G411" s="56"/>
      <c r="H411" s="56"/>
      <c r="I411" s="36" t="str">
        <f t="shared" si="18"/>
        <v/>
      </c>
      <c r="J411" s="36">
        <f t="shared" si="19"/>
        <v>0</v>
      </c>
      <c r="K411" s="36" t="str">
        <f t="shared" ca="1" si="20"/>
        <v/>
      </c>
    </row>
    <row r="412" spans="3:11" x14ac:dyDescent="0.25">
      <c r="C412" s="53"/>
      <c r="D412" s="54"/>
      <c r="E412" s="55"/>
      <c r="F412" s="54"/>
      <c r="G412" s="56"/>
      <c r="H412" s="56"/>
      <c r="I412" s="36" t="str">
        <f t="shared" si="18"/>
        <v/>
      </c>
      <c r="J412" s="36">
        <f t="shared" si="19"/>
        <v>0</v>
      </c>
      <c r="K412" s="36" t="str">
        <f t="shared" ca="1" si="20"/>
        <v/>
      </c>
    </row>
    <row r="413" spans="3:11" x14ac:dyDescent="0.25">
      <c r="C413" s="53"/>
      <c r="D413" s="54"/>
      <c r="E413" s="55"/>
      <c r="F413" s="54"/>
      <c r="G413" s="56"/>
      <c r="H413" s="56"/>
      <c r="I413" s="36" t="str">
        <f t="shared" si="18"/>
        <v/>
      </c>
      <c r="J413" s="36">
        <f t="shared" si="19"/>
        <v>0</v>
      </c>
      <c r="K413" s="36" t="str">
        <f t="shared" ca="1" si="20"/>
        <v/>
      </c>
    </row>
    <row r="414" spans="3:11" x14ac:dyDescent="0.25">
      <c r="C414" s="53"/>
      <c r="D414" s="54"/>
      <c r="E414" s="55"/>
      <c r="F414" s="54"/>
      <c r="G414" s="56"/>
      <c r="H414" s="56"/>
      <c r="I414" s="36" t="str">
        <f t="shared" si="18"/>
        <v/>
      </c>
      <c r="J414" s="36">
        <f t="shared" si="19"/>
        <v>0</v>
      </c>
      <c r="K414" s="36" t="str">
        <f t="shared" ca="1" si="20"/>
        <v/>
      </c>
    </row>
    <row r="415" spans="3:11" x14ac:dyDescent="0.25">
      <c r="C415" s="53"/>
      <c r="D415" s="54"/>
      <c r="E415" s="55"/>
      <c r="F415" s="54"/>
      <c r="G415" s="56"/>
      <c r="H415" s="56"/>
      <c r="I415" s="36" t="str">
        <f t="shared" si="18"/>
        <v/>
      </c>
      <c r="J415" s="36">
        <f t="shared" si="19"/>
        <v>0</v>
      </c>
      <c r="K415" s="36" t="str">
        <f t="shared" ca="1" si="20"/>
        <v/>
      </c>
    </row>
    <row r="416" spans="3:11" x14ac:dyDescent="0.25">
      <c r="C416" s="53"/>
      <c r="D416" s="54"/>
      <c r="E416" s="55"/>
      <c r="F416" s="54"/>
      <c r="G416" s="56"/>
      <c r="H416" s="56"/>
      <c r="I416" s="36" t="str">
        <f t="shared" si="18"/>
        <v/>
      </c>
      <c r="J416" s="36">
        <f t="shared" si="19"/>
        <v>0</v>
      </c>
      <c r="K416" s="36" t="str">
        <f t="shared" ca="1" si="20"/>
        <v/>
      </c>
    </row>
    <row r="417" spans="3:11" x14ac:dyDescent="0.25">
      <c r="C417" s="53"/>
      <c r="D417" s="54"/>
      <c r="E417" s="55"/>
      <c r="F417" s="54"/>
      <c r="G417" s="56"/>
      <c r="H417" s="56"/>
      <c r="I417" s="36" t="str">
        <f t="shared" si="18"/>
        <v/>
      </c>
      <c r="J417" s="36">
        <f t="shared" si="19"/>
        <v>0</v>
      </c>
      <c r="K417" s="36" t="str">
        <f t="shared" ca="1" si="20"/>
        <v/>
      </c>
    </row>
    <row r="418" spans="3:11" x14ac:dyDescent="0.25">
      <c r="C418" s="53"/>
      <c r="D418" s="54"/>
      <c r="E418" s="55"/>
      <c r="F418" s="54"/>
      <c r="G418" s="56"/>
      <c r="H418" s="56"/>
      <c r="I418" s="36" t="str">
        <f t="shared" si="18"/>
        <v/>
      </c>
      <c r="J418" s="36">
        <f t="shared" si="19"/>
        <v>0</v>
      </c>
      <c r="K418" s="36" t="str">
        <f t="shared" ca="1" si="20"/>
        <v/>
      </c>
    </row>
    <row r="419" spans="3:11" x14ac:dyDescent="0.25">
      <c r="C419" s="53"/>
      <c r="D419" s="54"/>
      <c r="E419" s="55"/>
      <c r="F419" s="54"/>
      <c r="G419" s="56"/>
      <c r="H419" s="56"/>
      <c r="I419" s="36" t="str">
        <f t="shared" si="18"/>
        <v/>
      </c>
      <c r="J419" s="36">
        <f t="shared" si="19"/>
        <v>0</v>
      </c>
      <c r="K419" s="36" t="str">
        <f t="shared" ca="1" si="20"/>
        <v/>
      </c>
    </row>
    <row r="420" spans="3:11" x14ac:dyDescent="0.25">
      <c r="C420" s="53"/>
      <c r="D420" s="54"/>
      <c r="E420" s="55"/>
      <c r="F420" s="54"/>
      <c r="G420" s="56"/>
      <c r="H420" s="56"/>
      <c r="I420" s="36" t="str">
        <f t="shared" si="18"/>
        <v/>
      </c>
      <c r="J420" s="36">
        <f t="shared" si="19"/>
        <v>0</v>
      </c>
      <c r="K420" s="36" t="str">
        <f t="shared" ca="1" si="20"/>
        <v/>
      </c>
    </row>
    <row r="421" spans="3:11" x14ac:dyDescent="0.25">
      <c r="C421" s="53"/>
      <c r="D421" s="54"/>
      <c r="E421" s="55"/>
      <c r="F421" s="54"/>
      <c r="G421" s="56"/>
      <c r="H421" s="56"/>
      <c r="I421" s="36" t="str">
        <f t="shared" si="18"/>
        <v/>
      </c>
      <c r="J421" s="36">
        <f t="shared" si="19"/>
        <v>0</v>
      </c>
      <c r="K421" s="36" t="str">
        <f t="shared" ca="1" si="20"/>
        <v/>
      </c>
    </row>
    <row r="422" spans="3:11" x14ac:dyDescent="0.25">
      <c r="C422" s="53"/>
      <c r="D422" s="54"/>
      <c r="E422" s="55"/>
      <c r="F422" s="54"/>
      <c r="G422" s="56"/>
      <c r="H422" s="56"/>
      <c r="I422" s="36" t="str">
        <f t="shared" si="18"/>
        <v/>
      </c>
      <c r="J422" s="36">
        <f t="shared" si="19"/>
        <v>0</v>
      </c>
      <c r="K422" s="36" t="str">
        <f t="shared" ca="1" si="20"/>
        <v/>
      </c>
    </row>
    <row r="423" spans="3:11" x14ac:dyDescent="0.25">
      <c r="C423" s="53"/>
      <c r="D423" s="54"/>
      <c r="E423" s="55"/>
      <c r="F423" s="54"/>
      <c r="G423" s="56"/>
      <c r="H423" s="56"/>
      <c r="I423" s="36" t="str">
        <f t="shared" si="18"/>
        <v/>
      </c>
      <c r="J423" s="36">
        <f t="shared" si="19"/>
        <v>0</v>
      </c>
      <c r="K423" s="36" t="str">
        <f t="shared" ca="1" si="20"/>
        <v/>
      </c>
    </row>
    <row r="424" spans="3:11" x14ac:dyDescent="0.25">
      <c r="C424" s="53"/>
      <c r="D424" s="54"/>
      <c r="E424" s="55"/>
      <c r="F424" s="54"/>
      <c r="G424" s="56"/>
      <c r="H424" s="56"/>
      <c r="I424" s="36" t="str">
        <f t="shared" si="18"/>
        <v/>
      </c>
      <c r="J424" s="36">
        <f t="shared" si="19"/>
        <v>0</v>
      </c>
      <c r="K424" s="36" t="str">
        <f t="shared" ca="1" si="20"/>
        <v/>
      </c>
    </row>
    <row r="425" spans="3:11" x14ac:dyDescent="0.25">
      <c r="C425" s="53"/>
      <c r="D425" s="54"/>
      <c r="E425" s="55"/>
      <c r="F425" s="54"/>
      <c r="G425" s="56"/>
      <c r="H425" s="56"/>
      <c r="I425" s="36" t="str">
        <f t="shared" si="18"/>
        <v/>
      </c>
      <c r="J425" s="36">
        <f t="shared" si="19"/>
        <v>0</v>
      </c>
      <c r="K425" s="36" t="str">
        <f t="shared" ca="1" si="20"/>
        <v/>
      </c>
    </row>
    <row r="426" spans="3:11" x14ac:dyDescent="0.25">
      <c r="C426" s="53"/>
      <c r="D426" s="54"/>
      <c r="E426" s="55"/>
      <c r="F426" s="54"/>
      <c r="G426" s="56"/>
      <c r="H426" s="56"/>
      <c r="I426" s="36" t="str">
        <f t="shared" si="18"/>
        <v/>
      </c>
      <c r="J426" s="36">
        <f t="shared" si="19"/>
        <v>0</v>
      </c>
      <c r="K426" s="36" t="str">
        <f t="shared" ca="1" si="20"/>
        <v/>
      </c>
    </row>
    <row r="427" spans="3:11" x14ac:dyDescent="0.25">
      <c r="C427" s="53"/>
      <c r="D427" s="54"/>
      <c r="E427" s="55"/>
      <c r="F427" s="54"/>
      <c r="G427" s="56"/>
      <c r="H427" s="56"/>
      <c r="I427" s="36" t="str">
        <f t="shared" si="18"/>
        <v/>
      </c>
      <c r="J427" s="36">
        <f t="shared" si="19"/>
        <v>0</v>
      </c>
      <c r="K427" s="36" t="str">
        <f t="shared" ca="1" si="20"/>
        <v/>
      </c>
    </row>
    <row r="428" spans="3:11" x14ac:dyDescent="0.25">
      <c r="C428" s="53"/>
      <c r="D428" s="54"/>
      <c r="E428" s="55"/>
      <c r="F428" s="54"/>
      <c r="G428" s="56"/>
      <c r="H428" s="56"/>
      <c r="I428" s="36" t="str">
        <f t="shared" si="18"/>
        <v/>
      </c>
      <c r="J428" s="36">
        <f t="shared" si="19"/>
        <v>0</v>
      </c>
      <c r="K428" s="36" t="str">
        <f t="shared" ca="1" si="20"/>
        <v/>
      </c>
    </row>
    <row r="429" spans="3:11" x14ac:dyDescent="0.25">
      <c r="C429" s="53"/>
      <c r="D429" s="54"/>
      <c r="E429" s="55"/>
      <c r="F429" s="54"/>
      <c r="G429" s="56"/>
      <c r="H429" s="56"/>
      <c r="I429" s="36" t="str">
        <f t="shared" si="18"/>
        <v/>
      </c>
      <c r="J429" s="36">
        <f t="shared" si="19"/>
        <v>0</v>
      </c>
      <c r="K429" s="36" t="str">
        <f t="shared" ca="1" si="20"/>
        <v/>
      </c>
    </row>
    <row r="430" spans="3:11" x14ac:dyDescent="0.25">
      <c r="C430" s="53"/>
      <c r="D430" s="54"/>
      <c r="E430" s="55"/>
      <c r="F430" s="54"/>
      <c r="G430" s="56"/>
      <c r="H430" s="56"/>
      <c r="I430" s="36" t="str">
        <f t="shared" si="18"/>
        <v/>
      </c>
      <c r="J430" s="36">
        <f t="shared" si="19"/>
        <v>0</v>
      </c>
      <c r="K430" s="36" t="str">
        <f t="shared" ca="1" si="20"/>
        <v/>
      </c>
    </row>
    <row r="431" spans="3:11" x14ac:dyDescent="0.25">
      <c r="C431" s="53"/>
      <c r="D431" s="54"/>
      <c r="E431" s="55"/>
      <c r="F431" s="54"/>
      <c r="G431" s="56"/>
      <c r="H431" s="56"/>
      <c r="I431" s="36" t="str">
        <f t="shared" si="18"/>
        <v/>
      </c>
      <c r="J431" s="36">
        <f t="shared" si="19"/>
        <v>0</v>
      </c>
      <c r="K431" s="36" t="str">
        <f t="shared" ca="1" si="20"/>
        <v/>
      </c>
    </row>
    <row r="432" spans="3:11" x14ac:dyDescent="0.25">
      <c r="C432" s="53"/>
      <c r="D432" s="54"/>
      <c r="E432" s="55"/>
      <c r="F432" s="54"/>
      <c r="G432" s="56"/>
      <c r="H432" s="56"/>
      <c r="I432" s="36" t="str">
        <f t="shared" si="18"/>
        <v/>
      </c>
      <c r="J432" s="36">
        <f t="shared" si="19"/>
        <v>0</v>
      </c>
      <c r="K432" s="36" t="str">
        <f t="shared" ca="1" si="20"/>
        <v/>
      </c>
    </row>
    <row r="433" spans="3:11" x14ac:dyDescent="0.25">
      <c r="C433" s="53"/>
      <c r="D433" s="54"/>
      <c r="E433" s="55"/>
      <c r="F433" s="54"/>
      <c r="G433" s="56"/>
      <c r="H433" s="56"/>
      <c r="I433" s="36" t="str">
        <f t="shared" si="18"/>
        <v/>
      </c>
      <c r="J433" s="36">
        <f t="shared" si="19"/>
        <v>0</v>
      </c>
      <c r="K433" s="36" t="str">
        <f t="shared" ca="1" si="20"/>
        <v/>
      </c>
    </row>
    <row r="434" spans="3:11" x14ac:dyDescent="0.25">
      <c r="C434" s="53"/>
      <c r="D434" s="54"/>
      <c r="E434" s="55"/>
      <c r="F434" s="54"/>
      <c r="G434" s="56"/>
      <c r="H434" s="56"/>
      <c r="I434" s="36" t="str">
        <f t="shared" si="18"/>
        <v/>
      </c>
      <c r="J434" s="36">
        <f t="shared" si="19"/>
        <v>0</v>
      </c>
      <c r="K434" s="36" t="str">
        <f t="shared" ca="1" si="20"/>
        <v/>
      </c>
    </row>
    <row r="435" spans="3:11" x14ac:dyDescent="0.25">
      <c r="C435" s="53"/>
      <c r="D435" s="54"/>
      <c r="E435" s="55"/>
      <c r="F435" s="54"/>
      <c r="G435" s="56"/>
      <c r="H435" s="56"/>
      <c r="I435" s="36" t="str">
        <f t="shared" si="18"/>
        <v/>
      </c>
      <c r="J435" s="36">
        <f t="shared" si="19"/>
        <v>0</v>
      </c>
      <c r="K435" s="36" t="str">
        <f t="shared" ca="1" si="20"/>
        <v/>
      </c>
    </row>
    <row r="436" spans="3:11" x14ac:dyDescent="0.25">
      <c r="C436" s="53"/>
      <c r="D436" s="54"/>
      <c r="E436" s="55"/>
      <c r="F436" s="54"/>
      <c r="G436" s="56"/>
      <c r="H436" s="56"/>
      <c r="I436" s="36" t="str">
        <f t="shared" si="18"/>
        <v/>
      </c>
      <c r="J436" s="36">
        <f t="shared" si="19"/>
        <v>0</v>
      </c>
      <c r="K436" s="36" t="str">
        <f t="shared" ca="1" si="20"/>
        <v/>
      </c>
    </row>
    <row r="437" spans="3:11" x14ac:dyDescent="0.25">
      <c r="C437" s="53"/>
      <c r="D437" s="54"/>
      <c r="E437" s="55"/>
      <c r="F437" s="54"/>
      <c r="G437" s="56"/>
      <c r="H437" s="56"/>
      <c r="I437" s="36" t="str">
        <f t="shared" si="18"/>
        <v/>
      </c>
      <c r="J437" s="36">
        <f t="shared" si="19"/>
        <v>0</v>
      </c>
      <c r="K437" s="36" t="str">
        <f t="shared" ca="1" si="20"/>
        <v/>
      </c>
    </row>
    <row r="438" spans="3:11" x14ac:dyDescent="0.25">
      <c r="C438" s="53"/>
      <c r="D438" s="54"/>
      <c r="E438" s="55"/>
      <c r="F438" s="54"/>
      <c r="G438" s="56"/>
      <c r="H438" s="56"/>
      <c r="I438" s="36" t="str">
        <f t="shared" si="18"/>
        <v/>
      </c>
      <c r="J438" s="36">
        <f t="shared" si="19"/>
        <v>0</v>
      </c>
      <c r="K438" s="36" t="str">
        <f t="shared" ca="1" si="20"/>
        <v/>
      </c>
    </row>
    <row r="439" spans="3:11" x14ac:dyDescent="0.25">
      <c r="C439" s="53"/>
      <c r="D439" s="54"/>
      <c r="E439" s="55"/>
      <c r="F439" s="54"/>
      <c r="G439" s="56"/>
      <c r="H439" s="56"/>
      <c r="I439" s="36" t="str">
        <f t="shared" si="18"/>
        <v/>
      </c>
      <c r="J439" s="36">
        <f t="shared" si="19"/>
        <v>0</v>
      </c>
      <c r="K439" s="36" t="str">
        <f t="shared" ca="1" si="20"/>
        <v/>
      </c>
    </row>
    <row r="440" spans="3:11" x14ac:dyDescent="0.25">
      <c r="C440" s="53"/>
      <c r="D440" s="54"/>
      <c r="E440" s="55"/>
      <c r="F440" s="54"/>
      <c r="G440" s="56"/>
      <c r="H440" s="56"/>
      <c r="I440" s="36" t="str">
        <f t="shared" si="18"/>
        <v/>
      </c>
      <c r="J440" s="36">
        <f t="shared" si="19"/>
        <v>0</v>
      </c>
      <c r="K440" s="36" t="str">
        <f t="shared" ca="1" si="20"/>
        <v/>
      </c>
    </row>
    <row r="441" spans="3:11" x14ac:dyDescent="0.25">
      <c r="C441" s="53"/>
      <c r="D441" s="54"/>
      <c r="E441" s="55"/>
      <c r="F441" s="54"/>
      <c r="G441" s="56"/>
      <c r="H441" s="56"/>
      <c r="I441" s="36" t="str">
        <f t="shared" si="18"/>
        <v/>
      </c>
      <c r="J441" s="36">
        <f t="shared" si="19"/>
        <v>0</v>
      </c>
      <c r="K441" s="36" t="str">
        <f t="shared" ca="1" si="20"/>
        <v/>
      </c>
    </row>
    <row r="442" spans="3:11" x14ac:dyDescent="0.25">
      <c r="C442" s="53"/>
      <c r="D442" s="54"/>
      <c r="E442" s="55"/>
      <c r="F442" s="54"/>
      <c r="G442" s="56"/>
      <c r="H442" s="56"/>
      <c r="I442" s="36" t="str">
        <f t="shared" si="18"/>
        <v/>
      </c>
      <c r="J442" s="36">
        <f t="shared" si="19"/>
        <v>0</v>
      </c>
      <c r="K442" s="36" t="str">
        <f t="shared" ca="1" si="20"/>
        <v/>
      </c>
    </row>
    <row r="443" spans="3:11" x14ac:dyDescent="0.25">
      <c r="C443" s="53"/>
      <c r="D443" s="54"/>
      <c r="E443" s="55"/>
      <c r="F443" s="54"/>
      <c r="G443" s="56"/>
      <c r="H443" s="56"/>
      <c r="I443" s="36" t="str">
        <f t="shared" si="18"/>
        <v/>
      </c>
      <c r="J443" s="36">
        <f t="shared" si="19"/>
        <v>0</v>
      </c>
      <c r="K443" s="36" t="str">
        <f t="shared" ca="1" si="20"/>
        <v/>
      </c>
    </row>
    <row r="444" spans="3:11" x14ac:dyDescent="0.25">
      <c r="C444" s="53"/>
      <c r="D444" s="54"/>
      <c r="E444" s="55"/>
      <c r="F444" s="54"/>
      <c r="G444" s="56"/>
      <c r="H444" s="56"/>
      <c r="I444" s="36" t="str">
        <f t="shared" si="18"/>
        <v/>
      </c>
      <c r="J444" s="36">
        <f t="shared" si="19"/>
        <v>0</v>
      </c>
      <c r="K444" s="36" t="str">
        <f t="shared" ca="1" si="20"/>
        <v/>
      </c>
    </row>
    <row r="445" spans="3:11" x14ac:dyDescent="0.25">
      <c r="C445" s="53"/>
      <c r="D445" s="54"/>
      <c r="E445" s="55"/>
      <c r="F445" s="54"/>
      <c r="G445" s="56"/>
      <c r="H445" s="56"/>
      <c r="I445" s="36" t="str">
        <f t="shared" si="18"/>
        <v/>
      </c>
      <c r="J445" s="36">
        <f t="shared" si="19"/>
        <v>0</v>
      </c>
      <c r="K445" s="36" t="str">
        <f t="shared" ca="1" si="20"/>
        <v/>
      </c>
    </row>
    <row r="446" spans="3:11" x14ac:dyDescent="0.25">
      <c r="C446" s="53"/>
      <c r="D446" s="54"/>
      <c r="E446" s="55"/>
      <c r="F446" s="54"/>
      <c r="G446" s="56"/>
      <c r="H446" s="56"/>
      <c r="I446" s="36" t="str">
        <f t="shared" si="18"/>
        <v/>
      </c>
      <c r="J446" s="36">
        <f t="shared" si="19"/>
        <v>0</v>
      </c>
      <c r="K446" s="36" t="str">
        <f t="shared" ca="1" si="20"/>
        <v/>
      </c>
    </row>
    <row r="447" spans="3:11" x14ac:dyDescent="0.25">
      <c r="C447" s="53"/>
      <c r="D447" s="54"/>
      <c r="E447" s="55"/>
      <c r="F447" s="54"/>
      <c r="G447" s="56"/>
      <c r="H447" s="56"/>
      <c r="I447" s="36" t="str">
        <f t="shared" si="18"/>
        <v/>
      </c>
      <c r="J447" s="36">
        <f t="shared" si="19"/>
        <v>0</v>
      </c>
      <c r="K447" s="36" t="str">
        <f t="shared" ca="1" si="20"/>
        <v/>
      </c>
    </row>
    <row r="448" spans="3:11" x14ac:dyDescent="0.25">
      <c r="C448" s="53"/>
      <c r="D448" s="54"/>
      <c r="E448" s="55"/>
      <c r="F448" s="54"/>
      <c r="G448" s="56"/>
      <c r="H448" s="56"/>
      <c r="I448" s="36" t="str">
        <f t="shared" si="18"/>
        <v/>
      </c>
      <c r="J448" s="36">
        <f t="shared" si="19"/>
        <v>0</v>
      </c>
      <c r="K448" s="36" t="str">
        <f t="shared" ca="1" si="20"/>
        <v/>
      </c>
    </row>
    <row r="449" spans="3:11" x14ac:dyDescent="0.25">
      <c r="C449" s="53"/>
      <c r="D449" s="54"/>
      <c r="E449" s="55"/>
      <c r="F449" s="54"/>
      <c r="G449" s="56"/>
      <c r="H449" s="56"/>
      <c r="I449" s="36" t="str">
        <f t="shared" si="18"/>
        <v/>
      </c>
      <c r="J449" s="36">
        <f t="shared" si="19"/>
        <v>0</v>
      </c>
      <c r="K449" s="36" t="str">
        <f t="shared" ca="1" si="20"/>
        <v/>
      </c>
    </row>
    <row r="450" spans="3:11" x14ac:dyDescent="0.25">
      <c r="C450" s="53"/>
      <c r="D450" s="54"/>
      <c r="E450" s="55"/>
      <c r="F450" s="54"/>
      <c r="G450" s="56"/>
      <c r="H450" s="56"/>
      <c r="I450" s="36" t="str">
        <f t="shared" si="18"/>
        <v/>
      </c>
      <c r="J450" s="36">
        <f t="shared" si="19"/>
        <v>0</v>
      </c>
      <c r="K450" s="36" t="str">
        <f t="shared" ca="1" si="20"/>
        <v/>
      </c>
    </row>
    <row r="451" spans="3:11" x14ac:dyDescent="0.25">
      <c r="C451" s="53"/>
      <c r="D451" s="54"/>
      <c r="E451" s="55"/>
      <c r="F451" s="54"/>
      <c r="G451" s="56"/>
      <c r="H451" s="56"/>
      <c r="I451" s="36" t="str">
        <f t="shared" si="18"/>
        <v/>
      </c>
      <c r="J451" s="36">
        <f t="shared" si="19"/>
        <v>0</v>
      </c>
      <c r="K451" s="36" t="str">
        <f t="shared" ca="1" si="20"/>
        <v/>
      </c>
    </row>
    <row r="452" spans="3:11" x14ac:dyDescent="0.25">
      <c r="C452" s="53"/>
      <c r="D452" s="54"/>
      <c r="E452" s="55"/>
      <c r="F452" s="54"/>
      <c r="G452" s="56"/>
      <c r="H452" s="56"/>
      <c r="I452" s="36" t="str">
        <f t="shared" si="18"/>
        <v/>
      </c>
      <c r="J452" s="36">
        <f t="shared" si="19"/>
        <v>0</v>
      </c>
      <c r="K452" s="36" t="str">
        <f t="shared" ca="1" si="20"/>
        <v/>
      </c>
    </row>
    <row r="453" spans="3:11" x14ac:dyDescent="0.25">
      <c r="C453" s="53"/>
      <c r="D453" s="54"/>
      <c r="E453" s="55"/>
      <c r="F453" s="54"/>
      <c r="G453" s="56"/>
      <c r="H453" s="56"/>
      <c r="I453" s="36" t="str">
        <f t="shared" si="18"/>
        <v/>
      </c>
      <c r="J453" s="36">
        <f t="shared" si="19"/>
        <v>0</v>
      </c>
      <c r="K453" s="36" t="str">
        <f t="shared" ca="1" si="20"/>
        <v/>
      </c>
    </row>
    <row r="454" spans="3:11" x14ac:dyDescent="0.25">
      <c r="C454" s="53"/>
      <c r="D454" s="54"/>
      <c r="E454" s="55"/>
      <c r="F454" s="54"/>
      <c r="G454" s="56"/>
      <c r="H454" s="56"/>
      <c r="I454" s="36" t="str">
        <f t="shared" si="18"/>
        <v/>
      </c>
      <c r="J454" s="36">
        <f t="shared" si="19"/>
        <v>0</v>
      </c>
      <c r="K454" s="36" t="str">
        <f t="shared" ca="1" si="20"/>
        <v/>
      </c>
    </row>
    <row r="455" spans="3:11" x14ac:dyDescent="0.25">
      <c r="C455" s="53"/>
      <c r="D455" s="54"/>
      <c r="E455" s="55"/>
      <c r="F455" s="54"/>
      <c r="G455" s="56"/>
      <c r="H455" s="56"/>
      <c r="I455" s="36" t="str">
        <f t="shared" si="18"/>
        <v/>
      </c>
      <c r="J455" s="36">
        <f t="shared" si="19"/>
        <v>0</v>
      </c>
      <c r="K455" s="36" t="str">
        <f t="shared" ca="1" si="20"/>
        <v/>
      </c>
    </row>
    <row r="456" spans="3:11" x14ac:dyDescent="0.25">
      <c r="C456" s="53"/>
      <c r="D456" s="54"/>
      <c r="E456" s="55"/>
      <c r="F456" s="54"/>
      <c r="G456" s="56"/>
      <c r="H456" s="56"/>
      <c r="I456" s="36" t="str">
        <f t="shared" si="18"/>
        <v/>
      </c>
      <c r="J456" s="36">
        <f t="shared" si="19"/>
        <v>0</v>
      </c>
      <c r="K456" s="36" t="str">
        <f t="shared" ca="1" si="20"/>
        <v/>
      </c>
    </row>
    <row r="457" spans="3:11" x14ac:dyDescent="0.25">
      <c r="C457" s="53"/>
      <c r="D457" s="54"/>
      <c r="E457" s="55"/>
      <c r="F457" s="54"/>
      <c r="G457" s="56"/>
      <c r="H457" s="56"/>
      <c r="I457" s="36" t="str">
        <f t="shared" si="18"/>
        <v/>
      </c>
      <c r="J457" s="36">
        <f t="shared" si="19"/>
        <v>0</v>
      </c>
      <c r="K457" s="36" t="str">
        <f t="shared" ca="1" si="20"/>
        <v/>
      </c>
    </row>
    <row r="458" spans="3:11" x14ac:dyDescent="0.25">
      <c r="C458" s="53"/>
      <c r="D458" s="54"/>
      <c r="E458" s="55"/>
      <c r="F458" s="54"/>
      <c r="G458" s="56"/>
      <c r="H458" s="56"/>
      <c r="I458" s="36" t="str">
        <f t="shared" si="18"/>
        <v/>
      </c>
      <c r="J458" s="36">
        <f t="shared" si="19"/>
        <v>0</v>
      </c>
      <c r="K458" s="36" t="str">
        <f t="shared" ca="1" si="20"/>
        <v/>
      </c>
    </row>
    <row r="459" spans="3:11" x14ac:dyDescent="0.25">
      <c r="C459" s="53"/>
      <c r="D459" s="54"/>
      <c r="E459" s="55"/>
      <c r="F459" s="54"/>
      <c r="G459" s="56"/>
      <c r="H459" s="56"/>
      <c r="I459" s="36" t="str">
        <f t="shared" si="18"/>
        <v/>
      </c>
      <c r="J459" s="36">
        <f t="shared" si="19"/>
        <v>0</v>
      </c>
      <c r="K459" s="36" t="str">
        <f t="shared" ca="1" si="20"/>
        <v/>
      </c>
    </row>
    <row r="460" spans="3:11" x14ac:dyDescent="0.25">
      <c r="C460" s="53"/>
      <c r="D460" s="54"/>
      <c r="E460" s="55"/>
      <c r="F460" s="54"/>
      <c r="G460" s="56"/>
      <c r="H460" s="56"/>
      <c r="I460" s="36" t="str">
        <f t="shared" si="18"/>
        <v/>
      </c>
      <c r="J460" s="36">
        <f t="shared" si="19"/>
        <v>0</v>
      </c>
      <c r="K460" s="36" t="str">
        <f t="shared" ca="1" si="20"/>
        <v/>
      </c>
    </row>
    <row r="461" spans="3:11" x14ac:dyDescent="0.25">
      <c r="C461" s="53"/>
      <c r="D461" s="54"/>
      <c r="E461" s="55"/>
      <c r="F461" s="54"/>
      <c r="G461" s="56"/>
      <c r="H461" s="56"/>
      <c r="I461" s="36" t="str">
        <f t="shared" si="18"/>
        <v/>
      </c>
      <c r="J461" s="36">
        <f t="shared" si="19"/>
        <v>0</v>
      </c>
      <c r="K461" s="36" t="str">
        <f t="shared" ca="1" si="20"/>
        <v/>
      </c>
    </row>
    <row r="462" spans="3:11" x14ac:dyDescent="0.25">
      <c r="C462" s="53"/>
      <c r="D462" s="54"/>
      <c r="E462" s="55"/>
      <c r="F462" s="54"/>
      <c r="G462" s="56"/>
      <c r="H462" s="56"/>
      <c r="I462" s="36" t="str">
        <f t="shared" si="18"/>
        <v/>
      </c>
      <c r="J462" s="36">
        <f t="shared" si="19"/>
        <v>0</v>
      </c>
      <c r="K462" s="36" t="str">
        <f t="shared" ca="1" si="20"/>
        <v/>
      </c>
    </row>
    <row r="463" spans="3:11" x14ac:dyDescent="0.25">
      <c r="C463" s="53"/>
      <c r="D463" s="54"/>
      <c r="E463" s="55"/>
      <c r="F463" s="54"/>
      <c r="G463" s="56"/>
      <c r="H463" s="56"/>
      <c r="I463" s="36" t="str">
        <f t="shared" si="18"/>
        <v/>
      </c>
      <c r="J463" s="36">
        <f t="shared" si="19"/>
        <v>0</v>
      </c>
      <c r="K463" s="36" t="str">
        <f t="shared" ca="1" si="20"/>
        <v/>
      </c>
    </row>
    <row r="464" spans="3:11" x14ac:dyDescent="0.25">
      <c r="C464" s="53"/>
      <c r="D464" s="54"/>
      <c r="E464" s="55"/>
      <c r="F464" s="54"/>
      <c r="G464" s="56"/>
      <c r="H464" s="56"/>
      <c r="I464" s="36" t="str">
        <f t="shared" si="18"/>
        <v/>
      </c>
      <c r="J464" s="36">
        <f t="shared" si="19"/>
        <v>0</v>
      </c>
      <c r="K464" s="36" t="str">
        <f t="shared" ca="1" si="20"/>
        <v/>
      </c>
    </row>
    <row r="465" spans="3:11" x14ac:dyDescent="0.25">
      <c r="C465" s="53"/>
      <c r="D465" s="54"/>
      <c r="E465" s="55"/>
      <c r="F465" s="54"/>
      <c r="G465" s="56"/>
      <c r="H465" s="56"/>
      <c r="I465" s="36" t="str">
        <f t="shared" ref="I465:I528" si="21">IF(C465="","",IF(H465&lt;=0,"Em aberto",IF(H465&gt;=G465,"Pagamento Total",IF(H465&lt;G465,"Pagamento Parcial"))))</f>
        <v/>
      </c>
      <c r="J465" s="36">
        <f t="shared" ref="J465:J528" si="22">IF(C465&gt;0,G465-H465,0)</f>
        <v>0</v>
      </c>
      <c r="K465" s="36" t="str">
        <f t="shared" ref="K465:K528" ca="1" si="23">IF(ISBLANK(C465),"",IF(H465=G465,"Pago",IF(C465=TODAY(),"Vence Hoje",IF(TRIM(UPPER(G464))&lt;&gt;"S",IF(C465-TODAY()&lt;0,"Vencida",IF(C465-TODAY()&lt;8,"Próximos sete dias","Em aberto"))))))</f>
        <v/>
      </c>
    </row>
    <row r="466" spans="3:11" x14ac:dyDescent="0.25">
      <c r="C466" s="53"/>
      <c r="D466" s="54"/>
      <c r="E466" s="55"/>
      <c r="F466" s="54"/>
      <c r="G466" s="56"/>
      <c r="H466" s="56"/>
      <c r="I466" s="36" t="str">
        <f t="shared" si="21"/>
        <v/>
      </c>
      <c r="J466" s="36">
        <f t="shared" si="22"/>
        <v>0</v>
      </c>
      <c r="K466" s="36" t="str">
        <f t="shared" ca="1" si="23"/>
        <v/>
      </c>
    </row>
    <row r="467" spans="3:11" x14ac:dyDescent="0.25">
      <c r="C467" s="53"/>
      <c r="D467" s="54"/>
      <c r="E467" s="55"/>
      <c r="F467" s="54"/>
      <c r="G467" s="56"/>
      <c r="H467" s="56"/>
      <c r="I467" s="36" t="str">
        <f t="shared" si="21"/>
        <v/>
      </c>
      <c r="J467" s="36">
        <f t="shared" si="22"/>
        <v>0</v>
      </c>
      <c r="K467" s="36" t="str">
        <f t="shared" ca="1" si="23"/>
        <v/>
      </c>
    </row>
    <row r="468" spans="3:11" x14ac:dyDescent="0.25">
      <c r="C468" s="53"/>
      <c r="D468" s="54"/>
      <c r="E468" s="55"/>
      <c r="F468" s="54"/>
      <c r="G468" s="56"/>
      <c r="H468" s="56"/>
      <c r="I468" s="36" t="str">
        <f t="shared" si="21"/>
        <v/>
      </c>
      <c r="J468" s="36">
        <f t="shared" si="22"/>
        <v>0</v>
      </c>
      <c r="K468" s="36" t="str">
        <f t="shared" ca="1" si="23"/>
        <v/>
      </c>
    </row>
    <row r="469" spans="3:11" x14ac:dyDescent="0.25">
      <c r="C469" s="53"/>
      <c r="D469" s="54"/>
      <c r="E469" s="55"/>
      <c r="F469" s="54"/>
      <c r="G469" s="56"/>
      <c r="H469" s="56"/>
      <c r="I469" s="36" t="str">
        <f t="shared" si="21"/>
        <v/>
      </c>
      <c r="J469" s="36">
        <f t="shared" si="22"/>
        <v>0</v>
      </c>
      <c r="K469" s="36" t="str">
        <f t="shared" ca="1" si="23"/>
        <v/>
      </c>
    </row>
    <row r="470" spans="3:11" x14ac:dyDescent="0.25">
      <c r="C470" s="53"/>
      <c r="D470" s="54"/>
      <c r="E470" s="55"/>
      <c r="F470" s="54"/>
      <c r="G470" s="56"/>
      <c r="H470" s="56"/>
      <c r="I470" s="36" t="str">
        <f t="shared" si="21"/>
        <v/>
      </c>
      <c r="J470" s="36">
        <f t="shared" si="22"/>
        <v>0</v>
      </c>
      <c r="K470" s="36" t="str">
        <f t="shared" ca="1" si="23"/>
        <v/>
      </c>
    </row>
    <row r="471" spans="3:11" x14ac:dyDescent="0.25">
      <c r="C471" s="53"/>
      <c r="D471" s="54"/>
      <c r="E471" s="55"/>
      <c r="F471" s="54"/>
      <c r="G471" s="56"/>
      <c r="H471" s="56"/>
      <c r="I471" s="36" t="str">
        <f t="shared" si="21"/>
        <v/>
      </c>
      <c r="J471" s="36">
        <f t="shared" si="22"/>
        <v>0</v>
      </c>
      <c r="K471" s="36" t="str">
        <f t="shared" ca="1" si="23"/>
        <v/>
      </c>
    </row>
    <row r="472" spans="3:11" x14ac:dyDescent="0.25">
      <c r="C472" s="53"/>
      <c r="D472" s="54"/>
      <c r="E472" s="55"/>
      <c r="F472" s="54"/>
      <c r="G472" s="56"/>
      <c r="H472" s="56"/>
      <c r="I472" s="36" t="str">
        <f t="shared" si="21"/>
        <v/>
      </c>
      <c r="J472" s="36">
        <f t="shared" si="22"/>
        <v>0</v>
      </c>
      <c r="K472" s="36" t="str">
        <f t="shared" ca="1" si="23"/>
        <v/>
      </c>
    </row>
    <row r="473" spans="3:11" x14ac:dyDescent="0.25">
      <c r="C473" s="53"/>
      <c r="D473" s="54"/>
      <c r="E473" s="55"/>
      <c r="F473" s="54"/>
      <c r="G473" s="56"/>
      <c r="H473" s="56"/>
      <c r="I473" s="36" t="str">
        <f t="shared" si="21"/>
        <v/>
      </c>
      <c r="J473" s="36">
        <f t="shared" si="22"/>
        <v>0</v>
      </c>
      <c r="K473" s="36" t="str">
        <f t="shared" ca="1" si="23"/>
        <v/>
      </c>
    </row>
    <row r="474" spans="3:11" x14ac:dyDescent="0.25">
      <c r="C474" s="53"/>
      <c r="D474" s="54"/>
      <c r="E474" s="55"/>
      <c r="F474" s="54"/>
      <c r="G474" s="56"/>
      <c r="H474" s="56"/>
      <c r="I474" s="36" t="str">
        <f t="shared" si="21"/>
        <v/>
      </c>
      <c r="J474" s="36">
        <f t="shared" si="22"/>
        <v>0</v>
      </c>
      <c r="K474" s="36" t="str">
        <f t="shared" ca="1" si="23"/>
        <v/>
      </c>
    </row>
    <row r="475" spans="3:11" x14ac:dyDescent="0.25">
      <c r="C475" s="53"/>
      <c r="D475" s="54"/>
      <c r="E475" s="55"/>
      <c r="F475" s="54"/>
      <c r="G475" s="56"/>
      <c r="H475" s="56"/>
      <c r="I475" s="36" t="str">
        <f t="shared" si="21"/>
        <v/>
      </c>
      <c r="J475" s="36">
        <f t="shared" si="22"/>
        <v>0</v>
      </c>
      <c r="K475" s="36" t="str">
        <f t="shared" ca="1" si="23"/>
        <v/>
      </c>
    </row>
    <row r="476" spans="3:11" x14ac:dyDescent="0.25">
      <c r="C476" s="53"/>
      <c r="D476" s="54"/>
      <c r="E476" s="55"/>
      <c r="F476" s="54"/>
      <c r="G476" s="56"/>
      <c r="H476" s="56"/>
      <c r="I476" s="36" t="str">
        <f t="shared" si="21"/>
        <v/>
      </c>
      <c r="J476" s="36">
        <f t="shared" si="22"/>
        <v>0</v>
      </c>
      <c r="K476" s="36" t="str">
        <f t="shared" ca="1" si="23"/>
        <v/>
      </c>
    </row>
    <row r="477" spans="3:11" x14ac:dyDescent="0.25">
      <c r="C477" s="53"/>
      <c r="D477" s="54"/>
      <c r="E477" s="55"/>
      <c r="F477" s="54"/>
      <c r="G477" s="56"/>
      <c r="H477" s="56"/>
      <c r="I477" s="36" t="str">
        <f t="shared" si="21"/>
        <v/>
      </c>
      <c r="J477" s="36">
        <f t="shared" si="22"/>
        <v>0</v>
      </c>
      <c r="K477" s="36" t="str">
        <f t="shared" ca="1" si="23"/>
        <v/>
      </c>
    </row>
    <row r="478" spans="3:11" x14ac:dyDescent="0.25">
      <c r="C478" s="53"/>
      <c r="D478" s="54"/>
      <c r="E478" s="55"/>
      <c r="F478" s="54"/>
      <c r="G478" s="56"/>
      <c r="H478" s="56"/>
      <c r="I478" s="36" t="str">
        <f t="shared" si="21"/>
        <v/>
      </c>
      <c r="J478" s="36">
        <f t="shared" si="22"/>
        <v>0</v>
      </c>
      <c r="K478" s="36" t="str">
        <f t="shared" ca="1" si="23"/>
        <v/>
      </c>
    </row>
    <row r="479" spans="3:11" x14ac:dyDescent="0.25">
      <c r="C479" s="53"/>
      <c r="D479" s="54"/>
      <c r="E479" s="55"/>
      <c r="F479" s="54"/>
      <c r="G479" s="56"/>
      <c r="H479" s="56"/>
      <c r="I479" s="36" t="str">
        <f t="shared" si="21"/>
        <v/>
      </c>
      <c r="J479" s="36">
        <f t="shared" si="22"/>
        <v>0</v>
      </c>
      <c r="K479" s="36" t="str">
        <f t="shared" ca="1" si="23"/>
        <v/>
      </c>
    </row>
    <row r="480" spans="3:11" x14ac:dyDescent="0.25">
      <c r="C480" s="53"/>
      <c r="D480" s="54"/>
      <c r="E480" s="55"/>
      <c r="F480" s="54"/>
      <c r="G480" s="56"/>
      <c r="H480" s="56"/>
      <c r="I480" s="36" t="str">
        <f t="shared" si="21"/>
        <v/>
      </c>
      <c r="J480" s="36">
        <f t="shared" si="22"/>
        <v>0</v>
      </c>
      <c r="K480" s="36" t="str">
        <f t="shared" ca="1" si="23"/>
        <v/>
      </c>
    </row>
    <row r="481" spans="3:11" x14ac:dyDescent="0.25">
      <c r="C481" s="53"/>
      <c r="D481" s="54"/>
      <c r="E481" s="55"/>
      <c r="F481" s="54"/>
      <c r="G481" s="56"/>
      <c r="H481" s="56"/>
      <c r="I481" s="36" t="str">
        <f t="shared" si="21"/>
        <v/>
      </c>
      <c r="J481" s="36">
        <f t="shared" si="22"/>
        <v>0</v>
      </c>
      <c r="K481" s="36" t="str">
        <f t="shared" ca="1" si="23"/>
        <v/>
      </c>
    </row>
    <row r="482" spans="3:11" x14ac:dyDescent="0.25">
      <c r="C482" s="53"/>
      <c r="D482" s="54"/>
      <c r="E482" s="55"/>
      <c r="F482" s="54"/>
      <c r="G482" s="56"/>
      <c r="H482" s="56"/>
      <c r="I482" s="36" t="str">
        <f t="shared" si="21"/>
        <v/>
      </c>
      <c r="J482" s="36">
        <f t="shared" si="22"/>
        <v>0</v>
      </c>
      <c r="K482" s="36" t="str">
        <f t="shared" ca="1" si="23"/>
        <v/>
      </c>
    </row>
    <row r="483" spans="3:11" x14ac:dyDescent="0.25">
      <c r="C483" s="53"/>
      <c r="D483" s="54"/>
      <c r="E483" s="55"/>
      <c r="F483" s="54"/>
      <c r="G483" s="56"/>
      <c r="H483" s="56"/>
      <c r="I483" s="36" t="str">
        <f t="shared" si="21"/>
        <v/>
      </c>
      <c r="J483" s="36">
        <f t="shared" si="22"/>
        <v>0</v>
      </c>
      <c r="K483" s="36" t="str">
        <f t="shared" ca="1" si="23"/>
        <v/>
      </c>
    </row>
    <row r="484" spans="3:11" x14ac:dyDescent="0.25">
      <c r="C484" s="53"/>
      <c r="D484" s="54"/>
      <c r="E484" s="55"/>
      <c r="F484" s="54"/>
      <c r="G484" s="56"/>
      <c r="H484" s="56"/>
      <c r="I484" s="36" t="str">
        <f t="shared" si="21"/>
        <v/>
      </c>
      <c r="J484" s="36">
        <f t="shared" si="22"/>
        <v>0</v>
      </c>
      <c r="K484" s="36" t="str">
        <f t="shared" ca="1" si="23"/>
        <v/>
      </c>
    </row>
    <row r="485" spans="3:11" x14ac:dyDescent="0.25">
      <c r="C485" s="53"/>
      <c r="D485" s="54"/>
      <c r="E485" s="55"/>
      <c r="F485" s="54"/>
      <c r="G485" s="56"/>
      <c r="H485" s="56"/>
      <c r="I485" s="36" t="str">
        <f t="shared" si="21"/>
        <v/>
      </c>
      <c r="J485" s="36">
        <f t="shared" si="22"/>
        <v>0</v>
      </c>
      <c r="K485" s="36" t="str">
        <f t="shared" ca="1" si="23"/>
        <v/>
      </c>
    </row>
    <row r="486" spans="3:11" x14ac:dyDescent="0.25">
      <c r="C486" s="53"/>
      <c r="D486" s="54"/>
      <c r="E486" s="55"/>
      <c r="F486" s="54"/>
      <c r="G486" s="56"/>
      <c r="H486" s="56"/>
      <c r="I486" s="36" t="str">
        <f t="shared" si="21"/>
        <v/>
      </c>
      <c r="J486" s="36">
        <f t="shared" si="22"/>
        <v>0</v>
      </c>
      <c r="K486" s="36" t="str">
        <f t="shared" ca="1" si="23"/>
        <v/>
      </c>
    </row>
    <row r="487" spans="3:11" x14ac:dyDescent="0.25">
      <c r="C487" s="53"/>
      <c r="D487" s="54"/>
      <c r="E487" s="55"/>
      <c r="F487" s="54"/>
      <c r="G487" s="56"/>
      <c r="H487" s="56"/>
      <c r="I487" s="36" t="str">
        <f t="shared" si="21"/>
        <v/>
      </c>
      <c r="J487" s="36">
        <f t="shared" si="22"/>
        <v>0</v>
      </c>
      <c r="K487" s="36" t="str">
        <f t="shared" ca="1" si="23"/>
        <v/>
      </c>
    </row>
    <row r="488" spans="3:11" x14ac:dyDescent="0.25">
      <c r="C488" s="53"/>
      <c r="D488" s="54"/>
      <c r="E488" s="55"/>
      <c r="F488" s="54"/>
      <c r="G488" s="56"/>
      <c r="H488" s="56"/>
      <c r="I488" s="36" t="str">
        <f t="shared" si="21"/>
        <v/>
      </c>
      <c r="J488" s="36">
        <f t="shared" si="22"/>
        <v>0</v>
      </c>
      <c r="K488" s="36" t="str">
        <f t="shared" ca="1" si="23"/>
        <v/>
      </c>
    </row>
    <row r="489" spans="3:11" x14ac:dyDescent="0.25">
      <c r="C489" s="53"/>
      <c r="D489" s="54"/>
      <c r="E489" s="55"/>
      <c r="F489" s="54"/>
      <c r="G489" s="56"/>
      <c r="H489" s="56"/>
      <c r="I489" s="36" t="str">
        <f t="shared" si="21"/>
        <v/>
      </c>
      <c r="J489" s="36">
        <f t="shared" si="22"/>
        <v>0</v>
      </c>
      <c r="K489" s="36" t="str">
        <f t="shared" ca="1" si="23"/>
        <v/>
      </c>
    </row>
    <row r="490" spans="3:11" x14ac:dyDescent="0.25">
      <c r="C490" s="53"/>
      <c r="D490" s="54"/>
      <c r="E490" s="55"/>
      <c r="F490" s="54"/>
      <c r="G490" s="56"/>
      <c r="H490" s="56"/>
      <c r="I490" s="36" t="str">
        <f t="shared" si="21"/>
        <v/>
      </c>
      <c r="J490" s="36">
        <f t="shared" si="22"/>
        <v>0</v>
      </c>
      <c r="K490" s="36" t="str">
        <f t="shared" ca="1" si="23"/>
        <v/>
      </c>
    </row>
    <row r="491" spans="3:11" x14ac:dyDescent="0.25">
      <c r="C491" s="53"/>
      <c r="D491" s="54"/>
      <c r="E491" s="55"/>
      <c r="F491" s="54"/>
      <c r="G491" s="56"/>
      <c r="H491" s="56"/>
      <c r="I491" s="36" t="str">
        <f t="shared" si="21"/>
        <v/>
      </c>
      <c r="J491" s="36">
        <f t="shared" si="22"/>
        <v>0</v>
      </c>
      <c r="K491" s="36" t="str">
        <f t="shared" ca="1" si="23"/>
        <v/>
      </c>
    </row>
    <row r="492" spans="3:11" x14ac:dyDescent="0.25">
      <c r="C492" s="53"/>
      <c r="D492" s="54"/>
      <c r="E492" s="55"/>
      <c r="F492" s="54"/>
      <c r="G492" s="56"/>
      <c r="H492" s="56"/>
      <c r="I492" s="36" t="str">
        <f t="shared" si="21"/>
        <v/>
      </c>
      <c r="J492" s="36">
        <f t="shared" si="22"/>
        <v>0</v>
      </c>
      <c r="K492" s="36" t="str">
        <f t="shared" ca="1" si="23"/>
        <v/>
      </c>
    </row>
    <row r="493" spans="3:11" x14ac:dyDescent="0.25">
      <c r="C493" s="53"/>
      <c r="D493" s="54"/>
      <c r="E493" s="55"/>
      <c r="F493" s="54"/>
      <c r="G493" s="56"/>
      <c r="H493" s="56"/>
      <c r="I493" s="36" t="str">
        <f t="shared" si="21"/>
        <v/>
      </c>
      <c r="J493" s="36">
        <f t="shared" si="22"/>
        <v>0</v>
      </c>
      <c r="K493" s="36" t="str">
        <f t="shared" ca="1" si="23"/>
        <v/>
      </c>
    </row>
    <row r="494" spans="3:11" x14ac:dyDescent="0.25">
      <c r="C494" s="53"/>
      <c r="D494" s="54"/>
      <c r="E494" s="55"/>
      <c r="F494" s="54"/>
      <c r="G494" s="56"/>
      <c r="H494" s="56"/>
      <c r="I494" s="36" t="str">
        <f t="shared" si="21"/>
        <v/>
      </c>
      <c r="J494" s="36">
        <f t="shared" si="22"/>
        <v>0</v>
      </c>
      <c r="K494" s="36" t="str">
        <f t="shared" ca="1" si="23"/>
        <v/>
      </c>
    </row>
    <row r="495" spans="3:11" x14ac:dyDescent="0.25">
      <c r="C495" s="53"/>
      <c r="D495" s="54"/>
      <c r="E495" s="55"/>
      <c r="F495" s="54"/>
      <c r="G495" s="56"/>
      <c r="H495" s="56"/>
      <c r="I495" s="36" t="str">
        <f t="shared" si="21"/>
        <v/>
      </c>
      <c r="J495" s="36">
        <f t="shared" si="22"/>
        <v>0</v>
      </c>
      <c r="K495" s="36" t="str">
        <f t="shared" ca="1" si="23"/>
        <v/>
      </c>
    </row>
    <row r="496" spans="3:11" x14ac:dyDescent="0.25">
      <c r="C496" s="53"/>
      <c r="D496" s="54"/>
      <c r="E496" s="55"/>
      <c r="F496" s="54"/>
      <c r="G496" s="56"/>
      <c r="H496" s="56"/>
      <c r="I496" s="36" t="str">
        <f t="shared" si="21"/>
        <v/>
      </c>
      <c r="J496" s="36">
        <f t="shared" si="22"/>
        <v>0</v>
      </c>
      <c r="K496" s="36" t="str">
        <f t="shared" ca="1" si="23"/>
        <v/>
      </c>
    </row>
    <row r="497" spans="3:11" x14ac:dyDescent="0.25">
      <c r="C497" s="53"/>
      <c r="D497" s="54"/>
      <c r="E497" s="55"/>
      <c r="F497" s="54"/>
      <c r="G497" s="56"/>
      <c r="H497" s="56"/>
      <c r="I497" s="36" t="str">
        <f t="shared" si="21"/>
        <v/>
      </c>
      <c r="J497" s="36">
        <f t="shared" si="22"/>
        <v>0</v>
      </c>
      <c r="K497" s="36" t="str">
        <f t="shared" ca="1" si="23"/>
        <v/>
      </c>
    </row>
    <row r="498" spans="3:11" x14ac:dyDescent="0.25">
      <c r="C498" s="53"/>
      <c r="D498" s="54"/>
      <c r="E498" s="55"/>
      <c r="F498" s="54"/>
      <c r="G498" s="56"/>
      <c r="H498" s="56"/>
      <c r="I498" s="36" t="str">
        <f t="shared" si="21"/>
        <v/>
      </c>
      <c r="J498" s="36">
        <f t="shared" si="22"/>
        <v>0</v>
      </c>
      <c r="K498" s="36" t="str">
        <f t="shared" ca="1" si="23"/>
        <v/>
      </c>
    </row>
    <row r="499" spans="3:11" x14ac:dyDescent="0.25">
      <c r="C499" s="53"/>
      <c r="D499" s="54"/>
      <c r="E499" s="55"/>
      <c r="F499" s="54"/>
      <c r="G499" s="56"/>
      <c r="H499" s="56"/>
      <c r="I499" s="36" t="str">
        <f t="shared" si="21"/>
        <v/>
      </c>
      <c r="J499" s="36">
        <f t="shared" si="22"/>
        <v>0</v>
      </c>
      <c r="K499" s="36" t="str">
        <f t="shared" ca="1" si="23"/>
        <v/>
      </c>
    </row>
    <row r="500" spans="3:11" x14ac:dyDescent="0.25">
      <c r="C500" s="53"/>
      <c r="D500" s="54"/>
      <c r="E500" s="55"/>
      <c r="F500" s="54"/>
      <c r="G500" s="56"/>
      <c r="H500" s="56"/>
      <c r="I500" s="36" t="str">
        <f t="shared" si="21"/>
        <v/>
      </c>
      <c r="J500" s="36">
        <f t="shared" si="22"/>
        <v>0</v>
      </c>
      <c r="K500" s="36" t="str">
        <f t="shared" ca="1" si="23"/>
        <v/>
      </c>
    </row>
    <row r="501" spans="3:11" x14ac:dyDescent="0.25">
      <c r="C501" s="53"/>
      <c r="D501" s="54"/>
      <c r="E501" s="55"/>
      <c r="F501" s="54"/>
      <c r="G501" s="56"/>
      <c r="H501" s="56"/>
      <c r="I501" s="36" t="str">
        <f t="shared" si="21"/>
        <v/>
      </c>
      <c r="J501" s="36">
        <f t="shared" si="22"/>
        <v>0</v>
      </c>
      <c r="K501" s="36" t="str">
        <f t="shared" ca="1" si="23"/>
        <v/>
      </c>
    </row>
    <row r="502" spans="3:11" x14ac:dyDescent="0.25">
      <c r="C502" s="53"/>
      <c r="D502" s="54"/>
      <c r="E502" s="55"/>
      <c r="F502" s="54"/>
      <c r="G502" s="56"/>
      <c r="H502" s="56"/>
      <c r="I502" s="36" t="str">
        <f t="shared" si="21"/>
        <v/>
      </c>
      <c r="J502" s="36">
        <f t="shared" si="22"/>
        <v>0</v>
      </c>
      <c r="K502" s="36" t="str">
        <f t="shared" ca="1" si="23"/>
        <v/>
      </c>
    </row>
    <row r="503" spans="3:11" x14ac:dyDescent="0.25">
      <c r="C503" s="53"/>
      <c r="D503" s="54"/>
      <c r="E503" s="55"/>
      <c r="F503" s="54"/>
      <c r="G503" s="56"/>
      <c r="H503" s="56"/>
      <c r="I503" s="36" t="str">
        <f t="shared" si="21"/>
        <v/>
      </c>
      <c r="J503" s="36">
        <f t="shared" si="22"/>
        <v>0</v>
      </c>
      <c r="K503" s="36" t="str">
        <f t="shared" ca="1" si="23"/>
        <v/>
      </c>
    </row>
    <row r="504" spans="3:11" x14ac:dyDescent="0.25">
      <c r="C504" s="53"/>
      <c r="D504" s="54"/>
      <c r="E504" s="55"/>
      <c r="F504" s="54"/>
      <c r="G504" s="56"/>
      <c r="H504" s="56"/>
      <c r="I504" s="36" t="str">
        <f t="shared" si="21"/>
        <v/>
      </c>
      <c r="J504" s="36">
        <f t="shared" si="22"/>
        <v>0</v>
      </c>
      <c r="K504" s="36" t="str">
        <f t="shared" ca="1" si="23"/>
        <v/>
      </c>
    </row>
    <row r="505" spans="3:11" x14ac:dyDescent="0.25">
      <c r="C505" s="53"/>
      <c r="D505" s="54"/>
      <c r="E505" s="55"/>
      <c r="F505" s="54"/>
      <c r="G505" s="56"/>
      <c r="H505" s="56"/>
      <c r="I505" s="36" t="str">
        <f t="shared" si="21"/>
        <v/>
      </c>
      <c r="J505" s="36">
        <f t="shared" si="22"/>
        <v>0</v>
      </c>
      <c r="K505" s="36" t="str">
        <f t="shared" ca="1" si="23"/>
        <v/>
      </c>
    </row>
    <row r="506" spans="3:11" x14ac:dyDescent="0.25">
      <c r="C506" s="53"/>
      <c r="D506" s="54"/>
      <c r="E506" s="55"/>
      <c r="F506" s="54"/>
      <c r="G506" s="56"/>
      <c r="H506" s="56"/>
      <c r="I506" s="36" t="str">
        <f t="shared" si="21"/>
        <v/>
      </c>
      <c r="J506" s="36">
        <f t="shared" si="22"/>
        <v>0</v>
      </c>
      <c r="K506" s="36" t="str">
        <f t="shared" ca="1" si="23"/>
        <v/>
      </c>
    </row>
    <row r="507" spans="3:11" x14ac:dyDescent="0.25">
      <c r="C507" s="53"/>
      <c r="D507" s="54"/>
      <c r="E507" s="55"/>
      <c r="F507" s="54"/>
      <c r="G507" s="56"/>
      <c r="H507" s="56"/>
      <c r="I507" s="36" t="str">
        <f t="shared" si="21"/>
        <v/>
      </c>
      <c r="J507" s="36">
        <f t="shared" si="22"/>
        <v>0</v>
      </c>
      <c r="K507" s="36" t="str">
        <f t="shared" ca="1" si="23"/>
        <v/>
      </c>
    </row>
    <row r="508" spans="3:11" x14ac:dyDescent="0.25">
      <c r="C508" s="53"/>
      <c r="D508" s="54"/>
      <c r="E508" s="55"/>
      <c r="F508" s="54"/>
      <c r="G508" s="56"/>
      <c r="H508" s="56"/>
      <c r="I508" s="36" t="str">
        <f t="shared" si="21"/>
        <v/>
      </c>
      <c r="J508" s="36">
        <f t="shared" si="22"/>
        <v>0</v>
      </c>
      <c r="K508" s="36" t="str">
        <f t="shared" ca="1" si="23"/>
        <v/>
      </c>
    </row>
    <row r="509" spans="3:11" x14ac:dyDescent="0.25">
      <c r="C509" s="53"/>
      <c r="D509" s="54"/>
      <c r="E509" s="55"/>
      <c r="F509" s="54"/>
      <c r="G509" s="56"/>
      <c r="H509" s="56"/>
      <c r="I509" s="36" t="str">
        <f t="shared" si="21"/>
        <v/>
      </c>
      <c r="J509" s="36">
        <f t="shared" si="22"/>
        <v>0</v>
      </c>
      <c r="K509" s="36" t="str">
        <f t="shared" ca="1" si="23"/>
        <v/>
      </c>
    </row>
    <row r="510" spans="3:11" x14ac:dyDescent="0.25">
      <c r="C510" s="53"/>
      <c r="D510" s="54"/>
      <c r="E510" s="55"/>
      <c r="F510" s="54"/>
      <c r="G510" s="56"/>
      <c r="H510" s="56"/>
      <c r="I510" s="36" t="str">
        <f t="shared" si="21"/>
        <v/>
      </c>
      <c r="J510" s="36">
        <f t="shared" si="22"/>
        <v>0</v>
      </c>
      <c r="K510" s="36" t="str">
        <f t="shared" ca="1" si="23"/>
        <v/>
      </c>
    </row>
    <row r="511" spans="3:11" x14ac:dyDescent="0.25">
      <c r="C511" s="53"/>
      <c r="D511" s="54"/>
      <c r="E511" s="55"/>
      <c r="F511" s="54"/>
      <c r="G511" s="56"/>
      <c r="H511" s="56"/>
      <c r="I511" s="36" t="str">
        <f t="shared" si="21"/>
        <v/>
      </c>
      <c r="J511" s="36">
        <f t="shared" si="22"/>
        <v>0</v>
      </c>
      <c r="K511" s="36" t="str">
        <f t="shared" ca="1" si="23"/>
        <v/>
      </c>
    </row>
    <row r="512" spans="3:11" x14ac:dyDescent="0.25">
      <c r="C512" s="53"/>
      <c r="D512" s="54"/>
      <c r="E512" s="55"/>
      <c r="F512" s="54"/>
      <c r="G512" s="56"/>
      <c r="H512" s="56"/>
      <c r="I512" s="36" t="str">
        <f t="shared" si="21"/>
        <v/>
      </c>
      <c r="J512" s="36">
        <f t="shared" si="22"/>
        <v>0</v>
      </c>
      <c r="K512" s="36" t="str">
        <f t="shared" ca="1" si="23"/>
        <v/>
      </c>
    </row>
    <row r="513" spans="3:11" x14ac:dyDescent="0.25">
      <c r="C513" s="53"/>
      <c r="D513" s="54"/>
      <c r="E513" s="55"/>
      <c r="F513" s="54"/>
      <c r="G513" s="56"/>
      <c r="H513" s="56"/>
      <c r="I513" s="36" t="str">
        <f t="shared" si="21"/>
        <v/>
      </c>
      <c r="J513" s="36">
        <f t="shared" si="22"/>
        <v>0</v>
      </c>
      <c r="K513" s="36" t="str">
        <f t="shared" ca="1" si="23"/>
        <v/>
      </c>
    </row>
    <row r="514" spans="3:11" x14ac:dyDescent="0.25">
      <c r="C514" s="53"/>
      <c r="D514" s="54"/>
      <c r="E514" s="55"/>
      <c r="F514" s="54"/>
      <c r="G514" s="56"/>
      <c r="H514" s="56"/>
      <c r="I514" s="36" t="str">
        <f t="shared" si="21"/>
        <v/>
      </c>
      <c r="J514" s="36">
        <f t="shared" si="22"/>
        <v>0</v>
      </c>
      <c r="K514" s="36" t="str">
        <f t="shared" ca="1" si="23"/>
        <v/>
      </c>
    </row>
    <row r="515" spans="3:11" x14ac:dyDescent="0.25">
      <c r="C515" s="53"/>
      <c r="D515" s="54"/>
      <c r="E515" s="55"/>
      <c r="F515" s="54"/>
      <c r="G515" s="56"/>
      <c r="H515" s="56"/>
      <c r="I515" s="36" t="str">
        <f t="shared" si="21"/>
        <v/>
      </c>
      <c r="J515" s="36">
        <f t="shared" si="22"/>
        <v>0</v>
      </c>
      <c r="K515" s="36" t="str">
        <f t="shared" ca="1" si="23"/>
        <v/>
      </c>
    </row>
    <row r="516" spans="3:11" x14ac:dyDescent="0.25">
      <c r="C516" s="53"/>
      <c r="D516" s="54"/>
      <c r="E516" s="55"/>
      <c r="F516" s="54"/>
      <c r="G516" s="56"/>
      <c r="H516" s="56"/>
      <c r="I516" s="36" t="str">
        <f t="shared" si="21"/>
        <v/>
      </c>
      <c r="J516" s="36">
        <f t="shared" si="22"/>
        <v>0</v>
      </c>
      <c r="K516" s="36" t="str">
        <f t="shared" ca="1" si="23"/>
        <v/>
      </c>
    </row>
    <row r="517" spans="3:11" x14ac:dyDescent="0.25">
      <c r="C517" s="53"/>
      <c r="D517" s="54"/>
      <c r="E517" s="55"/>
      <c r="F517" s="54"/>
      <c r="G517" s="56"/>
      <c r="H517" s="56"/>
      <c r="I517" s="36" t="str">
        <f t="shared" si="21"/>
        <v/>
      </c>
      <c r="J517" s="36">
        <f t="shared" si="22"/>
        <v>0</v>
      </c>
      <c r="K517" s="36" t="str">
        <f t="shared" ca="1" si="23"/>
        <v/>
      </c>
    </row>
    <row r="518" spans="3:11" x14ac:dyDescent="0.25">
      <c r="C518" s="53"/>
      <c r="D518" s="54"/>
      <c r="E518" s="55"/>
      <c r="F518" s="54"/>
      <c r="G518" s="56"/>
      <c r="H518" s="56"/>
      <c r="I518" s="36" t="str">
        <f t="shared" si="21"/>
        <v/>
      </c>
      <c r="J518" s="36">
        <f t="shared" si="22"/>
        <v>0</v>
      </c>
      <c r="K518" s="36" t="str">
        <f t="shared" ca="1" si="23"/>
        <v/>
      </c>
    </row>
    <row r="519" spans="3:11" x14ac:dyDescent="0.25">
      <c r="C519" s="53"/>
      <c r="D519" s="54"/>
      <c r="E519" s="55"/>
      <c r="F519" s="54"/>
      <c r="G519" s="56"/>
      <c r="H519" s="56"/>
      <c r="I519" s="36" t="str">
        <f t="shared" si="21"/>
        <v/>
      </c>
      <c r="J519" s="36">
        <f t="shared" si="22"/>
        <v>0</v>
      </c>
      <c r="K519" s="36" t="str">
        <f t="shared" ca="1" si="23"/>
        <v/>
      </c>
    </row>
    <row r="520" spans="3:11" x14ac:dyDescent="0.25">
      <c r="C520" s="53"/>
      <c r="D520" s="54"/>
      <c r="E520" s="55"/>
      <c r="F520" s="54"/>
      <c r="G520" s="56"/>
      <c r="H520" s="56"/>
      <c r="I520" s="36" t="str">
        <f t="shared" si="21"/>
        <v/>
      </c>
      <c r="J520" s="36">
        <f t="shared" si="22"/>
        <v>0</v>
      </c>
      <c r="K520" s="36" t="str">
        <f t="shared" ca="1" si="23"/>
        <v/>
      </c>
    </row>
    <row r="521" spans="3:11" x14ac:dyDescent="0.25">
      <c r="C521" s="53"/>
      <c r="D521" s="54"/>
      <c r="E521" s="55"/>
      <c r="F521" s="54"/>
      <c r="G521" s="56"/>
      <c r="H521" s="56"/>
      <c r="I521" s="36" t="str">
        <f t="shared" si="21"/>
        <v/>
      </c>
      <c r="J521" s="36">
        <f t="shared" si="22"/>
        <v>0</v>
      </c>
      <c r="K521" s="36" t="str">
        <f t="shared" ca="1" si="23"/>
        <v/>
      </c>
    </row>
    <row r="522" spans="3:11" x14ac:dyDescent="0.25">
      <c r="C522" s="53"/>
      <c r="D522" s="54"/>
      <c r="E522" s="55"/>
      <c r="F522" s="54"/>
      <c r="G522" s="56"/>
      <c r="H522" s="56"/>
      <c r="I522" s="36" t="str">
        <f t="shared" si="21"/>
        <v/>
      </c>
      <c r="J522" s="36">
        <f t="shared" si="22"/>
        <v>0</v>
      </c>
      <c r="K522" s="36" t="str">
        <f t="shared" ca="1" si="23"/>
        <v/>
      </c>
    </row>
    <row r="523" spans="3:11" x14ac:dyDescent="0.25">
      <c r="C523" s="53"/>
      <c r="D523" s="54"/>
      <c r="E523" s="55"/>
      <c r="F523" s="54"/>
      <c r="G523" s="56"/>
      <c r="H523" s="56"/>
      <c r="I523" s="36" t="str">
        <f t="shared" si="21"/>
        <v/>
      </c>
      <c r="J523" s="36">
        <f t="shared" si="22"/>
        <v>0</v>
      </c>
      <c r="K523" s="36" t="str">
        <f t="shared" ca="1" si="23"/>
        <v/>
      </c>
    </row>
    <row r="524" spans="3:11" x14ac:dyDescent="0.25">
      <c r="C524" s="53"/>
      <c r="D524" s="54"/>
      <c r="E524" s="55"/>
      <c r="F524" s="54"/>
      <c r="G524" s="56"/>
      <c r="H524" s="56"/>
      <c r="I524" s="36" t="str">
        <f t="shared" si="21"/>
        <v/>
      </c>
      <c r="J524" s="36">
        <f t="shared" si="22"/>
        <v>0</v>
      </c>
      <c r="K524" s="36" t="str">
        <f t="shared" ca="1" si="23"/>
        <v/>
      </c>
    </row>
    <row r="525" spans="3:11" x14ac:dyDescent="0.25">
      <c r="C525" s="53"/>
      <c r="D525" s="54"/>
      <c r="E525" s="55"/>
      <c r="F525" s="54"/>
      <c r="G525" s="56"/>
      <c r="H525" s="56"/>
      <c r="I525" s="36" t="str">
        <f t="shared" si="21"/>
        <v/>
      </c>
      <c r="J525" s="36">
        <f t="shared" si="22"/>
        <v>0</v>
      </c>
      <c r="K525" s="36" t="str">
        <f t="shared" ca="1" si="23"/>
        <v/>
      </c>
    </row>
    <row r="526" spans="3:11" x14ac:dyDescent="0.25">
      <c r="C526" s="53"/>
      <c r="D526" s="54"/>
      <c r="E526" s="55"/>
      <c r="F526" s="54"/>
      <c r="G526" s="56"/>
      <c r="H526" s="56"/>
      <c r="I526" s="36" t="str">
        <f t="shared" si="21"/>
        <v/>
      </c>
      <c r="J526" s="36">
        <f t="shared" si="22"/>
        <v>0</v>
      </c>
      <c r="K526" s="36" t="str">
        <f t="shared" ca="1" si="23"/>
        <v/>
      </c>
    </row>
    <row r="527" spans="3:11" x14ac:dyDescent="0.25">
      <c r="C527" s="53"/>
      <c r="D527" s="54"/>
      <c r="E527" s="55"/>
      <c r="F527" s="54"/>
      <c r="G527" s="56"/>
      <c r="H527" s="56"/>
      <c r="I527" s="36" t="str">
        <f t="shared" si="21"/>
        <v/>
      </c>
      <c r="J527" s="36">
        <f t="shared" si="22"/>
        <v>0</v>
      </c>
      <c r="K527" s="36" t="str">
        <f t="shared" ca="1" si="23"/>
        <v/>
      </c>
    </row>
    <row r="528" spans="3:11" x14ac:dyDescent="0.25">
      <c r="C528" s="53"/>
      <c r="D528" s="54"/>
      <c r="E528" s="55"/>
      <c r="F528" s="54"/>
      <c r="G528" s="56"/>
      <c r="H528" s="56"/>
      <c r="I528" s="36" t="str">
        <f t="shared" si="21"/>
        <v/>
      </c>
      <c r="J528" s="36">
        <f t="shared" si="22"/>
        <v>0</v>
      </c>
      <c r="K528" s="36" t="str">
        <f t="shared" ca="1" si="23"/>
        <v/>
      </c>
    </row>
    <row r="529" spans="3:11" x14ac:dyDescent="0.25">
      <c r="C529" s="53"/>
      <c r="D529" s="54"/>
      <c r="E529" s="55"/>
      <c r="F529" s="54"/>
      <c r="G529" s="56"/>
      <c r="H529" s="56"/>
      <c r="I529" s="36" t="str">
        <f t="shared" ref="I529:I592" si="24">IF(C529="","",IF(H529&lt;=0,"Em aberto",IF(H529&gt;=G529,"Pagamento Total",IF(H529&lt;G529,"Pagamento Parcial"))))</f>
        <v/>
      </c>
      <c r="J529" s="36">
        <f t="shared" ref="J529:J592" si="25">IF(C529&gt;0,G529-H529,0)</f>
        <v>0</v>
      </c>
      <c r="K529" s="36" t="str">
        <f t="shared" ref="K529:K592" ca="1" si="26">IF(ISBLANK(C529),"",IF(H529=G529,"Pago",IF(C529=TODAY(),"Vence Hoje",IF(TRIM(UPPER(G528))&lt;&gt;"S",IF(C529-TODAY()&lt;0,"Vencida",IF(C529-TODAY()&lt;8,"Próximos sete dias","Em aberto"))))))</f>
        <v/>
      </c>
    </row>
    <row r="530" spans="3:11" x14ac:dyDescent="0.25">
      <c r="C530" s="53"/>
      <c r="D530" s="54"/>
      <c r="E530" s="55"/>
      <c r="F530" s="54"/>
      <c r="G530" s="56"/>
      <c r="H530" s="56"/>
      <c r="I530" s="36" t="str">
        <f t="shared" si="24"/>
        <v/>
      </c>
      <c r="J530" s="36">
        <f t="shared" si="25"/>
        <v>0</v>
      </c>
      <c r="K530" s="36" t="str">
        <f t="shared" ca="1" si="26"/>
        <v/>
      </c>
    </row>
    <row r="531" spans="3:11" x14ac:dyDescent="0.25">
      <c r="C531" s="53"/>
      <c r="D531" s="54"/>
      <c r="E531" s="55"/>
      <c r="F531" s="54"/>
      <c r="G531" s="56"/>
      <c r="H531" s="56"/>
      <c r="I531" s="36" t="str">
        <f t="shared" si="24"/>
        <v/>
      </c>
      <c r="J531" s="36">
        <f t="shared" si="25"/>
        <v>0</v>
      </c>
      <c r="K531" s="36" t="str">
        <f t="shared" ca="1" si="26"/>
        <v/>
      </c>
    </row>
    <row r="532" spans="3:11" x14ac:dyDescent="0.25">
      <c r="C532" s="53"/>
      <c r="D532" s="54"/>
      <c r="E532" s="55"/>
      <c r="F532" s="54"/>
      <c r="G532" s="56"/>
      <c r="H532" s="56"/>
      <c r="I532" s="36" t="str">
        <f t="shared" si="24"/>
        <v/>
      </c>
      <c r="J532" s="36">
        <f t="shared" si="25"/>
        <v>0</v>
      </c>
      <c r="K532" s="36" t="str">
        <f t="shared" ca="1" si="26"/>
        <v/>
      </c>
    </row>
    <row r="533" spans="3:11" x14ac:dyDescent="0.25">
      <c r="C533" s="53"/>
      <c r="D533" s="54"/>
      <c r="E533" s="55"/>
      <c r="F533" s="54"/>
      <c r="G533" s="56"/>
      <c r="H533" s="56"/>
      <c r="I533" s="36" t="str">
        <f t="shared" si="24"/>
        <v/>
      </c>
      <c r="J533" s="36">
        <f t="shared" si="25"/>
        <v>0</v>
      </c>
      <c r="K533" s="36" t="str">
        <f t="shared" ca="1" si="26"/>
        <v/>
      </c>
    </row>
    <row r="534" spans="3:11" x14ac:dyDescent="0.25">
      <c r="C534" s="53"/>
      <c r="D534" s="54"/>
      <c r="E534" s="55"/>
      <c r="F534" s="54"/>
      <c r="G534" s="56"/>
      <c r="H534" s="56"/>
      <c r="I534" s="36" t="str">
        <f t="shared" si="24"/>
        <v/>
      </c>
      <c r="J534" s="36">
        <f t="shared" si="25"/>
        <v>0</v>
      </c>
      <c r="K534" s="36" t="str">
        <f t="shared" ca="1" si="26"/>
        <v/>
      </c>
    </row>
    <row r="535" spans="3:11" x14ac:dyDescent="0.25">
      <c r="C535" s="53"/>
      <c r="D535" s="54"/>
      <c r="E535" s="55"/>
      <c r="F535" s="54"/>
      <c r="G535" s="56"/>
      <c r="H535" s="56"/>
      <c r="I535" s="36" t="str">
        <f t="shared" si="24"/>
        <v/>
      </c>
      <c r="J535" s="36">
        <f t="shared" si="25"/>
        <v>0</v>
      </c>
      <c r="K535" s="36" t="str">
        <f t="shared" ca="1" si="26"/>
        <v/>
      </c>
    </row>
    <row r="536" spans="3:11" x14ac:dyDescent="0.25">
      <c r="C536" s="53"/>
      <c r="D536" s="54"/>
      <c r="E536" s="55"/>
      <c r="F536" s="54"/>
      <c r="G536" s="56"/>
      <c r="H536" s="56"/>
      <c r="I536" s="36" t="str">
        <f t="shared" si="24"/>
        <v/>
      </c>
      <c r="J536" s="36">
        <f t="shared" si="25"/>
        <v>0</v>
      </c>
      <c r="K536" s="36" t="str">
        <f t="shared" ca="1" si="26"/>
        <v/>
      </c>
    </row>
    <row r="537" spans="3:11" x14ac:dyDescent="0.25">
      <c r="C537" s="53"/>
      <c r="D537" s="54"/>
      <c r="E537" s="55"/>
      <c r="F537" s="54"/>
      <c r="G537" s="56"/>
      <c r="H537" s="56"/>
      <c r="I537" s="36" t="str">
        <f t="shared" si="24"/>
        <v/>
      </c>
      <c r="J537" s="36">
        <f t="shared" si="25"/>
        <v>0</v>
      </c>
      <c r="K537" s="36" t="str">
        <f t="shared" ca="1" si="26"/>
        <v/>
      </c>
    </row>
    <row r="538" spans="3:11" x14ac:dyDescent="0.25">
      <c r="C538" s="53"/>
      <c r="D538" s="54"/>
      <c r="E538" s="55"/>
      <c r="F538" s="54"/>
      <c r="G538" s="56"/>
      <c r="H538" s="56"/>
      <c r="I538" s="36" t="str">
        <f t="shared" si="24"/>
        <v/>
      </c>
      <c r="J538" s="36">
        <f t="shared" si="25"/>
        <v>0</v>
      </c>
      <c r="K538" s="36" t="str">
        <f t="shared" ca="1" si="26"/>
        <v/>
      </c>
    </row>
    <row r="539" spans="3:11" x14ac:dyDescent="0.25">
      <c r="C539" s="53"/>
      <c r="D539" s="54"/>
      <c r="E539" s="55"/>
      <c r="F539" s="54"/>
      <c r="G539" s="56"/>
      <c r="H539" s="56"/>
      <c r="I539" s="36" t="str">
        <f t="shared" si="24"/>
        <v/>
      </c>
      <c r="J539" s="36">
        <f t="shared" si="25"/>
        <v>0</v>
      </c>
      <c r="K539" s="36" t="str">
        <f t="shared" ca="1" si="26"/>
        <v/>
      </c>
    </row>
    <row r="540" spans="3:11" x14ac:dyDescent="0.25">
      <c r="C540" s="53"/>
      <c r="D540" s="54"/>
      <c r="E540" s="55"/>
      <c r="F540" s="54"/>
      <c r="G540" s="56"/>
      <c r="H540" s="56"/>
      <c r="I540" s="36" t="str">
        <f t="shared" si="24"/>
        <v/>
      </c>
      <c r="J540" s="36">
        <f t="shared" si="25"/>
        <v>0</v>
      </c>
      <c r="K540" s="36" t="str">
        <f t="shared" ca="1" si="26"/>
        <v/>
      </c>
    </row>
    <row r="541" spans="3:11" x14ac:dyDescent="0.25">
      <c r="C541" s="53"/>
      <c r="D541" s="54"/>
      <c r="E541" s="55"/>
      <c r="F541" s="54"/>
      <c r="G541" s="56"/>
      <c r="H541" s="56"/>
      <c r="I541" s="36" t="str">
        <f t="shared" si="24"/>
        <v/>
      </c>
      <c r="J541" s="36">
        <f t="shared" si="25"/>
        <v>0</v>
      </c>
      <c r="K541" s="36" t="str">
        <f t="shared" ca="1" si="26"/>
        <v/>
      </c>
    </row>
    <row r="542" spans="3:11" x14ac:dyDescent="0.25">
      <c r="C542" s="53"/>
      <c r="D542" s="54"/>
      <c r="E542" s="55"/>
      <c r="F542" s="54"/>
      <c r="G542" s="56"/>
      <c r="H542" s="56"/>
      <c r="I542" s="36" t="str">
        <f t="shared" si="24"/>
        <v/>
      </c>
      <c r="J542" s="36">
        <f t="shared" si="25"/>
        <v>0</v>
      </c>
      <c r="K542" s="36" t="str">
        <f t="shared" ca="1" si="26"/>
        <v/>
      </c>
    </row>
    <row r="543" spans="3:11" x14ac:dyDescent="0.25">
      <c r="C543" s="53"/>
      <c r="D543" s="54"/>
      <c r="E543" s="55"/>
      <c r="F543" s="54"/>
      <c r="G543" s="56"/>
      <c r="H543" s="56"/>
      <c r="I543" s="36" t="str">
        <f t="shared" si="24"/>
        <v/>
      </c>
      <c r="J543" s="36">
        <f t="shared" si="25"/>
        <v>0</v>
      </c>
      <c r="K543" s="36" t="str">
        <f t="shared" ca="1" si="26"/>
        <v/>
      </c>
    </row>
    <row r="544" spans="3:11" x14ac:dyDescent="0.25">
      <c r="C544" s="53"/>
      <c r="D544" s="54"/>
      <c r="E544" s="55"/>
      <c r="F544" s="54"/>
      <c r="G544" s="56"/>
      <c r="H544" s="56"/>
      <c r="I544" s="36" t="str">
        <f t="shared" si="24"/>
        <v/>
      </c>
      <c r="J544" s="36">
        <f t="shared" si="25"/>
        <v>0</v>
      </c>
      <c r="K544" s="36" t="str">
        <f t="shared" ca="1" si="26"/>
        <v/>
      </c>
    </row>
    <row r="545" spans="3:11" x14ac:dyDescent="0.25">
      <c r="C545" s="53"/>
      <c r="D545" s="54"/>
      <c r="E545" s="55"/>
      <c r="F545" s="54"/>
      <c r="G545" s="56"/>
      <c r="H545" s="56"/>
      <c r="I545" s="36" t="str">
        <f t="shared" si="24"/>
        <v/>
      </c>
      <c r="J545" s="36">
        <f t="shared" si="25"/>
        <v>0</v>
      </c>
      <c r="K545" s="36" t="str">
        <f t="shared" ca="1" si="26"/>
        <v/>
      </c>
    </row>
    <row r="546" spans="3:11" x14ac:dyDescent="0.25">
      <c r="C546" s="53"/>
      <c r="D546" s="54"/>
      <c r="E546" s="55"/>
      <c r="F546" s="54"/>
      <c r="G546" s="56"/>
      <c r="H546" s="56"/>
      <c r="I546" s="36" t="str">
        <f t="shared" si="24"/>
        <v/>
      </c>
      <c r="J546" s="36">
        <f t="shared" si="25"/>
        <v>0</v>
      </c>
      <c r="K546" s="36" t="str">
        <f t="shared" ca="1" si="26"/>
        <v/>
      </c>
    </row>
    <row r="547" spans="3:11" x14ac:dyDescent="0.25">
      <c r="C547" s="53"/>
      <c r="D547" s="54"/>
      <c r="E547" s="55"/>
      <c r="F547" s="54"/>
      <c r="G547" s="56"/>
      <c r="H547" s="56"/>
      <c r="I547" s="36" t="str">
        <f t="shared" si="24"/>
        <v/>
      </c>
      <c r="J547" s="36">
        <f t="shared" si="25"/>
        <v>0</v>
      </c>
      <c r="K547" s="36" t="str">
        <f t="shared" ca="1" si="26"/>
        <v/>
      </c>
    </row>
    <row r="548" spans="3:11" x14ac:dyDescent="0.25">
      <c r="C548" s="53"/>
      <c r="D548" s="54"/>
      <c r="E548" s="55"/>
      <c r="F548" s="54"/>
      <c r="G548" s="56"/>
      <c r="H548" s="56"/>
      <c r="I548" s="36" t="str">
        <f t="shared" si="24"/>
        <v/>
      </c>
      <c r="J548" s="36">
        <f t="shared" si="25"/>
        <v>0</v>
      </c>
      <c r="K548" s="36" t="str">
        <f t="shared" ca="1" si="26"/>
        <v/>
      </c>
    </row>
    <row r="549" spans="3:11" x14ac:dyDescent="0.25">
      <c r="C549" s="53"/>
      <c r="D549" s="54"/>
      <c r="E549" s="55"/>
      <c r="F549" s="54"/>
      <c r="G549" s="56"/>
      <c r="H549" s="56"/>
      <c r="I549" s="36" t="str">
        <f t="shared" si="24"/>
        <v/>
      </c>
      <c r="J549" s="36">
        <f t="shared" si="25"/>
        <v>0</v>
      </c>
      <c r="K549" s="36" t="str">
        <f t="shared" ca="1" si="26"/>
        <v/>
      </c>
    </row>
    <row r="550" spans="3:11" x14ac:dyDescent="0.25">
      <c r="C550" s="53"/>
      <c r="D550" s="54"/>
      <c r="E550" s="55"/>
      <c r="F550" s="54"/>
      <c r="G550" s="56"/>
      <c r="H550" s="56"/>
      <c r="I550" s="36" t="str">
        <f t="shared" si="24"/>
        <v/>
      </c>
      <c r="J550" s="36">
        <f t="shared" si="25"/>
        <v>0</v>
      </c>
      <c r="K550" s="36" t="str">
        <f t="shared" ca="1" si="26"/>
        <v/>
      </c>
    </row>
    <row r="551" spans="3:11" x14ac:dyDescent="0.25">
      <c r="C551" s="53"/>
      <c r="D551" s="54"/>
      <c r="E551" s="55"/>
      <c r="F551" s="54"/>
      <c r="G551" s="56"/>
      <c r="H551" s="56"/>
      <c r="I551" s="36" t="str">
        <f t="shared" si="24"/>
        <v/>
      </c>
      <c r="J551" s="36">
        <f t="shared" si="25"/>
        <v>0</v>
      </c>
      <c r="K551" s="36" t="str">
        <f t="shared" ca="1" si="26"/>
        <v/>
      </c>
    </row>
    <row r="552" spans="3:11" x14ac:dyDescent="0.25">
      <c r="C552" s="53"/>
      <c r="D552" s="54"/>
      <c r="E552" s="55"/>
      <c r="F552" s="54"/>
      <c r="G552" s="56"/>
      <c r="H552" s="56"/>
      <c r="I552" s="36" t="str">
        <f t="shared" si="24"/>
        <v/>
      </c>
      <c r="J552" s="36">
        <f t="shared" si="25"/>
        <v>0</v>
      </c>
      <c r="K552" s="36" t="str">
        <f t="shared" ca="1" si="26"/>
        <v/>
      </c>
    </row>
    <row r="553" spans="3:11" x14ac:dyDescent="0.25">
      <c r="C553" s="53"/>
      <c r="D553" s="54"/>
      <c r="E553" s="55"/>
      <c r="F553" s="54"/>
      <c r="G553" s="56"/>
      <c r="H553" s="56"/>
      <c r="I553" s="36" t="str">
        <f t="shared" si="24"/>
        <v/>
      </c>
      <c r="J553" s="36">
        <f t="shared" si="25"/>
        <v>0</v>
      </c>
      <c r="K553" s="36" t="str">
        <f t="shared" ca="1" si="26"/>
        <v/>
      </c>
    </row>
    <row r="554" spans="3:11" x14ac:dyDescent="0.25">
      <c r="C554" s="53"/>
      <c r="D554" s="54"/>
      <c r="E554" s="55"/>
      <c r="F554" s="54"/>
      <c r="G554" s="56"/>
      <c r="H554" s="56"/>
      <c r="I554" s="36" t="str">
        <f t="shared" si="24"/>
        <v/>
      </c>
      <c r="J554" s="36">
        <f t="shared" si="25"/>
        <v>0</v>
      </c>
      <c r="K554" s="36" t="str">
        <f t="shared" ca="1" si="26"/>
        <v/>
      </c>
    </row>
    <row r="555" spans="3:11" x14ac:dyDescent="0.25">
      <c r="C555" s="53"/>
      <c r="D555" s="54"/>
      <c r="E555" s="55"/>
      <c r="F555" s="54"/>
      <c r="G555" s="56"/>
      <c r="H555" s="56"/>
      <c r="I555" s="36" t="str">
        <f t="shared" si="24"/>
        <v/>
      </c>
      <c r="J555" s="36">
        <f t="shared" si="25"/>
        <v>0</v>
      </c>
      <c r="K555" s="36" t="str">
        <f t="shared" ca="1" si="26"/>
        <v/>
      </c>
    </row>
    <row r="556" spans="3:11" x14ac:dyDescent="0.25">
      <c r="C556" s="53"/>
      <c r="D556" s="54"/>
      <c r="E556" s="55"/>
      <c r="F556" s="54"/>
      <c r="G556" s="56"/>
      <c r="H556" s="56"/>
      <c r="I556" s="36" t="str">
        <f t="shared" si="24"/>
        <v/>
      </c>
      <c r="J556" s="36">
        <f t="shared" si="25"/>
        <v>0</v>
      </c>
      <c r="K556" s="36" t="str">
        <f t="shared" ca="1" si="26"/>
        <v/>
      </c>
    </row>
    <row r="557" spans="3:11" x14ac:dyDescent="0.25">
      <c r="C557" s="53"/>
      <c r="D557" s="54"/>
      <c r="E557" s="55"/>
      <c r="F557" s="54"/>
      <c r="G557" s="56"/>
      <c r="H557" s="56"/>
      <c r="I557" s="36" t="str">
        <f t="shared" si="24"/>
        <v/>
      </c>
      <c r="J557" s="36">
        <f t="shared" si="25"/>
        <v>0</v>
      </c>
      <c r="K557" s="36" t="str">
        <f t="shared" ca="1" si="26"/>
        <v/>
      </c>
    </row>
    <row r="558" spans="3:11" x14ac:dyDescent="0.25">
      <c r="C558" s="53"/>
      <c r="D558" s="54"/>
      <c r="E558" s="55"/>
      <c r="F558" s="54"/>
      <c r="G558" s="56"/>
      <c r="H558" s="56"/>
      <c r="I558" s="36" t="str">
        <f t="shared" si="24"/>
        <v/>
      </c>
      <c r="J558" s="36">
        <f t="shared" si="25"/>
        <v>0</v>
      </c>
      <c r="K558" s="36" t="str">
        <f t="shared" ca="1" si="26"/>
        <v/>
      </c>
    </row>
    <row r="559" spans="3:11" x14ac:dyDescent="0.25">
      <c r="C559" s="53"/>
      <c r="D559" s="54"/>
      <c r="E559" s="55"/>
      <c r="F559" s="54"/>
      <c r="G559" s="56"/>
      <c r="H559" s="56"/>
      <c r="I559" s="36" t="str">
        <f t="shared" si="24"/>
        <v/>
      </c>
      <c r="J559" s="36">
        <f t="shared" si="25"/>
        <v>0</v>
      </c>
      <c r="K559" s="36" t="str">
        <f t="shared" ca="1" si="26"/>
        <v/>
      </c>
    </row>
    <row r="560" spans="3:11" x14ac:dyDescent="0.25">
      <c r="C560" s="53"/>
      <c r="D560" s="54"/>
      <c r="E560" s="55"/>
      <c r="F560" s="54"/>
      <c r="G560" s="56"/>
      <c r="H560" s="56"/>
      <c r="I560" s="36" t="str">
        <f t="shared" si="24"/>
        <v/>
      </c>
      <c r="J560" s="36">
        <f t="shared" si="25"/>
        <v>0</v>
      </c>
      <c r="K560" s="36" t="str">
        <f t="shared" ca="1" si="26"/>
        <v/>
      </c>
    </row>
    <row r="561" spans="3:11" x14ac:dyDescent="0.25">
      <c r="C561" s="53"/>
      <c r="D561" s="54"/>
      <c r="E561" s="55"/>
      <c r="F561" s="54"/>
      <c r="G561" s="56"/>
      <c r="H561" s="56"/>
      <c r="I561" s="36" t="str">
        <f t="shared" si="24"/>
        <v/>
      </c>
      <c r="J561" s="36">
        <f t="shared" si="25"/>
        <v>0</v>
      </c>
      <c r="K561" s="36" t="str">
        <f t="shared" ca="1" si="26"/>
        <v/>
      </c>
    </row>
    <row r="562" spans="3:11" x14ac:dyDescent="0.25">
      <c r="C562" s="53"/>
      <c r="D562" s="54"/>
      <c r="E562" s="55"/>
      <c r="F562" s="54"/>
      <c r="G562" s="56"/>
      <c r="H562" s="56"/>
      <c r="I562" s="36" t="str">
        <f t="shared" si="24"/>
        <v/>
      </c>
      <c r="J562" s="36">
        <f t="shared" si="25"/>
        <v>0</v>
      </c>
      <c r="K562" s="36" t="str">
        <f t="shared" ca="1" si="26"/>
        <v/>
      </c>
    </row>
    <row r="563" spans="3:11" x14ac:dyDescent="0.25">
      <c r="C563" s="53"/>
      <c r="D563" s="54"/>
      <c r="E563" s="55"/>
      <c r="F563" s="54"/>
      <c r="G563" s="56"/>
      <c r="H563" s="56"/>
      <c r="I563" s="36" t="str">
        <f t="shared" si="24"/>
        <v/>
      </c>
      <c r="J563" s="36">
        <f t="shared" si="25"/>
        <v>0</v>
      </c>
      <c r="K563" s="36" t="str">
        <f t="shared" ca="1" si="26"/>
        <v/>
      </c>
    </row>
    <row r="564" spans="3:11" x14ac:dyDescent="0.25">
      <c r="C564" s="53"/>
      <c r="D564" s="54"/>
      <c r="E564" s="55"/>
      <c r="F564" s="54"/>
      <c r="G564" s="56"/>
      <c r="H564" s="56"/>
      <c r="I564" s="36" t="str">
        <f t="shared" si="24"/>
        <v/>
      </c>
      <c r="J564" s="36">
        <f t="shared" si="25"/>
        <v>0</v>
      </c>
      <c r="K564" s="36" t="str">
        <f t="shared" ca="1" si="26"/>
        <v/>
      </c>
    </row>
    <row r="565" spans="3:11" x14ac:dyDescent="0.25">
      <c r="C565" s="53"/>
      <c r="D565" s="54"/>
      <c r="E565" s="55"/>
      <c r="F565" s="54"/>
      <c r="G565" s="56"/>
      <c r="H565" s="56"/>
      <c r="I565" s="36" t="str">
        <f t="shared" si="24"/>
        <v/>
      </c>
      <c r="J565" s="36">
        <f t="shared" si="25"/>
        <v>0</v>
      </c>
      <c r="K565" s="36" t="str">
        <f t="shared" ca="1" si="26"/>
        <v/>
      </c>
    </row>
    <row r="566" spans="3:11" x14ac:dyDescent="0.25">
      <c r="C566" s="53"/>
      <c r="D566" s="54"/>
      <c r="E566" s="55"/>
      <c r="F566" s="54"/>
      <c r="G566" s="56"/>
      <c r="H566" s="56"/>
      <c r="I566" s="36" t="str">
        <f t="shared" si="24"/>
        <v/>
      </c>
      <c r="J566" s="36">
        <f t="shared" si="25"/>
        <v>0</v>
      </c>
      <c r="K566" s="36" t="str">
        <f t="shared" ca="1" si="26"/>
        <v/>
      </c>
    </row>
    <row r="567" spans="3:11" x14ac:dyDescent="0.25">
      <c r="C567" s="53"/>
      <c r="D567" s="54"/>
      <c r="E567" s="55"/>
      <c r="F567" s="54"/>
      <c r="G567" s="56"/>
      <c r="H567" s="56"/>
      <c r="I567" s="36" t="str">
        <f t="shared" si="24"/>
        <v/>
      </c>
      <c r="J567" s="36">
        <f t="shared" si="25"/>
        <v>0</v>
      </c>
      <c r="K567" s="36" t="str">
        <f t="shared" ca="1" si="26"/>
        <v/>
      </c>
    </row>
    <row r="568" spans="3:11" x14ac:dyDescent="0.25">
      <c r="C568" s="53"/>
      <c r="D568" s="54"/>
      <c r="E568" s="55"/>
      <c r="F568" s="54"/>
      <c r="G568" s="56"/>
      <c r="H568" s="56"/>
      <c r="I568" s="36" t="str">
        <f t="shared" si="24"/>
        <v/>
      </c>
      <c r="J568" s="36">
        <f t="shared" si="25"/>
        <v>0</v>
      </c>
      <c r="K568" s="36" t="str">
        <f t="shared" ca="1" si="26"/>
        <v/>
      </c>
    </row>
    <row r="569" spans="3:11" x14ac:dyDescent="0.25">
      <c r="C569" s="53"/>
      <c r="D569" s="54"/>
      <c r="E569" s="55"/>
      <c r="F569" s="54"/>
      <c r="G569" s="56"/>
      <c r="H569" s="56"/>
      <c r="I569" s="36" t="str">
        <f t="shared" si="24"/>
        <v/>
      </c>
      <c r="J569" s="36">
        <f t="shared" si="25"/>
        <v>0</v>
      </c>
      <c r="K569" s="36" t="str">
        <f t="shared" ca="1" si="26"/>
        <v/>
      </c>
    </row>
    <row r="570" spans="3:11" x14ac:dyDescent="0.25">
      <c r="C570" s="53"/>
      <c r="D570" s="54"/>
      <c r="E570" s="55"/>
      <c r="F570" s="54"/>
      <c r="G570" s="56"/>
      <c r="H570" s="56"/>
      <c r="I570" s="36" t="str">
        <f t="shared" si="24"/>
        <v/>
      </c>
      <c r="J570" s="36">
        <f t="shared" si="25"/>
        <v>0</v>
      </c>
      <c r="K570" s="36" t="str">
        <f t="shared" ca="1" si="26"/>
        <v/>
      </c>
    </row>
    <row r="571" spans="3:11" x14ac:dyDescent="0.25">
      <c r="C571" s="53"/>
      <c r="D571" s="54"/>
      <c r="E571" s="55"/>
      <c r="F571" s="54"/>
      <c r="G571" s="56"/>
      <c r="H571" s="56"/>
      <c r="I571" s="36" t="str">
        <f t="shared" si="24"/>
        <v/>
      </c>
      <c r="J571" s="36">
        <f t="shared" si="25"/>
        <v>0</v>
      </c>
      <c r="K571" s="36" t="str">
        <f t="shared" ca="1" si="26"/>
        <v/>
      </c>
    </row>
    <row r="572" spans="3:11" x14ac:dyDescent="0.25">
      <c r="C572" s="53"/>
      <c r="D572" s="54"/>
      <c r="E572" s="55"/>
      <c r="F572" s="54"/>
      <c r="G572" s="56"/>
      <c r="H572" s="56"/>
      <c r="I572" s="36" t="str">
        <f t="shared" si="24"/>
        <v/>
      </c>
      <c r="J572" s="36">
        <f t="shared" si="25"/>
        <v>0</v>
      </c>
      <c r="K572" s="36" t="str">
        <f t="shared" ca="1" si="26"/>
        <v/>
      </c>
    </row>
    <row r="573" spans="3:11" x14ac:dyDescent="0.25">
      <c r="C573" s="53"/>
      <c r="D573" s="54"/>
      <c r="E573" s="55"/>
      <c r="F573" s="54"/>
      <c r="G573" s="56"/>
      <c r="H573" s="56"/>
      <c r="I573" s="36" t="str">
        <f t="shared" si="24"/>
        <v/>
      </c>
      <c r="J573" s="36">
        <f t="shared" si="25"/>
        <v>0</v>
      </c>
      <c r="K573" s="36" t="str">
        <f t="shared" ca="1" si="26"/>
        <v/>
      </c>
    </row>
    <row r="574" spans="3:11" x14ac:dyDescent="0.25">
      <c r="C574" s="53"/>
      <c r="D574" s="54"/>
      <c r="E574" s="55"/>
      <c r="F574" s="54"/>
      <c r="G574" s="56"/>
      <c r="H574" s="56"/>
      <c r="I574" s="36" t="str">
        <f t="shared" si="24"/>
        <v/>
      </c>
      <c r="J574" s="36">
        <f t="shared" si="25"/>
        <v>0</v>
      </c>
      <c r="K574" s="36" t="str">
        <f t="shared" ca="1" si="26"/>
        <v/>
      </c>
    </row>
    <row r="575" spans="3:11" x14ac:dyDescent="0.25">
      <c r="C575" s="53"/>
      <c r="D575" s="54"/>
      <c r="E575" s="55"/>
      <c r="F575" s="54"/>
      <c r="G575" s="56"/>
      <c r="H575" s="56"/>
      <c r="I575" s="36" t="str">
        <f t="shared" si="24"/>
        <v/>
      </c>
      <c r="J575" s="36">
        <f t="shared" si="25"/>
        <v>0</v>
      </c>
      <c r="K575" s="36" t="str">
        <f t="shared" ca="1" si="26"/>
        <v/>
      </c>
    </row>
    <row r="576" spans="3:11" x14ac:dyDescent="0.25">
      <c r="C576" s="53"/>
      <c r="D576" s="54"/>
      <c r="E576" s="55"/>
      <c r="F576" s="54"/>
      <c r="G576" s="56"/>
      <c r="H576" s="56"/>
      <c r="I576" s="36" t="str">
        <f t="shared" si="24"/>
        <v/>
      </c>
      <c r="J576" s="36">
        <f t="shared" si="25"/>
        <v>0</v>
      </c>
      <c r="K576" s="36" t="str">
        <f t="shared" ca="1" si="26"/>
        <v/>
      </c>
    </row>
    <row r="577" spans="3:11" x14ac:dyDescent="0.25">
      <c r="C577" s="53"/>
      <c r="D577" s="54"/>
      <c r="E577" s="55"/>
      <c r="F577" s="54"/>
      <c r="G577" s="56"/>
      <c r="H577" s="56"/>
      <c r="I577" s="36" t="str">
        <f t="shared" si="24"/>
        <v/>
      </c>
      <c r="J577" s="36">
        <f t="shared" si="25"/>
        <v>0</v>
      </c>
      <c r="K577" s="36" t="str">
        <f t="shared" ca="1" si="26"/>
        <v/>
      </c>
    </row>
    <row r="578" spans="3:11" x14ac:dyDescent="0.25">
      <c r="C578" s="53"/>
      <c r="D578" s="54"/>
      <c r="E578" s="55"/>
      <c r="F578" s="54"/>
      <c r="G578" s="56"/>
      <c r="H578" s="56"/>
      <c r="I578" s="36" t="str">
        <f t="shared" si="24"/>
        <v/>
      </c>
      <c r="J578" s="36">
        <f t="shared" si="25"/>
        <v>0</v>
      </c>
      <c r="K578" s="36" t="str">
        <f t="shared" ca="1" si="26"/>
        <v/>
      </c>
    </row>
    <row r="579" spans="3:11" x14ac:dyDescent="0.25">
      <c r="C579" s="53"/>
      <c r="D579" s="54"/>
      <c r="E579" s="55"/>
      <c r="F579" s="54"/>
      <c r="G579" s="56"/>
      <c r="H579" s="56"/>
      <c r="I579" s="36" t="str">
        <f t="shared" si="24"/>
        <v/>
      </c>
      <c r="J579" s="36">
        <f t="shared" si="25"/>
        <v>0</v>
      </c>
      <c r="K579" s="36" t="str">
        <f t="shared" ca="1" si="26"/>
        <v/>
      </c>
    </row>
    <row r="580" spans="3:11" x14ac:dyDescent="0.25">
      <c r="C580" s="53"/>
      <c r="D580" s="54"/>
      <c r="E580" s="55"/>
      <c r="F580" s="54"/>
      <c r="G580" s="56"/>
      <c r="H580" s="56"/>
      <c r="I580" s="36" t="str">
        <f t="shared" si="24"/>
        <v/>
      </c>
      <c r="J580" s="36">
        <f t="shared" si="25"/>
        <v>0</v>
      </c>
      <c r="K580" s="36" t="str">
        <f t="shared" ca="1" si="26"/>
        <v/>
      </c>
    </row>
    <row r="581" spans="3:11" x14ac:dyDescent="0.25">
      <c r="C581" s="53"/>
      <c r="D581" s="54"/>
      <c r="E581" s="55"/>
      <c r="F581" s="54"/>
      <c r="G581" s="56"/>
      <c r="H581" s="56"/>
      <c r="I581" s="36" t="str">
        <f t="shared" si="24"/>
        <v/>
      </c>
      <c r="J581" s="36">
        <f t="shared" si="25"/>
        <v>0</v>
      </c>
      <c r="K581" s="36" t="str">
        <f t="shared" ca="1" si="26"/>
        <v/>
      </c>
    </row>
    <row r="582" spans="3:11" x14ac:dyDescent="0.25">
      <c r="C582" s="53"/>
      <c r="D582" s="54"/>
      <c r="E582" s="55"/>
      <c r="F582" s="54"/>
      <c r="G582" s="56"/>
      <c r="H582" s="56"/>
      <c r="I582" s="36" t="str">
        <f t="shared" si="24"/>
        <v/>
      </c>
      <c r="J582" s="36">
        <f t="shared" si="25"/>
        <v>0</v>
      </c>
      <c r="K582" s="36" t="str">
        <f t="shared" ca="1" si="26"/>
        <v/>
      </c>
    </row>
    <row r="583" spans="3:11" x14ac:dyDescent="0.25">
      <c r="C583" s="53"/>
      <c r="D583" s="54"/>
      <c r="E583" s="55"/>
      <c r="F583" s="54"/>
      <c r="G583" s="56"/>
      <c r="H583" s="56"/>
      <c r="I583" s="36" t="str">
        <f t="shared" si="24"/>
        <v/>
      </c>
      <c r="J583" s="36">
        <f t="shared" si="25"/>
        <v>0</v>
      </c>
      <c r="K583" s="36" t="str">
        <f t="shared" ca="1" si="26"/>
        <v/>
      </c>
    </row>
    <row r="584" spans="3:11" x14ac:dyDescent="0.25">
      <c r="C584" s="53"/>
      <c r="D584" s="54"/>
      <c r="E584" s="55"/>
      <c r="F584" s="54"/>
      <c r="G584" s="56"/>
      <c r="H584" s="56"/>
      <c r="I584" s="36" t="str">
        <f t="shared" si="24"/>
        <v/>
      </c>
      <c r="J584" s="36">
        <f t="shared" si="25"/>
        <v>0</v>
      </c>
      <c r="K584" s="36" t="str">
        <f t="shared" ca="1" si="26"/>
        <v/>
      </c>
    </row>
    <row r="585" spans="3:11" x14ac:dyDescent="0.25">
      <c r="C585" s="53"/>
      <c r="D585" s="54"/>
      <c r="E585" s="55"/>
      <c r="F585" s="54"/>
      <c r="G585" s="56"/>
      <c r="H585" s="56"/>
      <c r="I585" s="36" t="str">
        <f t="shared" si="24"/>
        <v/>
      </c>
      <c r="J585" s="36">
        <f t="shared" si="25"/>
        <v>0</v>
      </c>
      <c r="K585" s="36" t="str">
        <f t="shared" ca="1" si="26"/>
        <v/>
      </c>
    </row>
    <row r="586" spans="3:11" x14ac:dyDescent="0.25">
      <c r="C586" s="53"/>
      <c r="D586" s="54"/>
      <c r="E586" s="55"/>
      <c r="F586" s="54"/>
      <c r="G586" s="56"/>
      <c r="H586" s="56"/>
      <c r="I586" s="36" t="str">
        <f t="shared" si="24"/>
        <v/>
      </c>
      <c r="J586" s="36">
        <f t="shared" si="25"/>
        <v>0</v>
      </c>
      <c r="K586" s="36" t="str">
        <f t="shared" ca="1" si="26"/>
        <v/>
      </c>
    </row>
    <row r="587" spans="3:11" x14ac:dyDescent="0.25">
      <c r="C587" s="53"/>
      <c r="D587" s="54"/>
      <c r="E587" s="55"/>
      <c r="F587" s="54"/>
      <c r="G587" s="56"/>
      <c r="H587" s="56"/>
      <c r="I587" s="36" t="str">
        <f t="shared" si="24"/>
        <v/>
      </c>
      <c r="J587" s="36">
        <f t="shared" si="25"/>
        <v>0</v>
      </c>
      <c r="K587" s="36" t="str">
        <f t="shared" ca="1" si="26"/>
        <v/>
      </c>
    </row>
    <row r="588" spans="3:11" x14ac:dyDescent="0.25">
      <c r="C588" s="53"/>
      <c r="D588" s="54"/>
      <c r="E588" s="55"/>
      <c r="F588" s="54"/>
      <c r="G588" s="56"/>
      <c r="H588" s="56"/>
      <c r="I588" s="36" t="str">
        <f t="shared" si="24"/>
        <v/>
      </c>
      <c r="J588" s="36">
        <f t="shared" si="25"/>
        <v>0</v>
      </c>
      <c r="K588" s="36" t="str">
        <f t="shared" ca="1" si="26"/>
        <v/>
      </c>
    </row>
    <row r="589" spans="3:11" x14ac:dyDescent="0.25">
      <c r="C589" s="53"/>
      <c r="D589" s="54"/>
      <c r="E589" s="55"/>
      <c r="F589" s="54"/>
      <c r="G589" s="56"/>
      <c r="H589" s="56"/>
      <c r="I589" s="36" t="str">
        <f t="shared" si="24"/>
        <v/>
      </c>
      <c r="J589" s="36">
        <f t="shared" si="25"/>
        <v>0</v>
      </c>
      <c r="K589" s="36" t="str">
        <f t="shared" ca="1" si="26"/>
        <v/>
      </c>
    </row>
    <row r="590" spans="3:11" x14ac:dyDescent="0.25">
      <c r="C590" s="53"/>
      <c r="D590" s="54"/>
      <c r="E590" s="55"/>
      <c r="F590" s="54"/>
      <c r="G590" s="56"/>
      <c r="H590" s="56"/>
      <c r="I590" s="36" t="str">
        <f t="shared" si="24"/>
        <v/>
      </c>
      <c r="J590" s="36">
        <f t="shared" si="25"/>
        <v>0</v>
      </c>
      <c r="K590" s="36" t="str">
        <f t="shared" ca="1" si="26"/>
        <v/>
      </c>
    </row>
    <row r="591" spans="3:11" x14ac:dyDescent="0.25">
      <c r="C591" s="53"/>
      <c r="D591" s="54"/>
      <c r="E591" s="55"/>
      <c r="F591" s="54"/>
      <c r="G591" s="56"/>
      <c r="H591" s="56"/>
      <c r="I591" s="36" t="str">
        <f t="shared" si="24"/>
        <v/>
      </c>
      <c r="J591" s="36">
        <f t="shared" si="25"/>
        <v>0</v>
      </c>
      <c r="K591" s="36" t="str">
        <f t="shared" ca="1" si="26"/>
        <v/>
      </c>
    </row>
    <row r="592" spans="3:11" x14ac:dyDescent="0.25">
      <c r="C592" s="53"/>
      <c r="D592" s="54"/>
      <c r="E592" s="55"/>
      <c r="F592" s="54"/>
      <c r="G592" s="56"/>
      <c r="H592" s="56"/>
      <c r="I592" s="36" t="str">
        <f t="shared" si="24"/>
        <v/>
      </c>
      <c r="J592" s="36">
        <f t="shared" si="25"/>
        <v>0</v>
      </c>
      <c r="K592" s="36" t="str">
        <f t="shared" ca="1" si="26"/>
        <v/>
      </c>
    </row>
    <row r="593" spans="3:11" x14ac:dyDescent="0.25">
      <c r="C593" s="53"/>
      <c r="D593" s="54"/>
      <c r="E593" s="55"/>
      <c r="F593" s="54"/>
      <c r="G593" s="56"/>
      <c r="H593" s="56"/>
      <c r="I593" s="36" t="str">
        <f t="shared" ref="I593:I656" si="27">IF(C593="","",IF(H593&lt;=0,"Em aberto",IF(H593&gt;=G593,"Pagamento Total",IF(H593&lt;G593,"Pagamento Parcial"))))</f>
        <v/>
      </c>
      <c r="J593" s="36">
        <f t="shared" ref="J593:J656" si="28">IF(C593&gt;0,G593-H593,0)</f>
        <v>0</v>
      </c>
      <c r="K593" s="36" t="str">
        <f t="shared" ref="K593:K656" ca="1" si="29">IF(ISBLANK(C593),"",IF(H593=G593,"Pago",IF(C593=TODAY(),"Vence Hoje",IF(TRIM(UPPER(G592))&lt;&gt;"S",IF(C593-TODAY()&lt;0,"Vencida",IF(C593-TODAY()&lt;8,"Próximos sete dias","Em aberto"))))))</f>
        <v/>
      </c>
    </row>
    <row r="594" spans="3:11" x14ac:dyDescent="0.25">
      <c r="C594" s="53"/>
      <c r="D594" s="54"/>
      <c r="E594" s="55"/>
      <c r="F594" s="54"/>
      <c r="G594" s="56"/>
      <c r="H594" s="56"/>
      <c r="I594" s="36" t="str">
        <f t="shared" si="27"/>
        <v/>
      </c>
      <c r="J594" s="36">
        <f t="shared" si="28"/>
        <v>0</v>
      </c>
      <c r="K594" s="36" t="str">
        <f t="shared" ca="1" si="29"/>
        <v/>
      </c>
    </row>
    <row r="595" spans="3:11" x14ac:dyDescent="0.25">
      <c r="C595" s="53"/>
      <c r="D595" s="54"/>
      <c r="E595" s="55"/>
      <c r="F595" s="54"/>
      <c r="G595" s="56"/>
      <c r="H595" s="56"/>
      <c r="I595" s="36" t="str">
        <f t="shared" si="27"/>
        <v/>
      </c>
      <c r="J595" s="36">
        <f t="shared" si="28"/>
        <v>0</v>
      </c>
      <c r="K595" s="36" t="str">
        <f t="shared" ca="1" si="29"/>
        <v/>
      </c>
    </row>
    <row r="596" spans="3:11" x14ac:dyDescent="0.25">
      <c r="C596" s="53"/>
      <c r="D596" s="54"/>
      <c r="E596" s="55"/>
      <c r="F596" s="54"/>
      <c r="G596" s="56"/>
      <c r="H596" s="56"/>
      <c r="I596" s="36" t="str">
        <f t="shared" si="27"/>
        <v/>
      </c>
      <c r="J596" s="36">
        <f t="shared" si="28"/>
        <v>0</v>
      </c>
      <c r="K596" s="36" t="str">
        <f t="shared" ca="1" si="29"/>
        <v/>
      </c>
    </row>
    <row r="597" spans="3:11" x14ac:dyDescent="0.25">
      <c r="C597" s="53"/>
      <c r="D597" s="54"/>
      <c r="E597" s="55"/>
      <c r="F597" s="54"/>
      <c r="G597" s="56"/>
      <c r="H597" s="56"/>
      <c r="I597" s="36" t="str">
        <f t="shared" si="27"/>
        <v/>
      </c>
      <c r="J597" s="36">
        <f t="shared" si="28"/>
        <v>0</v>
      </c>
      <c r="K597" s="36" t="str">
        <f t="shared" ca="1" si="29"/>
        <v/>
      </c>
    </row>
    <row r="598" spans="3:11" x14ac:dyDescent="0.25">
      <c r="C598" s="53"/>
      <c r="D598" s="54"/>
      <c r="E598" s="55"/>
      <c r="F598" s="54"/>
      <c r="G598" s="56"/>
      <c r="H598" s="56"/>
      <c r="I598" s="36" t="str">
        <f t="shared" si="27"/>
        <v/>
      </c>
      <c r="J598" s="36">
        <f t="shared" si="28"/>
        <v>0</v>
      </c>
      <c r="K598" s="36" t="str">
        <f t="shared" ca="1" si="29"/>
        <v/>
      </c>
    </row>
    <row r="599" spans="3:11" x14ac:dyDescent="0.25">
      <c r="C599" s="53"/>
      <c r="D599" s="54"/>
      <c r="E599" s="55"/>
      <c r="F599" s="54"/>
      <c r="G599" s="56"/>
      <c r="H599" s="56"/>
      <c r="I599" s="36" t="str">
        <f t="shared" si="27"/>
        <v/>
      </c>
      <c r="J599" s="36">
        <f t="shared" si="28"/>
        <v>0</v>
      </c>
      <c r="K599" s="36" t="str">
        <f t="shared" ca="1" si="29"/>
        <v/>
      </c>
    </row>
    <row r="600" spans="3:11" x14ac:dyDescent="0.25">
      <c r="C600" s="53"/>
      <c r="D600" s="54"/>
      <c r="E600" s="55"/>
      <c r="F600" s="54"/>
      <c r="G600" s="56"/>
      <c r="H600" s="56"/>
      <c r="I600" s="36" t="str">
        <f t="shared" si="27"/>
        <v/>
      </c>
      <c r="J600" s="36">
        <f t="shared" si="28"/>
        <v>0</v>
      </c>
      <c r="K600" s="36" t="str">
        <f t="shared" ca="1" si="29"/>
        <v/>
      </c>
    </row>
    <row r="601" spans="3:11" x14ac:dyDescent="0.25">
      <c r="C601" s="53"/>
      <c r="D601" s="54"/>
      <c r="E601" s="55"/>
      <c r="F601" s="54"/>
      <c r="G601" s="56"/>
      <c r="H601" s="56"/>
      <c r="I601" s="36" t="str">
        <f t="shared" si="27"/>
        <v/>
      </c>
      <c r="J601" s="36">
        <f t="shared" si="28"/>
        <v>0</v>
      </c>
      <c r="K601" s="36" t="str">
        <f t="shared" ca="1" si="29"/>
        <v/>
      </c>
    </row>
    <row r="602" spans="3:11" x14ac:dyDescent="0.25">
      <c r="C602" s="53"/>
      <c r="D602" s="54"/>
      <c r="E602" s="55"/>
      <c r="F602" s="54"/>
      <c r="G602" s="56"/>
      <c r="H602" s="56"/>
      <c r="I602" s="36" t="str">
        <f t="shared" si="27"/>
        <v/>
      </c>
      <c r="J602" s="36">
        <f t="shared" si="28"/>
        <v>0</v>
      </c>
      <c r="K602" s="36" t="str">
        <f t="shared" ca="1" si="29"/>
        <v/>
      </c>
    </row>
    <row r="603" spans="3:11" x14ac:dyDescent="0.25">
      <c r="C603" s="53"/>
      <c r="D603" s="54"/>
      <c r="E603" s="55"/>
      <c r="F603" s="54"/>
      <c r="G603" s="56"/>
      <c r="H603" s="56"/>
      <c r="I603" s="36" t="str">
        <f t="shared" si="27"/>
        <v/>
      </c>
      <c r="J603" s="36">
        <f t="shared" si="28"/>
        <v>0</v>
      </c>
      <c r="K603" s="36" t="str">
        <f t="shared" ca="1" si="29"/>
        <v/>
      </c>
    </row>
    <row r="604" spans="3:11" x14ac:dyDescent="0.25">
      <c r="C604" s="53"/>
      <c r="D604" s="54"/>
      <c r="E604" s="55"/>
      <c r="F604" s="54"/>
      <c r="G604" s="56"/>
      <c r="H604" s="56"/>
      <c r="I604" s="36" t="str">
        <f t="shared" si="27"/>
        <v/>
      </c>
      <c r="J604" s="36">
        <f t="shared" si="28"/>
        <v>0</v>
      </c>
      <c r="K604" s="36" t="str">
        <f t="shared" ca="1" si="29"/>
        <v/>
      </c>
    </row>
    <row r="605" spans="3:11" x14ac:dyDescent="0.25">
      <c r="C605" s="53"/>
      <c r="D605" s="54"/>
      <c r="E605" s="55"/>
      <c r="F605" s="54"/>
      <c r="G605" s="56"/>
      <c r="H605" s="56"/>
      <c r="I605" s="36" t="str">
        <f t="shared" si="27"/>
        <v/>
      </c>
      <c r="J605" s="36">
        <f t="shared" si="28"/>
        <v>0</v>
      </c>
      <c r="K605" s="36" t="str">
        <f t="shared" ca="1" si="29"/>
        <v/>
      </c>
    </row>
    <row r="606" spans="3:11" x14ac:dyDescent="0.25">
      <c r="C606" s="53"/>
      <c r="D606" s="54"/>
      <c r="E606" s="55"/>
      <c r="F606" s="54"/>
      <c r="G606" s="56"/>
      <c r="H606" s="56"/>
      <c r="I606" s="36" t="str">
        <f t="shared" si="27"/>
        <v/>
      </c>
      <c r="J606" s="36">
        <f t="shared" si="28"/>
        <v>0</v>
      </c>
      <c r="K606" s="36" t="str">
        <f t="shared" ca="1" si="29"/>
        <v/>
      </c>
    </row>
    <row r="607" spans="3:11" x14ac:dyDescent="0.25">
      <c r="C607" s="53"/>
      <c r="D607" s="54"/>
      <c r="E607" s="55"/>
      <c r="F607" s="54"/>
      <c r="G607" s="56"/>
      <c r="H607" s="56"/>
      <c r="I607" s="36" t="str">
        <f t="shared" si="27"/>
        <v/>
      </c>
      <c r="J607" s="36">
        <f t="shared" si="28"/>
        <v>0</v>
      </c>
      <c r="K607" s="36" t="str">
        <f t="shared" ca="1" si="29"/>
        <v/>
      </c>
    </row>
    <row r="608" spans="3:11" x14ac:dyDescent="0.25">
      <c r="C608" s="53"/>
      <c r="D608" s="54"/>
      <c r="E608" s="55"/>
      <c r="F608" s="54"/>
      <c r="G608" s="56"/>
      <c r="H608" s="56"/>
      <c r="I608" s="36" t="str">
        <f t="shared" si="27"/>
        <v/>
      </c>
      <c r="J608" s="36">
        <f t="shared" si="28"/>
        <v>0</v>
      </c>
      <c r="K608" s="36" t="str">
        <f t="shared" ca="1" si="29"/>
        <v/>
      </c>
    </row>
    <row r="609" spans="3:11" x14ac:dyDescent="0.25">
      <c r="C609" s="53"/>
      <c r="D609" s="54"/>
      <c r="E609" s="55"/>
      <c r="F609" s="54"/>
      <c r="G609" s="56"/>
      <c r="H609" s="56"/>
      <c r="I609" s="36" t="str">
        <f t="shared" si="27"/>
        <v/>
      </c>
      <c r="J609" s="36">
        <f t="shared" si="28"/>
        <v>0</v>
      </c>
      <c r="K609" s="36" t="str">
        <f t="shared" ca="1" si="29"/>
        <v/>
      </c>
    </row>
    <row r="610" spans="3:11" x14ac:dyDescent="0.25">
      <c r="C610" s="53"/>
      <c r="D610" s="54"/>
      <c r="E610" s="55"/>
      <c r="F610" s="54"/>
      <c r="G610" s="56"/>
      <c r="H610" s="56"/>
      <c r="I610" s="36" t="str">
        <f t="shared" si="27"/>
        <v/>
      </c>
      <c r="J610" s="36">
        <f t="shared" si="28"/>
        <v>0</v>
      </c>
      <c r="K610" s="36" t="str">
        <f t="shared" ca="1" si="29"/>
        <v/>
      </c>
    </row>
    <row r="611" spans="3:11" x14ac:dyDescent="0.25">
      <c r="C611" s="53"/>
      <c r="D611" s="54"/>
      <c r="E611" s="55"/>
      <c r="F611" s="54"/>
      <c r="G611" s="56"/>
      <c r="H611" s="56"/>
      <c r="I611" s="36" t="str">
        <f t="shared" si="27"/>
        <v/>
      </c>
      <c r="J611" s="36">
        <f t="shared" si="28"/>
        <v>0</v>
      </c>
      <c r="K611" s="36" t="str">
        <f t="shared" ca="1" si="29"/>
        <v/>
      </c>
    </row>
    <row r="612" spans="3:11" x14ac:dyDescent="0.25">
      <c r="C612" s="53"/>
      <c r="D612" s="54"/>
      <c r="E612" s="55"/>
      <c r="F612" s="54"/>
      <c r="G612" s="56"/>
      <c r="H612" s="56"/>
      <c r="I612" s="36" t="str">
        <f t="shared" si="27"/>
        <v/>
      </c>
      <c r="J612" s="36">
        <f t="shared" si="28"/>
        <v>0</v>
      </c>
      <c r="K612" s="36" t="str">
        <f t="shared" ca="1" si="29"/>
        <v/>
      </c>
    </row>
    <row r="613" spans="3:11" x14ac:dyDescent="0.25">
      <c r="C613" s="53"/>
      <c r="D613" s="54"/>
      <c r="E613" s="55"/>
      <c r="F613" s="54"/>
      <c r="G613" s="56"/>
      <c r="H613" s="56"/>
      <c r="I613" s="36" t="str">
        <f t="shared" si="27"/>
        <v/>
      </c>
      <c r="J613" s="36">
        <f t="shared" si="28"/>
        <v>0</v>
      </c>
      <c r="K613" s="36" t="str">
        <f t="shared" ca="1" si="29"/>
        <v/>
      </c>
    </row>
    <row r="614" spans="3:11" x14ac:dyDescent="0.25">
      <c r="C614" s="53"/>
      <c r="D614" s="54"/>
      <c r="E614" s="55"/>
      <c r="F614" s="54"/>
      <c r="G614" s="56"/>
      <c r="H614" s="56"/>
      <c r="I614" s="36" t="str">
        <f t="shared" si="27"/>
        <v/>
      </c>
      <c r="J614" s="36">
        <f t="shared" si="28"/>
        <v>0</v>
      </c>
      <c r="K614" s="36" t="str">
        <f t="shared" ca="1" si="29"/>
        <v/>
      </c>
    </row>
    <row r="615" spans="3:11" x14ac:dyDescent="0.25">
      <c r="C615" s="53"/>
      <c r="D615" s="54"/>
      <c r="E615" s="55"/>
      <c r="F615" s="54"/>
      <c r="G615" s="56"/>
      <c r="H615" s="56"/>
      <c r="I615" s="36" t="str">
        <f t="shared" si="27"/>
        <v/>
      </c>
      <c r="J615" s="36">
        <f t="shared" si="28"/>
        <v>0</v>
      </c>
      <c r="K615" s="36" t="str">
        <f t="shared" ca="1" si="29"/>
        <v/>
      </c>
    </row>
    <row r="616" spans="3:11" x14ac:dyDescent="0.25">
      <c r="C616" s="53"/>
      <c r="D616" s="54"/>
      <c r="E616" s="55"/>
      <c r="F616" s="54"/>
      <c r="G616" s="56"/>
      <c r="H616" s="56"/>
      <c r="I616" s="36" t="str">
        <f t="shared" si="27"/>
        <v/>
      </c>
      <c r="J616" s="36">
        <f t="shared" si="28"/>
        <v>0</v>
      </c>
      <c r="K616" s="36" t="str">
        <f t="shared" ca="1" si="29"/>
        <v/>
      </c>
    </row>
    <row r="617" spans="3:11" x14ac:dyDescent="0.25">
      <c r="C617" s="53"/>
      <c r="D617" s="54"/>
      <c r="E617" s="55"/>
      <c r="F617" s="54"/>
      <c r="G617" s="56"/>
      <c r="H617" s="56"/>
      <c r="I617" s="36" t="str">
        <f t="shared" si="27"/>
        <v/>
      </c>
      <c r="J617" s="36">
        <f t="shared" si="28"/>
        <v>0</v>
      </c>
      <c r="K617" s="36" t="str">
        <f t="shared" ca="1" si="29"/>
        <v/>
      </c>
    </row>
    <row r="618" spans="3:11" x14ac:dyDescent="0.25">
      <c r="C618" s="53"/>
      <c r="D618" s="54"/>
      <c r="E618" s="55"/>
      <c r="F618" s="54"/>
      <c r="G618" s="56"/>
      <c r="H618" s="56"/>
      <c r="I618" s="36" t="str">
        <f t="shared" si="27"/>
        <v/>
      </c>
      <c r="J618" s="36">
        <f t="shared" si="28"/>
        <v>0</v>
      </c>
      <c r="K618" s="36" t="str">
        <f t="shared" ca="1" si="29"/>
        <v/>
      </c>
    </row>
    <row r="619" spans="3:11" x14ac:dyDescent="0.25">
      <c r="C619" s="53"/>
      <c r="D619" s="54"/>
      <c r="E619" s="55"/>
      <c r="F619" s="54"/>
      <c r="G619" s="56"/>
      <c r="H619" s="56"/>
      <c r="I619" s="36" t="str">
        <f t="shared" si="27"/>
        <v/>
      </c>
      <c r="J619" s="36">
        <f t="shared" si="28"/>
        <v>0</v>
      </c>
      <c r="K619" s="36" t="str">
        <f t="shared" ca="1" si="29"/>
        <v/>
      </c>
    </row>
    <row r="620" spans="3:11" x14ac:dyDescent="0.25">
      <c r="C620" s="53"/>
      <c r="D620" s="54"/>
      <c r="E620" s="55"/>
      <c r="F620" s="54"/>
      <c r="G620" s="56"/>
      <c r="H620" s="56"/>
      <c r="I620" s="36" t="str">
        <f t="shared" si="27"/>
        <v/>
      </c>
      <c r="J620" s="36">
        <f t="shared" si="28"/>
        <v>0</v>
      </c>
      <c r="K620" s="36" t="str">
        <f t="shared" ca="1" si="29"/>
        <v/>
      </c>
    </row>
    <row r="621" spans="3:11" x14ac:dyDescent="0.25">
      <c r="C621" s="53"/>
      <c r="D621" s="54"/>
      <c r="E621" s="55"/>
      <c r="F621" s="54"/>
      <c r="G621" s="56"/>
      <c r="H621" s="56"/>
      <c r="I621" s="36" t="str">
        <f t="shared" si="27"/>
        <v/>
      </c>
      <c r="J621" s="36">
        <f t="shared" si="28"/>
        <v>0</v>
      </c>
      <c r="K621" s="36" t="str">
        <f t="shared" ca="1" si="29"/>
        <v/>
      </c>
    </row>
    <row r="622" spans="3:11" x14ac:dyDescent="0.25">
      <c r="C622" s="53"/>
      <c r="D622" s="54"/>
      <c r="E622" s="55"/>
      <c r="F622" s="54"/>
      <c r="G622" s="56"/>
      <c r="H622" s="56"/>
      <c r="I622" s="36" t="str">
        <f t="shared" si="27"/>
        <v/>
      </c>
      <c r="J622" s="36">
        <f t="shared" si="28"/>
        <v>0</v>
      </c>
      <c r="K622" s="36" t="str">
        <f t="shared" ca="1" si="29"/>
        <v/>
      </c>
    </row>
    <row r="623" spans="3:11" x14ac:dyDescent="0.25">
      <c r="C623" s="53"/>
      <c r="D623" s="54"/>
      <c r="E623" s="55"/>
      <c r="F623" s="54"/>
      <c r="G623" s="56"/>
      <c r="H623" s="56"/>
      <c r="I623" s="36" t="str">
        <f t="shared" si="27"/>
        <v/>
      </c>
      <c r="J623" s="36">
        <f t="shared" si="28"/>
        <v>0</v>
      </c>
      <c r="K623" s="36" t="str">
        <f t="shared" ca="1" si="29"/>
        <v/>
      </c>
    </row>
    <row r="624" spans="3:11" x14ac:dyDescent="0.25">
      <c r="C624" s="53"/>
      <c r="D624" s="54"/>
      <c r="E624" s="55"/>
      <c r="F624" s="54"/>
      <c r="G624" s="56"/>
      <c r="H624" s="56"/>
      <c r="I624" s="36" t="str">
        <f t="shared" si="27"/>
        <v/>
      </c>
      <c r="J624" s="36">
        <f t="shared" si="28"/>
        <v>0</v>
      </c>
      <c r="K624" s="36" t="str">
        <f t="shared" ca="1" si="29"/>
        <v/>
      </c>
    </row>
    <row r="625" spans="3:11" x14ac:dyDescent="0.25">
      <c r="C625" s="53"/>
      <c r="D625" s="54"/>
      <c r="E625" s="55"/>
      <c r="F625" s="54"/>
      <c r="G625" s="56"/>
      <c r="H625" s="56"/>
      <c r="I625" s="36" t="str">
        <f t="shared" si="27"/>
        <v/>
      </c>
      <c r="J625" s="36">
        <f t="shared" si="28"/>
        <v>0</v>
      </c>
      <c r="K625" s="36" t="str">
        <f t="shared" ca="1" si="29"/>
        <v/>
      </c>
    </row>
    <row r="626" spans="3:11" x14ac:dyDescent="0.25">
      <c r="C626" s="53"/>
      <c r="D626" s="54"/>
      <c r="E626" s="55"/>
      <c r="F626" s="54"/>
      <c r="G626" s="56"/>
      <c r="H626" s="56"/>
      <c r="I626" s="36" t="str">
        <f t="shared" si="27"/>
        <v/>
      </c>
      <c r="J626" s="36">
        <f t="shared" si="28"/>
        <v>0</v>
      </c>
      <c r="K626" s="36" t="str">
        <f t="shared" ca="1" si="29"/>
        <v/>
      </c>
    </row>
    <row r="627" spans="3:11" x14ac:dyDescent="0.25">
      <c r="C627" s="53"/>
      <c r="D627" s="54"/>
      <c r="E627" s="55"/>
      <c r="F627" s="54"/>
      <c r="G627" s="56"/>
      <c r="H627" s="56"/>
      <c r="I627" s="36" t="str">
        <f t="shared" si="27"/>
        <v/>
      </c>
      <c r="J627" s="36">
        <f t="shared" si="28"/>
        <v>0</v>
      </c>
      <c r="K627" s="36" t="str">
        <f t="shared" ca="1" si="29"/>
        <v/>
      </c>
    </row>
    <row r="628" spans="3:11" x14ac:dyDescent="0.25">
      <c r="C628" s="53"/>
      <c r="D628" s="54"/>
      <c r="E628" s="55"/>
      <c r="F628" s="54"/>
      <c r="G628" s="56"/>
      <c r="H628" s="56"/>
      <c r="I628" s="36" t="str">
        <f t="shared" si="27"/>
        <v/>
      </c>
      <c r="J628" s="36">
        <f t="shared" si="28"/>
        <v>0</v>
      </c>
      <c r="K628" s="36" t="str">
        <f t="shared" ca="1" si="29"/>
        <v/>
      </c>
    </row>
    <row r="629" spans="3:11" x14ac:dyDescent="0.25">
      <c r="C629" s="53"/>
      <c r="D629" s="54"/>
      <c r="E629" s="55"/>
      <c r="F629" s="54"/>
      <c r="G629" s="56"/>
      <c r="H629" s="56"/>
      <c r="I629" s="36" t="str">
        <f t="shared" si="27"/>
        <v/>
      </c>
      <c r="J629" s="36">
        <f t="shared" si="28"/>
        <v>0</v>
      </c>
      <c r="K629" s="36" t="str">
        <f t="shared" ca="1" si="29"/>
        <v/>
      </c>
    </row>
    <row r="630" spans="3:11" x14ac:dyDescent="0.25">
      <c r="C630" s="53"/>
      <c r="D630" s="54"/>
      <c r="E630" s="55"/>
      <c r="F630" s="54"/>
      <c r="G630" s="56"/>
      <c r="H630" s="56"/>
      <c r="I630" s="36" t="str">
        <f t="shared" si="27"/>
        <v/>
      </c>
      <c r="J630" s="36">
        <f t="shared" si="28"/>
        <v>0</v>
      </c>
      <c r="K630" s="36" t="str">
        <f t="shared" ca="1" si="29"/>
        <v/>
      </c>
    </row>
    <row r="631" spans="3:11" x14ac:dyDescent="0.25">
      <c r="C631" s="53"/>
      <c r="D631" s="54"/>
      <c r="E631" s="55"/>
      <c r="F631" s="54"/>
      <c r="G631" s="56"/>
      <c r="H631" s="56"/>
      <c r="I631" s="36" t="str">
        <f t="shared" si="27"/>
        <v/>
      </c>
      <c r="J631" s="36">
        <f t="shared" si="28"/>
        <v>0</v>
      </c>
      <c r="K631" s="36" t="str">
        <f t="shared" ca="1" si="29"/>
        <v/>
      </c>
    </row>
    <row r="632" spans="3:11" x14ac:dyDescent="0.25">
      <c r="C632" s="53"/>
      <c r="D632" s="54"/>
      <c r="E632" s="55"/>
      <c r="F632" s="54"/>
      <c r="G632" s="56"/>
      <c r="H632" s="56"/>
      <c r="I632" s="36" t="str">
        <f t="shared" si="27"/>
        <v/>
      </c>
      <c r="J632" s="36">
        <f t="shared" si="28"/>
        <v>0</v>
      </c>
      <c r="K632" s="36" t="str">
        <f t="shared" ca="1" si="29"/>
        <v/>
      </c>
    </row>
    <row r="633" spans="3:11" x14ac:dyDescent="0.25">
      <c r="C633" s="53"/>
      <c r="D633" s="54"/>
      <c r="E633" s="55"/>
      <c r="F633" s="54"/>
      <c r="G633" s="56"/>
      <c r="H633" s="56"/>
      <c r="I633" s="36" t="str">
        <f t="shared" si="27"/>
        <v/>
      </c>
      <c r="J633" s="36">
        <f t="shared" si="28"/>
        <v>0</v>
      </c>
      <c r="K633" s="36" t="str">
        <f t="shared" ca="1" si="29"/>
        <v/>
      </c>
    </row>
    <row r="634" spans="3:11" x14ac:dyDescent="0.25">
      <c r="C634" s="53"/>
      <c r="D634" s="54"/>
      <c r="E634" s="55"/>
      <c r="F634" s="54"/>
      <c r="G634" s="56"/>
      <c r="H634" s="56"/>
      <c r="I634" s="36" t="str">
        <f t="shared" si="27"/>
        <v/>
      </c>
      <c r="J634" s="36">
        <f t="shared" si="28"/>
        <v>0</v>
      </c>
      <c r="K634" s="36" t="str">
        <f t="shared" ca="1" si="29"/>
        <v/>
      </c>
    </row>
    <row r="635" spans="3:11" x14ac:dyDescent="0.25">
      <c r="C635" s="53"/>
      <c r="D635" s="54"/>
      <c r="E635" s="55"/>
      <c r="F635" s="54"/>
      <c r="G635" s="56"/>
      <c r="H635" s="56"/>
      <c r="I635" s="36" t="str">
        <f t="shared" si="27"/>
        <v/>
      </c>
      <c r="J635" s="36">
        <f t="shared" si="28"/>
        <v>0</v>
      </c>
      <c r="K635" s="36" t="str">
        <f t="shared" ca="1" si="29"/>
        <v/>
      </c>
    </row>
    <row r="636" spans="3:11" x14ac:dyDescent="0.25">
      <c r="C636" s="53"/>
      <c r="D636" s="54"/>
      <c r="E636" s="55"/>
      <c r="F636" s="54"/>
      <c r="G636" s="56"/>
      <c r="H636" s="56"/>
      <c r="I636" s="36" t="str">
        <f t="shared" si="27"/>
        <v/>
      </c>
      <c r="J636" s="36">
        <f t="shared" si="28"/>
        <v>0</v>
      </c>
      <c r="K636" s="36" t="str">
        <f t="shared" ca="1" si="29"/>
        <v/>
      </c>
    </row>
    <row r="637" spans="3:11" x14ac:dyDescent="0.25">
      <c r="C637" s="53"/>
      <c r="D637" s="54"/>
      <c r="E637" s="55"/>
      <c r="F637" s="54"/>
      <c r="G637" s="56"/>
      <c r="H637" s="56"/>
      <c r="I637" s="36" t="str">
        <f t="shared" si="27"/>
        <v/>
      </c>
      <c r="J637" s="36">
        <f t="shared" si="28"/>
        <v>0</v>
      </c>
      <c r="K637" s="36" t="str">
        <f t="shared" ca="1" si="29"/>
        <v/>
      </c>
    </row>
    <row r="638" spans="3:11" x14ac:dyDescent="0.25">
      <c r="C638" s="53"/>
      <c r="D638" s="54"/>
      <c r="E638" s="55"/>
      <c r="F638" s="54"/>
      <c r="G638" s="56"/>
      <c r="H638" s="56"/>
      <c r="I638" s="36" t="str">
        <f t="shared" si="27"/>
        <v/>
      </c>
      <c r="J638" s="36">
        <f t="shared" si="28"/>
        <v>0</v>
      </c>
      <c r="K638" s="36" t="str">
        <f t="shared" ca="1" si="29"/>
        <v/>
      </c>
    </row>
    <row r="639" spans="3:11" x14ac:dyDescent="0.25">
      <c r="C639" s="53"/>
      <c r="D639" s="54"/>
      <c r="E639" s="55"/>
      <c r="F639" s="54"/>
      <c r="G639" s="56"/>
      <c r="H639" s="56"/>
      <c r="I639" s="36" t="str">
        <f t="shared" si="27"/>
        <v/>
      </c>
      <c r="J639" s="36">
        <f t="shared" si="28"/>
        <v>0</v>
      </c>
      <c r="K639" s="36" t="str">
        <f t="shared" ca="1" si="29"/>
        <v/>
      </c>
    </row>
    <row r="640" spans="3:11" x14ac:dyDescent="0.25">
      <c r="C640" s="53"/>
      <c r="D640" s="54"/>
      <c r="E640" s="55"/>
      <c r="F640" s="54"/>
      <c r="G640" s="56"/>
      <c r="H640" s="56"/>
      <c r="I640" s="36" t="str">
        <f t="shared" si="27"/>
        <v/>
      </c>
      <c r="J640" s="36">
        <f t="shared" si="28"/>
        <v>0</v>
      </c>
      <c r="K640" s="36" t="str">
        <f t="shared" ca="1" si="29"/>
        <v/>
      </c>
    </row>
    <row r="641" spans="3:11" x14ac:dyDescent="0.25">
      <c r="C641" s="53"/>
      <c r="D641" s="54"/>
      <c r="E641" s="55"/>
      <c r="F641" s="54"/>
      <c r="G641" s="56"/>
      <c r="H641" s="56"/>
      <c r="I641" s="36" t="str">
        <f t="shared" si="27"/>
        <v/>
      </c>
      <c r="J641" s="36">
        <f t="shared" si="28"/>
        <v>0</v>
      </c>
      <c r="K641" s="36" t="str">
        <f t="shared" ca="1" si="29"/>
        <v/>
      </c>
    </row>
    <row r="642" spans="3:11" x14ac:dyDescent="0.25">
      <c r="C642" s="53"/>
      <c r="D642" s="54"/>
      <c r="E642" s="55"/>
      <c r="F642" s="54"/>
      <c r="G642" s="56"/>
      <c r="H642" s="56"/>
      <c r="I642" s="36" t="str">
        <f t="shared" si="27"/>
        <v/>
      </c>
      <c r="J642" s="36">
        <f t="shared" si="28"/>
        <v>0</v>
      </c>
      <c r="K642" s="36" t="str">
        <f t="shared" ca="1" si="29"/>
        <v/>
      </c>
    </row>
    <row r="643" spans="3:11" x14ac:dyDescent="0.25">
      <c r="C643" s="53"/>
      <c r="D643" s="54"/>
      <c r="E643" s="55"/>
      <c r="F643" s="54"/>
      <c r="G643" s="56"/>
      <c r="H643" s="56"/>
      <c r="I643" s="36" t="str">
        <f t="shared" si="27"/>
        <v/>
      </c>
      <c r="J643" s="36">
        <f t="shared" si="28"/>
        <v>0</v>
      </c>
      <c r="K643" s="36" t="str">
        <f t="shared" ca="1" si="29"/>
        <v/>
      </c>
    </row>
    <row r="644" spans="3:11" x14ac:dyDescent="0.25">
      <c r="C644" s="53"/>
      <c r="D644" s="54"/>
      <c r="E644" s="55"/>
      <c r="F644" s="54"/>
      <c r="G644" s="56"/>
      <c r="H644" s="56"/>
      <c r="I644" s="36" t="str">
        <f t="shared" si="27"/>
        <v/>
      </c>
      <c r="J644" s="36">
        <f t="shared" si="28"/>
        <v>0</v>
      </c>
      <c r="K644" s="36" t="str">
        <f t="shared" ca="1" si="29"/>
        <v/>
      </c>
    </row>
    <row r="645" spans="3:11" x14ac:dyDescent="0.25">
      <c r="C645" s="53"/>
      <c r="D645" s="54"/>
      <c r="E645" s="55"/>
      <c r="F645" s="54"/>
      <c r="G645" s="56"/>
      <c r="H645" s="56"/>
      <c r="I645" s="36" t="str">
        <f t="shared" si="27"/>
        <v/>
      </c>
      <c r="J645" s="36">
        <f t="shared" si="28"/>
        <v>0</v>
      </c>
      <c r="K645" s="36" t="str">
        <f t="shared" ca="1" si="29"/>
        <v/>
      </c>
    </row>
    <row r="646" spans="3:11" x14ac:dyDescent="0.25">
      <c r="C646" s="53"/>
      <c r="D646" s="54"/>
      <c r="E646" s="55"/>
      <c r="F646" s="54"/>
      <c r="G646" s="56"/>
      <c r="H646" s="56"/>
      <c r="I646" s="36" t="str">
        <f t="shared" si="27"/>
        <v/>
      </c>
      <c r="J646" s="36">
        <f t="shared" si="28"/>
        <v>0</v>
      </c>
      <c r="K646" s="36" t="str">
        <f t="shared" ca="1" si="29"/>
        <v/>
      </c>
    </row>
    <row r="647" spans="3:11" x14ac:dyDescent="0.25">
      <c r="C647" s="53"/>
      <c r="D647" s="54"/>
      <c r="E647" s="55"/>
      <c r="F647" s="54"/>
      <c r="G647" s="56"/>
      <c r="H647" s="56"/>
      <c r="I647" s="36" t="str">
        <f t="shared" si="27"/>
        <v/>
      </c>
      <c r="J647" s="36">
        <f t="shared" si="28"/>
        <v>0</v>
      </c>
      <c r="K647" s="36" t="str">
        <f t="shared" ca="1" si="29"/>
        <v/>
      </c>
    </row>
    <row r="648" spans="3:11" x14ac:dyDescent="0.25">
      <c r="C648" s="53"/>
      <c r="D648" s="54"/>
      <c r="E648" s="55"/>
      <c r="F648" s="54"/>
      <c r="G648" s="56"/>
      <c r="H648" s="56"/>
      <c r="I648" s="36" t="str">
        <f t="shared" si="27"/>
        <v/>
      </c>
      <c r="J648" s="36">
        <f t="shared" si="28"/>
        <v>0</v>
      </c>
      <c r="K648" s="36" t="str">
        <f t="shared" ca="1" si="29"/>
        <v/>
      </c>
    </row>
    <row r="649" spans="3:11" x14ac:dyDescent="0.25">
      <c r="C649" s="53"/>
      <c r="D649" s="54"/>
      <c r="E649" s="55"/>
      <c r="F649" s="54"/>
      <c r="G649" s="56"/>
      <c r="H649" s="56"/>
      <c r="I649" s="36" t="str">
        <f t="shared" si="27"/>
        <v/>
      </c>
      <c r="J649" s="36">
        <f t="shared" si="28"/>
        <v>0</v>
      </c>
      <c r="K649" s="36" t="str">
        <f t="shared" ca="1" si="29"/>
        <v/>
      </c>
    </row>
    <row r="650" spans="3:11" x14ac:dyDescent="0.25">
      <c r="C650" s="53"/>
      <c r="D650" s="54"/>
      <c r="E650" s="55"/>
      <c r="F650" s="54"/>
      <c r="G650" s="56"/>
      <c r="H650" s="56"/>
      <c r="I650" s="36" t="str">
        <f t="shared" si="27"/>
        <v/>
      </c>
      <c r="J650" s="36">
        <f t="shared" si="28"/>
        <v>0</v>
      </c>
      <c r="K650" s="36" t="str">
        <f t="shared" ca="1" si="29"/>
        <v/>
      </c>
    </row>
    <row r="651" spans="3:11" x14ac:dyDescent="0.25">
      <c r="C651" s="53"/>
      <c r="D651" s="54"/>
      <c r="E651" s="55"/>
      <c r="F651" s="54"/>
      <c r="G651" s="56"/>
      <c r="H651" s="56"/>
      <c r="I651" s="36" t="str">
        <f t="shared" si="27"/>
        <v/>
      </c>
      <c r="J651" s="36">
        <f t="shared" si="28"/>
        <v>0</v>
      </c>
      <c r="K651" s="36" t="str">
        <f t="shared" ca="1" si="29"/>
        <v/>
      </c>
    </row>
    <row r="652" spans="3:11" x14ac:dyDescent="0.25">
      <c r="C652" s="53"/>
      <c r="D652" s="54"/>
      <c r="E652" s="55"/>
      <c r="F652" s="54"/>
      <c r="G652" s="56"/>
      <c r="H652" s="56"/>
      <c r="I652" s="36" t="str">
        <f t="shared" si="27"/>
        <v/>
      </c>
      <c r="J652" s="36">
        <f t="shared" si="28"/>
        <v>0</v>
      </c>
      <c r="K652" s="36" t="str">
        <f t="shared" ca="1" si="29"/>
        <v/>
      </c>
    </row>
    <row r="653" spans="3:11" x14ac:dyDescent="0.25">
      <c r="C653" s="53"/>
      <c r="D653" s="54"/>
      <c r="E653" s="55"/>
      <c r="F653" s="54"/>
      <c r="G653" s="56"/>
      <c r="H653" s="56"/>
      <c r="I653" s="36" t="str">
        <f t="shared" si="27"/>
        <v/>
      </c>
      <c r="J653" s="36">
        <f t="shared" si="28"/>
        <v>0</v>
      </c>
      <c r="K653" s="36" t="str">
        <f t="shared" ca="1" si="29"/>
        <v/>
      </c>
    </row>
    <row r="654" spans="3:11" x14ac:dyDescent="0.25">
      <c r="C654" s="53"/>
      <c r="D654" s="54"/>
      <c r="E654" s="55"/>
      <c r="F654" s="54"/>
      <c r="G654" s="56"/>
      <c r="H654" s="56"/>
      <c r="I654" s="36" t="str">
        <f t="shared" si="27"/>
        <v/>
      </c>
      <c r="J654" s="36">
        <f t="shared" si="28"/>
        <v>0</v>
      </c>
      <c r="K654" s="36" t="str">
        <f t="shared" ca="1" si="29"/>
        <v/>
      </c>
    </row>
    <row r="655" spans="3:11" x14ac:dyDescent="0.25">
      <c r="C655" s="53"/>
      <c r="D655" s="54"/>
      <c r="E655" s="55"/>
      <c r="F655" s="54"/>
      <c r="G655" s="56"/>
      <c r="H655" s="56"/>
      <c r="I655" s="36" t="str">
        <f t="shared" si="27"/>
        <v/>
      </c>
      <c r="J655" s="36">
        <f t="shared" si="28"/>
        <v>0</v>
      </c>
      <c r="K655" s="36" t="str">
        <f t="shared" ca="1" si="29"/>
        <v/>
      </c>
    </row>
    <row r="656" spans="3:11" x14ac:dyDescent="0.25">
      <c r="C656" s="53"/>
      <c r="D656" s="54"/>
      <c r="E656" s="55"/>
      <c r="F656" s="54"/>
      <c r="G656" s="56"/>
      <c r="H656" s="56"/>
      <c r="I656" s="36" t="str">
        <f t="shared" si="27"/>
        <v/>
      </c>
      <c r="J656" s="36">
        <f t="shared" si="28"/>
        <v>0</v>
      </c>
      <c r="K656" s="36" t="str">
        <f t="shared" ca="1" si="29"/>
        <v/>
      </c>
    </row>
    <row r="657" spans="3:11" x14ac:dyDescent="0.25">
      <c r="C657" s="53"/>
      <c r="D657" s="54"/>
      <c r="E657" s="55"/>
      <c r="F657" s="54"/>
      <c r="G657" s="56"/>
      <c r="H657" s="56"/>
      <c r="I657" s="36" t="str">
        <f t="shared" ref="I657:I720" si="30">IF(C657="","",IF(H657&lt;=0,"Em aberto",IF(H657&gt;=G657,"Pagamento Total",IF(H657&lt;G657,"Pagamento Parcial"))))</f>
        <v/>
      </c>
      <c r="J657" s="36">
        <f t="shared" ref="J657:J720" si="31">IF(C657&gt;0,G657-H657,0)</f>
        <v>0</v>
      </c>
      <c r="K657" s="36" t="str">
        <f t="shared" ref="K657:K720" ca="1" si="32">IF(ISBLANK(C657),"",IF(H657=G657,"Pago",IF(C657=TODAY(),"Vence Hoje",IF(TRIM(UPPER(G656))&lt;&gt;"S",IF(C657-TODAY()&lt;0,"Vencida",IF(C657-TODAY()&lt;8,"Próximos sete dias","Em aberto"))))))</f>
        <v/>
      </c>
    </row>
    <row r="658" spans="3:11" x14ac:dyDescent="0.25">
      <c r="C658" s="53"/>
      <c r="D658" s="54"/>
      <c r="E658" s="55"/>
      <c r="F658" s="54"/>
      <c r="G658" s="56"/>
      <c r="H658" s="56"/>
      <c r="I658" s="36" t="str">
        <f t="shared" si="30"/>
        <v/>
      </c>
      <c r="J658" s="36">
        <f t="shared" si="31"/>
        <v>0</v>
      </c>
      <c r="K658" s="36" t="str">
        <f t="shared" ca="1" si="32"/>
        <v/>
      </c>
    </row>
    <row r="659" spans="3:11" x14ac:dyDescent="0.25">
      <c r="C659" s="53"/>
      <c r="D659" s="54"/>
      <c r="E659" s="55"/>
      <c r="F659" s="54"/>
      <c r="G659" s="56"/>
      <c r="H659" s="56"/>
      <c r="I659" s="36" t="str">
        <f t="shared" si="30"/>
        <v/>
      </c>
      <c r="J659" s="36">
        <f t="shared" si="31"/>
        <v>0</v>
      </c>
      <c r="K659" s="36" t="str">
        <f t="shared" ca="1" si="32"/>
        <v/>
      </c>
    </row>
    <row r="660" spans="3:11" x14ac:dyDescent="0.25">
      <c r="C660" s="53"/>
      <c r="D660" s="54"/>
      <c r="E660" s="55"/>
      <c r="F660" s="54"/>
      <c r="G660" s="56"/>
      <c r="H660" s="56"/>
      <c r="I660" s="36" t="str">
        <f t="shared" si="30"/>
        <v/>
      </c>
      <c r="J660" s="36">
        <f t="shared" si="31"/>
        <v>0</v>
      </c>
      <c r="K660" s="36" t="str">
        <f t="shared" ca="1" si="32"/>
        <v/>
      </c>
    </row>
    <row r="661" spans="3:11" x14ac:dyDescent="0.25">
      <c r="C661" s="53"/>
      <c r="D661" s="54"/>
      <c r="E661" s="55"/>
      <c r="F661" s="54"/>
      <c r="G661" s="56"/>
      <c r="H661" s="56"/>
      <c r="I661" s="36" t="str">
        <f t="shared" si="30"/>
        <v/>
      </c>
      <c r="J661" s="36">
        <f t="shared" si="31"/>
        <v>0</v>
      </c>
      <c r="K661" s="36" t="str">
        <f t="shared" ca="1" si="32"/>
        <v/>
      </c>
    </row>
    <row r="662" spans="3:11" x14ac:dyDescent="0.25">
      <c r="C662" s="53"/>
      <c r="D662" s="54"/>
      <c r="E662" s="55"/>
      <c r="F662" s="54"/>
      <c r="G662" s="56"/>
      <c r="H662" s="56"/>
      <c r="I662" s="36" t="str">
        <f t="shared" si="30"/>
        <v/>
      </c>
      <c r="J662" s="36">
        <f t="shared" si="31"/>
        <v>0</v>
      </c>
      <c r="K662" s="36" t="str">
        <f t="shared" ca="1" si="32"/>
        <v/>
      </c>
    </row>
    <row r="663" spans="3:11" x14ac:dyDescent="0.25">
      <c r="C663" s="53"/>
      <c r="D663" s="54"/>
      <c r="E663" s="55"/>
      <c r="F663" s="54"/>
      <c r="G663" s="56"/>
      <c r="H663" s="56"/>
      <c r="I663" s="36" t="str">
        <f t="shared" si="30"/>
        <v/>
      </c>
      <c r="J663" s="36">
        <f t="shared" si="31"/>
        <v>0</v>
      </c>
      <c r="K663" s="36" t="str">
        <f t="shared" ca="1" si="32"/>
        <v/>
      </c>
    </row>
    <row r="664" spans="3:11" x14ac:dyDescent="0.25">
      <c r="C664" s="53"/>
      <c r="D664" s="54"/>
      <c r="E664" s="55"/>
      <c r="F664" s="54"/>
      <c r="G664" s="56"/>
      <c r="H664" s="56"/>
      <c r="I664" s="36" t="str">
        <f t="shared" si="30"/>
        <v/>
      </c>
      <c r="J664" s="36">
        <f t="shared" si="31"/>
        <v>0</v>
      </c>
      <c r="K664" s="36" t="str">
        <f t="shared" ca="1" si="32"/>
        <v/>
      </c>
    </row>
    <row r="665" spans="3:11" x14ac:dyDescent="0.25">
      <c r="C665" s="53"/>
      <c r="D665" s="54"/>
      <c r="E665" s="55"/>
      <c r="F665" s="54"/>
      <c r="G665" s="56"/>
      <c r="H665" s="56"/>
      <c r="I665" s="36" t="str">
        <f t="shared" si="30"/>
        <v/>
      </c>
      <c r="J665" s="36">
        <f t="shared" si="31"/>
        <v>0</v>
      </c>
      <c r="K665" s="36" t="str">
        <f t="shared" ca="1" si="32"/>
        <v/>
      </c>
    </row>
    <row r="666" spans="3:11" x14ac:dyDescent="0.25">
      <c r="C666" s="53"/>
      <c r="D666" s="54"/>
      <c r="E666" s="55"/>
      <c r="F666" s="54"/>
      <c r="G666" s="56"/>
      <c r="H666" s="56"/>
      <c r="I666" s="36" t="str">
        <f t="shared" si="30"/>
        <v/>
      </c>
      <c r="J666" s="36">
        <f t="shared" si="31"/>
        <v>0</v>
      </c>
      <c r="K666" s="36" t="str">
        <f t="shared" ca="1" si="32"/>
        <v/>
      </c>
    </row>
    <row r="667" spans="3:11" x14ac:dyDescent="0.25">
      <c r="C667" s="53"/>
      <c r="D667" s="54"/>
      <c r="E667" s="55"/>
      <c r="F667" s="54"/>
      <c r="G667" s="56"/>
      <c r="H667" s="56"/>
      <c r="I667" s="36" t="str">
        <f t="shared" si="30"/>
        <v/>
      </c>
      <c r="J667" s="36">
        <f t="shared" si="31"/>
        <v>0</v>
      </c>
      <c r="K667" s="36" t="str">
        <f t="shared" ca="1" si="32"/>
        <v/>
      </c>
    </row>
    <row r="668" spans="3:11" x14ac:dyDescent="0.25">
      <c r="C668" s="53"/>
      <c r="D668" s="54"/>
      <c r="E668" s="55"/>
      <c r="F668" s="54"/>
      <c r="G668" s="56"/>
      <c r="H668" s="56"/>
      <c r="I668" s="36" t="str">
        <f t="shared" si="30"/>
        <v/>
      </c>
      <c r="J668" s="36">
        <f t="shared" si="31"/>
        <v>0</v>
      </c>
      <c r="K668" s="36" t="str">
        <f t="shared" ca="1" si="32"/>
        <v/>
      </c>
    </row>
    <row r="669" spans="3:11" x14ac:dyDescent="0.25">
      <c r="C669" s="53"/>
      <c r="D669" s="54"/>
      <c r="E669" s="55"/>
      <c r="F669" s="54"/>
      <c r="G669" s="56"/>
      <c r="H669" s="56"/>
      <c r="I669" s="36" t="str">
        <f t="shared" si="30"/>
        <v/>
      </c>
      <c r="J669" s="36">
        <f t="shared" si="31"/>
        <v>0</v>
      </c>
      <c r="K669" s="36" t="str">
        <f t="shared" ca="1" si="32"/>
        <v/>
      </c>
    </row>
    <row r="670" spans="3:11" x14ac:dyDescent="0.25">
      <c r="C670" s="53"/>
      <c r="D670" s="54"/>
      <c r="E670" s="55"/>
      <c r="F670" s="54"/>
      <c r="G670" s="56"/>
      <c r="H670" s="56"/>
      <c r="I670" s="36" t="str">
        <f t="shared" si="30"/>
        <v/>
      </c>
      <c r="J670" s="36">
        <f t="shared" si="31"/>
        <v>0</v>
      </c>
      <c r="K670" s="36" t="str">
        <f t="shared" ca="1" si="32"/>
        <v/>
      </c>
    </row>
    <row r="671" spans="3:11" x14ac:dyDescent="0.25">
      <c r="C671" s="53"/>
      <c r="D671" s="54"/>
      <c r="E671" s="55"/>
      <c r="F671" s="54"/>
      <c r="G671" s="56"/>
      <c r="H671" s="56"/>
      <c r="I671" s="36" t="str">
        <f t="shared" si="30"/>
        <v/>
      </c>
      <c r="J671" s="36">
        <f t="shared" si="31"/>
        <v>0</v>
      </c>
      <c r="K671" s="36" t="str">
        <f t="shared" ca="1" si="32"/>
        <v/>
      </c>
    </row>
    <row r="672" spans="3:11" x14ac:dyDescent="0.25">
      <c r="C672" s="53"/>
      <c r="D672" s="54"/>
      <c r="E672" s="55"/>
      <c r="F672" s="54"/>
      <c r="G672" s="56"/>
      <c r="H672" s="56"/>
      <c r="I672" s="36" t="str">
        <f t="shared" si="30"/>
        <v/>
      </c>
      <c r="J672" s="36">
        <f t="shared" si="31"/>
        <v>0</v>
      </c>
      <c r="K672" s="36" t="str">
        <f t="shared" ca="1" si="32"/>
        <v/>
      </c>
    </row>
    <row r="673" spans="3:11" x14ac:dyDescent="0.25">
      <c r="C673" s="53"/>
      <c r="D673" s="54"/>
      <c r="E673" s="55"/>
      <c r="F673" s="54"/>
      <c r="G673" s="56"/>
      <c r="H673" s="56"/>
      <c r="I673" s="36" t="str">
        <f t="shared" si="30"/>
        <v/>
      </c>
      <c r="J673" s="36">
        <f t="shared" si="31"/>
        <v>0</v>
      </c>
      <c r="K673" s="36" t="str">
        <f t="shared" ca="1" si="32"/>
        <v/>
      </c>
    </row>
    <row r="674" spans="3:11" x14ac:dyDescent="0.25">
      <c r="C674" s="53"/>
      <c r="D674" s="54"/>
      <c r="E674" s="55"/>
      <c r="F674" s="54"/>
      <c r="G674" s="56"/>
      <c r="H674" s="56"/>
      <c r="I674" s="36" t="str">
        <f t="shared" si="30"/>
        <v/>
      </c>
      <c r="J674" s="36">
        <f t="shared" si="31"/>
        <v>0</v>
      </c>
      <c r="K674" s="36" t="str">
        <f t="shared" ca="1" si="32"/>
        <v/>
      </c>
    </row>
    <row r="675" spans="3:11" x14ac:dyDescent="0.25">
      <c r="C675" s="53"/>
      <c r="D675" s="54"/>
      <c r="E675" s="55"/>
      <c r="F675" s="54"/>
      <c r="G675" s="56"/>
      <c r="H675" s="56"/>
      <c r="I675" s="36" t="str">
        <f t="shared" si="30"/>
        <v/>
      </c>
      <c r="J675" s="36">
        <f t="shared" si="31"/>
        <v>0</v>
      </c>
      <c r="K675" s="36" t="str">
        <f t="shared" ca="1" si="32"/>
        <v/>
      </c>
    </row>
    <row r="676" spans="3:11" x14ac:dyDescent="0.25">
      <c r="C676" s="53"/>
      <c r="D676" s="54"/>
      <c r="E676" s="55"/>
      <c r="F676" s="54"/>
      <c r="G676" s="56"/>
      <c r="H676" s="56"/>
      <c r="I676" s="36" t="str">
        <f t="shared" si="30"/>
        <v/>
      </c>
      <c r="J676" s="36">
        <f t="shared" si="31"/>
        <v>0</v>
      </c>
      <c r="K676" s="36" t="str">
        <f t="shared" ca="1" si="32"/>
        <v/>
      </c>
    </row>
    <row r="677" spans="3:11" x14ac:dyDescent="0.25">
      <c r="C677" s="53"/>
      <c r="D677" s="54"/>
      <c r="E677" s="55"/>
      <c r="F677" s="54"/>
      <c r="G677" s="56"/>
      <c r="H677" s="56"/>
      <c r="I677" s="36" t="str">
        <f t="shared" si="30"/>
        <v/>
      </c>
      <c r="J677" s="36">
        <f t="shared" si="31"/>
        <v>0</v>
      </c>
      <c r="K677" s="36" t="str">
        <f t="shared" ca="1" si="32"/>
        <v/>
      </c>
    </row>
    <row r="678" spans="3:11" x14ac:dyDescent="0.25">
      <c r="C678" s="53"/>
      <c r="D678" s="54"/>
      <c r="E678" s="55"/>
      <c r="F678" s="54"/>
      <c r="G678" s="56"/>
      <c r="H678" s="56"/>
      <c r="I678" s="36" t="str">
        <f t="shared" si="30"/>
        <v/>
      </c>
      <c r="J678" s="36">
        <f t="shared" si="31"/>
        <v>0</v>
      </c>
      <c r="K678" s="36" t="str">
        <f t="shared" ca="1" si="32"/>
        <v/>
      </c>
    </row>
    <row r="679" spans="3:11" x14ac:dyDescent="0.25">
      <c r="C679" s="53"/>
      <c r="D679" s="54"/>
      <c r="E679" s="55"/>
      <c r="F679" s="54"/>
      <c r="G679" s="56"/>
      <c r="H679" s="56"/>
      <c r="I679" s="36" t="str">
        <f t="shared" si="30"/>
        <v/>
      </c>
      <c r="J679" s="36">
        <f t="shared" si="31"/>
        <v>0</v>
      </c>
      <c r="K679" s="36" t="str">
        <f t="shared" ca="1" si="32"/>
        <v/>
      </c>
    </row>
    <row r="680" spans="3:11" x14ac:dyDescent="0.25">
      <c r="C680" s="53"/>
      <c r="D680" s="54"/>
      <c r="E680" s="55"/>
      <c r="F680" s="54"/>
      <c r="G680" s="56"/>
      <c r="H680" s="56"/>
      <c r="I680" s="36" t="str">
        <f t="shared" si="30"/>
        <v/>
      </c>
      <c r="J680" s="36">
        <f t="shared" si="31"/>
        <v>0</v>
      </c>
      <c r="K680" s="36" t="str">
        <f t="shared" ca="1" si="32"/>
        <v/>
      </c>
    </row>
    <row r="681" spans="3:11" x14ac:dyDescent="0.25">
      <c r="C681" s="53"/>
      <c r="D681" s="54"/>
      <c r="E681" s="55"/>
      <c r="F681" s="54"/>
      <c r="G681" s="56"/>
      <c r="H681" s="56"/>
      <c r="I681" s="36" t="str">
        <f t="shared" si="30"/>
        <v/>
      </c>
      <c r="J681" s="36">
        <f t="shared" si="31"/>
        <v>0</v>
      </c>
      <c r="K681" s="36" t="str">
        <f t="shared" ca="1" si="32"/>
        <v/>
      </c>
    </row>
    <row r="682" spans="3:11" x14ac:dyDescent="0.25">
      <c r="C682" s="53"/>
      <c r="D682" s="54"/>
      <c r="E682" s="55"/>
      <c r="F682" s="54"/>
      <c r="G682" s="56"/>
      <c r="H682" s="56"/>
      <c r="I682" s="36" t="str">
        <f t="shared" si="30"/>
        <v/>
      </c>
      <c r="J682" s="36">
        <f t="shared" si="31"/>
        <v>0</v>
      </c>
      <c r="K682" s="36" t="str">
        <f t="shared" ca="1" si="32"/>
        <v/>
      </c>
    </row>
    <row r="683" spans="3:11" x14ac:dyDescent="0.25">
      <c r="C683" s="53"/>
      <c r="D683" s="54"/>
      <c r="E683" s="55"/>
      <c r="F683" s="54"/>
      <c r="G683" s="56"/>
      <c r="H683" s="56"/>
      <c r="I683" s="36" t="str">
        <f t="shared" si="30"/>
        <v/>
      </c>
      <c r="J683" s="36">
        <f t="shared" si="31"/>
        <v>0</v>
      </c>
      <c r="K683" s="36" t="str">
        <f t="shared" ca="1" si="32"/>
        <v/>
      </c>
    </row>
    <row r="684" spans="3:11" x14ac:dyDescent="0.25">
      <c r="C684" s="53"/>
      <c r="D684" s="54"/>
      <c r="E684" s="55"/>
      <c r="F684" s="54"/>
      <c r="G684" s="56"/>
      <c r="H684" s="56"/>
      <c r="I684" s="36" t="str">
        <f t="shared" si="30"/>
        <v/>
      </c>
      <c r="J684" s="36">
        <f t="shared" si="31"/>
        <v>0</v>
      </c>
      <c r="K684" s="36" t="str">
        <f t="shared" ca="1" si="32"/>
        <v/>
      </c>
    </row>
    <row r="685" spans="3:11" x14ac:dyDescent="0.25">
      <c r="C685" s="53"/>
      <c r="D685" s="54"/>
      <c r="E685" s="55"/>
      <c r="F685" s="54"/>
      <c r="G685" s="56"/>
      <c r="H685" s="56"/>
      <c r="I685" s="36" t="str">
        <f t="shared" si="30"/>
        <v/>
      </c>
      <c r="J685" s="36">
        <f t="shared" si="31"/>
        <v>0</v>
      </c>
      <c r="K685" s="36" t="str">
        <f t="shared" ca="1" si="32"/>
        <v/>
      </c>
    </row>
    <row r="686" spans="3:11" x14ac:dyDescent="0.25">
      <c r="C686" s="53"/>
      <c r="D686" s="54"/>
      <c r="E686" s="55"/>
      <c r="F686" s="54"/>
      <c r="G686" s="56"/>
      <c r="H686" s="56"/>
      <c r="I686" s="36" t="str">
        <f t="shared" si="30"/>
        <v/>
      </c>
      <c r="J686" s="36">
        <f t="shared" si="31"/>
        <v>0</v>
      </c>
      <c r="K686" s="36" t="str">
        <f t="shared" ca="1" si="32"/>
        <v/>
      </c>
    </row>
    <row r="687" spans="3:11" x14ac:dyDescent="0.25">
      <c r="C687" s="53"/>
      <c r="D687" s="54"/>
      <c r="E687" s="55"/>
      <c r="F687" s="54"/>
      <c r="G687" s="56"/>
      <c r="H687" s="56"/>
      <c r="I687" s="36" t="str">
        <f t="shared" si="30"/>
        <v/>
      </c>
      <c r="J687" s="36">
        <f t="shared" si="31"/>
        <v>0</v>
      </c>
      <c r="K687" s="36" t="str">
        <f t="shared" ca="1" si="32"/>
        <v/>
      </c>
    </row>
    <row r="688" spans="3:11" x14ac:dyDescent="0.25">
      <c r="C688" s="53"/>
      <c r="D688" s="54"/>
      <c r="E688" s="55"/>
      <c r="F688" s="54"/>
      <c r="G688" s="56"/>
      <c r="H688" s="56"/>
      <c r="I688" s="36" t="str">
        <f t="shared" si="30"/>
        <v/>
      </c>
      <c r="J688" s="36">
        <f t="shared" si="31"/>
        <v>0</v>
      </c>
      <c r="K688" s="36" t="str">
        <f t="shared" ca="1" si="32"/>
        <v/>
      </c>
    </row>
    <row r="689" spans="3:11" x14ac:dyDescent="0.25">
      <c r="C689" s="53"/>
      <c r="D689" s="54"/>
      <c r="E689" s="55"/>
      <c r="F689" s="54"/>
      <c r="G689" s="56"/>
      <c r="H689" s="56"/>
      <c r="I689" s="36" t="str">
        <f t="shared" si="30"/>
        <v/>
      </c>
      <c r="J689" s="36">
        <f t="shared" si="31"/>
        <v>0</v>
      </c>
      <c r="K689" s="36" t="str">
        <f t="shared" ca="1" si="32"/>
        <v/>
      </c>
    </row>
    <row r="690" spans="3:11" x14ac:dyDescent="0.25">
      <c r="C690" s="53"/>
      <c r="D690" s="54"/>
      <c r="E690" s="55"/>
      <c r="F690" s="54"/>
      <c r="G690" s="56"/>
      <c r="H690" s="56"/>
      <c r="I690" s="36" t="str">
        <f t="shared" si="30"/>
        <v/>
      </c>
      <c r="J690" s="36">
        <f t="shared" si="31"/>
        <v>0</v>
      </c>
      <c r="K690" s="36" t="str">
        <f t="shared" ca="1" si="32"/>
        <v/>
      </c>
    </row>
    <row r="691" spans="3:11" x14ac:dyDescent="0.25">
      <c r="C691" s="53"/>
      <c r="D691" s="54"/>
      <c r="E691" s="55"/>
      <c r="F691" s="54"/>
      <c r="G691" s="56"/>
      <c r="H691" s="56"/>
      <c r="I691" s="36" t="str">
        <f t="shared" si="30"/>
        <v/>
      </c>
      <c r="J691" s="36">
        <f t="shared" si="31"/>
        <v>0</v>
      </c>
      <c r="K691" s="36" t="str">
        <f t="shared" ca="1" si="32"/>
        <v/>
      </c>
    </row>
    <row r="692" spans="3:11" x14ac:dyDescent="0.25">
      <c r="C692" s="53"/>
      <c r="D692" s="54"/>
      <c r="E692" s="55"/>
      <c r="F692" s="54"/>
      <c r="G692" s="56"/>
      <c r="H692" s="56"/>
      <c r="I692" s="36" t="str">
        <f t="shared" si="30"/>
        <v/>
      </c>
      <c r="J692" s="36">
        <f t="shared" si="31"/>
        <v>0</v>
      </c>
      <c r="K692" s="36" t="str">
        <f t="shared" ca="1" si="32"/>
        <v/>
      </c>
    </row>
    <row r="693" spans="3:11" x14ac:dyDescent="0.25">
      <c r="C693" s="53"/>
      <c r="D693" s="54"/>
      <c r="E693" s="55"/>
      <c r="F693" s="54"/>
      <c r="G693" s="56"/>
      <c r="H693" s="56"/>
      <c r="I693" s="36" t="str">
        <f t="shared" si="30"/>
        <v/>
      </c>
      <c r="J693" s="36">
        <f t="shared" si="31"/>
        <v>0</v>
      </c>
      <c r="K693" s="36" t="str">
        <f t="shared" ca="1" si="32"/>
        <v/>
      </c>
    </row>
    <row r="694" spans="3:11" x14ac:dyDescent="0.25">
      <c r="C694" s="53"/>
      <c r="D694" s="54"/>
      <c r="E694" s="55"/>
      <c r="F694" s="54"/>
      <c r="G694" s="56"/>
      <c r="H694" s="56"/>
      <c r="I694" s="36" t="str">
        <f t="shared" si="30"/>
        <v/>
      </c>
      <c r="J694" s="36">
        <f t="shared" si="31"/>
        <v>0</v>
      </c>
      <c r="K694" s="36" t="str">
        <f t="shared" ca="1" si="32"/>
        <v/>
      </c>
    </row>
    <row r="695" spans="3:11" x14ac:dyDescent="0.25">
      <c r="C695" s="53"/>
      <c r="D695" s="54"/>
      <c r="E695" s="55"/>
      <c r="F695" s="54"/>
      <c r="G695" s="56"/>
      <c r="H695" s="56"/>
      <c r="I695" s="36" t="str">
        <f t="shared" si="30"/>
        <v/>
      </c>
      <c r="J695" s="36">
        <f t="shared" si="31"/>
        <v>0</v>
      </c>
      <c r="K695" s="36" t="str">
        <f t="shared" ca="1" si="32"/>
        <v/>
      </c>
    </row>
    <row r="696" spans="3:11" x14ac:dyDescent="0.25">
      <c r="C696" s="53"/>
      <c r="D696" s="54"/>
      <c r="E696" s="55"/>
      <c r="F696" s="54"/>
      <c r="G696" s="56"/>
      <c r="H696" s="56"/>
      <c r="I696" s="36" t="str">
        <f t="shared" si="30"/>
        <v/>
      </c>
      <c r="J696" s="36">
        <f t="shared" si="31"/>
        <v>0</v>
      </c>
      <c r="K696" s="36" t="str">
        <f t="shared" ca="1" si="32"/>
        <v/>
      </c>
    </row>
    <row r="697" spans="3:11" x14ac:dyDescent="0.25">
      <c r="C697" s="53"/>
      <c r="D697" s="54"/>
      <c r="E697" s="55"/>
      <c r="F697" s="54"/>
      <c r="G697" s="56"/>
      <c r="H697" s="56"/>
      <c r="I697" s="36" t="str">
        <f t="shared" si="30"/>
        <v/>
      </c>
      <c r="J697" s="36">
        <f t="shared" si="31"/>
        <v>0</v>
      </c>
      <c r="K697" s="36" t="str">
        <f t="shared" ca="1" si="32"/>
        <v/>
      </c>
    </row>
    <row r="698" spans="3:11" x14ac:dyDescent="0.25">
      <c r="C698" s="53"/>
      <c r="D698" s="54"/>
      <c r="E698" s="55"/>
      <c r="F698" s="54"/>
      <c r="G698" s="56"/>
      <c r="H698" s="56"/>
      <c r="I698" s="36" t="str">
        <f t="shared" si="30"/>
        <v/>
      </c>
      <c r="J698" s="36">
        <f t="shared" si="31"/>
        <v>0</v>
      </c>
      <c r="K698" s="36" t="str">
        <f t="shared" ca="1" si="32"/>
        <v/>
      </c>
    </row>
    <row r="699" spans="3:11" x14ac:dyDescent="0.25">
      <c r="C699" s="53"/>
      <c r="D699" s="54"/>
      <c r="E699" s="55"/>
      <c r="F699" s="54"/>
      <c r="G699" s="56"/>
      <c r="H699" s="56"/>
      <c r="I699" s="36" t="str">
        <f t="shared" si="30"/>
        <v/>
      </c>
      <c r="J699" s="36">
        <f t="shared" si="31"/>
        <v>0</v>
      </c>
      <c r="K699" s="36" t="str">
        <f t="shared" ca="1" si="32"/>
        <v/>
      </c>
    </row>
    <row r="700" spans="3:11" x14ac:dyDescent="0.25">
      <c r="C700" s="53"/>
      <c r="D700" s="54"/>
      <c r="E700" s="55"/>
      <c r="F700" s="54"/>
      <c r="G700" s="56"/>
      <c r="H700" s="56"/>
      <c r="I700" s="36" t="str">
        <f t="shared" si="30"/>
        <v/>
      </c>
      <c r="J700" s="36">
        <f t="shared" si="31"/>
        <v>0</v>
      </c>
      <c r="K700" s="36" t="str">
        <f t="shared" ca="1" si="32"/>
        <v/>
      </c>
    </row>
    <row r="701" spans="3:11" x14ac:dyDescent="0.25">
      <c r="C701" s="53"/>
      <c r="D701" s="54"/>
      <c r="E701" s="55"/>
      <c r="F701" s="54"/>
      <c r="G701" s="56"/>
      <c r="H701" s="56"/>
      <c r="I701" s="36" t="str">
        <f t="shared" si="30"/>
        <v/>
      </c>
      <c r="J701" s="36">
        <f t="shared" si="31"/>
        <v>0</v>
      </c>
      <c r="K701" s="36" t="str">
        <f t="shared" ca="1" si="32"/>
        <v/>
      </c>
    </row>
    <row r="702" spans="3:11" x14ac:dyDescent="0.25">
      <c r="C702" s="53"/>
      <c r="D702" s="54"/>
      <c r="E702" s="55"/>
      <c r="F702" s="54"/>
      <c r="G702" s="56"/>
      <c r="H702" s="56"/>
      <c r="I702" s="36" t="str">
        <f t="shared" si="30"/>
        <v/>
      </c>
      <c r="J702" s="36">
        <f t="shared" si="31"/>
        <v>0</v>
      </c>
      <c r="K702" s="36" t="str">
        <f t="shared" ca="1" si="32"/>
        <v/>
      </c>
    </row>
    <row r="703" spans="3:11" x14ac:dyDescent="0.25">
      <c r="C703" s="53"/>
      <c r="D703" s="54"/>
      <c r="E703" s="55"/>
      <c r="F703" s="54"/>
      <c r="G703" s="56"/>
      <c r="H703" s="56"/>
      <c r="I703" s="36" t="str">
        <f t="shared" si="30"/>
        <v/>
      </c>
      <c r="J703" s="36">
        <f t="shared" si="31"/>
        <v>0</v>
      </c>
      <c r="K703" s="36" t="str">
        <f t="shared" ca="1" si="32"/>
        <v/>
      </c>
    </row>
    <row r="704" spans="3:11" x14ac:dyDescent="0.25">
      <c r="C704" s="53"/>
      <c r="D704" s="54"/>
      <c r="E704" s="55"/>
      <c r="F704" s="54"/>
      <c r="G704" s="56"/>
      <c r="H704" s="56"/>
      <c r="I704" s="36" t="str">
        <f t="shared" si="30"/>
        <v/>
      </c>
      <c r="J704" s="36">
        <f t="shared" si="31"/>
        <v>0</v>
      </c>
      <c r="K704" s="36" t="str">
        <f t="shared" ca="1" si="32"/>
        <v/>
      </c>
    </row>
    <row r="705" spans="3:11" x14ac:dyDescent="0.25">
      <c r="C705" s="53"/>
      <c r="D705" s="54"/>
      <c r="E705" s="55"/>
      <c r="F705" s="54"/>
      <c r="G705" s="56"/>
      <c r="H705" s="56"/>
      <c r="I705" s="36" t="str">
        <f t="shared" si="30"/>
        <v/>
      </c>
      <c r="J705" s="36">
        <f t="shared" si="31"/>
        <v>0</v>
      </c>
      <c r="K705" s="36" t="str">
        <f t="shared" ca="1" si="32"/>
        <v/>
      </c>
    </row>
    <row r="706" spans="3:11" x14ac:dyDescent="0.25">
      <c r="C706" s="53"/>
      <c r="D706" s="54"/>
      <c r="E706" s="55"/>
      <c r="F706" s="54"/>
      <c r="G706" s="56"/>
      <c r="H706" s="56"/>
      <c r="I706" s="36" t="str">
        <f t="shared" si="30"/>
        <v/>
      </c>
      <c r="J706" s="36">
        <f t="shared" si="31"/>
        <v>0</v>
      </c>
      <c r="K706" s="36" t="str">
        <f t="shared" ca="1" si="32"/>
        <v/>
      </c>
    </row>
    <row r="707" spans="3:11" x14ac:dyDescent="0.25">
      <c r="C707" s="53"/>
      <c r="D707" s="54"/>
      <c r="E707" s="55"/>
      <c r="F707" s="54"/>
      <c r="G707" s="56"/>
      <c r="H707" s="56"/>
      <c r="I707" s="36" t="str">
        <f t="shared" si="30"/>
        <v/>
      </c>
      <c r="J707" s="36">
        <f t="shared" si="31"/>
        <v>0</v>
      </c>
      <c r="K707" s="36" t="str">
        <f t="shared" ca="1" si="32"/>
        <v/>
      </c>
    </row>
    <row r="708" spans="3:11" x14ac:dyDescent="0.25">
      <c r="C708" s="53"/>
      <c r="D708" s="54"/>
      <c r="E708" s="55"/>
      <c r="F708" s="54"/>
      <c r="G708" s="56"/>
      <c r="H708" s="56"/>
      <c r="I708" s="36" t="str">
        <f t="shared" si="30"/>
        <v/>
      </c>
      <c r="J708" s="36">
        <f t="shared" si="31"/>
        <v>0</v>
      </c>
      <c r="K708" s="36" t="str">
        <f t="shared" ca="1" si="32"/>
        <v/>
      </c>
    </row>
    <row r="709" spans="3:11" x14ac:dyDescent="0.25">
      <c r="C709" s="53"/>
      <c r="D709" s="54"/>
      <c r="E709" s="55"/>
      <c r="F709" s="54"/>
      <c r="G709" s="56"/>
      <c r="H709" s="56"/>
      <c r="I709" s="36" t="str">
        <f t="shared" si="30"/>
        <v/>
      </c>
      <c r="J709" s="36">
        <f t="shared" si="31"/>
        <v>0</v>
      </c>
      <c r="K709" s="36" t="str">
        <f t="shared" ca="1" si="32"/>
        <v/>
      </c>
    </row>
    <row r="710" spans="3:11" x14ac:dyDescent="0.25">
      <c r="C710" s="53"/>
      <c r="D710" s="54"/>
      <c r="E710" s="55"/>
      <c r="F710" s="54"/>
      <c r="G710" s="56"/>
      <c r="H710" s="56"/>
      <c r="I710" s="36" t="str">
        <f t="shared" si="30"/>
        <v/>
      </c>
      <c r="J710" s="36">
        <f t="shared" si="31"/>
        <v>0</v>
      </c>
      <c r="K710" s="36" t="str">
        <f t="shared" ca="1" si="32"/>
        <v/>
      </c>
    </row>
    <row r="711" spans="3:11" x14ac:dyDescent="0.25">
      <c r="C711" s="53"/>
      <c r="D711" s="54"/>
      <c r="E711" s="55"/>
      <c r="F711" s="54"/>
      <c r="G711" s="56"/>
      <c r="H711" s="56"/>
      <c r="I711" s="36" t="str">
        <f t="shared" si="30"/>
        <v/>
      </c>
      <c r="J711" s="36">
        <f t="shared" si="31"/>
        <v>0</v>
      </c>
      <c r="K711" s="36" t="str">
        <f t="shared" ca="1" si="32"/>
        <v/>
      </c>
    </row>
    <row r="712" spans="3:11" x14ac:dyDescent="0.25">
      <c r="C712" s="53"/>
      <c r="D712" s="54"/>
      <c r="E712" s="55"/>
      <c r="F712" s="54"/>
      <c r="G712" s="56"/>
      <c r="H712" s="56"/>
      <c r="I712" s="36" t="str">
        <f t="shared" si="30"/>
        <v/>
      </c>
      <c r="J712" s="36">
        <f t="shared" si="31"/>
        <v>0</v>
      </c>
      <c r="K712" s="36" t="str">
        <f t="shared" ca="1" si="32"/>
        <v/>
      </c>
    </row>
    <row r="713" spans="3:11" x14ac:dyDescent="0.25">
      <c r="C713" s="53"/>
      <c r="D713" s="54"/>
      <c r="E713" s="55"/>
      <c r="F713" s="54"/>
      <c r="G713" s="56"/>
      <c r="H713" s="56"/>
      <c r="I713" s="36" t="str">
        <f t="shared" si="30"/>
        <v/>
      </c>
      <c r="J713" s="36">
        <f t="shared" si="31"/>
        <v>0</v>
      </c>
      <c r="K713" s="36" t="str">
        <f t="shared" ca="1" si="32"/>
        <v/>
      </c>
    </row>
    <row r="714" spans="3:11" x14ac:dyDescent="0.25">
      <c r="C714" s="53"/>
      <c r="D714" s="54"/>
      <c r="E714" s="55"/>
      <c r="F714" s="54"/>
      <c r="G714" s="56"/>
      <c r="H714" s="56"/>
      <c r="I714" s="36" t="str">
        <f t="shared" si="30"/>
        <v/>
      </c>
      <c r="J714" s="36">
        <f t="shared" si="31"/>
        <v>0</v>
      </c>
      <c r="K714" s="36" t="str">
        <f t="shared" ca="1" si="32"/>
        <v/>
      </c>
    </row>
    <row r="715" spans="3:11" x14ac:dyDescent="0.25">
      <c r="C715" s="53"/>
      <c r="D715" s="54"/>
      <c r="E715" s="55"/>
      <c r="F715" s="54"/>
      <c r="G715" s="56"/>
      <c r="H715" s="56"/>
      <c r="I715" s="36" t="str">
        <f t="shared" si="30"/>
        <v/>
      </c>
      <c r="J715" s="36">
        <f t="shared" si="31"/>
        <v>0</v>
      </c>
      <c r="K715" s="36" t="str">
        <f t="shared" ca="1" si="32"/>
        <v/>
      </c>
    </row>
    <row r="716" spans="3:11" x14ac:dyDescent="0.25">
      <c r="C716" s="53"/>
      <c r="D716" s="54"/>
      <c r="E716" s="55"/>
      <c r="F716" s="54"/>
      <c r="G716" s="56"/>
      <c r="H716" s="56"/>
      <c r="I716" s="36" t="str">
        <f t="shared" si="30"/>
        <v/>
      </c>
      <c r="J716" s="36">
        <f t="shared" si="31"/>
        <v>0</v>
      </c>
      <c r="K716" s="36" t="str">
        <f t="shared" ca="1" si="32"/>
        <v/>
      </c>
    </row>
    <row r="717" spans="3:11" x14ac:dyDescent="0.25">
      <c r="C717" s="53"/>
      <c r="D717" s="54"/>
      <c r="E717" s="55"/>
      <c r="F717" s="54"/>
      <c r="G717" s="56"/>
      <c r="H717" s="56"/>
      <c r="I717" s="36" t="str">
        <f t="shared" si="30"/>
        <v/>
      </c>
      <c r="J717" s="36">
        <f t="shared" si="31"/>
        <v>0</v>
      </c>
      <c r="K717" s="36" t="str">
        <f t="shared" ca="1" si="32"/>
        <v/>
      </c>
    </row>
    <row r="718" spans="3:11" x14ac:dyDescent="0.25">
      <c r="C718" s="53"/>
      <c r="D718" s="54"/>
      <c r="E718" s="55"/>
      <c r="F718" s="54"/>
      <c r="G718" s="56"/>
      <c r="H718" s="56"/>
      <c r="I718" s="36" t="str">
        <f t="shared" si="30"/>
        <v/>
      </c>
      <c r="J718" s="36">
        <f t="shared" si="31"/>
        <v>0</v>
      </c>
      <c r="K718" s="36" t="str">
        <f t="shared" ca="1" si="32"/>
        <v/>
      </c>
    </row>
    <row r="719" spans="3:11" x14ac:dyDescent="0.25">
      <c r="C719" s="53"/>
      <c r="D719" s="54"/>
      <c r="E719" s="55"/>
      <c r="F719" s="54"/>
      <c r="G719" s="56"/>
      <c r="H719" s="56"/>
      <c r="I719" s="36" t="str">
        <f t="shared" si="30"/>
        <v/>
      </c>
      <c r="J719" s="36">
        <f t="shared" si="31"/>
        <v>0</v>
      </c>
      <c r="K719" s="36" t="str">
        <f t="shared" ca="1" si="32"/>
        <v/>
      </c>
    </row>
    <row r="720" spans="3:11" x14ac:dyDescent="0.25">
      <c r="C720" s="53"/>
      <c r="D720" s="54"/>
      <c r="E720" s="55"/>
      <c r="F720" s="54"/>
      <c r="G720" s="56"/>
      <c r="H720" s="56"/>
      <c r="I720" s="36" t="str">
        <f t="shared" si="30"/>
        <v/>
      </c>
      <c r="J720" s="36">
        <f t="shared" si="31"/>
        <v>0</v>
      </c>
      <c r="K720" s="36" t="str">
        <f t="shared" ca="1" si="32"/>
        <v/>
      </c>
    </row>
    <row r="721" spans="3:11" x14ac:dyDescent="0.25">
      <c r="C721" s="53"/>
      <c r="D721" s="54"/>
      <c r="E721" s="55"/>
      <c r="F721" s="54"/>
      <c r="G721" s="56"/>
      <c r="H721" s="56"/>
      <c r="I721" s="36" t="str">
        <f t="shared" ref="I721:I776" si="33">IF(C721="","",IF(H721&lt;=0,"Em aberto",IF(H721&gt;=G721,"Pagamento Total",IF(H721&lt;G721,"Pagamento Parcial"))))</f>
        <v/>
      </c>
      <c r="J721" s="36">
        <f t="shared" ref="J721:J776" si="34">IF(C721&gt;0,G721-H721,0)</f>
        <v>0</v>
      </c>
      <c r="K721" s="36" t="str">
        <f t="shared" ref="K721:K776" ca="1" si="35">IF(ISBLANK(C721),"",IF(H721=G721,"Pago",IF(C721=TODAY(),"Vence Hoje",IF(TRIM(UPPER(G720))&lt;&gt;"S",IF(C721-TODAY()&lt;0,"Vencida",IF(C721-TODAY()&lt;8,"Próximos sete dias","Em aberto"))))))</f>
        <v/>
      </c>
    </row>
    <row r="722" spans="3:11" x14ac:dyDescent="0.25">
      <c r="C722" s="53"/>
      <c r="D722" s="54"/>
      <c r="E722" s="55"/>
      <c r="F722" s="54"/>
      <c r="G722" s="56"/>
      <c r="H722" s="56"/>
      <c r="I722" s="36" t="str">
        <f t="shared" si="33"/>
        <v/>
      </c>
      <c r="J722" s="36">
        <f t="shared" si="34"/>
        <v>0</v>
      </c>
      <c r="K722" s="36" t="str">
        <f t="shared" ca="1" si="35"/>
        <v/>
      </c>
    </row>
    <row r="723" spans="3:11" x14ac:dyDescent="0.25">
      <c r="C723" s="53"/>
      <c r="D723" s="54"/>
      <c r="E723" s="55"/>
      <c r="F723" s="54"/>
      <c r="G723" s="56"/>
      <c r="H723" s="56"/>
      <c r="I723" s="36" t="str">
        <f t="shared" si="33"/>
        <v/>
      </c>
      <c r="J723" s="36">
        <f t="shared" si="34"/>
        <v>0</v>
      </c>
      <c r="K723" s="36" t="str">
        <f t="shared" ca="1" si="35"/>
        <v/>
      </c>
    </row>
    <row r="724" spans="3:11" x14ac:dyDescent="0.25">
      <c r="C724" s="53"/>
      <c r="D724" s="54"/>
      <c r="E724" s="55"/>
      <c r="F724" s="54"/>
      <c r="G724" s="56"/>
      <c r="H724" s="56"/>
      <c r="I724" s="36" t="str">
        <f t="shared" si="33"/>
        <v/>
      </c>
      <c r="J724" s="36">
        <f t="shared" si="34"/>
        <v>0</v>
      </c>
      <c r="K724" s="36" t="str">
        <f t="shared" ca="1" si="35"/>
        <v/>
      </c>
    </row>
    <row r="725" spans="3:11" x14ac:dyDescent="0.25">
      <c r="C725" s="53"/>
      <c r="D725" s="54"/>
      <c r="E725" s="55"/>
      <c r="F725" s="54"/>
      <c r="G725" s="56"/>
      <c r="H725" s="56"/>
      <c r="I725" s="36" t="str">
        <f t="shared" si="33"/>
        <v/>
      </c>
      <c r="J725" s="36">
        <f t="shared" si="34"/>
        <v>0</v>
      </c>
      <c r="K725" s="36" t="str">
        <f t="shared" ca="1" si="35"/>
        <v/>
      </c>
    </row>
    <row r="726" spans="3:11" x14ac:dyDescent="0.25">
      <c r="C726" s="53"/>
      <c r="D726" s="54"/>
      <c r="E726" s="55"/>
      <c r="F726" s="54"/>
      <c r="G726" s="56"/>
      <c r="H726" s="56"/>
      <c r="I726" s="36" t="str">
        <f t="shared" si="33"/>
        <v/>
      </c>
      <c r="J726" s="36">
        <f t="shared" si="34"/>
        <v>0</v>
      </c>
      <c r="K726" s="36" t="str">
        <f t="shared" ca="1" si="35"/>
        <v/>
      </c>
    </row>
    <row r="727" spans="3:11" x14ac:dyDescent="0.25">
      <c r="C727" s="53"/>
      <c r="D727" s="54"/>
      <c r="E727" s="55"/>
      <c r="F727" s="54"/>
      <c r="G727" s="56"/>
      <c r="H727" s="56"/>
      <c r="I727" s="36" t="str">
        <f t="shared" si="33"/>
        <v/>
      </c>
      <c r="J727" s="36">
        <f t="shared" si="34"/>
        <v>0</v>
      </c>
      <c r="K727" s="36" t="str">
        <f t="shared" ca="1" si="35"/>
        <v/>
      </c>
    </row>
    <row r="728" spans="3:11" x14ac:dyDescent="0.25">
      <c r="C728" s="53"/>
      <c r="D728" s="54"/>
      <c r="E728" s="55"/>
      <c r="F728" s="54"/>
      <c r="G728" s="56"/>
      <c r="H728" s="56"/>
      <c r="I728" s="36" t="str">
        <f t="shared" si="33"/>
        <v/>
      </c>
      <c r="J728" s="36">
        <f t="shared" si="34"/>
        <v>0</v>
      </c>
      <c r="K728" s="36" t="str">
        <f t="shared" ca="1" si="35"/>
        <v/>
      </c>
    </row>
    <row r="729" spans="3:11" x14ac:dyDescent="0.25">
      <c r="C729" s="53"/>
      <c r="D729" s="54"/>
      <c r="E729" s="55"/>
      <c r="F729" s="54"/>
      <c r="G729" s="56"/>
      <c r="H729" s="56"/>
      <c r="I729" s="36" t="str">
        <f t="shared" si="33"/>
        <v/>
      </c>
      <c r="J729" s="36">
        <f t="shared" si="34"/>
        <v>0</v>
      </c>
      <c r="K729" s="36" t="str">
        <f t="shared" ca="1" si="35"/>
        <v/>
      </c>
    </row>
    <row r="730" spans="3:11" x14ac:dyDescent="0.25">
      <c r="C730" s="53"/>
      <c r="D730" s="54"/>
      <c r="E730" s="55"/>
      <c r="F730" s="54"/>
      <c r="G730" s="56"/>
      <c r="H730" s="56"/>
      <c r="I730" s="36" t="str">
        <f t="shared" si="33"/>
        <v/>
      </c>
      <c r="J730" s="36">
        <f t="shared" si="34"/>
        <v>0</v>
      </c>
      <c r="K730" s="36" t="str">
        <f t="shared" ca="1" si="35"/>
        <v/>
      </c>
    </row>
    <row r="731" spans="3:11" x14ac:dyDescent="0.25">
      <c r="C731" s="53"/>
      <c r="D731" s="54"/>
      <c r="E731" s="55"/>
      <c r="F731" s="54"/>
      <c r="G731" s="56"/>
      <c r="H731" s="56"/>
      <c r="I731" s="36" t="str">
        <f t="shared" si="33"/>
        <v/>
      </c>
      <c r="J731" s="36">
        <f t="shared" si="34"/>
        <v>0</v>
      </c>
      <c r="K731" s="36" t="str">
        <f t="shared" ca="1" si="35"/>
        <v/>
      </c>
    </row>
    <row r="732" spans="3:11" x14ac:dyDescent="0.25">
      <c r="C732" s="53"/>
      <c r="D732" s="54"/>
      <c r="E732" s="55"/>
      <c r="F732" s="54"/>
      <c r="G732" s="56"/>
      <c r="H732" s="56"/>
      <c r="I732" s="36" t="str">
        <f t="shared" si="33"/>
        <v/>
      </c>
      <c r="J732" s="36">
        <f t="shared" si="34"/>
        <v>0</v>
      </c>
      <c r="K732" s="36" t="str">
        <f t="shared" ca="1" si="35"/>
        <v/>
      </c>
    </row>
    <row r="733" spans="3:11" x14ac:dyDescent="0.25">
      <c r="C733" s="53"/>
      <c r="D733" s="54"/>
      <c r="E733" s="55"/>
      <c r="F733" s="54"/>
      <c r="G733" s="56"/>
      <c r="H733" s="56"/>
      <c r="I733" s="36" t="str">
        <f t="shared" si="33"/>
        <v/>
      </c>
      <c r="J733" s="36">
        <f t="shared" si="34"/>
        <v>0</v>
      </c>
      <c r="K733" s="36" t="str">
        <f t="shared" ca="1" si="35"/>
        <v/>
      </c>
    </row>
    <row r="734" spans="3:11" x14ac:dyDescent="0.25">
      <c r="C734" s="53"/>
      <c r="D734" s="54"/>
      <c r="E734" s="55"/>
      <c r="F734" s="54"/>
      <c r="G734" s="56"/>
      <c r="H734" s="56"/>
      <c r="I734" s="36" t="str">
        <f t="shared" si="33"/>
        <v/>
      </c>
      <c r="J734" s="36">
        <f t="shared" si="34"/>
        <v>0</v>
      </c>
      <c r="K734" s="36" t="str">
        <f t="shared" ca="1" si="35"/>
        <v/>
      </c>
    </row>
    <row r="735" spans="3:11" x14ac:dyDescent="0.25">
      <c r="C735" s="53"/>
      <c r="D735" s="54"/>
      <c r="E735" s="55"/>
      <c r="F735" s="54"/>
      <c r="G735" s="56"/>
      <c r="H735" s="56"/>
      <c r="I735" s="36" t="str">
        <f t="shared" si="33"/>
        <v/>
      </c>
      <c r="J735" s="36">
        <f t="shared" si="34"/>
        <v>0</v>
      </c>
      <c r="K735" s="36" t="str">
        <f t="shared" ca="1" si="35"/>
        <v/>
      </c>
    </row>
    <row r="736" spans="3:11" x14ac:dyDescent="0.25">
      <c r="C736" s="53"/>
      <c r="D736" s="54"/>
      <c r="E736" s="55"/>
      <c r="F736" s="54"/>
      <c r="G736" s="56"/>
      <c r="H736" s="56"/>
      <c r="I736" s="36" t="str">
        <f t="shared" si="33"/>
        <v/>
      </c>
      <c r="J736" s="36">
        <f t="shared" si="34"/>
        <v>0</v>
      </c>
      <c r="K736" s="36" t="str">
        <f t="shared" ca="1" si="35"/>
        <v/>
      </c>
    </row>
    <row r="737" spans="3:11" x14ac:dyDescent="0.25">
      <c r="C737" s="53"/>
      <c r="D737" s="54"/>
      <c r="E737" s="55"/>
      <c r="F737" s="54"/>
      <c r="G737" s="56"/>
      <c r="H737" s="56"/>
      <c r="I737" s="36" t="str">
        <f t="shared" si="33"/>
        <v/>
      </c>
      <c r="J737" s="36">
        <f t="shared" si="34"/>
        <v>0</v>
      </c>
      <c r="K737" s="36" t="str">
        <f t="shared" ca="1" si="35"/>
        <v/>
      </c>
    </row>
    <row r="738" spans="3:11" x14ac:dyDescent="0.25">
      <c r="C738" s="53"/>
      <c r="D738" s="54"/>
      <c r="E738" s="55"/>
      <c r="F738" s="54"/>
      <c r="G738" s="56"/>
      <c r="H738" s="56"/>
      <c r="I738" s="36" t="str">
        <f t="shared" si="33"/>
        <v/>
      </c>
      <c r="J738" s="36">
        <f t="shared" si="34"/>
        <v>0</v>
      </c>
      <c r="K738" s="36" t="str">
        <f t="shared" ca="1" si="35"/>
        <v/>
      </c>
    </row>
    <row r="739" spans="3:11" x14ac:dyDescent="0.25">
      <c r="C739" s="53"/>
      <c r="D739" s="54"/>
      <c r="E739" s="55"/>
      <c r="F739" s="54"/>
      <c r="G739" s="56"/>
      <c r="H739" s="56"/>
      <c r="I739" s="36" t="str">
        <f t="shared" si="33"/>
        <v/>
      </c>
      <c r="J739" s="36">
        <f t="shared" si="34"/>
        <v>0</v>
      </c>
      <c r="K739" s="36" t="str">
        <f t="shared" ca="1" si="35"/>
        <v/>
      </c>
    </row>
    <row r="740" spans="3:11" x14ac:dyDescent="0.25">
      <c r="C740" s="53"/>
      <c r="D740" s="54"/>
      <c r="E740" s="55"/>
      <c r="F740" s="54"/>
      <c r="G740" s="56"/>
      <c r="H740" s="56"/>
      <c r="I740" s="36" t="str">
        <f t="shared" si="33"/>
        <v/>
      </c>
      <c r="J740" s="36">
        <f t="shared" si="34"/>
        <v>0</v>
      </c>
      <c r="K740" s="36" t="str">
        <f t="shared" ca="1" si="35"/>
        <v/>
      </c>
    </row>
    <row r="741" spans="3:11" x14ac:dyDescent="0.25">
      <c r="C741" s="53"/>
      <c r="D741" s="54"/>
      <c r="E741" s="55"/>
      <c r="F741" s="54"/>
      <c r="G741" s="56"/>
      <c r="H741" s="56"/>
      <c r="I741" s="36" t="str">
        <f t="shared" si="33"/>
        <v/>
      </c>
      <c r="J741" s="36">
        <f t="shared" si="34"/>
        <v>0</v>
      </c>
      <c r="K741" s="36" t="str">
        <f t="shared" ca="1" si="35"/>
        <v/>
      </c>
    </row>
    <row r="742" spans="3:11" x14ac:dyDescent="0.25">
      <c r="C742" s="53"/>
      <c r="D742" s="54"/>
      <c r="E742" s="55"/>
      <c r="F742" s="54"/>
      <c r="G742" s="56"/>
      <c r="H742" s="56"/>
      <c r="I742" s="36" t="str">
        <f t="shared" si="33"/>
        <v/>
      </c>
      <c r="J742" s="36">
        <f t="shared" si="34"/>
        <v>0</v>
      </c>
      <c r="K742" s="36" t="str">
        <f t="shared" ca="1" si="35"/>
        <v/>
      </c>
    </row>
    <row r="743" spans="3:11" x14ac:dyDescent="0.25">
      <c r="C743" s="53"/>
      <c r="D743" s="54"/>
      <c r="E743" s="55"/>
      <c r="F743" s="54"/>
      <c r="G743" s="56"/>
      <c r="H743" s="56"/>
      <c r="I743" s="36" t="str">
        <f t="shared" si="33"/>
        <v/>
      </c>
      <c r="J743" s="36">
        <f t="shared" si="34"/>
        <v>0</v>
      </c>
      <c r="K743" s="36" t="str">
        <f t="shared" ca="1" si="35"/>
        <v/>
      </c>
    </row>
    <row r="744" spans="3:11" x14ac:dyDescent="0.25">
      <c r="C744" s="53"/>
      <c r="D744" s="54"/>
      <c r="E744" s="55"/>
      <c r="F744" s="54"/>
      <c r="G744" s="56"/>
      <c r="H744" s="56"/>
      <c r="I744" s="36" t="str">
        <f t="shared" si="33"/>
        <v/>
      </c>
      <c r="J744" s="36">
        <f t="shared" si="34"/>
        <v>0</v>
      </c>
      <c r="K744" s="36" t="str">
        <f t="shared" ca="1" si="35"/>
        <v/>
      </c>
    </row>
    <row r="745" spans="3:11" x14ac:dyDescent="0.25">
      <c r="C745" s="53"/>
      <c r="D745" s="54"/>
      <c r="E745" s="55"/>
      <c r="F745" s="54"/>
      <c r="G745" s="56"/>
      <c r="H745" s="56"/>
      <c r="I745" s="36" t="str">
        <f t="shared" si="33"/>
        <v/>
      </c>
      <c r="J745" s="36">
        <f t="shared" si="34"/>
        <v>0</v>
      </c>
      <c r="K745" s="36" t="str">
        <f t="shared" ca="1" si="35"/>
        <v/>
      </c>
    </row>
    <row r="746" spans="3:11" x14ac:dyDescent="0.25">
      <c r="C746" s="53"/>
      <c r="D746" s="54"/>
      <c r="E746" s="55"/>
      <c r="F746" s="54"/>
      <c r="G746" s="56"/>
      <c r="H746" s="56"/>
      <c r="I746" s="36" t="str">
        <f t="shared" si="33"/>
        <v/>
      </c>
      <c r="J746" s="36">
        <f t="shared" si="34"/>
        <v>0</v>
      </c>
      <c r="K746" s="36" t="str">
        <f t="shared" ca="1" si="35"/>
        <v/>
      </c>
    </row>
    <row r="747" spans="3:11" x14ac:dyDescent="0.25">
      <c r="C747" s="53"/>
      <c r="D747" s="54"/>
      <c r="E747" s="55"/>
      <c r="F747" s="54"/>
      <c r="G747" s="56"/>
      <c r="H747" s="56"/>
      <c r="I747" s="36" t="str">
        <f t="shared" si="33"/>
        <v/>
      </c>
      <c r="J747" s="36">
        <f t="shared" si="34"/>
        <v>0</v>
      </c>
      <c r="K747" s="36" t="str">
        <f t="shared" ca="1" si="35"/>
        <v/>
      </c>
    </row>
    <row r="748" spans="3:11" x14ac:dyDescent="0.25">
      <c r="C748" s="53"/>
      <c r="D748" s="54"/>
      <c r="E748" s="55"/>
      <c r="F748" s="54"/>
      <c r="G748" s="56"/>
      <c r="H748" s="56"/>
      <c r="I748" s="36" t="str">
        <f t="shared" si="33"/>
        <v/>
      </c>
      <c r="J748" s="36">
        <f t="shared" si="34"/>
        <v>0</v>
      </c>
      <c r="K748" s="36" t="str">
        <f t="shared" ca="1" si="35"/>
        <v/>
      </c>
    </row>
    <row r="749" spans="3:11" x14ac:dyDescent="0.25">
      <c r="C749" s="53"/>
      <c r="D749" s="54"/>
      <c r="E749" s="55"/>
      <c r="F749" s="54"/>
      <c r="G749" s="56"/>
      <c r="H749" s="56"/>
      <c r="I749" s="36" t="str">
        <f t="shared" si="33"/>
        <v/>
      </c>
      <c r="J749" s="36">
        <f t="shared" si="34"/>
        <v>0</v>
      </c>
      <c r="K749" s="36" t="str">
        <f t="shared" ca="1" si="35"/>
        <v/>
      </c>
    </row>
    <row r="750" spans="3:11" x14ac:dyDescent="0.25">
      <c r="C750" s="53"/>
      <c r="D750" s="54"/>
      <c r="E750" s="55"/>
      <c r="F750" s="54"/>
      <c r="G750" s="56"/>
      <c r="H750" s="56"/>
      <c r="I750" s="36" t="str">
        <f t="shared" si="33"/>
        <v/>
      </c>
      <c r="J750" s="36">
        <f t="shared" si="34"/>
        <v>0</v>
      </c>
      <c r="K750" s="36" t="str">
        <f t="shared" ca="1" si="35"/>
        <v/>
      </c>
    </row>
    <row r="751" spans="3:11" x14ac:dyDescent="0.25">
      <c r="C751" s="53"/>
      <c r="D751" s="54"/>
      <c r="E751" s="55"/>
      <c r="F751" s="54"/>
      <c r="G751" s="56"/>
      <c r="H751" s="56"/>
      <c r="I751" s="36" t="str">
        <f t="shared" si="33"/>
        <v/>
      </c>
      <c r="J751" s="36">
        <f t="shared" si="34"/>
        <v>0</v>
      </c>
      <c r="K751" s="36" t="str">
        <f t="shared" ca="1" si="35"/>
        <v/>
      </c>
    </row>
    <row r="752" spans="3:11" x14ac:dyDescent="0.25">
      <c r="C752" s="53"/>
      <c r="D752" s="54"/>
      <c r="E752" s="55"/>
      <c r="F752" s="54"/>
      <c r="G752" s="56"/>
      <c r="H752" s="56"/>
      <c r="I752" s="36" t="str">
        <f t="shared" si="33"/>
        <v/>
      </c>
      <c r="J752" s="36">
        <f t="shared" si="34"/>
        <v>0</v>
      </c>
      <c r="K752" s="36" t="str">
        <f t="shared" ca="1" si="35"/>
        <v/>
      </c>
    </row>
    <row r="753" spans="3:11" x14ac:dyDescent="0.25">
      <c r="C753" s="53"/>
      <c r="D753" s="54"/>
      <c r="E753" s="55"/>
      <c r="F753" s="54"/>
      <c r="G753" s="56"/>
      <c r="H753" s="56"/>
      <c r="I753" s="36" t="str">
        <f t="shared" si="33"/>
        <v/>
      </c>
      <c r="J753" s="36">
        <f t="shared" si="34"/>
        <v>0</v>
      </c>
      <c r="K753" s="36" t="str">
        <f t="shared" ca="1" si="35"/>
        <v/>
      </c>
    </row>
    <row r="754" spans="3:11" x14ac:dyDescent="0.25">
      <c r="C754" s="53"/>
      <c r="D754" s="54"/>
      <c r="E754" s="55"/>
      <c r="F754" s="54"/>
      <c r="G754" s="56"/>
      <c r="H754" s="56"/>
      <c r="I754" s="36" t="str">
        <f t="shared" si="33"/>
        <v/>
      </c>
      <c r="J754" s="36">
        <f t="shared" si="34"/>
        <v>0</v>
      </c>
      <c r="K754" s="36" t="str">
        <f t="shared" ca="1" si="35"/>
        <v/>
      </c>
    </row>
    <row r="755" spans="3:11" x14ac:dyDescent="0.25">
      <c r="C755" s="53"/>
      <c r="D755" s="54"/>
      <c r="E755" s="55"/>
      <c r="F755" s="54"/>
      <c r="G755" s="56"/>
      <c r="H755" s="56"/>
      <c r="I755" s="36" t="str">
        <f t="shared" si="33"/>
        <v/>
      </c>
      <c r="J755" s="36">
        <f t="shared" si="34"/>
        <v>0</v>
      </c>
      <c r="K755" s="36" t="str">
        <f t="shared" ca="1" si="35"/>
        <v/>
      </c>
    </row>
    <row r="756" spans="3:11" x14ac:dyDescent="0.25">
      <c r="C756" s="53"/>
      <c r="D756" s="54"/>
      <c r="E756" s="55"/>
      <c r="F756" s="54"/>
      <c r="G756" s="56"/>
      <c r="H756" s="56"/>
      <c r="I756" s="36" t="str">
        <f t="shared" si="33"/>
        <v/>
      </c>
      <c r="J756" s="36">
        <f t="shared" si="34"/>
        <v>0</v>
      </c>
      <c r="K756" s="36" t="str">
        <f t="shared" ca="1" si="35"/>
        <v/>
      </c>
    </row>
    <row r="757" spans="3:11" x14ac:dyDescent="0.25">
      <c r="C757" s="53"/>
      <c r="D757" s="54"/>
      <c r="E757" s="55"/>
      <c r="F757" s="54"/>
      <c r="G757" s="56"/>
      <c r="H757" s="56"/>
      <c r="I757" s="36" t="str">
        <f t="shared" si="33"/>
        <v/>
      </c>
      <c r="J757" s="36">
        <f t="shared" si="34"/>
        <v>0</v>
      </c>
      <c r="K757" s="36" t="str">
        <f t="shared" ca="1" si="35"/>
        <v/>
      </c>
    </row>
    <row r="758" spans="3:11" x14ac:dyDescent="0.25">
      <c r="C758" s="53"/>
      <c r="D758" s="54"/>
      <c r="E758" s="55"/>
      <c r="F758" s="54"/>
      <c r="G758" s="56"/>
      <c r="H758" s="56"/>
      <c r="I758" s="36" t="str">
        <f t="shared" si="33"/>
        <v/>
      </c>
      <c r="J758" s="36">
        <f t="shared" si="34"/>
        <v>0</v>
      </c>
      <c r="K758" s="36" t="str">
        <f t="shared" ca="1" si="35"/>
        <v/>
      </c>
    </row>
    <row r="759" spans="3:11" x14ac:dyDescent="0.25">
      <c r="C759" s="53"/>
      <c r="D759" s="54"/>
      <c r="E759" s="55"/>
      <c r="F759" s="54"/>
      <c r="G759" s="56"/>
      <c r="H759" s="56"/>
      <c r="I759" s="36" t="str">
        <f t="shared" si="33"/>
        <v/>
      </c>
      <c r="J759" s="36">
        <f t="shared" si="34"/>
        <v>0</v>
      </c>
      <c r="K759" s="36" t="str">
        <f t="shared" ca="1" si="35"/>
        <v/>
      </c>
    </row>
    <row r="760" spans="3:11" x14ac:dyDescent="0.25">
      <c r="C760" s="53"/>
      <c r="D760" s="54"/>
      <c r="E760" s="55"/>
      <c r="F760" s="54"/>
      <c r="G760" s="56"/>
      <c r="H760" s="56"/>
      <c r="I760" s="36" t="str">
        <f t="shared" si="33"/>
        <v/>
      </c>
      <c r="J760" s="36">
        <f t="shared" si="34"/>
        <v>0</v>
      </c>
      <c r="K760" s="36" t="str">
        <f t="shared" ca="1" si="35"/>
        <v/>
      </c>
    </row>
    <row r="761" spans="3:11" x14ac:dyDescent="0.25">
      <c r="C761" s="53"/>
      <c r="D761" s="54"/>
      <c r="E761" s="55"/>
      <c r="F761" s="54"/>
      <c r="G761" s="56"/>
      <c r="H761" s="56"/>
      <c r="I761" s="36" t="str">
        <f t="shared" si="33"/>
        <v/>
      </c>
      <c r="J761" s="36">
        <f t="shared" si="34"/>
        <v>0</v>
      </c>
      <c r="K761" s="36" t="str">
        <f t="shared" ca="1" si="35"/>
        <v/>
      </c>
    </row>
    <row r="762" spans="3:11" x14ac:dyDescent="0.25">
      <c r="C762" s="53"/>
      <c r="D762" s="54"/>
      <c r="E762" s="55"/>
      <c r="F762" s="54"/>
      <c r="G762" s="56"/>
      <c r="H762" s="56"/>
      <c r="I762" s="36" t="str">
        <f t="shared" si="33"/>
        <v/>
      </c>
      <c r="J762" s="36">
        <f t="shared" si="34"/>
        <v>0</v>
      </c>
      <c r="K762" s="36" t="str">
        <f t="shared" ca="1" si="35"/>
        <v/>
      </c>
    </row>
    <row r="763" spans="3:11" x14ac:dyDescent="0.25">
      <c r="C763" s="53"/>
      <c r="D763" s="54"/>
      <c r="E763" s="55"/>
      <c r="F763" s="54"/>
      <c r="G763" s="56"/>
      <c r="H763" s="56"/>
      <c r="I763" s="36" t="str">
        <f t="shared" si="33"/>
        <v/>
      </c>
      <c r="J763" s="36">
        <f t="shared" si="34"/>
        <v>0</v>
      </c>
      <c r="K763" s="36" t="str">
        <f t="shared" ca="1" si="35"/>
        <v/>
      </c>
    </row>
    <row r="764" spans="3:11" x14ac:dyDescent="0.25">
      <c r="C764" s="53"/>
      <c r="D764" s="54"/>
      <c r="E764" s="55"/>
      <c r="F764" s="54"/>
      <c r="G764" s="56"/>
      <c r="H764" s="56"/>
      <c r="I764" s="36" t="str">
        <f t="shared" si="33"/>
        <v/>
      </c>
      <c r="J764" s="36">
        <f t="shared" si="34"/>
        <v>0</v>
      </c>
      <c r="K764" s="36" t="str">
        <f t="shared" ca="1" si="35"/>
        <v/>
      </c>
    </row>
    <row r="765" spans="3:11" x14ac:dyDescent="0.25">
      <c r="C765" s="53"/>
      <c r="D765" s="54"/>
      <c r="E765" s="55"/>
      <c r="F765" s="54"/>
      <c r="G765" s="56"/>
      <c r="H765" s="56"/>
      <c r="I765" s="36" t="str">
        <f t="shared" si="33"/>
        <v/>
      </c>
      <c r="J765" s="36">
        <f t="shared" si="34"/>
        <v>0</v>
      </c>
      <c r="K765" s="36" t="str">
        <f t="shared" ca="1" si="35"/>
        <v/>
      </c>
    </row>
    <row r="766" spans="3:11" x14ac:dyDescent="0.25">
      <c r="C766" s="53"/>
      <c r="D766" s="54"/>
      <c r="E766" s="55"/>
      <c r="F766" s="54"/>
      <c r="G766" s="56"/>
      <c r="H766" s="56"/>
      <c r="I766" s="36" t="str">
        <f t="shared" si="33"/>
        <v/>
      </c>
      <c r="J766" s="36">
        <f t="shared" si="34"/>
        <v>0</v>
      </c>
      <c r="K766" s="36" t="str">
        <f t="shared" ca="1" si="35"/>
        <v/>
      </c>
    </row>
    <row r="767" spans="3:11" x14ac:dyDescent="0.25">
      <c r="C767" s="53"/>
      <c r="D767" s="54"/>
      <c r="E767" s="55"/>
      <c r="F767" s="54"/>
      <c r="G767" s="56"/>
      <c r="H767" s="56"/>
      <c r="I767" s="36" t="str">
        <f t="shared" si="33"/>
        <v/>
      </c>
      <c r="J767" s="36">
        <f t="shared" si="34"/>
        <v>0</v>
      </c>
      <c r="K767" s="36" t="str">
        <f t="shared" ca="1" si="35"/>
        <v/>
      </c>
    </row>
    <row r="768" spans="3:11" x14ac:dyDescent="0.25">
      <c r="C768" s="53"/>
      <c r="D768" s="54"/>
      <c r="E768" s="55"/>
      <c r="F768" s="54"/>
      <c r="G768" s="56"/>
      <c r="H768" s="56"/>
      <c r="I768" s="36" t="str">
        <f t="shared" si="33"/>
        <v/>
      </c>
      <c r="J768" s="36">
        <f t="shared" si="34"/>
        <v>0</v>
      </c>
      <c r="K768" s="36" t="str">
        <f t="shared" ca="1" si="35"/>
        <v/>
      </c>
    </row>
    <row r="769" spans="3:11" x14ac:dyDescent="0.25">
      <c r="C769" s="53"/>
      <c r="D769" s="54"/>
      <c r="E769" s="55"/>
      <c r="F769" s="54"/>
      <c r="G769" s="56"/>
      <c r="H769" s="56"/>
      <c r="I769" s="36" t="str">
        <f t="shared" si="33"/>
        <v/>
      </c>
      <c r="J769" s="36">
        <f t="shared" si="34"/>
        <v>0</v>
      </c>
      <c r="K769" s="36" t="str">
        <f t="shared" ca="1" si="35"/>
        <v/>
      </c>
    </row>
    <row r="770" spans="3:11" x14ac:dyDescent="0.25">
      <c r="C770" s="53"/>
      <c r="D770" s="54"/>
      <c r="E770" s="55"/>
      <c r="F770" s="54"/>
      <c r="G770" s="56"/>
      <c r="H770" s="56"/>
      <c r="I770" s="36" t="str">
        <f t="shared" si="33"/>
        <v/>
      </c>
      <c r="J770" s="36">
        <f t="shared" si="34"/>
        <v>0</v>
      </c>
      <c r="K770" s="36" t="str">
        <f t="shared" ca="1" si="35"/>
        <v/>
      </c>
    </row>
    <row r="771" spans="3:11" x14ac:dyDescent="0.25">
      <c r="C771" s="53"/>
      <c r="D771" s="54"/>
      <c r="E771" s="55"/>
      <c r="F771" s="54"/>
      <c r="G771" s="56"/>
      <c r="H771" s="56"/>
      <c r="I771" s="36" t="str">
        <f t="shared" si="33"/>
        <v/>
      </c>
      <c r="J771" s="36">
        <f t="shared" si="34"/>
        <v>0</v>
      </c>
      <c r="K771" s="36" t="str">
        <f t="shared" ca="1" si="35"/>
        <v/>
      </c>
    </row>
    <row r="772" spans="3:11" x14ac:dyDescent="0.25">
      <c r="C772" s="53"/>
      <c r="D772" s="54"/>
      <c r="E772" s="55"/>
      <c r="F772" s="54"/>
      <c r="G772" s="56"/>
      <c r="H772" s="56"/>
      <c r="I772" s="36" t="str">
        <f t="shared" si="33"/>
        <v/>
      </c>
      <c r="J772" s="36">
        <f t="shared" si="34"/>
        <v>0</v>
      </c>
      <c r="K772" s="36" t="str">
        <f t="shared" ca="1" si="35"/>
        <v/>
      </c>
    </row>
    <row r="773" spans="3:11" x14ac:dyDescent="0.25">
      <c r="C773" s="53"/>
      <c r="D773" s="54"/>
      <c r="E773" s="55"/>
      <c r="F773" s="54"/>
      <c r="G773" s="56"/>
      <c r="H773" s="56"/>
      <c r="I773" s="36" t="str">
        <f t="shared" si="33"/>
        <v/>
      </c>
      <c r="J773" s="36">
        <f t="shared" si="34"/>
        <v>0</v>
      </c>
      <c r="K773" s="36" t="str">
        <f t="shared" ca="1" si="35"/>
        <v/>
      </c>
    </row>
    <row r="774" spans="3:11" x14ac:dyDescent="0.25">
      <c r="C774" s="53"/>
      <c r="D774" s="54"/>
      <c r="E774" s="55"/>
      <c r="F774" s="54"/>
      <c r="G774" s="56"/>
      <c r="H774" s="56"/>
      <c r="I774" s="36" t="str">
        <f t="shared" si="33"/>
        <v/>
      </c>
      <c r="J774" s="36">
        <f t="shared" si="34"/>
        <v>0</v>
      </c>
      <c r="K774" s="36" t="str">
        <f t="shared" ca="1" si="35"/>
        <v/>
      </c>
    </row>
    <row r="775" spans="3:11" x14ac:dyDescent="0.25">
      <c r="C775" s="53"/>
      <c r="D775" s="54"/>
      <c r="E775" s="55"/>
      <c r="F775" s="54"/>
      <c r="G775" s="56"/>
      <c r="H775" s="56"/>
      <c r="I775" s="36" t="str">
        <f t="shared" si="33"/>
        <v/>
      </c>
      <c r="J775" s="36">
        <f t="shared" si="34"/>
        <v>0</v>
      </c>
      <c r="K775" s="36" t="str">
        <f t="shared" ca="1" si="35"/>
        <v/>
      </c>
    </row>
    <row r="776" spans="3:11" x14ac:dyDescent="0.25">
      <c r="C776" s="53"/>
      <c r="D776" s="54"/>
      <c r="E776" s="55"/>
      <c r="F776" s="54"/>
      <c r="G776" s="56"/>
      <c r="H776" s="56"/>
      <c r="I776" s="36" t="str">
        <f t="shared" si="33"/>
        <v/>
      </c>
      <c r="J776" s="36">
        <f t="shared" si="34"/>
        <v>0</v>
      </c>
      <c r="K776" s="36" t="str">
        <f t="shared" ca="1" si="35"/>
        <v/>
      </c>
    </row>
  </sheetData>
  <sheetProtection selectLockedCells="1"/>
  <autoFilter ref="C14:K14" xr:uid="{01300E15-3204-407F-B29E-A1AA936ADD5D}"/>
  <mergeCells count="6">
    <mergeCell ref="F12:G12"/>
    <mergeCell ref="C4:K4"/>
    <mergeCell ref="J6:K6"/>
    <mergeCell ref="F9:G9"/>
    <mergeCell ref="F10:G10"/>
    <mergeCell ref="F11:G11"/>
  </mergeCells>
  <printOptions horizontalCentered="1"/>
  <pageMargins left="0.19685039370078741" right="0.19685039370078741" top="0.19685039370078741" bottom="0.19685039370078741" header="0.11811023622047245" footer="0.11811023622047245"/>
  <pageSetup paperSize="9" scale="6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6E613-10A8-41A0-992C-791C8228BE29}">
  <dimension ref="A1:K775"/>
  <sheetViews>
    <sheetView showGridLines="0" topLeftCell="A7" zoomScale="90" zoomScaleNormal="90" zoomScaleSheetLayoutView="115" workbookViewId="0">
      <selection activeCell="G21" sqref="G15:G21"/>
    </sheetView>
  </sheetViews>
  <sheetFormatPr defaultColWidth="9.140625" defaultRowHeight="15" x14ac:dyDescent="0.25"/>
  <cols>
    <col min="1" max="2" width="1.7109375" style="1" customWidth="1"/>
    <col min="3" max="3" width="12.85546875" style="1" customWidth="1"/>
    <col min="4" max="4" width="35" style="1" customWidth="1"/>
    <col min="5" max="5" width="29" style="13" customWidth="1"/>
    <col min="6" max="6" width="15.85546875" style="1" bestFit="1" customWidth="1"/>
    <col min="7" max="11" width="18.7109375" style="1" customWidth="1"/>
    <col min="12" max="16384" width="9.140625" style="1"/>
  </cols>
  <sheetData>
    <row r="1" spans="1:11" ht="16.5" thickBot="1" x14ac:dyDescent="0.3">
      <c r="C1" s="40"/>
      <c r="D1" s="40"/>
      <c r="E1" s="3"/>
      <c r="F1" s="2"/>
      <c r="G1" s="2"/>
      <c r="H1" s="2"/>
    </row>
    <row r="2" spans="1:11" ht="11.25" customHeight="1" x14ac:dyDescent="0.25">
      <c r="C2" s="43"/>
      <c r="D2" s="41"/>
      <c r="E2" s="5"/>
      <c r="F2" s="4"/>
      <c r="G2" s="4"/>
      <c r="H2" s="4"/>
      <c r="I2" s="22"/>
      <c r="J2" s="22"/>
      <c r="K2" s="23"/>
    </row>
    <row r="3" spans="1:11" s="7" customFormat="1" ht="39.950000000000003" customHeight="1" x14ac:dyDescent="0.25">
      <c r="A3" s="6"/>
      <c r="B3" s="6"/>
      <c r="C3" s="44"/>
      <c r="D3" s="42"/>
      <c r="E3" s="15"/>
      <c r="F3" s="14"/>
      <c r="G3" s="14"/>
      <c r="H3" s="16"/>
      <c r="I3" s="24"/>
      <c r="J3" s="24"/>
      <c r="K3" s="25"/>
    </row>
    <row r="4" spans="1:11" s="7" customFormat="1" ht="39.950000000000003" customHeight="1" x14ac:dyDescent="0.25">
      <c r="A4" s="6"/>
      <c r="B4" s="6"/>
      <c r="C4" s="60" t="s">
        <v>3</v>
      </c>
      <c r="D4" s="61"/>
      <c r="E4" s="61"/>
      <c r="F4" s="61"/>
      <c r="G4" s="61"/>
      <c r="H4" s="61"/>
      <c r="I4" s="61"/>
      <c r="J4" s="61"/>
      <c r="K4" s="62"/>
    </row>
    <row r="5" spans="1:11" ht="15.75" x14ac:dyDescent="0.25">
      <c r="C5" s="8"/>
      <c r="D5" s="49"/>
      <c r="E5" s="18"/>
      <c r="F5" s="17"/>
      <c r="G5" s="17"/>
      <c r="I5" s="26"/>
      <c r="J5" s="19"/>
      <c r="K5" s="9" t="s">
        <v>0</v>
      </c>
    </row>
    <row r="6" spans="1:11" ht="15.75" x14ac:dyDescent="0.25">
      <c r="C6" s="45"/>
      <c r="D6" s="48"/>
      <c r="E6" s="20"/>
      <c r="F6" s="21"/>
      <c r="G6" s="21"/>
      <c r="I6" s="26"/>
      <c r="J6" s="63"/>
      <c r="K6" s="64"/>
    </row>
    <row r="7" spans="1:11" ht="16.5" thickBot="1" x14ac:dyDescent="0.3">
      <c r="C7" s="46"/>
      <c r="D7" s="47"/>
      <c r="E7" s="11"/>
      <c r="F7" s="12"/>
      <c r="G7" s="12"/>
      <c r="H7" s="12"/>
      <c r="I7" s="27"/>
      <c r="J7" s="27"/>
      <c r="K7" s="28"/>
    </row>
    <row r="8" spans="1:11" s="29" customFormat="1" ht="7.5" customHeight="1" x14ac:dyDescent="0.25">
      <c r="C8" s="30"/>
      <c r="D8" s="30"/>
      <c r="E8" s="30"/>
      <c r="F8" s="33"/>
      <c r="G8" s="33"/>
      <c r="H8" s="34"/>
      <c r="I8" s="30"/>
    </row>
    <row r="9" spans="1:11" ht="15.75" x14ac:dyDescent="0.25">
      <c r="C9" s="39"/>
      <c r="D9" s="39"/>
      <c r="E9" s="39" t="s">
        <v>11</v>
      </c>
      <c r="F9" s="65">
        <f>SUM(H15:H740)</f>
        <v>0</v>
      </c>
      <c r="G9" s="65"/>
      <c r="H9" s="21"/>
    </row>
    <row r="10" spans="1:11" ht="15.75" x14ac:dyDescent="0.25">
      <c r="C10" s="39" t="s">
        <v>1</v>
      </c>
      <c r="D10" s="39"/>
      <c r="E10" s="39" t="s">
        <v>13</v>
      </c>
      <c r="F10" s="65">
        <f>SUMIF(I15:I740,"&lt;&gt;Sim",J15:J740)</f>
        <v>0</v>
      </c>
      <c r="G10" s="66"/>
      <c r="H10" s="37"/>
    </row>
    <row r="11" spans="1:11" ht="15.75" x14ac:dyDescent="0.25">
      <c r="C11" s="39" t="s">
        <v>16</v>
      </c>
      <c r="D11" s="39"/>
      <c r="E11" s="39" t="s">
        <v>12</v>
      </c>
      <c r="F11" s="65">
        <f ca="1">SUMIF(K15:K740,"=Próximos sete dias",J15:J740)</f>
        <v>0</v>
      </c>
      <c r="G11" s="66"/>
      <c r="H11" s="38"/>
    </row>
    <row r="12" spans="1:11" ht="16.5" thickBot="1" x14ac:dyDescent="0.3">
      <c r="C12" s="10"/>
      <c r="D12" s="10"/>
      <c r="E12" s="39" t="s">
        <v>14</v>
      </c>
      <c r="F12" s="59">
        <f ca="1">SUMIF(K15:K740,"VENCIDA",J15:J740)</f>
        <v>0</v>
      </c>
      <c r="G12" s="59"/>
      <c r="H12" s="35"/>
      <c r="I12" s="10"/>
    </row>
    <row r="13" spans="1:11" s="29" customFormat="1" ht="7.5" customHeight="1" thickTop="1" thickBot="1" x14ac:dyDescent="0.3">
      <c r="C13" s="30"/>
      <c r="D13" s="30"/>
      <c r="E13" s="30"/>
      <c r="F13" s="31"/>
      <c r="G13" s="31"/>
      <c r="H13" s="32"/>
      <c r="I13" s="30"/>
    </row>
    <row r="14" spans="1:11" ht="15.75" thickTop="1" x14ac:dyDescent="0.25">
      <c r="C14" s="50" t="s">
        <v>4</v>
      </c>
      <c r="D14" s="51" t="s">
        <v>5</v>
      </c>
      <c r="E14" s="51" t="s">
        <v>7</v>
      </c>
      <c r="F14" s="51" t="s">
        <v>6</v>
      </c>
      <c r="G14" s="51" t="s">
        <v>8</v>
      </c>
      <c r="H14" s="51" t="s">
        <v>15</v>
      </c>
      <c r="I14" s="51" t="s">
        <v>10</v>
      </c>
      <c r="J14" s="51" t="s">
        <v>2</v>
      </c>
      <c r="K14" s="52" t="s">
        <v>9</v>
      </c>
    </row>
    <row r="15" spans="1:11" x14ac:dyDescent="0.25">
      <c r="C15" s="53"/>
      <c r="D15" s="54"/>
      <c r="E15" s="55"/>
      <c r="F15" s="54"/>
      <c r="G15" s="56"/>
      <c r="H15" s="57"/>
      <c r="I15" s="36" t="str">
        <f>IF(C15="","",IF(H15&lt;=0,"Em aberto",IF(H15&gt;=G15,"Pagamento Total",IF(H15&lt;G15,"Pagamento Parcial"))))</f>
        <v/>
      </c>
      <c r="J15" s="36">
        <f>IF(C15&gt;0,G15-H15,0)</f>
        <v>0</v>
      </c>
      <c r="K15" s="36" t="str">
        <f ca="1">IF(ISBLANK(C15),"",IF(H15=G15,"Pago",IF(C15=TODAY(),"Vence Hoje",IF(TRIM(UPPER(G14))&lt;&gt;"S",IF(C15-TODAY()&lt;0,"Vencida",IF(C15-TODAY()&lt;8,"Próximos sete dias","Em aberto"))))))</f>
        <v/>
      </c>
    </row>
    <row r="16" spans="1:11" x14ac:dyDescent="0.25">
      <c r="C16" s="53"/>
      <c r="D16" s="54"/>
      <c r="E16" s="55"/>
      <c r="F16" s="54"/>
      <c r="G16" s="56"/>
      <c r="H16" s="57"/>
      <c r="I16" s="36" t="str">
        <f t="shared" ref="I16:I79" si="0">IF(C16="","",IF(H16&lt;=0,"Em aberto",IF(H16&gt;=G16,"Pagamento Total",IF(H16&lt;G16,"Pagamento Parcial"))))</f>
        <v/>
      </c>
      <c r="J16" s="36">
        <f t="shared" ref="J16:J79" si="1">IF(C16&gt;0,G16-H16,0)</f>
        <v>0</v>
      </c>
      <c r="K16" s="36" t="str">
        <f t="shared" ref="K16:K79" ca="1" si="2">IF(ISBLANK(C16),"",IF(H16=G16,"Pago",IF(C16=TODAY(),"Vence Hoje",IF(TRIM(UPPER(G15))&lt;&gt;"S",IF(C16-TODAY()&lt;0,"Vencida",IF(C16-TODAY()&lt;8,"Próximos sete dias","Em aberto"))))))</f>
        <v/>
      </c>
    </row>
    <row r="17" spans="3:11" x14ac:dyDescent="0.25">
      <c r="C17" s="53"/>
      <c r="D17" s="54"/>
      <c r="E17" s="55"/>
      <c r="F17" s="54"/>
      <c r="G17" s="56"/>
      <c r="H17" s="57"/>
      <c r="I17" s="36" t="str">
        <f t="shared" si="0"/>
        <v/>
      </c>
      <c r="J17" s="36">
        <f t="shared" si="1"/>
        <v>0</v>
      </c>
      <c r="K17" s="36" t="str">
        <f t="shared" ca="1" si="2"/>
        <v/>
      </c>
    </row>
    <row r="18" spans="3:11" x14ac:dyDescent="0.25">
      <c r="C18" s="53"/>
      <c r="D18" s="54"/>
      <c r="E18" s="55"/>
      <c r="F18" s="54"/>
      <c r="G18" s="56"/>
      <c r="H18" s="57"/>
      <c r="I18" s="36" t="str">
        <f t="shared" si="0"/>
        <v/>
      </c>
      <c r="J18" s="36">
        <f t="shared" si="1"/>
        <v>0</v>
      </c>
      <c r="K18" s="36" t="str">
        <f t="shared" ca="1" si="2"/>
        <v/>
      </c>
    </row>
    <row r="19" spans="3:11" x14ac:dyDescent="0.25">
      <c r="C19" s="53"/>
      <c r="D19" s="54"/>
      <c r="E19" s="55"/>
      <c r="F19" s="54"/>
      <c r="G19" s="56"/>
      <c r="H19" s="57"/>
      <c r="I19" s="36" t="str">
        <f t="shared" si="0"/>
        <v/>
      </c>
      <c r="J19" s="36">
        <f t="shared" si="1"/>
        <v>0</v>
      </c>
      <c r="K19" s="36" t="str">
        <f t="shared" ca="1" si="2"/>
        <v/>
      </c>
    </row>
    <row r="20" spans="3:11" x14ac:dyDescent="0.25">
      <c r="C20" s="53"/>
      <c r="D20" s="54"/>
      <c r="F20" s="54"/>
      <c r="G20" s="56"/>
      <c r="H20" s="57"/>
      <c r="I20" s="36" t="str">
        <f t="shared" si="0"/>
        <v/>
      </c>
      <c r="J20" s="36">
        <f t="shared" si="1"/>
        <v>0</v>
      </c>
      <c r="K20" s="36" t="str">
        <f t="shared" ca="1" si="2"/>
        <v/>
      </c>
    </row>
    <row r="21" spans="3:11" x14ac:dyDescent="0.25">
      <c r="C21" s="53"/>
      <c r="D21" s="54"/>
      <c r="E21" s="55"/>
      <c r="F21" s="54"/>
      <c r="G21" s="56"/>
      <c r="H21" s="57"/>
      <c r="I21" s="36" t="str">
        <f t="shared" si="0"/>
        <v/>
      </c>
      <c r="J21" s="36">
        <f t="shared" si="1"/>
        <v>0</v>
      </c>
      <c r="K21" s="36" t="str">
        <f t="shared" ca="1" si="2"/>
        <v/>
      </c>
    </row>
    <row r="22" spans="3:11" x14ac:dyDescent="0.25">
      <c r="C22" s="53"/>
      <c r="D22" s="54"/>
      <c r="E22" s="55"/>
      <c r="F22" s="54"/>
      <c r="G22" s="56"/>
      <c r="H22" s="57"/>
      <c r="I22" s="36" t="str">
        <f t="shared" si="0"/>
        <v/>
      </c>
      <c r="J22" s="36">
        <f t="shared" si="1"/>
        <v>0</v>
      </c>
      <c r="K22" s="36" t="str">
        <f t="shared" ca="1" si="2"/>
        <v/>
      </c>
    </row>
    <row r="23" spans="3:11" x14ac:dyDescent="0.25">
      <c r="C23" s="53"/>
      <c r="D23" s="54"/>
      <c r="E23" s="55"/>
      <c r="F23" s="54"/>
      <c r="G23" s="56"/>
      <c r="H23" s="57"/>
      <c r="I23" s="36" t="str">
        <f t="shared" si="0"/>
        <v/>
      </c>
      <c r="J23" s="36">
        <f t="shared" si="1"/>
        <v>0</v>
      </c>
      <c r="K23" s="36" t="str">
        <f t="shared" ca="1" si="2"/>
        <v/>
      </c>
    </row>
    <row r="24" spans="3:11" x14ac:dyDescent="0.25">
      <c r="C24" s="53"/>
      <c r="D24" s="54"/>
      <c r="E24" s="55"/>
      <c r="F24" s="54"/>
      <c r="G24" s="56"/>
      <c r="H24" s="57"/>
      <c r="I24" s="36" t="str">
        <f t="shared" si="0"/>
        <v/>
      </c>
      <c r="J24" s="36">
        <f t="shared" si="1"/>
        <v>0</v>
      </c>
      <c r="K24" s="36" t="str">
        <f t="shared" ca="1" si="2"/>
        <v/>
      </c>
    </row>
    <row r="25" spans="3:11" x14ac:dyDescent="0.25">
      <c r="C25" s="53"/>
      <c r="D25" s="54"/>
      <c r="E25" s="55"/>
      <c r="F25" s="54"/>
      <c r="G25" s="56"/>
      <c r="H25" s="57"/>
      <c r="I25" s="36" t="str">
        <f t="shared" si="0"/>
        <v/>
      </c>
      <c r="J25" s="36">
        <f t="shared" si="1"/>
        <v>0</v>
      </c>
      <c r="K25" s="36" t="str">
        <f t="shared" ca="1" si="2"/>
        <v/>
      </c>
    </row>
    <row r="26" spans="3:11" x14ac:dyDescent="0.25">
      <c r="C26" s="53"/>
      <c r="D26" s="54"/>
      <c r="E26" s="55"/>
      <c r="F26" s="54"/>
      <c r="G26" s="56"/>
      <c r="H26" s="57"/>
      <c r="I26" s="36" t="str">
        <f t="shared" si="0"/>
        <v/>
      </c>
      <c r="J26" s="36">
        <f t="shared" si="1"/>
        <v>0</v>
      </c>
      <c r="K26" s="36" t="str">
        <f t="shared" ca="1" si="2"/>
        <v/>
      </c>
    </row>
    <row r="27" spans="3:11" x14ac:dyDescent="0.25">
      <c r="C27" s="53"/>
      <c r="D27" s="54"/>
      <c r="E27" s="55"/>
      <c r="F27" s="54"/>
      <c r="G27" s="56"/>
      <c r="H27" s="57"/>
      <c r="I27" s="36" t="str">
        <f t="shared" si="0"/>
        <v/>
      </c>
      <c r="J27" s="36">
        <f t="shared" si="1"/>
        <v>0</v>
      </c>
      <c r="K27" s="36" t="str">
        <f t="shared" ca="1" si="2"/>
        <v/>
      </c>
    </row>
    <row r="28" spans="3:11" x14ac:dyDescent="0.25">
      <c r="C28" s="53"/>
      <c r="D28" s="54"/>
      <c r="E28" s="55"/>
      <c r="F28" s="54"/>
      <c r="G28" s="56"/>
      <c r="H28" s="57"/>
      <c r="I28" s="36" t="str">
        <f t="shared" si="0"/>
        <v/>
      </c>
      <c r="J28" s="36">
        <f t="shared" si="1"/>
        <v>0</v>
      </c>
      <c r="K28" s="36" t="str">
        <f t="shared" ca="1" si="2"/>
        <v/>
      </c>
    </row>
    <row r="29" spans="3:11" x14ac:dyDescent="0.25">
      <c r="C29" s="53"/>
      <c r="D29" s="54"/>
      <c r="E29" s="55"/>
      <c r="F29" s="54"/>
      <c r="G29" s="56"/>
      <c r="H29" s="57"/>
      <c r="I29" s="36" t="str">
        <f t="shared" si="0"/>
        <v/>
      </c>
      <c r="J29" s="36">
        <f t="shared" si="1"/>
        <v>0</v>
      </c>
      <c r="K29" s="36" t="str">
        <f t="shared" ca="1" si="2"/>
        <v/>
      </c>
    </row>
    <row r="30" spans="3:11" x14ac:dyDescent="0.25">
      <c r="C30" s="53"/>
      <c r="D30" s="54"/>
      <c r="E30" s="55"/>
      <c r="F30" s="54"/>
      <c r="G30" s="56"/>
      <c r="H30" s="57"/>
      <c r="I30" s="36" t="str">
        <f t="shared" si="0"/>
        <v/>
      </c>
      <c r="J30" s="36">
        <f t="shared" si="1"/>
        <v>0</v>
      </c>
      <c r="K30" s="36" t="str">
        <f t="shared" ca="1" si="2"/>
        <v/>
      </c>
    </row>
    <row r="31" spans="3:11" x14ac:dyDescent="0.25">
      <c r="C31" s="53"/>
      <c r="D31" s="54"/>
      <c r="E31" s="55"/>
      <c r="F31" s="54"/>
      <c r="G31" s="56"/>
      <c r="H31" s="57"/>
      <c r="I31" s="36" t="str">
        <f t="shared" si="0"/>
        <v/>
      </c>
      <c r="J31" s="36">
        <f t="shared" si="1"/>
        <v>0</v>
      </c>
      <c r="K31" s="36" t="str">
        <f t="shared" ca="1" si="2"/>
        <v/>
      </c>
    </row>
    <row r="32" spans="3:11" x14ac:dyDescent="0.25">
      <c r="C32" s="53"/>
      <c r="D32" s="54"/>
      <c r="E32" s="55"/>
      <c r="F32" s="54"/>
      <c r="G32" s="56"/>
      <c r="H32" s="57"/>
      <c r="I32" s="36" t="str">
        <f t="shared" si="0"/>
        <v/>
      </c>
      <c r="J32" s="36">
        <f t="shared" si="1"/>
        <v>0</v>
      </c>
      <c r="K32" s="36" t="str">
        <f t="shared" ca="1" si="2"/>
        <v/>
      </c>
    </row>
    <row r="33" spans="3:11" x14ac:dyDescent="0.25">
      <c r="C33" s="53"/>
      <c r="D33" s="54"/>
      <c r="E33" s="55"/>
      <c r="F33" s="54"/>
      <c r="G33" s="56"/>
      <c r="H33" s="57"/>
      <c r="I33" s="36" t="str">
        <f t="shared" si="0"/>
        <v/>
      </c>
      <c r="J33" s="36">
        <f t="shared" si="1"/>
        <v>0</v>
      </c>
      <c r="K33" s="36" t="str">
        <f t="shared" ca="1" si="2"/>
        <v/>
      </c>
    </row>
    <row r="34" spans="3:11" x14ac:dyDescent="0.25">
      <c r="C34" s="53"/>
      <c r="D34" s="54"/>
      <c r="E34" s="55"/>
      <c r="F34" s="54"/>
      <c r="G34" s="56"/>
      <c r="H34" s="57"/>
      <c r="I34" s="36" t="str">
        <f t="shared" si="0"/>
        <v/>
      </c>
      <c r="J34" s="36">
        <f t="shared" si="1"/>
        <v>0</v>
      </c>
      <c r="K34" s="36" t="str">
        <f t="shared" ca="1" si="2"/>
        <v/>
      </c>
    </row>
    <row r="35" spans="3:11" x14ac:dyDescent="0.25">
      <c r="C35" s="53"/>
      <c r="D35" s="55"/>
      <c r="E35" s="55"/>
      <c r="F35" s="54"/>
      <c r="G35" s="56"/>
      <c r="H35" s="57"/>
      <c r="I35" s="36" t="str">
        <f t="shared" si="0"/>
        <v/>
      </c>
      <c r="J35" s="36">
        <f t="shared" si="1"/>
        <v>0</v>
      </c>
      <c r="K35" s="36" t="str">
        <f t="shared" ca="1" si="2"/>
        <v/>
      </c>
    </row>
    <row r="36" spans="3:11" x14ac:dyDescent="0.25">
      <c r="C36" s="53"/>
      <c r="D36" s="54"/>
      <c r="E36" s="55"/>
      <c r="F36" s="54"/>
      <c r="G36" s="56"/>
      <c r="H36" s="57"/>
      <c r="I36" s="36" t="str">
        <f t="shared" si="0"/>
        <v/>
      </c>
      <c r="J36" s="36">
        <f t="shared" si="1"/>
        <v>0</v>
      </c>
      <c r="K36" s="36" t="str">
        <f t="shared" ca="1" si="2"/>
        <v/>
      </c>
    </row>
    <row r="37" spans="3:11" x14ac:dyDescent="0.25">
      <c r="C37" s="53"/>
      <c r="D37" s="54"/>
      <c r="E37" s="55"/>
      <c r="F37" s="54"/>
      <c r="G37" s="56"/>
      <c r="H37" s="57"/>
      <c r="I37" s="36" t="str">
        <f t="shared" si="0"/>
        <v/>
      </c>
      <c r="J37" s="36">
        <f t="shared" si="1"/>
        <v>0</v>
      </c>
      <c r="K37" s="36" t="str">
        <f t="shared" ca="1" si="2"/>
        <v/>
      </c>
    </row>
    <row r="38" spans="3:11" x14ac:dyDescent="0.25">
      <c r="C38" s="53"/>
      <c r="D38" s="54"/>
      <c r="E38" s="55"/>
      <c r="F38" s="54"/>
      <c r="G38" s="56"/>
      <c r="H38" s="57"/>
      <c r="I38" s="36" t="str">
        <f t="shared" si="0"/>
        <v/>
      </c>
      <c r="J38" s="36">
        <f t="shared" si="1"/>
        <v>0</v>
      </c>
      <c r="K38" s="36" t="str">
        <f t="shared" ca="1" si="2"/>
        <v/>
      </c>
    </row>
    <row r="39" spans="3:11" x14ac:dyDescent="0.25">
      <c r="C39" s="53"/>
      <c r="D39" s="54"/>
      <c r="E39" s="55"/>
      <c r="F39" s="54"/>
      <c r="G39" s="56"/>
      <c r="H39" s="57"/>
      <c r="I39" s="36" t="str">
        <f t="shared" si="0"/>
        <v/>
      </c>
      <c r="J39" s="36">
        <f t="shared" si="1"/>
        <v>0</v>
      </c>
      <c r="K39" s="36" t="str">
        <f t="shared" ca="1" si="2"/>
        <v/>
      </c>
    </row>
    <row r="40" spans="3:11" x14ac:dyDescent="0.25">
      <c r="C40" s="53"/>
      <c r="D40" s="54"/>
      <c r="E40" s="55"/>
      <c r="F40" s="54"/>
      <c r="G40" s="56"/>
      <c r="H40" s="57"/>
      <c r="I40" s="36" t="str">
        <f t="shared" si="0"/>
        <v/>
      </c>
      <c r="J40" s="36">
        <f t="shared" si="1"/>
        <v>0</v>
      </c>
      <c r="K40" s="36" t="str">
        <f t="shared" ca="1" si="2"/>
        <v/>
      </c>
    </row>
    <row r="41" spans="3:11" x14ac:dyDescent="0.25">
      <c r="C41" s="53"/>
      <c r="D41" s="54"/>
      <c r="E41" s="55"/>
      <c r="F41" s="54"/>
      <c r="G41" s="56"/>
      <c r="H41" s="57"/>
      <c r="I41" s="36" t="str">
        <f t="shared" si="0"/>
        <v/>
      </c>
      <c r="J41" s="36">
        <f t="shared" si="1"/>
        <v>0</v>
      </c>
      <c r="K41" s="36" t="str">
        <f t="shared" ca="1" si="2"/>
        <v/>
      </c>
    </row>
    <row r="42" spans="3:11" x14ac:dyDescent="0.25">
      <c r="C42" s="53"/>
      <c r="D42" s="54"/>
      <c r="E42" s="55"/>
      <c r="F42" s="54"/>
      <c r="G42" s="56"/>
      <c r="H42" s="57"/>
      <c r="I42" s="36" t="str">
        <f t="shared" si="0"/>
        <v/>
      </c>
      <c r="J42" s="36">
        <f t="shared" si="1"/>
        <v>0</v>
      </c>
      <c r="K42" s="36" t="str">
        <f t="shared" ca="1" si="2"/>
        <v/>
      </c>
    </row>
    <row r="43" spans="3:11" x14ac:dyDescent="0.25">
      <c r="C43" s="53"/>
      <c r="D43" s="54"/>
      <c r="E43" s="55"/>
      <c r="F43" s="54"/>
      <c r="G43" s="56"/>
      <c r="H43" s="57"/>
      <c r="I43" s="36" t="str">
        <f t="shared" si="0"/>
        <v/>
      </c>
      <c r="J43" s="36">
        <f t="shared" si="1"/>
        <v>0</v>
      </c>
      <c r="K43" s="36" t="str">
        <f t="shared" ca="1" si="2"/>
        <v/>
      </c>
    </row>
    <row r="44" spans="3:11" x14ac:dyDescent="0.25">
      <c r="C44" s="53"/>
      <c r="D44" s="54"/>
      <c r="E44" s="55"/>
      <c r="F44" s="54"/>
      <c r="G44" s="56"/>
      <c r="H44" s="57"/>
      <c r="I44" s="36" t="str">
        <f t="shared" si="0"/>
        <v/>
      </c>
      <c r="J44" s="36">
        <f t="shared" si="1"/>
        <v>0</v>
      </c>
      <c r="K44" s="36" t="str">
        <f t="shared" ca="1" si="2"/>
        <v/>
      </c>
    </row>
    <row r="45" spans="3:11" x14ac:dyDescent="0.25">
      <c r="C45" s="53"/>
      <c r="D45" s="54"/>
      <c r="E45" s="55"/>
      <c r="F45" s="54"/>
      <c r="G45" s="56"/>
      <c r="H45" s="57"/>
      <c r="I45" s="36" t="str">
        <f t="shared" si="0"/>
        <v/>
      </c>
      <c r="J45" s="36">
        <f t="shared" si="1"/>
        <v>0</v>
      </c>
      <c r="K45" s="36" t="str">
        <f t="shared" ca="1" si="2"/>
        <v/>
      </c>
    </row>
    <row r="46" spans="3:11" x14ac:dyDescent="0.25">
      <c r="C46" s="53"/>
      <c r="D46" s="54"/>
      <c r="E46" s="55"/>
      <c r="F46" s="54"/>
      <c r="G46" s="56"/>
      <c r="H46" s="57"/>
      <c r="I46" s="36" t="str">
        <f t="shared" si="0"/>
        <v/>
      </c>
      <c r="J46" s="36">
        <f t="shared" si="1"/>
        <v>0</v>
      </c>
      <c r="K46" s="36" t="str">
        <f t="shared" ca="1" si="2"/>
        <v/>
      </c>
    </row>
    <row r="47" spans="3:11" x14ac:dyDescent="0.25">
      <c r="C47" s="53"/>
      <c r="D47" s="54"/>
      <c r="E47" s="55"/>
      <c r="F47" s="54"/>
      <c r="G47" s="56"/>
      <c r="H47" s="57"/>
      <c r="I47" s="36" t="str">
        <f t="shared" si="0"/>
        <v/>
      </c>
      <c r="J47" s="36">
        <f t="shared" si="1"/>
        <v>0</v>
      </c>
      <c r="K47" s="36" t="str">
        <f t="shared" ca="1" si="2"/>
        <v/>
      </c>
    </row>
    <row r="48" spans="3:11" x14ac:dyDescent="0.25">
      <c r="C48" s="53"/>
      <c r="D48" s="54"/>
      <c r="E48" s="55"/>
      <c r="F48" s="54"/>
      <c r="G48" s="56"/>
      <c r="H48" s="57"/>
      <c r="I48" s="36" t="str">
        <f t="shared" si="0"/>
        <v/>
      </c>
      <c r="J48" s="36">
        <f t="shared" si="1"/>
        <v>0</v>
      </c>
      <c r="K48" s="36" t="str">
        <f t="shared" ca="1" si="2"/>
        <v/>
      </c>
    </row>
    <row r="49" spans="3:11" x14ac:dyDescent="0.25">
      <c r="C49" s="53"/>
      <c r="D49" s="54"/>
      <c r="E49" s="55"/>
      <c r="F49" s="54"/>
      <c r="G49" s="56"/>
      <c r="H49" s="57"/>
      <c r="I49" s="36" t="str">
        <f t="shared" si="0"/>
        <v/>
      </c>
      <c r="J49" s="36">
        <f t="shared" si="1"/>
        <v>0</v>
      </c>
      <c r="K49" s="36" t="str">
        <f t="shared" ca="1" si="2"/>
        <v/>
      </c>
    </row>
    <row r="50" spans="3:11" x14ac:dyDescent="0.25">
      <c r="C50" s="53"/>
      <c r="D50" s="54"/>
      <c r="E50" s="55"/>
      <c r="F50" s="54"/>
      <c r="G50" s="56"/>
      <c r="H50" s="57"/>
      <c r="I50" s="36" t="str">
        <f t="shared" si="0"/>
        <v/>
      </c>
      <c r="J50" s="36">
        <f t="shared" si="1"/>
        <v>0</v>
      </c>
      <c r="K50" s="36" t="str">
        <f t="shared" ca="1" si="2"/>
        <v/>
      </c>
    </row>
    <row r="51" spans="3:11" x14ac:dyDescent="0.25">
      <c r="C51" s="53"/>
      <c r="D51" s="54"/>
      <c r="E51" s="55"/>
      <c r="F51" s="54"/>
      <c r="G51" s="56"/>
      <c r="H51" s="57"/>
      <c r="I51" s="36" t="str">
        <f t="shared" si="0"/>
        <v/>
      </c>
      <c r="J51" s="36">
        <f t="shared" si="1"/>
        <v>0</v>
      </c>
      <c r="K51" s="36" t="str">
        <f t="shared" ca="1" si="2"/>
        <v/>
      </c>
    </row>
    <row r="52" spans="3:11" x14ac:dyDescent="0.25">
      <c r="C52" s="53"/>
      <c r="D52" s="54"/>
      <c r="E52" s="55"/>
      <c r="F52" s="54"/>
      <c r="G52" s="56"/>
      <c r="H52" s="57"/>
      <c r="I52" s="36" t="str">
        <f t="shared" si="0"/>
        <v/>
      </c>
      <c r="J52" s="36">
        <f t="shared" si="1"/>
        <v>0</v>
      </c>
      <c r="K52" s="36" t="str">
        <f t="shared" ca="1" si="2"/>
        <v/>
      </c>
    </row>
    <row r="53" spans="3:11" x14ac:dyDescent="0.25">
      <c r="C53" s="53"/>
      <c r="D53" s="54"/>
      <c r="E53" s="55"/>
      <c r="F53" s="54"/>
      <c r="G53" s="56"/>
      <c r="H53" s="57"/>
      <c r="I53" s="36" t="str">
        <f t="shared" si="0"/>
        <v/>
      </c>
      <c r="J53" s="36">
        <f t="shared" si="1"/>
        <v>0</v>
      </c>
      <c r="K53" s="36" t="str">
        <f t="shared" ca="1" si="2"/>
        <v/>
      </c>
    </row>
    <row r="54" spans="3:11" x14ac:dyDescent="0.25">
      <c r="C54" s="53"/>
      <c r="D54" s="54"/>
      <c r="E54" s="55"/>
      <c r="F54" s="54"/>
      <c r="G54" s="56"/>
      <c r="H54" s="57"/>
      <c r="I54" s="36" t="str">
        <f t="shared" si="0"/>
        <v/>
      </c>
      <c r="J54" s="36">
        <f t="shared" si="1"/>
        <v>0</v>
      </c>
      <c r="K54" s="36" t="str">
        <f t="shared" ca="1" si="2"/>
        <v/>
      </c>
    </row>
    <row r="55" spans="3:11" x14ac:dyDescent="0.25">
      <c r="C55" s="53"/>
      <c r="D55" s="54"/>
      <c r="E55" s="55"/>
      <c r="F55" s="54"/>
      <c r="G55" s="56"/>
      <c r="H55" s="57"/>
      <c r="I55" s="36" t="str">
        <f t="shared" si="0"/>
        <v/>
      </c>
      <c r="J55" s="36">
        <f t="shared" si="1"/>
        <v>0</v>
      </c>
      <c r="K55" s="36" t="str">
        <f t="shared" ca="1" si="2"/>
        <v/>
      </c>
    </row>
    <row r="56" spans="3:11" x14ac:dyDescent="0.25">
      <c r="C56" s="53"/>
      <c r="D56" s="54"/>
      <c r="E56" s="55"/>
      <c r="F56" s="54"/>
      <c r="G56" s="56"/>
      <c r="H56" s="56"/>
      <c r="I56" s="36" t="str">
        <f t="shared" si="0"/>
        <v/>
      </c>
      <c r="J56" s="36">
        <f t="shared" si="1"/>
        <v>0</v>
      </c>
      <c r="K56" s="36" t="str">
        <f t="shared" ca="1" si="2"/>
        <v/>
      </c>
    </row>
    <row r="57" spans="3:11" x14ac:dyDescent="0.25">
      <c r="C57" s="53"/>
      <c r="D57" s="54"/>
      <c r="E57" s="55"/>
      <c r="F57" s="54"/>
      <c r="G57" s="56"/>
      <c r="H57" s="56"/>
      <c r="I57" s="36" t="str">
        <f t="shared" si="0"/>
        <v/>
      </c>
      <c r="J57" s="36">
        <f t="shared" si="1"/>
        <v>0</v>
      </c>
      <c r="K57" s="36" t="str">
        <f t="shared" ca="1" si="2"/>
        <v/>
      </c>
    </row>
    <row r="58" spans="3:11" x14ac:dyDescent="0.25">
      <c r="C58" s="53"/>
      <c r="D58" s="54"/>
      <c r="E58" s="55"/>
      <c r="F58" s="54"/>
      <c r="G58" s="56"/>
      <c r="H58" s="56"/>
      <c r="I58" s="36" t="str">
        <f t="shared" si="0"/>
        <v/>
      </c>
      <c r="J58" s="36">
        <f t="shared" si="1"/>
        <v>0</v>
      </c>
      <c r="K58" s="36" t="str">
        <f t="shared" ca="1" si="2"/>
        <v/>
      </c>
    </row>
    <row r="59" spans="3:11" x14ac:dyDescent="0.25">
      <c r="C59" s="53"/>
      <c r="D59" s="54"/>
      <c r="E59" s="55"/>
      <c r="F59" s="54"/>
      <c r="G59" s="56"/>
      <c r="H59" s="56"/>
      <c r="I59" s="36" t="str">
        <f t="shared" si="0"/>
        <v/>
      </c>
      <c r="J59" s="36">
        <f t="shared" si="1"/>
        <v>0</v>
      </c>
      <c r="K59" s="36" t="str">
        <f t="shared" ca="1" si="2"/>
        <v/>
      </c>
    </row>
    <row r="60" spans="3:11" x14ac:dyDescent="0.25">
      <c r="C60" s="53"/>
      <c r="D60" s="54"/>
      <c r="E60" s="55"/>
      <c r="F60" s="54"/>
      <c r="G60" s="56"/>
      <c r="H60" s="56"/>
      <c r="I60" s="36" t="str">
        <f t="shared" si="0"/>
        <v/>
      </c>
      <c r="J60" s="36">
        <f t="shared" si="1"/>
        <v>0</v>
      </c>
      <c r="K60" s="36" t="str">
        <f t="shared" ca="1" si="2"/>
        <v/>
      </c>
    </row>
    <row r="61" spans="3:11" x14ac:dyDescent="0.25">
      <c r="C61" s="53"/>
      <c r="D61" s="54"/>
      <c r="E61" s="55"/>
      <c r="F61" s="54"/>
      <c r="G61" s="56"/>
      <c r="H61" s="56"/>
      <c r="I61" s="36" t="str">
        <f t="shared" si="0"/>
        <v/>
      </c>
      <c r="J61" s="36">
        <f t="shared" si="1"/>
        <v>0</v>
      </c>
      <c r="K61" s="36" t="str">
        <f t="shared" ca="1" si="2"/>
        <v/>
      </c>
    </row>
    <row r="62" spans="3:11" x14ac:dyDescent="0.25">
      <c r="C62" s="53"/>
      <c r="D62" s="54"/>
      <c r="E62" s="55"/>
      <c r="F62" s="54"/>
      <c r="G62" s="56"/>
      <c r="H62" s="56"/>
      <c r="I62" s="36" t="str">
        <f t="shared" si="0"/>
        <v/>
      </c>
      <c r="J62" s="36">
        <f t="shared" si="1"/>
        <v>0</v>
      </c>
      <c r="K62" s="36" t="str">
        <f t="shared" ca="1" si="2"/>
        <v/>
      </c>
    </row>
    <row r="63" spans="3:11" x14ac:dyDescent="0.25">
      <c r="C63" s="53"/>
      <c r="D63" s="54"/>
      <c r="E63" s="55"/>
      <c r="F63" s="54"/>
      <c r="G63" s="56"/>
      <c r="H63" s="56"/>
      <c r="I63" s="36" t="str">
        <f t="shared" si="0"/>
        <v/>
      </c>
      <c r="J63" s="36">
        <f t="shared" si="1"/>
        <v>0</v>
      </c>
      <c r="K63" s="36" t="str">
        <f t="shared" ca="1" si="2"/>
        <v/>
      </c>
    </row>
    <row r="64" spans="3:11" x14ac:dyDescent="0.25">
      <c r="C64" s="53"/>
      <c r="D64" s="54"/>
      <c r="E64" s="55"/>
      <c r="F64" s="54"/>
      <c r="G64" s="56"/>
      <c r="H64" s="56"/>
      <c r="I64" s="36" t="str">
        <f t="shared" si="0"/>
        <v/>
      </c>
      <c r="J64" s="36">
        <f t="shared" si="1"/>
        <v>0</v>
      </c>
      <c r="K64" s="36" t="str">
        <f t="shared" ca="1" si="2"/>
        <v/>
      </c>
    </row>
    <row r="65" spans="3:11" x14ac:dyDescent="0.25">
      <c r="C65" s="53"/>
      <c r="D65" s="54"/>
      <c r="E65" s="55"/>
      <c r="F65" s="54"/>
      <c r="G65" s="56"/>
      <c r="H65" s="56"/>
      <c r="I65" s="36" t="str">
        <f t="shared" si="0"/>
        <v/>
      </c>
      <c r="J65" s="36">
        <f t="shared" si="1"/>
        <v>0</v>
      </c>
      <c r="K65" s="36" t="str">
        <f t="shared" ca="1" si="2"/>
        <v/>
      </c>
    </row>
    <row r="66" spans="3:11" x14ac:dyDescent="0.25">
      <c r="C66" s="53"/>
      <c r="D66" s="54"/>
      <c r="E66" s="55"/>
      <c r="F66" s="54"/>
      <c r="G66" s="56"/>
      <c r="H66" s="56"/>
      <c r="I66" s="36" t="str">
        <f t="shared" si="0"/>
        <v/>
      </c>
      <c r="J66" s="36">
        <f t="shared" si="1"/>
        <v>0</v>
      </c>
      <c r="K66" s="36" t="str">
        <f t="shared" ca="1" si="2"/>
        <v/>
      </c>
    </row>
    <row r="67" spans="3:11" x14ac:dyDescent="0.25">
      <c r="C67" s="53"/>
      <c r="D67" s="54"/>
      <c r="E67" s="55"/>
      <c r="F67" s="54"/>
      <c r="G67" s="56"/>
      <c r="H67" s="56"/>
      <c r="I67" s="36" t="str">
        <f t="shared" si="0"/>
        <v/>
      </c>
      <c r="J67" s="36">
        <f t="shared" si="1"/>
        <v>0</v>
      </c>
      <c r="K67" s="36" t="str">
        <f t="shared" ca="1" si="2"/>
        <v/>
      </c>
    </row>
    <row r="68" spans="3:11" x14ac:dyDescent="0.25">
      <c r="C68" s="53"/>
      <c r="D68" s="54"/>
      <c r="E68" s="55"/>
      <c r="F68" s="54"/>
      <c r="G68" s="56"/>
      <c r="H68" s="56"/>
      <c r="I68" s="36" t="str">
        <f t="shared" si="0"/>
        <v/>
      </c>
      <c r="J68" s="36">
        <f t="shared" si="1"/>
        <v>0</v>
      </c>
      <c r="K68" s="36" t="str">
        <f t="shared" ca="1" si="2"/>
        <v/>
      </c>
    </row>
    <row r="69" spans="3:11" x14ac:dyDescent="0.25">
      <c r="C69" s="53"/>
      <c r="D69" s="54"/>
      <c r="E69" s="55"/>
      <c r="F69" s="54"/>
      <c r="G69" s="56"/>
      <c r="H69" s="56"/>
      <c r="I69" s="36" t="str">
        <f t="shared" si="0"/>
        <v/>
      </c>
      <c r="J69" s="36">
        <f t="shared" si="1"/>
        <v>0</v>
      </c>
      <c r="K69" s="36" t="str">
        <f t="shared" ca="1" si="2"/>
        <v/>
      </c>
    </row>
    <row r="70" spans="3:11" x14ac:dyDescent="0.25">
      <c r="C70" s="53"/>
      <c r="D70" s="54"/>
      <c r="E70" s="55"/>
      <c r="F70" s="54"/>
      <c r="G70" s="56"/>
      <c r="H70" s="56"/>
      <c r="I70" s="36" t="str">
        <f t="shared" si="0"/>
        <v/>
      </c>
      <c r="J70" s="36">
        <f t="shared" si="1"/>
        <v>0</v>
      </c>
      <c r="K70" s="36" t="str">
        <f t="shared" ca="1" si="2"/>
        <v/>
      </c>
    </row>
    <row r="71" spans="3:11" x14ac:dyDescent="0.25">
      <c r="C71" s="53"/>
      <c r="D71" s="54"/>
      <c r="E71" s="55"/>
      <c r="F71" s="54"/>
      <c r="G71" s="56"/>
      <c r="H71" s="56"/>
      <c r="I71" s="36" t="str">
        <f t="shared" si="0"/>
        <v/>
      </c>
      <c r="J71" s="36">
        <f t="shared" si="1"/>
        <v>0</v>
      </c>
      <c r="K71" s="36" t="str">
        <f t="shared" ca="1" si="2"/>
        <v/>
      </c>
    </row>
    <row r="72" spans="3:11" x14ac:dyDescent="0.25">
      <c r="C72" s="53"/>
      <c r="D72" s="54"/>
      <c r="E72" s="55"/>
      <c r="F72" s="54"/>
      <c r="G72" s="56"/>
      <c r="H72" s="56"/>
      <c r="I72" s="36" t="str">
        <f t="shared" si="0"/>
        <v/>
      </c>
      <c r="J72" s="36">
        <f t="shared" si="1"/>
        <v>0</v>
      </c>
      <c r="K72" s="36" t="str">
        <f t="shared" ca="1" si="2"/>
        <v/>
      </c>
    </row>
    <row r="73" spans="3:11" x14ac:dyDescent="0.25">
      <c r="C73" s="53"/>
      <c r="D73" s="54"/>
      <c r="E73" s="55"/>
      <c r="F73" s="54"/>
      <c r="G73" s="56"/>
      <c r="H73" s="56"/>
      <c r="I73" s="36" t="str">
        <f t="shared" si="0"/>
        <v/>
      </c>
      <c r="J73" s="36">
        <f t="shared" si="1"/>
        <v>0</v>
      </c>
      <c r="K73" s="36" t="str">
        <f t="shared" ca="1" si="2"/>
        <v/>
      </c>
    </row>
    <row r="74" spans="3:11" x14ac:dyDescent="0.25">
      <c r="C74" s="53"/>
      <c r="D74" s="54"/>
      <c r="E74" s="55"/>
      <c r="F74" s="54"/>
      <c r="G74" s="56"/>
      <c r="H74" s="56"/>
      <c r="I74" s="36" t="str">
        <f t="shared" si="0"/>
        <v/>
      </c>
      <c r="J74" s="36">
        <f t="shared" si="1"/>
        <v>0</v>
      </c>
      <c r="K74" s="36" t="str">
        <f t="shared" ca="1" si="2"/>
        <v/>
      </c>
    </row>
    <row r="75" spans="3:11" x14ac:dyDescent="0.25">
      <c r="C75" s="53"/>
      <c r="D75" s="54"/>
      <c r="E75" s="55"/>
      <c r="F75" s="54"/>
      <c r="G75" s="56"/>
      <c r="H75" s="56"/>
      <c r="I75" s="36" t="str">
        <f t="shared" si="0"/>
        <v/>
      </c>
      <c r="J75" s="36">
        <f t="shared" si="1"/>
        <v>0</v>
      </c>
      <c r="K75" s="36" t="str">
        <f t="shared" ca="1" si="2"/>
        <v/>
      </c>
    </row>
    <row r="76" spans="3:11" x14ac:dyDescent="0.25">
      <c r="C76" s="53"/>
      <c r="D76" s="54"/>
      <c r="E76" s="55"/>
      <c r="F76" s="54"/>
      <c r="G76" s="56"/>
      <c r="H76" s="56"/>
      <c r="I76" s="36" t="str">
        <f t="shared" si="0"/>
        <v/>
      </c>
      <c r="J76" s="36">
        <f t="shared" si="1"/>
        <v>0</v>
      </c>
      <c r="K76" s="36" t="str">
        <f t="shared" ca="1" si="2"/>
        <v/>
      </c>
    </row>
    <row r="77" spans="3:11" x14ac:dyDescent="0.25">
      <c r="C77" s="53"/>
      <c r="D77" s="54"/>
      <c r="E77" s="55"/>
      <c r="F77" s="54"/>
      <c r="G77" s="56"/>
      <c r="H77" s="56"/>
      <c r="I77" s="36" t="str">
        <f t="shared" si="0"/>
        <v/>
      </c>
      <c r="J77" s="36">
        <f t="shared" si="1"/>
        <v>0</v>
      </c>
      <c r="K77" s="36" t="str">
        <f t="shared" ca="1" si="2"/>
        <v/>
      </c>
    </row>
    <row r="78" spans="3:11" x14ac:dyDescent="0.25">
      <c r="C78" s="53"/>
      <c r="D78" s="54"/>
      <c r="E78" s="55"/>
      <c r="F78" s="54"/>
      <c r="G78" s="56"/>
      <c r="H78" s="56"/>
      <c r="I78" s="36" t="str">
        <f t="shared" si="0"/>
        <v/>
      </c>
      <c r="J78" s="36">
        <f t="shared" si="1"/>
        <v>0</v>
      </c>
      <c r="K78" s="36" t="str">
        <f t="shared" ca="1" si="2"/>
        <v/>
      </c>
    </row>
    <row r="79" spans="3:11" x14ac:dyDescent="0.25">
      <c r="C79" s="53"/>
      <c r="D79" s="54"/>
      <c r="E79" s="55"/>
      <c r="F79" s="54"/>
      <c r="G79" s="56"/>
      <c r="H79" s="56"/>
      <c r="I79" s="36" t="str">
        <f t="shared" si="0"/>
        <v/>
      </c>
      <c r="J79" s="36">
        <f t="shared" si="1"/>
        <v>0</v>
      </c>
      <c r="K79" s="36" t="str">
        <f t="shared" ca="1" si="2"/>
        <v/>
      </c>
    </row>
    <row r="80" spans="3:11" x14ac:dyDescent="0.25">
      <c r="C80" s="53"/>
      <c r="D80" s="54"/>
      <c r="E80" s="55"/>
      <c r="F80" s="54"/>
      <c r="G80" s="56"/>
      <c r="H80" s="56"/>
      <c r="I80" s="36" t="str">
        <f t="shared" ref="I80:I143" si="3">IF(C80="","",IF(H80&lt;=0,"Em aberto",IF(H80&gt;=G80,"Pagamento Total",IF(H80&lt;G80,"Pagamento Parcial"))))</f>
        <v/>
      </c>
      <c r="J80" s="36">
        <f t="shared" ref="J80:J143" si="4">IF(C80&gt;0,G80-H80,0)</f>
        <v>0</v>
      </c>
      <c r="K80" s="36" t="str">
        <f t="shared" ref="K80:K143" ca="1" si="5">IF(ISBLANK(C80),"",IF(H80=G80,"Pago",IF(C80=TODAY(),"Vence Hoje",IF(TRIM(UPPER(G79))&lt;&gt;"S",IF(C80-TODAY()&lt;0,"Vencida",IF(C80-TODAY()&lt;8,"Próximos sete dias","Em aberto"))))))</f>
        <v/>
      </c>
    </row>
    <row r="81" spans="3:11" x14ac:dyDescent="0.25">
      <c r="C81" s="53"/>
      <c r="D81" s="54"/>
      <c r="E81" s="55"/>
      <c r="F81" s="54"/>
      <c r="G81" s="56"/>
      <c r="H81" s="56"/>
      <c r="I81" s="36" t="str">
        <f t="shared" si="3"/>
        <v/>
      </c>
      <c r="J81" s="36">
        <f t="shared" si="4"/>
        <v>0</v>
      </c>
      <c r="K81" s="36" t="str">
        <f t="shared" ca="1" si="5"/>
        <v/>
      </c>
    </row>
    <row r="82" spans="3:11" x14ac:dyDescent="0.25">
      <c r="C82" s="53"/>
      <c r="D82" s="54"/>
      <c r="E82" s="55"/>
      <c r="F82" s="54"/>
      <c r="G82" s="56"/>
      <c r="H82" s="56"/>
      <c r="I82" s="36" t="str">
        <f t="shared" si="3"/>
        <v/>
      </c>
      <c r="J82" s="36">
        <f t="shared" si="4"/>
        <v>0</v>
      </c>
      <c r="K82" s="36" t="str">
        <f t="shared" ca="1" si="5"/>
        <v/>
      </c>
    </row>
    <row r="83" spans="3:11" x14ac:dyDescent="0.25">
      <c r="C83" s="53"/>
      <c r="D83" s="54"/>
      <c r="E83" s="55"/>
      <c r="F83" s="54"/>
      <c r="G83" s="56"/>
      <c r="H83" s="56"/>
      <c r="I83" s="36" t="str">
        <f t="shared" si="3"/>
        <v/>
      </c>
      <c r="J83" s="36">
        <f t="shared" si="4"/>
        <v>0</v>
      </c>
      <c r="K83" s="36" t="str">
        <f t="shared" ca="1" si="5"/>
        <v/>
      </c>
    </row>
    <row r="84" spans="3:11" x14ac:dyDescent="0.25">
      <c r="C84" s="53"/>
      <c r="D84" s="54"/>
      <c r="E84" s="55"/>
      <c r="F84" s="54"/>
      <c r="G84" s="56"/>
      <c r="H84" s="56"/>
      <c r="I84" s="36" t="str">
        <f t="shared" si="3"/>
        <v/>
      </c>
      <c r="J84" s="36">
        <f t="shared" si="4"/>
        <v>0</v>
      </c>
      <c r="K84" s="36" t="str">
        <f t="shared" ca="1" si="5"/>
        <v/>
      </c>
    </row>
    <row r="85" spans="3:11" x14ac:dyDescent="0.25">
      <c r="C85" s="53"/>
      <c r="D85" s="54"/>
      <c r="E85" s="55"/>
      <c r="F85" s="54"/>
      <c r="G85" s="56"/>
      <c r="H85" s="56"/>
      <c r="I85" s="36" t="str">
        <f t="shared" si="3"/>
        <v/>
      </c>
      <c r="J85" s="36">
        <f t="shared" si="4"/>
        <v>0</v>
      </c>
      <c r="K85" s="36" t="str">
        <f t="shared" ca="1" si="5"/>
        <v/>
      </c>
    </row>
    <row r="86" spans="3:11" x14ac:dyDescent="0.25">
      <c r="C86" s="53"/>
      <c r="D86" s="54"/>
      <c r="E86" s="55"/>
      <c r="F86" s="54"/>
      <c r="G86" s="56"/>
      <c r="H86" s="56"/>
      <c r="I86" s="36" t="str">
        <f t="shared" si="3"/>
        <v/>
      </c>
      <c r="J86" s="36">
        <f t="shared" si="4"/>
        <v>0</v>
      </c>
      <c r="K86" s="36" t="str">
        <f t="shared" ca="1" si="5"/>
        <v/>
      </c>
    </row>
    <row r="87" spans="3:11" x14ac:dyDescent="0.25">
      <c r="C87" s="53"/>
      <c r="D87" s="54"/>
      <c r="E87" s="55"/>
      <c r="F87" s="54"/>
      <c r="G87" s="56"/>
      <c r="H87" s="56"/>
      <c r="I87" s="36" t="str">
        <f t="shared" si="3"/>
        <v/>
      </c>
      <c r="J87" s="36">
        <f t="shared" si="4"/>
        <v>0</v>
      </c>
      <c r="K87" s="36" t="str">
        <f t="shared" ca="1" si="5"/>
        <v/>
      </c>
    </row>
    <row r="88" spans="3:11" x14ac:dyDescent="0.25">
      <c r="C88" s="53"/>
      <c r="D88" s="54"/>
      <c r="E88" s="55"/>
      <c r="F88" s="54"/>
      <c r="G88" s="56"/>
      <c r="H88" s="56"/>
      <c r="I88" s="36" t="str">
        <f t="shared" si="3"/>
        <v/>
      </c>
      <c r="J88" s="36">
        <f t="shared" si="4"/>
        <v>0</v>
      </c>
      <c r="K88" s="36" t="str">
        <f t="shared" ca="1" si="5"/>
        <v/>
      </c>
    </row>
    <row r="89" spans="3:11" x14ac:dyDescent="0.25">
      <c r="C89" s="53"/>
      <c r="D89" s="54"/>
      <c r="E89" s="55"/>
      <c r="F89" s="54"/>
      <c r="G89" s="56"/>
      <c r="H89" s="56"/>
      <c r="I89" s="36" t="str">
        <f t="shared" si="3"/>
        <v/>
      </c>
      <c r="J89" s="36">
        <f t="shared" si="4"/>
        <v>0</v>
      </c>
      <c r="K89" s="36" t="str">
        <f t="shared" ca="1" si="5"/>
        <v/>
      </c>
    </row>
    <row r="90" spans="3:11" x14ac:dyDescent="0.25">
      <c r="C90" s="53"/>
      <c r="D90" s="54"/>
      <c r="E90" s="55"/>
      <c r="F90" s="54"/>
      <c r="G90" s="56"/>
      <c r="H90" s="56"/>
      <c r="I90" s="36" t="str">
        <f t="shared" si="3"/>
        <v/>
      </c>
      <c r="J90" s="36">
        <f t="shared" si="4"/>
        <v>0</v>
      </c>
      <c r="K90" s="36" t="str">
        <f t="shared" ca="1" si="5"/>
        <v/>
      </c>
    </row>
    <row r="91" spans="3:11" x14ac:dyDescent="0.25">
      <c r="C91" s="53"/>
      <c r="D91" s="54"/>
      <c r="E91" s="55"/>
      <c r="F91" s="54"/>
      <c r="G91" s="56"/>
      <c r="H91" s="56"/>
      <c r="I91" s="36" t="str">
        <f t="shared" si="3"/>
        <v/>
      </c>
      <c r="J91" s="36">
        <f t="shared" si="4"/>
        <v>0</v>
      </c>
      <c r="K91" s="36" t="str">
        <f t="shared" ca="1" si="5"/>
        <v/>
      </c>
    </row>
    <row r="92" spans="3:11" x14ac:dyDescent="0.25">
      <c r="C92" s="53"/>
      <c r="D92" s="54"/>
      <c r="E92" s="55"/>
      <c r="F92" s="54"/>
      <c r="G92" s="56"/>
      <c r="H92" s="56"/>
      <c r="I92" s="36" t="str">
        <f t="shared" si="3"/>
        <v/>
      </c>
      <c r="J92" s="36">
        <f t="shared" si="4"/>
        <v>0</v>
      </c>
      <c r="K92" s="36" t="str">
        <f t="shared" ca="1" si="5"/>
        <v/>
      </c>
    </row>
    <row r="93" spans="3:11" x14ac:dyDescent="0.25">
      <c r="C93" s="53"/>
      <c r="D93" s="54"/>
      <c r="E93" s="55"/>
      <c r="F93" s="54"/>
      <c r="G93" s="56"/>
      <c r="H93" s="56"/>
      <c r="I93" s="36" t="str">
        <f t="shared" si="3"/>
        <v/>
      </c>
      <c r="J93" s="36">
        <f t="shared" si="4"/>
        <v>0</v>
      </c>
      <c r="K93" s="36" t="str">
        <f t="shared" ca="1" si="5"/>
        <v/>
      </c>
    </row>
    <row r="94" spans="3:11" x14ac:dyDescent="0.25">
      <c r="C94" s="53"/>
      <c r="D94" s="54"/>
      <c r="E94" s="55"/>
      <c r="F94" s="54"/>
      <c r="G94" s="56"/>
      <c r="H94" s="56"/>
      <c r="I94" s="36" t="str">
        <f t="shared" si="3"/>
        <v/>
      </c>
      <c r="J94" s="36">
        <f t="shared" si="4"/>
        <v>0</v>
      </c>
      <c r="K94" s="36" t="str">
        <f t="shared" ca="1" si="5"/>
        <v/>
      </c>
    </row>
    <row r="95" spans="3:11" x14ac:dyDescent="0.25">
      <c r="C95" s="53"/>
      <c r="D95" s="54"/>
      <c r="E95" s="55"/>
      <c r="F95" s="54"/>
      <c r="G95" s="56"/>
      <c r="H95" s="56"/>
      <c r="I95" s="36" t="str">
        <f t="shared" si="3"/>
        <v/>
      </c>
      <c r="J95" s="36">
        <f t="shared" si="4"/>
        <v>0</v>
      </c>
      <c r="K95" s="36" t="str">
        <f t="shared" ca="1" si="5"/>
        <v/>
      </c>
    </row>
    <row r="96" spans="3:11" x14ac:dyDescent="0.25">
      <c r="C96" s="53"/>
      <c r="D96" s="54"/>
      <c r="E96" s="55"/>
      <c r="F96" s="54"/>
      <c r="G96" s="56"/>
      <c r="H96" s="56"/>
      <c r="I96" s="36" t="str">
        <f t="shared" si="3"/>
        <v/>
      </c>
      <c r="J96" s="36">
        <f t="shared" si="4"/>
        <v>0</v>
      </c>
      <c r="K96" s="36" t="str">
        <f t="shared" ca="1" si="5"/>
        <v/>
      </c>
    </row>
    <row r="97" spans="3:11" x14ac:dyDescent="0.25">
      <c r="C97" s="53"/>
      <c r="D97" s="54"/>
      <c r="E97" s="55"/>
      <c r="F97" s="54"/>
      <c r="G97" s="56"/>
      <c r="H97" s="56"/>
      <c r="I97" s="36" t="str">
        <f t="shared" si="3"/>
        <v/>
      </c>
      <c r="J97" s="36">
        <f t="shared" si="4"/>
        <v>0</v>
      </c>
      <c r="K97" s="36" t="str">
        <f t="shared" ca="1" si="5"/>
        <v/>
      </c>
    </row>
    <row r="98" spans="3:11" x14ac:dyDescent="0.25">
      <c r="C98" s="53"/>
      <c r="D98" s="54"/>
      <c r="E98" s="55"/>
      <c r="F98" s="54"/>
      <c r="G98" s="56"/>
      <c r="H98" s="56"/>
      <c r="I98" s="36" t="str">
        <f t="shared" si="3"/>
        <v/>
      </c>
      <c r="J98" s="36">
        <f t="shared" si="4"/>
        <v>0</v>
      </c>
      <c r="K98" s="36" t="str">
        <f t="shared" ca="1" si="5"/>
        <v/>
      </c>
    </row>
    <row r="99" spans="3:11" x14ac:dyDescent="0.25">
      <c r="C99" s="53"/>
      <c r="D99" s="54"/>
      <c r="E99" s="55"/>
      <c r="F99" s="54"/>
      <c r="G99" s="56"/>
      <c r="H99" s="56"/>
      <c r="I99" s="36" t="str">
        <f t="shared" si="3"/>
        <v/>
      </c>
      <c r="J99" s="36">
        <f t="shared" si="4"/>
        <v>0</v>
      </c>
      <c r="K99" s="36" t="str">
        <f t="shared" ca="1" si="5"/>
        <v/>
      </c>
    </row>
    <row r="100" spans="3:11" x14ac:dyDescent="0.25">
      <c r="C100" s="53"/>
      <c r="D100" s="54"/>
      <c r="E100" s="55"/>
      <c r="F100" s="54"/>
      <c r="G100" s="56"/>
      <c r="H100" s="56"/>
      <c r="I100" s="36" t="str">
        <f t="shared" si="3"/>
        <v/>
      </c>
      <c r="J100" s="36">
        <f t="shared" si="4"/>
        <v>0</v>
      </c>
      <c r="K100" s="36" t="str">
        <f t="shared" ca="1" si="5"/>
        <v/>
      </c>
    </row>
    <row r="101" spans="3:11" x14ac:dyDescent="0.25">
      <c r="C101" s="53"/>
      <c r="D101" s="54"/>
      <c r="E101" s="55"/>
      <c r="F101" s="54"/>
      <c r="G101" s="56"/>
      <c r="H101" s="56"/>
      <c r="I101" s="36" t="str">
        <f t="shared" si="3"/>
        <v/>
      </c>
      <c r="J101" s="36">
        <f t="shared" si="4"/>
        <v>0</v>
      </c>
      <c r="K101" s="36" t="str">
        <f t="shared" ca="1" si="5"/>
        <v/>
      </c>
    </row>
    <row r="102" spans="3:11" x14ac:dyDescent="0.25">
      <c r="C102" s="53"/>
      <c r="D102" s="54"/>
      <c r="E102" s="55"/>
      <c r="F102" s="54"/>
      <c r="G102" s="56"/>
      <c r="H102" s="56"/>
      <c r="I102" s="36" t="str">
        <f t="shared" si="3"/>
        <v/>
      </c>
      <c r="J102" s="36">
        <f t="shared" si="4"/>
        <v>0</v>
      </c>
      <c r="K102" s="36" t="str">
        <f t="shared" ca="1" si="5"/>
        <v/>
      </c>
    </row>
    <row r="103" spans="3:11" x14ac:dyDescent="0.25">
      <c r="C103" s="53"/>
      <c r="D103" s="54"/>
      <c r="E103" s="55"/>
      <c r="F103" s="54"/>
      <c r="G103" s="56"/>
      <c r="H103" s="56"/>
      <c r="I103" s="36" t="str">
        <f t="shared" si="3"/>
        <v/>
      </c>
      <c r="J103" s="36">
        <f t="shared" si="4"/>
        <v>0</v>
      </c>
      <c r="K103" s="36" t="str">
        <f t="shared" ca="1" si="5"/>
        <v/>
      </c>
    </row>
    <row r="104" spans="3:11" x14ac:dyDescent="0.25">
      <c r="C104" s="53"/>
      <c r="D104" s="54"/>
      <c r="E104" s="55"/>
      <c r="F104" s="54"/>
      <c r="G104" s="56"/>
      <c r="H104" s="56"/>
      <c r="I104" s="36" t="str">
        <f t="shared" si="3"/>
        <v/>
      </c>
      <c r="J104" s="36">
        <f t="shared" si="4"/>
        <v>0</v>
      </c>
      <c r="K104" s="36" t="str">
        <f t="shared" ca="1" si="5"/>
        <v/>
      </c>
    </row>
    <row r="105" spans="3:11" x14ac:dyDescent="0.25">
      <c r="C105" s="53"/>
      <c r="D105" s="54"/>
      <c r="E105" s="55"/>
      <c r="F105" s="54"/>
      <c r="G105" s="56"/>
      <c r="H105" s="56"/>
      <c r="I105" s="36" t="str">
        <f t="shared" si="3"/>
        <v/>
      </c>
      <c r="J105" s="36">
        <f t="shared" si="4"/>
        <v>0</v>
      </c>
      <c r="K105" s="36" t="str">
        <f t="shared" ca="1" si="5"/>
        <v/>
      </c>
    </row>
    <row r="106" spans="3:11" x14ac:dyDescent="0.25">
      <c r="C106" s="53"/>
      <c r="D106" s="54"/>
      <c r="E106" s="55"/>
      <c r="F106" s="54"/>
      <c r="G106" s="56"/>
      <c r="H106" s="56"/>
      <c r="I106" s="36" t="str">
        <f t="shared" si="3"/>
        <v/>
      </c>
      <c r="J106" s="36">
        <f t="shared" si="4"/>
        <v>0</v>
      </c>
      <c r="K106" s="36" t="str">
        <f t="shared" ca="1" si="5"/>
        <v/>
      </c>
    </row>
    <row r="107" spans="3:11" x14ac:dyDescent="0.25">
      <c r="C107" s="53"/>
      <c r="D107" s="54"/>
      <c r="E107" s="55"/>
      <c r="F107" s="54"/>
      <c r="G107" s="56"/>
      <c r="H107" s="56"/>
      <c r="I107" s="36" t="str">
        <f t="shared" si="3"/>
        <v/>
      </c>
      <c r="J107" s="36">
        <f t="shared" si="4"/>
        <v>0</v>
      </c>
      <c r="K107" s="36" t="str">
        <f t="shared" ca="1" si="5"/>
        <v/>
      </c>
    </row>
    <row r="108" spans="3:11" x14ac:dyDescent="0.25">
      <c r="C108" s="53"/>
      <c r="D108" s="54"/>
      <c r="E108" s="55"/>
      <c r="F108" s="54"/>
      <c r="G108" s="56"/>
      <c r="H108" s="56"/>
      <c r="I108" s="36" t="str">
        <f t="shared" si="3"/>
        <v/>
      </c>
      <c r="J108" s="36">
        <f t="shared" si="4"/>
        <v>0</v>
      </c>
      <c r="K108" s="36" t="str">
        <f t="shared" ca="1" si="5"/>
        <v/>
      </c>
    </row>
    <row r="109" spans="3:11" x14ac:dyDescent="0.25">
      <c r="C109" s="53"/>
      <c r="D109" s="54"/>
      <c r="E109" s="55"/>
      <c r="F109" s="54"/>
      <c r="G109" s="56"/>
      <c r="H109" s="56"/>
      <c r="I109" s="36" t="str">
        <f t="shared" si="3"/>
        <v/>
      </c>
      <c r="J109" s="36">
        <f t="shared" si="4"/>
        <v>0</v>
      </c>
      <c r="K109" s="36" t="str">
        <f t="shared" ca="1" si="5"/>
        <v/>
      </c>
    </row>
    <row r="110" spans="3:11" x14ac:dyDescent="0.25">
      <c r="C110" s="53"/>
      <c r="D110" s="54"/>
      <c r="E110" s="55"/>
      <c r="F110" s="54"/>
      <c r="G110" s="56"/>
      <c r="H110" s="56"/>
      <c r="I110" s="36" t="str">
        <f t="shared" si="3"/>
        <v/>
      </c>
      <c r="J110" s="36">
        <f t="shared" si="4"/>
        <v>0</v>
      </c>
      <c r="K110" s="36" t="str">
        <f t="shared" ca="1" si="5"/>
        <v/>
      </c>
    </row>
    <row r="111" spans="3:11" x14ac:dyDescent="0.25">
      <c r="C111" s="53"/>
      <c r="D111" s="54"/>
      <c r="E111" s="55"/>
      <c r="F111" s="54"/>
      <c r="G111" s="56"/>
      <c r="H111" s="56"/>
      <c r="I111" s="36" t="str">
        <f t="shared" si="3"/>
        <v/>
      </c>
      <c r="J111" s="36">
        <f t="shared" si="4"/>
        <v>0</v>
      </c>
      <c r="K111" s="36" t="str">
        <f t="shared" ca="1" si="5"/>
        <v/>
      </c>
    </row>
    <row r="112" spans="3:11" x14ac:dyDescent="0.25">
      <c r="C112" s="53"/>
      <c r="D112" s="54"/>
      <c r="E112" s="55"/>
      <c r="F112" s="54"/>
      <c r="G112" s="56"/>
      <c r="H112" s="56"/>
      <c r="I112" s="36" t="str">
        <f t="shared" si="3"/>
        <v/>
      </c>
      <c r="J112" s="36">
        <f t="shared" si="4"/>
        <v>0</v>
      </c>
      <c r="K112" s="36" t="str">
        <f t="shared" ca="1" si="5"/>
        <v/>
      </c>
    </row>
    <row r="113" spans="3:11" x14ac:dyDescent="0.25">
      <c r="C113" s="53"/>
      <c r="D113" s="54"/>
      <c r="E113" s="55"/>
      <c r="F113" s="54"/>
      <c r="G113" s="56"/>
      <c r="H113" s="56"/>
      <c r="I113" s="36" t="str">
        <f t="shared" si="3"/>
        <v/>
      </c>
      <c r="J113" s="36">
        <f t="shared" si="4"/>
        <v>0</v>
      </c>
      <c r="K113" s="36" t="str">
        <f t="shared" ca="1" si="5"/>
        <v/>
      </c>
    </row>
    <row r="114" spans="3:11" x14ac:dyDescent="0.25">
      <c r="C114" s="53"/>
      <c r="D114" s="54"/>
      <c r="E114" s="55"/>
      <c r="F114" s="54"/>
      <c r="G114" s="56"/>
      <c r="H114" s="56"/>
      <c r="I114" s="36" t="str">
        <f t="shared" si="3"/>
        <v/>
      </c>
      <c r="J114" s="36">
        <f t="shared" si="4"/>
        <v>0</v>
      </c>
      <c r="K114" s="36" t="str">
        <f t="shared" ca="1" si="5"/>
        <v/>
      </c>
    </row>
    <row r="115" spans="3:11" x14ac:dyDescent="0.25">
      <c r="C115" s="53"/>
      <c r="D115" s="54"/>
      <c r="E115" s="55"/>
      <c r="F115" s="54"/>
      <c r="G115" s="56"/>
      <c r="H115" s="56"/>
      <c r="I115" s="36" t="str">
        <f t="shared" si="3"/>
        <v/>
      </c>
      <c r="J115" s="36">
        <f t="shared" si="4"/>
        <v>0</v>
      </c>
      <c r="K115" s="36" t="str">
        <f t="shared" ca="1" si="5"/>
        <v/>
      </c>
    </row>
    <row r="116" spans="3:11" x14ac:dyDescent="0.25">
      <c r="C116" s="53"/>
      <c r="D116" s="54"/>
      <c r="E116" s="55"/>
      <c r="F116" s="54"/>
      <c r="G116" s="56"/>
      <c r="H116" s="56"/>
      <c r="I116" s="36" t="str">
        <f t="shared" si="3"/>
        <v/>
      </c>
      <c r="J116" s="36">
        <f t="shared" si="4"/>
        <v>0</v>
      </c>
      <c r="K116" s="36" t="str">
        <f t="shared" ca="1" si="5"/>
        <v/>
      </c>
    </row>
    <row r="117" spans="3:11" x14ac:dyDescent="0.25">
      <c r="C117" s="53"/>
      <c r="D117" s="54"/>
      <c r="E117" s="55"/>
      <c r="F117" s="54"/>
      <c r="G117" s="56"/>
      <c r="H117" s="56"/>
      <c r="I117" s="36" t="str">
        <f t="shared" si="3"/>
        <v/>
      </c>
      <c r="J117" s="36">
        <f t="shared" si="4"/>
        <v>0</v>
      </c>
      <c r="K117" s="36" t="str">
        <f t="shared" ca="1" si="5"/>
        <v/>
      </c>
    </row>
    <row r="118" spans="3:11" x14ac:dyDescent="0.25">
      <c r="C118" s="53"/>
      <c r="D118" s="54"/>
      <c r="E118" s="55"/>
      <c r="F118" s="54"/>
      <c r="G118" s="56"/>
      <c r="H118" s="56"/>
      <c r="I118" s="36" t="str">
        <f t="shared" si="3"/>
        <v/>
      </c>
      <c r="J118" s="36">
        <f t="shared" si="4"/>
        <v>0</v>
      </c>
      <c r="K118" s="36" t="str">
        <f t="shared" ca="1" si="5"/>
        <v/>
      </c>
    </row>
    <row r="119" spans="3:11" x14ac:dyDescent="0.25">
      <c r="C119" s="53"/>
      <c r="D119" s="54"/>
      <c r="E119" s="55"/>
      <c r="F119" s="54"/>
      <c r="G119" s="56"/>
      <c r="H119" s="56"/>
      <c r="I119" s="36" t="str">
        <f t="shared" si="3"/>
        <v/>
      </c>
      <c r="J119" s="36">
        <f t="shared" si="4"/>
        <v>0</v>
      </c>
      <c r="K119" s="36" t="str">
        <f t="shared" ca="1" si="5"/>
        <v/>
      </c>
    </row>
    <row r="120" spans="3:11" x14ac:dyDescent="0.25">
      <c r="C120" s="53"/>
      <c r="D120" s="54"/>
      <c r="E120" s="55"/>
      <c r="F120" s="54"/>
      <c r="G120" s="56"/>
      <c r="H120" s="56"/>
      <c r="I120" s="36" t="str">
        <f t="shared" si="3"/>
        <v/>
      </c>
      <c r="J120" s="36">
        <f t="shared" si="4"/>
        <v>0</v>
      </c>
      <c r="K120" s="36" t="str">
        <f t="shared" ca="1" si="5"/>
        <v/>
      </c>
    </row>
    <row r="121" spans="3:11" x14ac:dyDescent="0.25">
      <c r="C121" s="53"/>
      <c r="D121" s="54"/>
      <c r="E121" s="55"/>
      <c r="F121" s="54"/>
      <c r="G121" s="56"/>
      <c r="H121" s="56"/>
      <c r="I121" s="36" t="str">
        <f t="shared" si="3"/>
        <v/>
      </c>
      <c r="J121" s="36">
        <f t="shared" si="4"/>
        <v>0</v>
      </c>
      <c r="K121" s="36" t="str">
        <f t="shared" ca="1" si="5"/>
        <v/>
      </c>
    </row>
    <row r="122" spans="3:11" x14ac:dyDescent="0.25">
      <c r="C122" s="53"/>
      <c r="D122" s="54"/>
      <c r="E122" s="55"/>
      <c r="F122" s="54"/>
      <c r="G122" s="56"/>
      <c r="H122" s="56"/>
      <c r="I122" s="36" t="str">
        <f t="shared" si="3"/>
        <v/>
      </c>
      <c r="J122" s="36">
        <f t="shared" si="4"/>
        <v>0</v>
      </c>
      <c r="K122" s="36" t="str">
        <f t="shared" ca="1" si="5"/>
        <v/>
      </c>
    </row>
    <row r="123" spans="3:11" x14ac:dyDescent="0.25">
      <c r="C123" s="53"/>
      <c r="D123" s="54"/>
      <c r="E123" s="55"/>
      <c r="F123" s="54"/>
      <c r="G123" s="56"/>
      <c r="H123" s="56"/>
      <c r="I123" s="36" t="str">
        <f t="shared" si="3"/>
        <v/>
      </c>
      <c r="J123" s="36">
        <f t="shared" si="4"/>
        <v>0</v>
      </c>
      <c r="K123" s="36" t="str">
        <f t="shared" ca="1" si="5"/>
        <v/>
      </c>
    </row>
    <row r="124" spans="3:11" x14ac:dyDescent="0.25">
      <c r="C124" s="53"/>
      <c r="D124" s="54"/>
      <c r="E124" s="55"/>
      <c r="F124" s="54"/>
      <c r="G124" s="56"/>
      <c r="H124" s="56"/>
      <c r="I124" s="36" t="str">
        <f t="shared" si="3"/>
        <v/>
      </c>
      <c r="J124" s="36">
        <f t="shared" si="4"/>
        <v>0</v>
      </c>
      <c r="K124" s="36" t="str">
        <f t="shared" ca="1" si="5"/>
        <v/>
      </c>
    </row>
    <row r="125" spans="3:11" x14ac:dyDescent="0.25">
      <c r="C125" s="53"/>
      <c r="D125" s="54"/>
      <c r="E125" s="55"/>
      <c r="F125" s="54"/>
      <c r="G125" s="56"/>
      <c r="H125" s="56"/>
      <c r="I125" s="36" t="str">
        <f t="shared" si="3"/>
        <v/>
      </c>
      <c r="J125" s="36">
        <f t="shared" si="4"/>
        <v>0</v>
      </c>
      <c r="K125" s="36" t="str">
        <f t="shared" ca="1" si="5"/>
        <v/>
      </c>
    </row>
    <row r="126" spans="3:11" x14ac:dyDescent="0.25">
      <c r="C126" s="53"/>
      <c r="D126" s="54"/>
      <c r="E126" s="55"/>
      <c r="F126" s="54"/>
      <c r="G126" s="56"/>
      <c r="H126" s="56"/>
      <c r="I126" s="36" t="str">
        <f t="shared" si="3"/>
        <v/>
      </c>
      <c r="J126" s="36">
        <f t="shared" si="4"/>
        <v>0</v>
      </c>
      <c r="K126" s="36" t="str">
        <f t="shared" ca="1" si="5"/>
        <v/>
      </c>
    </row>
    <row r="127" spans="3:11" x14ac:dyDescent="0.25">
      <c r="C127" s="53"/>
      <c r="D127" s="54"/>
      <c r="E127" s="55"/>
      <c r="F127" s="54"/>
      <c r="G127" s="56"/>
      <c r="H127" s="56"/>
      <c r="I127" s="36" t="str">
        <f t="shared" si="3"/>
        <v/>
      </c>
      <c r="J127" s="36">
        <f t="shared" si="4"/>
        <v>0</v>
      </c>
      <c r="K127" s="36" t="str">
        <f t="shared" ca="1" si="5"/>
        <v/>
      </c>
    </row>
    <row r="128" spans="3:11" x14ac:dyDescent="0.25">
      <c r="C128" s="53"/>
      <c r="D128" s="54"/>
      <c r="E128" s="55"/>
      <c r="F128" s="54"/>
      <c r="G128" s="56"/>
      <c r="H128" s="56"/>
      <c r="I128" s="36" t="str">
        <f t="shared" si="3"/>
        <v/>
      </c>
      <c r="J128" s="36">
        <f t="shared" si="4"/>
        <v>0</v>
      </c>
      <c r="K128" s="36" t="str">
        <f t="shared" ca="1" si="5"/>
        <v/>
      </c>
    </row>
    <row r="129" spans="3:11" x14ac:dyDescent="0.25">
      <c r="C129" s="53"/>
      <c r="D129" s="54"/>
      <c r="E129" s="55"/>
      <c r="F129" s="54"/>
      <c r="G129" s="56"/>
      <c r="H129" s="56"/>
      <c r="I129" s="36" t="str">
        <f t="shared" si="3"/>
        <v/>
      </c>
      <c r="J129" s="36">
        <f t="shared" si="4"/>
        <v>0</v>
      </c>
      <c r="K129" s="36" t="str">
        <f t="shared" ca="1" si="5"/>
        <v/>
      </c>
    </row>
    <row r="130" spans="3:11" x14ac:dyDescent="0.25">
      <c r="C130" s="53"/>
      <c r="D130" s="54"/>
      <c r="E130" s="55"/>
      <c r="F130" s="54"/>
      <c r="G130" s="56"/>
      <c r="H130" s="56"/>
      <c r="I130" s="36" t="str">
        <f t="shared" si="3"/>
        <v/>
      </c>
      <c r="J130" s="36">
        <f t="shared" si="4"/>
        <v>0</v>
      </c>
      <c r="K130" s="36" t="str">
        <f t="shared" ca="1" si="5"/>
        <v/>
      </c>
    </row>
    <row r="131" spans="3:11" x14ac:dyDescent="0.25">
      <c r="C131" s="53"/>
      <c r="D131" s="54"/>
      <c r="E131" s="55"/>
      <c r="F131" s="54"/>
      <c r="G131" s="56"/>
      <c r="H131" s="56"/>
      <c r="I131" s="36" t="str">
        <f t="shared" si="3"/>
        <v/>
      </c>
      <c r="J131" s="36">
        <f t="shared" si="4"/>
        <v>0</v>
      </c>
      <c r="K131" s="36" t="str">
        <f t="shared" ca="1" si="5"/>
        <v/>
      </c>
    </row>
    <row r="132" spans="3:11" x14ac:dyDescent="0.25">
      <c r="C132" s="53"/>
      <c r="D132" s="54"/>
      <c r="E132" s="55"/>
      <c r="F132" s="54"/>
      <c r="G132" s="56"/>
      <c r="H132" s="56"/>
      <c r="I132" s="36" t="str">
        <f t="shared" si="3"/>
        <v/>
      </c>
      <c r="J132" s="36">
        <f t="shared" si="4"/>
        <v>0</v>
      </c>
      <c r="K132" s="36" t="str">
        <f t="shared" ca="1" si="5"/>
        <v/>
      </c>
    </row>
    <row r="133" spans="3:11" x14ac:dyDescent="0.25">
      <c r="C133" s="53"/>
      <c r="D133" s="54"/>
      <c r="E133" s="55"/>
      <c r="F133" s="54"/>
      <c r="G133" s="56"/>
      <c r="H133" s="56"/>
      <c r="I133" s="36" t="str">
        <f t="shared" si="3"/>
        <v/>
      </c>
      <c r="J133" s="36">
        <f t="shared" si="4"/>
        <v>0</v>
      </c>
      <c r="K133" s="36" t="str">
        <f t="shared" ca="1" si="5"/>
        <v/>
      </c>
    </row>
    <row r="134" spans="3:11" x14ac:dyDescent="0.25">
      <c r="C134" s="53"/>
      <c r="D134" s="54"/>
      <c r="E134" s="55"/>
      <c r="F134" s="54"/>
      <c r="G134" s="56"/>
      <c r="H134" s="56"/>
      <c r="I134" s="36" t="str">
        <f t="shared" si="3"/>
        <v/>
      </c>
      <c r="J134" s="36">
        <f t="shared" si="4"/>
        <v>0</v>
      </c>
      <c r="K134" s="36" t="str">
        <f t="shared" ca="1" si="5"/>
        <v/>
      </c>
    </row>
    <row r="135" spans="3:11" x14ac:dyDescent="0.25">
      <c r="C135" s="53"/>
      <c r="D135" s="54"/>
      <c r="E135" s="55"/>
      <c r="F135" s="54"/>
      <c r="G135" s="56"/>
      <c r="H135" s="56"/>
      <c r="I135" s="36" t="str">
        <f t="shared" si="3"/>
        <v/>
      </c>
      <c r="J135" s="36">
        <f t="shared" si="4"/>
        <v>0</v>
      </c>
      <c r="K135" s="36" t="str">
        <f t="shared" ca="1" si="5"/>
        <v/>
      </c>
    </row>
    <row r="136" spans="3:11" x14ac:dyDescent="0.25">
      <c r="C136" s="53"/>
      <c r="D136" s="54"/>
      <c r="E136" s="55"/>
      <c r="F136" s="54"/>
      <c r="G136" s="56"/>
      <c r="H136" s="56"/>
      <c r="I136" s="36" t="str">
        <f t="shared" si="3"/>
        <v/>
      </c>
      <c r="J136" s="36">
        <f t="shared" si="4"/>
        <v>0</v>
      </c>
      <c r="K136" s="36" t="str">
        <f t="shared" ca="1" si="5"/>
        <v/>
      </c>
    </row>
    <row r="137" spans="3:11" x14ac:dyDescent="0.25">
      <c r="C137" s="53"/>
      <c r="D137" s="54"/>
      <c r="E137" s="55"/>
      <c r="F137" s="54"/>
      <c r="G137" s="56"/>
      <c r="H137" s="56"/>
      <c r="I137" s="36" t="str">
        <f t="shared" si="3"/>
        <v/>
      </c>
      <c r="J137" s="36">
        <f t="shared" si="4"/>
        <v>0</v>
      </c>
      <c r="K137" s="36" t="str">
        <f t="shared" ca="1" si="5"/>
        <v/>
      </c>
    </row>
    <row r="138" spans="3:11" x14ac:dyDescent="0.25">
      <c r="C138" s="53"/>
      <c r="D138" s="54"/>
      <c r="E138" s="55"/>
      <c r="F138" s="54"/>
      <c r="G138" s="56"/>
      <c r="H138" s="56"/>
      <c r="I138" s="36" t="str">
        <f t="shared" si="3"/>
        <v/>
      </c>
      <c r="J138" s="36">
        <f t="shared" si="4"/>
        <v>0</v>
      </c>
      <c r="K138" s="36" t="str">
        <f t="shared" ca="1" si="5"/>
        <v/>
      </c>
    </row>
    <row r="139" spans="3:11" x14ac:dyDescent="0.25">
      <c r="C139" s="53"/>
      <c r="D139" s="54"/>
      <c r="E139" s="55"/>
      <c r="F139" s="54"/>
      <c r="G139" s="56"/>
      <c r="H139" s="56"/>
      <c r="I139" s="36" t="str">
        <f t="shared" si="3"/>
        <v/>
      </c>
      <c r="J139" s="36">
        <f t="shared" si="4"/>
        <v>0</v>
      </c>
      <c r="K139" s="36" t="str">
        <f t="shared" ca="1" si="5"/>
        <v/>
      </c>
    </row>
    <row r="140" spans="3:11" x14ac:dyDescent="0.25">
      <c r="C140" s="53"/>
      <c r="D140" s="54"/>
      <c r="E140" s="55"/>
      <c r="F140" s="54"/>
      <c r="G140" s="56"/>
      <c r="H140" s="56"/>
      <c r="I140" s="36" t="str">
        <f t="shared" si="3"/>
        <v/>
      </c>
      <c r="J140" s="36">
        <f t="shared" si="4"/>
        <v>0</v>
      </c>
      <c r="K140" s="36" t="str">
        <f t="shared" ca="1" si="5"/>
        <v/>
      </c>
    </row>
    <row r="141" spans="3:11" x14ac:dyDescent="0.25">
      <c r="C141" s="53"/>
      <c r="D141" s="54"/>
      <c r="E141" s="55"/>
      <c r="F141" s="54"/>
      <c r="G141" s="56"/>
      <c r="H141" s="56"/>
      <c r="I141" s="36" t="str">
        <f t="shared" si="3"/>
        <v/>
      </c>
      <c r="J141" s="36">
        <f t="shared" si="4"/>
        <v>0</v>
      </c>
      <c r="K141" s="36" t="str">
        <f t="shared" ca="1" si="5"/>
        <v/>
      </c>
    </row>
    <row r="142" spans="3:11" x14ac:dyDescent="0.25">
      <c r="C142" s="53"/>
      <c r="D142" s="54"/>
      <c r="E142" s="55"/>
      <c r="F142" s="54"/>
      <c r="G142" s="56"/>
      <c r="H142" s="56"/>
      <c r="I142" s="36" t="str">
        <f t="shared" si="3"/>
        <v/>
      </c>
      <c r="J142" s="36">
        <f t="shared" si="4"/>
        <v>0</v>
      </c>
      <c r="K142" s="36" t="str">
        <f t="shared" ca="1" si="5"/>
        <v/>
      </c>
    </row>
    <row r="143" spans="3:11" x14ac:dyDescent="0.25">
      <c r="C143" s="53"/>
      <c r="D143" s="54"/>
      <c r="E143" s="55"/>
      <c r="F143" s="54"/>
      <c r="G143" s="56"/>
      <c r="H143" s="56"/>
      <c r="I143" s="36" t="str">
        <f t="shared" si="3"/>
        <v/>
      </c>
      <c r="J143" s="36">
        <f t="shared" si="4"/>
        <v>0</v>
      </c>
      <c r="K143" s="36" t="str">
        <f t="shared" ca="1" si="5"/>
        <v/>
      </c>
    </row>
    <row r="144" spans="3:11" x14ac:dyDescent="0.25">
      <c r="C144" s="53"/>
      <c r="D144" s="54"/>
      <c r="E144" s="55"/>
      <c r="F144" s="54"/>
      <c r="G144" s="56"/>
      <c r="H144" s="56"/>
      <c r="I144" s="36" t="str">
        <f t="shared" ref="I144:I207" si="6">IF(C144="","",IF(H144&lt;=0,"Em aberto",IF(H144&gt;=G144,"Pagamento Total",IF(H144&lt;G144,"Pagamento Parcial"))))</f>
        <v/>
      </c>
      <c r="J144" s="36">
        <f t="shared" ref="J144:J207" si="7">IF(C144&gt;0,G144-H144,0)</f>
        <v>0</v>
      </c>
      <c r="K144" s="36" t="str">
        <f t="shared" ref="K144:K207" ca="1" si="8">IF(ISBLANK(C144),"",IF(H144=G144,"Pago",IF(C144=TODAY(),"Vence Hoje",IF(TRIM(UPPER(G143))&lt;&gt;"S",IF(C144-TODAY()&lt;0,"Vencida",IF(C144-TODAY()&lt;8,"Próximos sete dias","Em aberto"))))))</f>
        <v/>
      </c>
    </row>
    <row r="145" spans="3:11" x14ac:dyDescent="0.25">
      <c r="C145" s="53"/>
      <c r="D145" s="54"/>
      <c r="E145" s="55"/>
      <c r="F145" s="54"/>
      <c r="G145" s="56"/>
      <c r="H145" s="56"/>
      <c r="I145" s="36" t="str">
        <f t="shared" si="6"/>
        <v/>
      </c>
      <c r="J145" s="36">
        <f t="shared" si="7"/>
        <v>0</v>
      </c>
      <c r="K145" s="36" t="str">
        <f t="shared" ca="1" si="8"/>
        <v/>
      </c>
    </row>
    <row r="146" spans="3:11" x14ac:dyDescent="0.25">
      <c r="C146" s="53"/>
      <c r="D146" s="54"/>
      <c r="E146" s="55"/>
      <c r="F146" s="54"/>
      <c r="G146" s="56"/>
      <c r="H146" s="56"/>
      <c r="I146" s="36" t="str">
        <f t="shared" si="6"/>
        <v/>
      </c>
      <c r="J146" s="36">
        <f t="shared" si="7"/>
        <v>0</v>
      </c>
      <c r="K146" s="36" t="str">
        <f t="shared" ca="1" si="8"/>
        <v/>
      </c>
    </row>
    <row r="147" spans="3:11" x14ac:dyDescent="0.25">
      <c r="C147" s="53"/>
      <c r="D147" s="54"/>
      <c r="E147" s="55"/>
      <c r="F147" s="54"/>
      <c r="G147" s="56"/>
      <c r="H147" s="56"/>
      <c r="I147" s="36" t="str">
        <f t="shared" si="6"/>
        <v/>
      </c>
      <c r="J147" s="36">
        <f t="shared" si="7"/>
        <v>0</v>
      </c>
      <c r="K147" s="36" t="str">
        <f t="shared" ca="1" si="8"/>
        <v/>
      </c>
    </row>
    <row r="148" spans="3:11" x14ac:dyDescent="0.25">
      <c r="C148" s="53"/>
      <c r="D148" s="54"/>
      <c r="E148" s="55"/>
      <c r="F148" s="54"/>
      <c r="G148" s="56"/>
      <c r="H148" s="56"/>
      <c r="I148" s="36" t="str">
        <f t="shared" si="6"/>
        <v/>
      </c>
      <c r="J148" s="36">
        <f t="shared" si="7"/>
        <v>0</v>
      </c>
      <c r="K148" s="36" t="str">
        <f t="shared" ca="1" si="8"/>
        <v/>
      </c>
    </row>
    <row r="149" spans="3:11" x14ac:dyDescent="0.25">
      <c r="C149" s="53"/>
      <c r="D149" s="54"/>
      <c r="E149" s="55"/>
      <c r="F149" s="54"/>
      <c r="G149" s="56"/>
      <c r="H149" s="56"/>
      <c r="I149" s="36" t="str">
        <f t="shared" si="6"/>
        <v/>
      </c>
      <c r="J149" s="36">
        <f t="shared" si="7"/>
        <v>0</v>
      </c>
      <c r="K149" s="36" t="str">
        <f t="shared" ca="1" si="8"/>
        <v/>
      </c>
    </row>
    <row r="150" spans="3:11" x14ac:dyDescent="0.25">
      <c r="C150" s="53"/>
      <c r="D150" s="54"/>
      <c r="E150" s="55"/>
      <c r="F150" s="54"/>
      <c r="G150" s="56"/>
      <c r="H150" s="56"/>
      <c r="I150" s="36" t="str">
        <f t="shared" si="6"/>
        <v/>
      </c>
      <c r="J150" s="36">
        <f t="shared" si="7"/>
        <v>0</v>
      </c>
      <c r="K150" s="36" t="str">
        <f t="shared" ca="1" si="8"/>
        <v/>
      </c>
    </row>
    <row r="151" spans="3:11" x14ac:dyDescent="0.25">
      <c r="C151" s="53"/>
      <c r="D151" s="54"/>
      <c r="E151" s="55"/>
      <c r="F151" s="54"/>
      <c r="G151" s="56"/>
      <c r="H151" s="56"/>
      <c r="I151" s="36" t="str">
        <f t="shared" si="6"/>
        <v/>
      </c>
      <c r="J151" s="36">
        <f t="shared" si="7"/>
        <v>0</v>
      </c>
      <c r="K151" s="36" t="str">
        <f t="shared" ca="1" si="8"/>
        <v/>
      </c>
    </row>
    <row r="152" spans="3:11" x14ac:dyDescent="0.25">
      <c r="C152" s="53"/>
      <c r="D152" s="54"/>
      <c r="E152" s="55"/>
      <c r="F152" s="54"/>
      <c r="G152" s="56"/>
      <c r="H152" s="56"/>
      <c r="I152" s="36" t="str">
        <f t="shared" si="6"/>
        <v/>
      </c>
      <c r="J152" s="36">
        <f t="shared" si="7"/>
        <v>0</v>
      </c>
      <c r="K152" s="36" t="str">
        <f t="shared" ca="1" si="8"/>
        <v/>
      </c>
    </row>
    <row r="153" spans="3:11" x14ac:dyDescent="0.25">
      <c r="C153" s="53"/>
      <c r="D153" s="54"/>
      <c r="E153" s="55"/>
      <c r="F153" s="54"/>
      <c r="G153" s="56"/>
      <c r="H153" s="56"/>
      <c r="I153" s="36" t="str">
        <f t="shared" si="6"/>
        <v/>
      </c>
      <c r="J153" s="36">
        <f t="shared" si="7"/>
        <v>0</v>
      </c>
      <c r="K153" s="36" t="str">
        <f t="shared" ca="1" si="8"/>
        <v/>
      </c>
    </row>
    <row r="154" spans="3:11" x14ac:dyDescent="0.25">
      <c r="C154" s="53"/>
      <c r="D154" s="54"/>
      <c r="E154" s="55"/>
      <c r="F154" s="54"/>
      <c r="G154" s="56"/>
      <c r="H154" s="56"/>
      <c r="I154" s="36" t="str">
        <f t="shared" si="6"/>
        <v/>
      </c>
      <c r="J154" s="36">
        <f t="shared" si="7"/>
        <v>0</v>
      </c>
      <c r="K154" s="36" t="str">
        <f t="shared" ca="1" si="8"/>
        <v/>
      </c>
    </row>
    <row r="155" spans="3:11" x14ac:dyDescent="0.25">
      <c r="C155" s="53"/>
      <c r="D155" s="54"/>
      <c r="E155" s="55"/>
      <c r="F155" s="54"/>
      <c r="G155" s="56"/>
      <c r="H155" s="56"/>
      <c r="I155" s="36" t="str">
        <f t="shared" si="6"/>
        <v/>
      </c>
      <c r="J155" s="36">
        <f t="shared" si="7"/>
        <v>0</v>
      </c>
      <c r="K155" s="36" t="str">
        <f t="shared" ca="1" si="8"/>
        <v/>
      </c>
    </row>
    <row r="156" spans="3:11" x14ac:dyDescent="0.25">
      <c r="C156" s="53"/>
      <c r="D156" s="54"/>
      <c r="E156" s="55"/>
      <c r="F156" s="54"/>
      <c r="G156" s="56"/>
      <c r="H156" s="56"/>
      <c r="I156" s="36" t="str">
        <f t="shared" si="6"/>
        <v/>
      </c>
      <c r="J156" s="36">
        <f t="shared" si="7"/>
        <v>0</v>
      </c>
      <c r="K156" s="36" t="str">
        <f t="shared" ca="1" si="8"/>
        <v/>
      </c>
    </row>
    <row r="157" spans="3:11" x14ac:dyDescent="0.25">
      <c r="C157" s="53"/>
      <c r="D157" s="54"/>
      <c r="E157" s="55"/>
      <c r="F157" s="54"/>
      <c r="G157" s="56"/>
      <c r="H157" s="56"/>
      <c r="I157" s="36" t="str">
        <f t="shared" si="6"/>
        <v/>
      </c>
      <c r="J157" s="36">
        <f t="shared" si="7"/>
        <v>0</v>
      </c>
      <c r="K157" s="36" t="str">
        <f t="shared" ca="1" si="8"/>
        <v/>
      </c>
    </row>
    <row r="158" spans="3:11" x14ac:dyDescent="0.25">
      <c r="C158" s="53"/>
      <c r="D158" s="54"/>
      <c r="E158" s="55"/>
      <c r="F158" s="54"/>
      <c r="G158" s="56"/>
      <c r="H158" s="56"/>
      <c r="I158" s="36" t="str">
        <f t="shared" si="6"/>
        <v/>
      </c>
      <c r="J158" s="36">
        <f t="shared" si="7"/>
        <v>0</v>
      </c>
      <c r="K158" s="36" t="str">
        <f t="shared" ca="1" si="8"/>
        <v/>
      </c>
    </row>
    <row r="159" spans="3:11" x14ac:dyDescent="0.25">
      <c r="C159" s="53"/>
      <c r="D159" s="54"/>
      <c r="E159" s="55"/>
      <c r="F159" s="54"/>
      <c r="G159" s="56"/>
      <c r="H159" s="56"/>
      <c r="I159" s="36" t="str">
        <f t="shared" si="6"/>
        <v/>
      </c>
      <c r="J159" s="36">
        <f t="shared" si="7"/>
        <v>0</v>
      </c>
      <c r="K159" s="36" t="str">
        <f t="shared" ca="1" si="8"/>
        <v/>
      </c>
    </row>
    <row r="160" spans="3:11" x14ac:dyDescent="0.25">
      <c r="C160" s="53"/>
      <c r="D160" s="54"/>
      <c r="E160" s="55"/>
      <c r="F160" s="54"/>
      <c r="G160" s="56"/>
      <c r="H160" s="56"/>
      <c r="I160" s="36" t="str">
        <f t="shared" si="6"/>
        <v/>
      </c>
      <c r="J160" s="36">
        <f t="shared" si="7"/>
        <v>0</v>
      </c>
      <c r="K160" s="36" t="str">
        <f t="shared" ca="1" si="8"/>
        <v/>
      </c>
    </row>
    <row r="161" spans="3:11" x14ac:dyDescent="0.25">
      <c r="C161" s="53"/>
      <c r="D161" s="54"/>
      <c r="E161" s="55"/>
      <c r="F161" s="54"/>
      <c r="G161" s="56"/>
      <c r="H161" s="56"/>
      <c r="I161" s="36" t="str">
        <f t="shared" si="6"/>
        <v/>
      </c>
      <c r="J161" s="36">
        <f t="shared" si="7"/>
        <v>0</v>
      </c>
      <c r="K161" s="36" t="str">
        <f t="shared" ca="1" si="8"/>
        <v/>
      </c>
    </row>
    <row r="162" spans="3:11" x14ac:dyDescent="0.25">
      <c r="C162" s="53"/>
      <c r="D162" s="54"/>
      <c r="E162" s="55"/>
      <c r="F162" s="54"/>
      <c r="G162" s="56"/>
      <c r="H162" s="56"/>
      <c r="I162" s="36" t="str">
        <f t="shared" si="6"/>
        <v/>
      </c>
      <c r="J162" s="36">
        <f t="shared" si="7"/>
        <v>0</v>
      </c>
      <c r="K162" s="36" t="str">
        <f t="shared" ca="1" si="8"/>
        <v/>
      </c>
    </row>
    <row r="163" spans="3:11" x14ac:dyDescent="0.25">
      <c r="C163" s="53"/>
      <c r="D163" s="54"/>
      <c r="E163" s="55"/>
      <c r="F163" s="54"/>
      <c r="G163" s="56"/>
      <c r="H163" s="56"/>
      <c r="I163" s="36" t="str">
        <f t="shared" si="6"/>
        <v/>
      </c>
      <c r="J163" s="36">
        <f t="shared" si="7"/>
        <v>0</v>
      </c>
      <c r="K163" s="36" t="str">
        <f t="shared" ca="1" si="8"/>
        <v/>
      </c>
    </row>
    <row r="164" spans="3:11" x14ac:dyDescent="0.25">
      <c r="C164" s="53"/>
      <c r="D164" s="54"/>
      <c r="E164" s="55"/>
      <c r="F164" s="54"/>
      <c r="G164" s="56"/>
      <c r="H164" s="56"/>
      <c r="I164" s="36" t="str">
        <f t="shared" si="6"/>
        <v/>
      </c>
      <c r="J164" s="36">
        <f t="shared" si="7"/>
        <v>0</v>
      </c>
      <c r="K164" s="36" t="str">
        <f t="shared" ca="1" si="8"/>
        <v/>
      </c>
    </row>
    <row r="165" spans="3:11" x14ac:dyDescent="0.25">
      <c r="C165" s="53"/>
      <c r="D165" s="54"/>
      <c r="E165" s="55"/>
      <c r="F165" s="54"/>
      <c r="G165" s="56"/>
      <c r="H165" s="56"/>
      <c r="I165" s="36" t="str">
        <f t="shared" si="6"/>
        <v/>
      </c>
      <c r="J165" s="36">
        <f t="shared" si="7"/>
        <v>0</v>
      </c>
      <c r="K165" s="36" t="str">
        <f t="shared" ca="1" si="8"/>
        <v/>
      </c>
    </row>
    <row r="166" spans="3:11" x14ac:dyDescent="0.25">
      <c r="C166" s="53"/>
      <c r="D166" s="54"/>
      <c r="E166" s="55"/>
      <c r="F166" s="54"/>
      <c r="G166" s="56"/>
      <c r="H166" s="56"/>
      <c r="I166" s="36" t="str">
        <f t="shared" si="6"/>
        <v/>
      </c>
      <c r="J166" s="36">
        <f t="shared" si="7"/>
        <v>0</v>
      </c>
      <c r="K166" s="36" t="str">
        <f t="shared" ca="1" si="8"/>
        <v/>
      </c>
    </row>
    <row r="167" spans="3:11" x14ac:dyDescent="0.25">
      <c r="C167" s="53"/>
      <c r="D167" s="54"/>
      <c r="E167" s="55"/>
      <c r="F167" s="54"/>
      <c r="G167" s="56"/>
      <c r="H167" s="56"/>
      <c r="I167" s="36" t="str">
        <f t="shared" si="6"/>
        <v/>
      </c>
      <c r="J167" s="36">
        <f t="shared" si="7"/>
        <v>0</v>
      </c>
      <c r="K167" s="36" t="str">
        <f t="shared" ca="1" si="8"/>
        <v/>
      </c>
    </row>
    <row r="168" spans="3:11" x14ac:dyDescent="0.25">
      <c r="C168" s="53"/>
      <c r="D168" s="54"/>
      <c r="E168" s="55"/>
      <c r="F168" s="54"/>
      <c r="G168" s="56"/>
      <c r="H168" s="56"/>
      <c r="I168" s="36" t="str">
        <f t="shared" si="6"/>
        <v/>
      </c>
      <c r="J168" s="36">
        <f t="shared" si="7"/>
        <v>0</v>
      </c>
      <c r="K168" s="36" t="str">
        <f t="shared" ca="1" si="8"/>
        <v/>
      </c>
    </row>
    <row r="169" spans="3:11" x14ac:dyDescent="0.25">
      <c r="C169" s="53"/>
      <c r="D169" s="54"/>
      <c r="E169" s="55"/>
      <c r="F169" s="54"/>
      <c r="G169" s="56"/>
      <c r="H169" s="56"/>
      <c r="I169" s="36" t="str">
        <f t="shared" si="6"/>
        <v/>
      </c>
      <c r="J169" s="36">
        <f t="shared" si="7"/>
        <v>0</v>
      </c>
      <c r="K169" s="36" t="str">
        <f t="shared" ca="1" si="8"/>
        <v/>
      </c>
    </row>
    <row r="170" spans="3:11" x14ac:dyDescent="0.25">
      <c r="C170" s="53"/>
      <c r="D170" s="54"/>
      <c r="E170" s="55"/>
      <c r="F170" s="54"/>
      <c r="G170" s="56"/>
      <c r="H170" s="56"/>
      <c r="I170" s="36" t="str">
        <f t="shared" si="6"/>
        <v/>
      </c>
      <c r="J170" s="36">
        <f t="shared" si="7"/>
        <v>0</v>
      </c>
      <c r="K170" s="36" t="str">
        <f t="shared" ca="1" si="8"/>
        <v/>
      </c>
    </row>
    <row r="171" spans="3:11" x14ac:dyDescent="0.25">
      <c r="C171" s="53"/>
      <c r="D171" s="54"/>
      <c r="E171" s="55"/>
      <c r="F171" s="54"/>
      <c r="G171" s="56"/>
      <c r="H171" s="56"/>
      <c r="I171" s="36" t="str">
        <f t="shared" si="6"/>
        <v/>
      </c>
      <c r="J171" s="36">
        <f t="shared" si="7"/>
        <v>0</v>
      </c>
      <c r="K171" s="36" t="str">
        <f t="shared" ca="1" si="8"/>
        <v/>
      </c>
    </row>
    <row r="172" spans="3:11" x14ac:dyDescent="0.25">
      <c r="C172" s="53"/>
      <c r="D172" s="54"/>
      <c r="E172" s="55"/>
      <c r="F172" s="54"/>
      <c r="G172" s="56"/>
      <c r="H172" s="56"/>
      <c r="I172" s="36" t="str">
        <f t="shared" si="6"/>
        <v/>
      </c>
      <c r="J172" s="36">
        <f t="shared" si="7"/>
        <v>0</v>
      </c>
      <c r="K172" s="36" t="str">
        <f t="shared" ca="1" si="8"/>
        <v/>
      </c>
    </row>
    <row r="173" spans="3:11" x14ac:dyDescent="0.25">
      <c r="C173" s="53"/>
      <c r="D173" s="54"/>
      <c r="E173" s="55"/>
      <c r="F173" s="54"/>
      <c r="G173" s="56"/>
      <c r="H173" s="56"/>
      <c r="I173" s="36" t="str">
        <f t="shared" si="6"/>
        <v/>
      </c>
      <c r="J173" s="36">
        <f t="shared" si="7"/>
        <v>0</v>
      </c>
      <c r="K173" s="36" t="str">
        <f t="shared" ca="1" si="8"/>
        <v/>
      </c>
    </row>
    <row r="174" spans="3:11" x14ac:dyDescent="0.25">
      <c r="C174" s="53"/>
      <c r="D174" s="54"/>
      <c r="E174" s="55"/>
      <c r="F174" s="54"/>
      <c r="G174" s="56"/>
      <c r="H174" s="56"/>
      <c r="I174" s="36" t="str">
        <f t="shared" si="6"/>
        <v/>
      </c>
      <c r="J174" s="36">
        <f t="shared" si="7"/>
        <v>0</v>
      </c>
      <c r="K174" s="36" t="str">
        <f t="shared" ca="1" si="8"/>
        <v/>
      </c>
    </row>
    <row r="175" spans="3:11" x14ac:dyDescent="0.25">
      <c r="C175" s="53"/>
      <c r="D175" s="54"/>
      <c r="E175" s="55"/>
      <c r="F175" s="54"/>
      <c r="G175" s="56"/>
      <c r="H175" s="56"/>
      <c r="I175" s="36" t="str">
        <f t="shared" si="6"/>
        <v/>
      </c>
      <c r="J175" s="36">
        <f t="shared" si="7"/>
        <v>0</v>
      </c>
      <c r="K175" s="36" t="str">
        <f t="shared" ca="1" si="8"/>
        <v/>
      </c>
    </row>
    <row r="176" spans="3:11" x14ac:dyDescent="0.25">
      <c r="C176" s="53"/>
      <c r="D176" s="54"/>
      <c r="E176" s="55"/>
      <c r="F176" s="54"/>
      <c r="G176" s="56"/>
      <c r="H176" s="56"/>
      <c r="I176" s="36" t="str">
        <f t="shared" si="6"/>
        <v/>
      </c>
      <c r="J176" s="36">
        <f t="shared" si="7"/>
        <v>0</v>
      </c>
      <c r="K176" s="36" t="str">
        <f t="shared" ca="1" si="8"/>
        <v/>
      </c>
    </row>
    <row r="177" spans="3:11" x14ac:dyDescent="0.25">
      <c r="C177" s="53"/>
      <c r="D177" s="54"/>
      <c r="E177" s="55"/>
      <c r="F177" s="54"/>
      <c r="G177" s="56"/>
      <c r="H177" s="56"/>
      <c r="I177" s="36" t="str">
        <f t="shared" si="6"/>
        <v/>
      </c>
      <c r="J177" s="36">
        <f t="shared" si="7"/>
        <v>0</v>
      </c>
      <c r="K177" s="36" t="str">
        <f t="shared" ca="1" si="8"/>
        <v/>
      </c>
    </row>
    <row r="178" spans="3:11" x14ac:dyDescent="0.25">
      <c r="C178" s="53"/>
      <c r="D178" s="54"/>
      <c r="E178" s="55"/>
      <c r="F178" s="54"/>
      <c r="G178" s="56"/>
      <c r="H178" s="56"/>
      <c r="I178" s="36" t="str">
        <f t="shared" si="6"/>
        <v/>
      </c>
      <c r="J178" s="36">
        <f t="shared" si="7"/>
        <v>0</v>
      </c>
      <c r="K178" s="36" t="str">
        <f t="shared" ca="1" si="8"/>
        <v/>
      </c>
    </row>
    <row r="179" spans="3:11" x14ac:dyDescent="0.25">
      <c r="C179" s="53"/>
      <c r="D179" s="54"/>
      <c r="E179" s="55"/>
      <c r="F179" s="54"/>
      <c r="G179" s="56"/>
      <c r="H179" s="56"/>
      <c r="I179" s="36" t="str">
        <f t="shared" si="6"/>
        <v/>
      </c>
      <c r="J179" s="36">
        <f t="shared" si="7"/>
        <v>0</v>
      </c>
      <c r="K179" s="36" t="str">
        <f t="shared" ca="1" si="8"/>
        <v/>
      </c>
    </row>
    <row r="180" spans="3:11" x14ac:dyDescent="0.25">
      <c r="C180" s="53"/>
      <c r="D180" s="54"/>
      <c r="E180" s="55"/>
      <c r="F180" s="54"/>
      <c r="G180" s="56"/>
      <c r="H180" s="56"/>
      <c r="I180" s="36" t="str">
        <f t="shared" si="6"/>
        <v/>
      </c>
      <c r="J180" s="36">
        <f t="shared" si="7"/>
        <v>0</v>
      </c>
      <c r="K180" s="36" t="str">
        <f t="shared" ca="1" si="8"/>
        <v/>
      </c>
    </row>
    <row r="181" spans="3:11" x14ac:dyDescent="0.25">
      <c r="C181" s="53"/>
      <c r="D181" s="54"/>
      <c r="E181" s="55"/>
      <c r="F181" s="54"/>
      <c r="G181" s="56"/>
      <c r="H181" s="56"/>
      <c r="I181" s="36" t="str">
        <f t="shared" si="6"/>
        <v/>
      </c>
      <c r="J181" s="36">
        <f t="shared" si="7"/>
        <v>0</v>
      </c>
      <c r="K181" s="36" t="str">
        <f t="shared" ca="1" si="8"/>
        <v/>
      </c>
    </row>
    <row r="182" spans="3:11" x14ac:dyDescent="0.25">
      <c r="C182" s="53"/>
      <c r="D182" s="54"/>
      <c r="E182" s="55"/>
      <c r="F182" s="54"/>
      <c r="G182" s="56"/>
      <c r="H182" s="56"/>
      <c r="I182" s="36" t="str">
        <f t="shared" si="6"/>
        <v/>
      </c>
      <c r="J182" s="36">
        <f t="shared" si="7"/>
        <v>0</v>
      </c>
      <c r="K182" s="36" t="str">
        <f t="shared" ca="1" si="8"/>
        <v/>
      </c>
    </row>
    <row r="183" spans="3:11" x14ac:dyDescent="0.25">
      <c r="C183" s="53"/>
      <c r="D183" s="54"/>
      <c r="E183" s="55"/>
      <c r="F183" s="54"/>
      <c r="G183" s="56"/>
      <c r="H183" s="56"/>
      <c r="I183" s="36" t="str">
        <f t="shared" si="6"/>
        <v/>
      </c>
      <c r="J183" s="36">
        <f t="shared" si="7"/>
        <v>0</v>
      </c>
      <c r="K183" s="36" t="str">
        <f t="shared" ca="1" si="8"/>
        <v/>
      </c>
    </row>
    <row r="184" spans="3:11" x14ac:dyDescent="0.25">
      <c r="C184" s="53"/>
      <c r="D184" s="54"/>
      <c r="E184" s="55"/>
      <c r="F184" s="54"/>
      <c r="G184" s="56"/>
      <c r="H184" s="56"/>
      <c r="I184" s="36" t="str">
        <f t="shared" si="6"/>
        <v/>
      </c>
      <c r="J184" s="36">
        <f t="shared" si="7"/>
        <v>0</v>
      </c>
      <c r="K184" s="36" t="str">
        <f t="shared" ca="1" si="8"/>
        <v/>
      </c>
    </row>
    <row r="185" spans="3:11" x14ac:dyDescent="0.25">
      <c r="C185" s="53"/>
      <c r="D185" s="54"/>
      <c r="E185" s="55"/>
      <c r="F185" s="54"/>
      <c r="G185" s="56"/>
      <c r="H185" s="56"/>
      <c r="I185" s="36" t="str">
        <f t="shared" si="6"/>
        <v/>
      </c>
      <c r="J185" s="36">
        <f t="shared" si="7"/>
        <v>0</v>
      </c>
      <c r="K185" s="36" t="str">
        <f t="shared" ca="1" si="8"/>
        <v/>
      </c>
    </row>
    <row r="186" spans="3:11" x14ac:dyDescent="0.25">
      <c r="C186" s="53"/>
      <c r="D186" s="54"/>
      <c r="E186" s="55"/>
      <c r="F186" s="54"/>
      <c r="G186" s="56"/>
      <c r="H186" s="56"/>
      <c r="I186" s="36" t="str">
        <f t="shared" si="6"/>
        <v/>
      </c>
      <c r="J186" s="36">
        <f t="shared" si="7"/>
        <v>0</v>
      </c>
      <c r="K186" s="36" t="str">
        <f t="shared" ca="1" si="8"/>
        <v/>
      </c>
    </row>
    <row r="187" spans="3:11" x14ac:dyDescent="0.25">
      <c r="C187" s="53"/>
      <c r="D187" s="54"/>
      <c r="E187" s="55"/>
      <c r="F187" s="54"/>
      <c r="G187" s="56"/>
      <c r="H187" s="56"/>
      <c r="I187" s="36" t="str">
        <f t="shared" si="6"/>
        <v/>
      </c>
      <c r="J187" s="36">
        <f t="shared" si="7"/>
        <v>0</v>
      </c>
      <c r="K187" s="36" t="str">
        <f t="shared" ca="1" si="8"/>
        <v/>
      </c>
    </row>
    <row r="188" spans="3:11" x14ac:dyDescent="0.25">
      <c r="C188" s="53"/>
      <c r="D188" s="54"/>
      <c r="E188" s="55"/>
      <c r="F188" s="54"/>
      <c r="G188" s="56"/>
      <c r="H188" s="56"/>
      <c r="I188" s="36" t="str">
        <f t="shared" si="6"/>
        <v/>
      </c>
      <c r="J188" s="36">
        <f t="shared" si="7"/>
        <v>0</v>
      </c>
      <c r="K188" s="36" t="str">
        <f t="shared" ca="1" si="8"/>
        <v/>
      </c>
    </row>
    <row r="189" spans="3:11" x14ac:dyDescent="0.25">
      <c r="C189" s="53"/>
      <c r="D189" s="54"/>
      <c r="E189" s="55"/>
      <c r="F189" s="54"/>
      <c r="G189" s="56"/>
      <c r="H189" s="56"/>
      <c r="I189" s="36" t="str">
        <f t="shared" si="6"/>
        <v/>
      </c>
      <c r="J189" s="36">
        <f t="shared" si="7"/>
        <v>0</v>
      </c>
      <c r="K189" s="36" t="str">
        <f t="shared" ca="1" si="8"/>
        <v/>
      </c>
    </row>
    <row r="190" spans="3:11" x14ac:dyDescent="0.25">
      <c r="C190" s="53"/>
      <c r="D190" s="54"/>
      <c r="E190" s="55"/>
      <c r="F190" s="54"/>
      <c r="G190" s="56"/>
      <c r="H190" s="56"/>
      <c r="I190" s="36" t="str">
        <f t="shared" si="6"/>
        <v/>
      </c>
      <c r="J190" s="36">
        <f t="shared" si="7"/>
        <v>0</v>
      </c>
      <c r="K190" s="36" t="str">
        <f t="shared" ca="1" si="8"/>
        <v/>
      </c>
    </row>
    <row r="191" spans="3:11" x14ac:dyDescent="0.25">
      <c r="C191" s="53"/>
      <c r="D191" s="54"/>
      <c r="E191" s="55"/>
      <c r="F191" s="54"/>
      <c r="G191" s="56"/>
      <c r="H191" s="56"/>
      <c r="I191" s="36" t="str">
        <f t="shared" si="6"/>
        <v/>
      </c>
      <c r="J191" s="36">
        <f t="shared" si="7"/>
        <v>0</v>
      </c>
      <c r="K191" s="36" t="str">
        <f t="shared" ca="1" si="8"/>
        <v/>
      </c>
    </row>
    <row r="192" spans="3:11" x14ac:dyDescent="0.25">
      <c r="C192" s="53"/>
      <c r="D192" s="54"/>
      <c r="E192" s="55"/>
      <c r="F192" s="54"/>
      <c r="G192" s="56"/>
      <c r="H192" s="56"/>
      <c r="I192" s="36" t="str">
        <f t="shared" si="6"/>
        <v/>
      </c>
      <c r="J192" s="36">
        <f t="shared" si="7"/>
        <v>0</v>
      </c>
      <c r="K192" s="36" t="str">
        <f t="shared" ca="1" si="8"/>
        <v/>
      </c>
    </row>
    <row r="193" spans="3:11" x14ac:dyDescent="0.25">
      <c r="C193" s="53"/>
      <c r="D193" s="54"/>
      <c r="E193" s="55"/>
      <c r="F193" s="54"/>
      <c r="G193" s="56"/>
      <c r="H193" s="56"/>
      <c r="I193" s="36" t="str">
        <f t="shared" si="6"/>
        <v/>
      </c>
      <c r="J193" s="36">
        <f t="shared" si="7"/>
        <v>0</v>
      </c>
      <c r="K193" s="36" t="str">
        <f t="shared" ca="1" si="8"/>
        <v/>
      </c>
    </row>
    <row r="194" spans="3:11" x14ac:dyDescent="0.25">
      <c r="C194" s="53"/>
      <c r="D194" s="54"/>
      <c r="E194" s="55"/>
      <c r="F194" s="54"/>
      <c r="G194" s="56"/>
      <c r="H194" s="56"/>
      <c r="I194" s="36" t="str">
        <f t="shared" si="6"/>
        <v/>
      </c>
      <c r="J194" s="36">
        <f t="shared" si="7"/>
        <v>0</v>
      </c>
      <c r="K194" s="36" t="str">
        <f t="shared" ca="1" si="8"/>
        <v/>
      </c>
    </row>
    <row r="195" spans="3:11" x14ac:dyDescent="0.25">
      <c r="C195" s="53"/>
      <c r="D195" s="54"/>
      <c r="E195" s="55"/>
      <c r="F195" s="54"/>
      <c r="G195" s="56"/>
      <c r="H195" s="56"/>
      <c r="I195" s="36" t="str">
        <f t="shared" si="6"/>
        <v/>
      </c>
      <c r="J195" s="36">
        <f t="shared" si="7"/>
        <v>0</v>
      </c>
      <c r="K195" s="36" t="str">
        <f t="shared" ca="1" si="8"/>
        <v/>
      </c>
    </row>
    <row r="196" spans="3:11" x14ac:dyDescent="0.25">
      <c r="C196" s="53"/>
      <c r="D196" s="54"/>
      <c r="E196" s="55"/>
      <c r="F196" s="54"/>
      <c r="G196" s="56"/>
      <c r="H196" s="56"/>
      <c r="I196" s="36" t="str">
        <f t="shared" si="6"/>
        <v/>
      </c>
      <c r="J196" s="36">
        <f t="shared" si="7"/>
        <v>0</v>
      </c>
      <c r="K196" s="36" t="str">
        <f t="shared" ca="1" si="8"/>
        <v/>
      </c>
    </row>
    <row r="197" spans="3:11" x14ac:dyDescent="0.25">
      <c r="C197" s="53"/>
      <c r="D197" s="54"/>
      <c r="E197" s="55"/>
      <c r="F197" s="54"/>
      <c r="G197" s="56"/>
      <c r="H197" s="56"/>
      <c r="I197" s="36" t="str">
        <f t="shared" si="6"/>
        <v/>
      </c>
      <c r="J197" s="36">
        <f t="shared" si="7"/>
        <v>0</v>
      </c>
      <c r="K197" s="36" t="str">
        <f t="shared" ca="1" si="8"/>
        <v/>
      </c>
    </row>
    <row r="198" spans="3:11" x14ac:dyDescent="0.25">
      <c r="C198" s="53"/>
      <c r="D198" s="54"/>
      <c r="E198" s="55"/>
      <c r="F198" s="54"/>
      <c r="G198" s="56"/>
      <c r="H198" s="56"/>
      <c r="I198" s="36" t="str">
        <f t="shared" si="6"/>
        <v/>
      </c>
      <c r="J198" s="36">
        <f t="shared" si="7"/>
        <v>0</v>
      </c>
      <c r="K198" s="36" t="str">
        <f t="shared" ca="1" si="8"/>
        <v/>
      </c>
    </row>
    <row r="199" spans="3:11" x14ac:dyDescent="0.25">
      <c r="C199" s="53"/>
      <c r="D199" s="54"/>
      <c r="E199" s="55"/>
      <c r="F199" s="54"/>
      <c r="G199" s="56"/>
      <c r="H199" s="56"/>
      <c r="I199" s="36" t="str">
        <f t="shared" si="6"/>
        <v/>
      </c>
      <c r="J199" s="36">
        <f t="shared" si="7"/>
        <v>0</v>
      </c>
      <c r="K199" s="36" t="str">
        <f t="shared" ca="1" si="8"/>
        <v/>
      </c>
    </row>
    <row r="200" spans="3:11" x14ac:dyDescent="0.25">
      <c r="C200" s="53"/>
      <c r="D200" s="54"/>
      <c r="E200" s="55"/>
      <c r="F200" s="54"/>
      <c r="G200" s="56"/>
      <c r="H200" s="56"/>
      <c r="I200" s="36" t="str">
        <f t="shared" si="6"/>
        <v/>
      </c>
      <c r="J200" s="36">
        <f t="shared" si="7"/>
        <v>0</v>
      </c>
      <c r="K200" s="36" t="str">
        <f t="shared" ca="1" si="8"/>
        <v/>
      </c>
    </row>
    <row r="201" spans="3:11" x14ac:dyDescent="0.25">
      <c r="C201" s="53"/>
      <c r="D201" s="54"/>
      <c r="E201" s="55"/>
      <c r="F201" s="54"/>
      <c r="G201" s="56"/>
      <c r="H201" s="56"/>
      <c r="I201" s="36" t="str">
        <f t="shared" si="6"/>
        <v/>
      </c>
      <c r="J201" s="36">
        <f t="shared" si="7"/>
        <v>0</v>
      </c>
      <c r="K201" s="36" t="str">
        <f t="shared" ca="1" si="8"/>
        <v/>
      </c>
    </row>
    <row r="202" spans="3:11" x14ac:dyDescent="0.25">
      <c r="C202" s="53"/>
      <c r="D202" s="54"/>
      <c r="E202" s="55"/>
      <c r="F202" s="54"/>
      <c r="G202" s="56"/>
      <c r="H202" s="56"/>
      <c r="I202" s="36" t="str">
        <f t="shared" si="6"/>
        <v/>
      </c>
      <c r="J202" s="36">
        <f t="shared" si="7"/>
        <v>0</v>
      </c>
      <c r="K202" s="36" t="str">
        <f t="shared" ca="1" si="8"/>
        <v/>
      </c>
    </row>
    <row r="203" spans="3:11" x14ac:dyDescent="0.25">
      <c r="C203" s="53"/>
      <c r="D203" s="54"/>
      <c r="E203" s="55"/>
      <c r="F203" s="54"/>
      <c r="G203" s="56"/>
      <c r="H203" s="56"/>
      <c r="I203" s="36" t="str">
        <f t="shared" si="6"/>
        <v/>
      </c>
      <c r="J203" s="36">
        <f t="shared" si="7"/>
        <v>0</v>
      </c>
      <c r="K203" s="36" t="str">
        <f t="shared" ca="1" si="8"/>
        <v/>
      </c>
    </row>
    <row r="204" spans="3:11" x14ac:dyDescent="0.25">
      <c r="C204" s="53"/>
      <c r="D204" s="54"/>
      <c r="E204" s="55"/>
      <c r="F204" s="54"/>
      <c r="G204" s="56"/>
      <c r="H204" s="56"/>
      <c r="I204" s="36" t="str">
        <f t="shared" si="6"/>
        <v/>
      </c>
      <c r="J204" s="36">
        <f t="shared" si="7"/>
        <v>0</v>
      </c>
      <c r="K204" s="36" t="str">
        <f t="shared" ca="1" si="8"/>
        <v/>
      </c>
    </row>
    <row r="205" spans="3:11" x14ac:dyDescent="0.25">
      <c r="C205" s="53"/>
      <c r="D205" s="54"/>
      <c r="E205" s="55"/>
      <c r="F205" s="54"/>
      <c r="G205" s="56"/>
      <c r="H205" s="56"/>
      <c r="I205" s="36" t="str">
        <f t="shared" si="6"/>
        <v/>
      </c>
      <c r="J205" s="36">
        <f t="shared" si="7"/>
        <v>0</v>
      </c>
      <c r="K205" s="36" t="str">
        <f t="shared" ca="1" si="8"/>
        <v/>
      </c>
    </row>
    <row r="206" spans="3:11" x14ac:dyDescent="0.25">
      <c r="C206" s="53"/>
      <c r="D206" s="54"/>
      <c r="E206" s="55"/>
      <c r="F206" s="54"/>
      <c r="G206" s="56"/>
      <c r="H206" s="56"/>
      <c r="I206" s="36" t="str">
        <f t="shared" si="6"/>
        <v/>
      </c>
      <c r="J206" s="36">
        <f t="shared" si="7"/>
        <v>0</v>
      </c>
      <c r="K206" s="36" t="str">
        <f t="shared" ca="1" si="8"/>
        <v/>
      </c>
    </row>
    <row r="207" spans="3:11" x14ac:dyDescent="0.25">
      <c r="C207" s="53"/>
      <c r="D207" s="54"/>
      <c r="E207" s="55"/>
      <c r="F207" s="54"/>
      <c r="G207" s="56"/>
      <c r="H207" s="56"/>
      <c r="I207" s="36" t="str">
        <f t="shared" si="6"/>
        <v/>
      </c>
      <c r="J207" s="36">
        <f t="shared" si="7"/>
        <v>0</v>
      </c>
      <c r="K207" s="36" t="str">
        <f t="shared" ca="1" si="8"/>
        <v/>
      </c>
    </row>
    <row r="208" spans="3:11" x14ac:dyDescent="0.25">
      <c r="C208" s="53"/>
      <c r="D208" s="54"/>
      <c r="E208" s="55"/>
      <c r="F208" s="54"/>
      <c r="G208" s="56"/>
      <c r="H208" s="56"/>
      <c r="I208" s="36" t="str">
        <f t="shared" ref="I208:I271" si="9">IF(C208="","",IF(H208&lt;=0,"Em aberto",IF(H208&gt;=G208,"Pagamento Total",IF(H208&lt;G208,"Pagamento Parcial"))))</f>
        <v/>
      </c>
      <c r="J208" s="36">
        <f t="shared" ref="J208:J271" si="10">IF(C208&gt;0,G208-H208,0)</f>
        <v>0</v>
      </c>
      <c r="K208" s="36" t="str">
        <f t="shared" ref="K208:K271" ca="1" si="11">IF(ISBLANK(C208),"",IF(H208=G208,"Pago",IF(C208=TODAY(),"Vence Hoje",IF(TRIM(UPPER(G207))&lt;&gt;"S",IF(C208-TODAY()&lt;0,"Vencida",IF(C208-TODAY()&lt;8,"Próximos sete dias","Em aberto"))))))</f>
        <v/>
      </c>
    </row>
    <row r="209" spans="3:11" x14ac:dyDescent="0.25">
      <c r="C209" s="53"/>
      <c r="D209" s="54"/>
      <c r="E209" s="55"/>
      <c r="F209" s="54"/>
      <c r="G209" s="56"/>
      <c r="H209" s="56"/>
      <c r="I209" s="36" t="str">
        <f t="shared" si="9"/>
        <v/>
      </c>
      <c r="J209" s="36">
        <f t="shared" si="10"/>
        <v>0</v>
      </c>
      <c r="K209" s="36" t="str">
        <f t="shared" ca="1" si="11"/>
        <v/>
      </c>
    </row>
    <row r="210" spans="3:11" x14ac:dyDescent="0.25">
      <c r="C210" s="53"/>
      <c r="D210" s="54"/>
      <c r="E210" s="55"/>
      <c r="F210" s="54"/>
      <c r="G210" s="56"/>
      <c r="H210" s="56"/>
      <c r="I210" s="36" t="str">
        <f t="shared" si="9"/>
        <v/>
      </c>
      <c r="J210" s="36">
        <f t="shared" si="10"/>
        <v>0</v>
      </c>
      <c r="K210" s="36" t="str">
        <f t="shared" ca="1" si="11"/>
        <v/>
      </c>
    </row>
    <row r="211" spans="3:11" x14ac:dyDescent="0.25">
      <c r="C211" s="53"/>
      <c r="D211" s="54"/>
      <c r="E211" s="55"/>
      <c r="F211" s="54"/>
      <c r="G211" s="56"/>
      <c r="H211" s="56"/>
      <c r="I211" s="36" t="str">
        <f t="shared" si="9"/>
        <v/>
      </c>
      <c r="J211" s="36">
        <f t="shared" si="10"/>
        <v>0</v>
      </c>
      <c r="K211" s="36" t="str">
        <f t="shared" ca="1" si="11"/>
        <v/>
      </c>
    </row>
    <row r="212" spans="3:11" x14ac:dyDescent="0.25">
      <c r="C212" s="53"/>
      <c r="D212" s="54"/>
      <c r="E212" s="55"/>
      <c r="F212" s="54"/>
      <c r="G212" s="56"/>
      <c r="H212" s="56"/>
      <c r="I212" s="36" t="str">
        <f t="shared" si="9"/>
        <v/>
      </c>
      <c r="J212" s="36">
        <f t="shared" si="10"/>
        <v>0</v>
      </c>
      <c r="K212" s="36" t="str">
        <f t="shared" ca="1" si="11"/>
        <v/>
      </c>
    </row>
    <row r="213" spans="3:11" x14ac:dyDescent="0.25">
      <c r="C213" s="53"/>
      <c r="D213" s="54"/>
      <c r="E213" s="55"/>
      <c r="F213" s="54"/>
      <c r="G213" s="56"/>
      <c r="H213" s="56"/>
      <c r="I213" s="36" t="str">
        <f t="shared" si="9"/>
        <v/>
      </c>
      <c r="J213" s="36">
        <f t="shared" si="10"/>
        <v>0</v>
      </c>
      <c r="K213" s="36" t="str">
        <f t="shared" ca="1" si="11"/>
        <v/>
      </c>
    </row>
    <row r="214" spans="3:11" x14ac:dyDescent="0.25">
      <c r="C214" s="53"/>
      <c r="D214" s="54"/>
      <c r="E214" s="55"/>
      <c r="F214" s="54"/>
      <c r="G214" s="56"/>
      <c r="H214" s="56"/>
      <c r="I214" s="36" t="str">
        <f t="shared" si="9"/>
        <v/>
      </c>
      <c r="J214" s="36">
        <f t="shared" si="10"/>
        <v>0</v>
      </c>
      <c r="K214" s="36" t="str">
        <f t="shared" ca="1" si="11"/>
        <v/>
      </c>
    </row>
    <row r="215" spans="3:11" x14ac:dyDescent="0.25">
      <c r="C215" s="53"/>
      <c r="D215" s="54"/>
      <c r="E215" s="55"/>
      <c r="F215" s="54"/>
      <c r="G215" s="56"/>
      <c r="H215" s="56"/>
      <c r="I215" s="36" t="str">
        <f t="shared" si="9"/>
        <v/>
      </c>
      <c r="J215" s="36">
        <f t="shared" si="10"/>
        <v>0</v>
      </c>
      <c r="K215" s="36" t="str">
        <f t="shared" ca="1" si="11"/>
        <v/>
      </c>
    </row>
    <row r="216" spans="3:11" x14ac:dyDescent="0.25">
      <c r="C216" s="53"/>
      <c r="D216" s="54"/>
      <c r="E216" s="55"/>
      <c r="F216" s="54"/>
      <c r="G216" s="56"/>
      <c r="H216" s="56"/>
      <c r="I216" s="36" t="str">
        <f t="shared" si="9"/>
        <v/>
      </c>
      <c r="J216" s="36">
        <f t="shared" si="10"/>
        <v>0</v>
      </c>
      <c r="K216" s="36" t="str">
        <f t="shared" ca="1" si="11"/>
        <v/>
      </c>
    </row>
    <row r="217" spans="3:11" x14ac:dyDescent="0.25">
      <c r="C217" s="53"/>
      <c r="D217" s="54"/>
      <c r="E217" s="55"/>
      <c r="F217" s="54"/>
      <c r="G217" s="56"/>
      <c r="H217" s="56"/>
      <c r="I217" s="36" t="str">
        <f t="shared" si="9"/>
        <v/>
      </c>
      <c r="J217" s="36">
        <f t="shared" si="10"/>
        <v>0</v>
      </c>
      <c r="K217" s="36" t="str">
        <f t="shared" ca="1" si="11"/>
        <v/>
      </c>
    </row>
    <row r="218" spans="3:11" x14ac:dyDescent="0.25">
      <c r="C218" s="53"/>
      <c r="D218" s="54"/>
      <c r="E218" s="55"/>
      <c r="F218" s="54"/>
      <c r="G218" s="56"/>
      <c r="H218" s="56"/>
      <c r="I218" s="36" t="str">
        <f t="shared" si="9"/>
        <v/>
      </c>
      <c r="J218" s="36">
        <f t="shared" si="10"/>
        <v>0</v>
      </c>
      <c r="K218" s="36" t="str">
        <f t="shared" ca="1" si="11"/>
        <v/>
      </c>
    </row>
    <row r="219" spans="3:11" x14ac:dyDescent="0.25">
      <c r="C219" s="53"/>
      <c r="D219" s="54"/>
      <c r="E219" s="55"/>
      <c r="F219" s="54"/>
      <c r="G219" s="56"/>
      <c r="H219" s="56"/>
      <c r="I219" s="36" t="str">
        <f t="shared" si="9"/>
        <v/>
      </c>
      <c r="J219" s="36">
        <f t="shared" si="10"/>
        <v>0</v>
      </c>
      <c r="K219" s="36" t="str">
        <f t="shared" ca="1" si="11"/>
        <v/>
      </c>
    </row>
    <row r="220" spans="3:11" x14ac:dyDescent="0.25">
      <c r="C220" s="53"/>
      <c r="D220" s="54"/>
      <c r="E220" s="55"/>
      <c r="F220" s="54"/>
      <c r="G220" s="56"/>
      <c r="H220" s="56"/>
      <c r="I220" s="36" t="str">
        <f t="shared" si="9"/>
        <v/>
      </c>
      <c r="J220" s="36">
        <f t="shared" si="10"/>
        <v>0</v>
      </c>
      <c r="K220" s="36" t="str">
        <f t="shared" ca="1" si="11"/>
        <v/>
      </c>
    </row>
    <row r="221" spans="3:11" x14ac:dyDescent="0.25">
      <c r="C221" s="53"/>
      <c r="D221" s="54"/>
      <c r="E221" s="55"/>
      <c r="F221" s="54"/>
      <c r="G221" s="56"/>
      <c r="H221" s="56"/>
      <c r="I221" s="36" t="str">
        <f t="shared" si="9"/>
        <v/>
      </c>
      <c r="J221" s="36">
        <f t="shared" si="10"/>
        <v>0</v>
      </c>
      <c r="K221" s="36" t="str">
        <f t="shared" ca="1" si="11"/>
        <v/>
      </c>
    </row>
    <row r="222" spans="3:11" x14ac:dyDescent="0.25">
      <c r="C222" s="53"/>
      <c r="D222" s="54"/>
      <c r="E222" s="55"/>
      <c r="F222" s="54"/>
      <c r="G222" s="56"/>
      <c r="H222" s="56"/>
      <c r="I222" s="36" t="str">
        <f t="shared" si="9"/>
        <v/>
      </c>
      <c r="J222" s="36">
        <f t="shared" si="10"/>
        <v>0</v>
      </c>
      <c r="K222" s="36" t="str">
        <f t="shared" ca="1" si="11"/>
        <v/>
      </c>
    </row>
    <row r="223" spans="3:11" x14ac:dyDescent="0.25">
      <c r="C223" s="53"/>
      <c r="D223" s="54"/>
      <c r="E223" s="55"/>
      <c r="F223" s="54"/>
      <c r="G223" s="56"/>
      <c r="H223" s="56"/>
      <c r="I223" s="36" t="str">
        <f t="shared" si="9"/>
        <v/>
      </c>
      <c r="J223" s="36">
        <f t="shared" si="10"/>
        <v>0</v>
      </c>
      <c r="K223" s="36" t="str">
        <f t="shared" ca="1" si="11"/>
        <v/>
      </c>
    </row>
    <row r="224" spans="3:11" x14ac:dyDescent="0.25">
      <c r="C224" s="53"/>
      <c r="D224" s="54"/>
      <c r="E224" s="55"/>
      <c r="F224" s="54"/>
      <c r="G224" s="56"/>
      <c r="H224" s="56"/>
      <c r="I224" s="36" t="str">
        <f t="shared" si="9"/>
        <v/>
      </c>
      <c r="J224" s="36">
        <f t="shared" si="10"/>
        <v>0</v>
      </c>
      <c r="K224" s="36" t="str">
        <f t="shared" ca="1" si="11"/>
        <v/>
      </c>
    </row>
    <row r="225" spans="3:11" x14ac:dyDescent="0.25">
      <c r="C225" s="53"/>
      <c r="D225" s="54"/>
      <c r="E225" s="55"/>
      <c r="F225" s="54"/>
      <c r="G225" s="56"/>
      <c r="H225" s="56"/>
      <c r="I225" s="36" t="str">
        <f t="shared" si="9"/>
        <v/>
      </c>
      <c r="J225" s="36">
        <f t="shared" si="10"/>
        <v>0</v>
      </c>
      <c r="K225" s="36" t="str">
        <f t="shared" ca="1" si="11"/>
        <v/>
      </c>
    </row>
    <row r="226" spans="3:11" x14ac:dyDescent="0.25">
      <c r="C226" s="53"/>
      <c r="D226" s="54"/>
      <c r="E226" s="55"/>
      <c r="F226" s="54"/>
      <c r="G226" s="56"/>
      <c r="H226" s="56"/>
      <c r="I226" s="36" t="str">
        <f t="shared" si="9"/>
        <v/>
      </c>
      <c r="J226" s="36">
        <f t="shared" si="10"/>
        <v>0</v>
      </c>
      <c r="K226" s="36" t="str">
        <f t="shared" ca="1" si="11"/>
        <v/>
      </c>
    </row>
    <row r="227" spans="3:11" x14ac:dyDescent="0.25">
      <c r="C227" s="53"/>
      <c r="D227" s="54"/>
      <c r="E227" s="55"/>
      <c r="F227" s="54"/>
      <c r="G227" s="56"/>
      <c r="H227" s="56"/>
      <c r="I227" s="36" t="str">
        <f t="shared" si="9"/>
        <v/>
      </c>
      <c r="J227" s="36">
        <f t="shared" si="10"/>
        <v>0</v>
      </c>
      <c r="K227" s="36" t="str">
        <f t="shared" ca="1" si="11"/>
        <v/>
      </c>
    </row>
    <row r="228" spans="3:11" x14ac:dyDescent="0.25">
      <c r="C228" s="53"/>
      <c r="D228" s="54"/>
      <c r="E228" s="55"/>
      <c r="F228" s="54"/>
      <c r="G228" s="56"/>
      <c r="H228" s="56"/>
      <c r="I228" s="36" t="str">
        <f t="shared" si="9"/>
        <v/>
      </c>
      <c r="J228" s="36">
        <f t="shared" si="10"/>
        <v>0</v>
      </c>
      <c r="K228" s="36" t="str">
        <f t="shared" ca="1" si="11"/>
        <v/>
      </c>
    </row>
    <row r="229" spans="3:11" x14ac:dyDescent="0.25">
      <c r="C229" s="53"/>
      <c r="D229" s="54"/>
      <c r="E229" s="55"/>
      <c r="F229" s="54"/>
      <c r="G229" s="56"/>
      <c r="H229" s="56"/>
      <c r="I229" s="36" t="str">
        <f t="shared" si="9"/>
        <v/>
      </c>
      <c r="J229" s="36">
        <f t="shared" si="10"/>
        <v>0</v>
      </c>
      <c r="K229" s="36" t="str">
        <f t="shared" ca="1" si="11"/>
        <v/>
      </c>
    </row>
    <row r="230" spans="3:11" x14ac:dyDescent="0.25">
      <c r="C230" s="53"/>
      <c r="D230" s="54"/>
      <c r="E230" s="55"/>
      <c r="F230" s="54"/>
      <c r="G230" s="56"/>
      <c r="H230" s="56"/>
      <c r="I230" s="36" t="str">
        <f t="shared" si="9"/>
        <v/>
      </c>
      <c r="J230" s="36">
        <f t="shared" si="10"/>
        <v>0</v>
      </c>
      <c r="K230" s="36" t="str">
        <f t="shared" ca="1" si="11"/>
        <v/>
      </c>
    </row>
    <row r="231" spans="3:11" x14ac:dyDescent="0.25">
      <c r="C231" s="53"/>
      <c r="D231" s="54"/>
      <c r="E231" s="55"/>
      <c r="F231" s="54"/>
      <c r="G231" s="56"/>
      <c r="H231" s="56"/>
      <c r="I231" s="36" t="str">
        <f t="shared" si="9"/>
        <v/>
      </c>
      <c r="J231" s="36">
        <f t="shared" si="10"/>
        <v>0</v>
      </c>
      <c r="K231" s="36" t="str">
        <f t="shared" ca="1" si="11"/>
        <v/>
      </c>
    </row>
    <row r="232" spans="3:11" x14ac:dyDescent="0.25">
      <c r="C232" s="53"/>
      <c r="D232" s="54"/>
      <c r="E232" s="55"/>
      <c r="F232" s="54"/>
      <c r="G232" s="56"/>
      <c r="H232" s="56"/>
      <c r="I232" s="36" t="str">
        <f t="shared" si="9"/>
        <v/>
      </c>
      <c r="J232" s="36">
        <f t="shared" si="10"/>
        <v>0</v>
      </c>
      <c r="K232" s="36" t="str">
        <f t="shared" ca="1" si="11"/>
        <v/>
      </c>
    </row>
    <row r="233" spans="3:11" x14ac:dyDescent="0.25">
      <c r="C233" s="53"/>
      <c r="D233" s="54"/>
      <c r="E233" s="55"/>
      <c r="F233" s="54"/>
      <c r="G233" s="56"/>
      <c r="H233" s="56"/>
      <c r="I233" s="36" t="str">
        <f t="shared" si="9"/>
        <v/>
      </c>
      <c r="J233" s="36">
        <f t="shared" si="10"/>
        <v>0</v>
      </c>
      <c r="K233" s="36" t="str">
        <f t="shared" ca="1" si="11"/>
        <v/>
      </c>
    </row>
    <row r="234" spans="3:11" x14ac:dyDescent="0.25">
      <c r="C234" s="53"/>
      <c r="D234" s="54"/>
      <c r="E234" s="55"/>
      <c r="F234" s="54"/>
      <c r="G234" s="56"/>
      <c r="H234" s="56"/>
      <c r="I234" s="36" t="str">
        <f t="shared" si="9"/>
        <v/>
      </c>
      <c r="J234" s="36">
        <f t="shared" si="10"/>
        <v>0</v>
      </c>
      <c r="K234" s="36" t="str">
        <f t="shared" ca="1" si="11"/>
        <v/>
      </c>
    </row>
    <row r="235" spans="3:11" x14ac:dyDescent="0.25">
      <c r="C235" s="53"/>
      <c r="D235" s="54"/>
      <c r="E235" s="55"/>
      <c r="F235" s="54"/>
      <c r="G235" s="56"/>
      <c r="H235" s="56"/>
      <c r="I235" s="36" t="str">
        <f t="shared" si="9"/>
        <v/>
      </c>
      <c r="J235" s="36">
        <f t="shared" si="10"/>
        <v>0</v>
      </c>
      <c r="K235" s="36" t="str">
        <f t="shared" ca="1" si="11"/>
        <v/>
      </c>
    </row>
    <row r="236" spans="3:11" x14ac:dyDescent="0.25">
      <c r="C236" s="53"/>
      <c r="D236" s="54"/>
      <c r="E236" s="55"/>
      <c r="F236" s="54"/>
      <c r="G236" s="56"/>
      <c r="H236" s="56"/>
      <c r="I236" s="36" t="str">
        <f t="shared" si="9"/>
        <v/>
      </c>
      <c r="J236" s="36">
        <f t="shared" si="10"/>
        <v>0</v>
      </c>
      <c r="K236" s="36" t="str">
        <f t="shared" ca="1" si="11"/>
        <v/>
      </c>
    </row>
    <row r="237" spans="3:11" x14ac:dyDescent="0.25">
      <c r="C237" s="53"/>
      <c r="D237" s="54"/>
      <c r="E237" s="55"/>
      <c r="F237" s="54"/>
      <c r="G237" s="56"/>
      <c r="H237" s="56"/>
      <c r="I237" s="36" t="str">
        <f t="shared" si="9"/>
        <v/>
      </c>
      <c r="J237" s="36">
        <f t="shared" si="10"/>
        <v>0</v>
      </c>
      <c r="K237" s="36" t="str">
        <f t="shared" ca="1" si="11"/>
        <v/>
      </c>
    </row>
    <row r="238" spans="3:11" x14ac:dyDescent="0.25">
      <c r="C238" s="53"/>
      <c r="D238" s="54"/>
      <c r="E238" s="55"/>
      <c r="F238" s="54"/>
      <c r="G238" s="56"/>
      <c r="H238" s="56"/>
      <c r="I238" s="36" t="str">
        <f t="shared" si="9"/>
        <v/>
      </c>
      <c r="J238" s="36">
        <f t="shared" si="10"/>
        <v>0</v>
      </c>
      <c r="K238" s="36" t="str">
        <f t="shared" ca="1" si="11"/>
        <v/>
      </c>
    </row>
    <row r="239" spans="3:11" x14ac:dyDescent="0.25">
      <c r="C239" s="53"/>
      <c r="D239" s="54"/>
      <c r="E239" s="55"/>
      <c r="F239" s="54"/>
      <c r="G239" s="56"/>
      <c r="H239" s="56"/>
      <c r="I239" s="36" t="str">
        <f t="shared" si="9"/>
        <v/>
      </c>
      <c r="J239" s="36">
        <f t="shared" si="10"/>
        <v>0</v>
      </c>
      <c r="K239" s="36" t="str">
        <f t="shared" ca="1" si="11"/>
        <v/>
      </c>
    </row>
    <row r="240" spans="3:11" x14ac:dyDescent="0.25">
      <c r="C240" s="53"/>
      <c r="D240" s="54"/>
      <c r="E240" s="55"/>
      <c r="F240" s="54"/>
      <c r="G240" s="56"/>
      <c r="H240" s="56"/>
      <c r="I240" s="36" t="str">
        <f t="shared" si="9"/>
        <v/>
      </c>
      <c r="J240" s="36">
        <f t="shared" si="10"/>
        <v>0</v>
      </c>
      <c r="K240" s="36" t="str">
        <f t="shared" ca="1" si="11"/>
        <v/>
      </c>
    </row>
    <row r="241" spans="3:11" x14ac:dyDescent="0.25">
      <c r="C241" s="53"/>
      <c r="D241" s="54"/>
      <c r="E241" s="55"/>
      <c r="F241" s="54"/>
      <c r="G241" s="56"/>
      <c r="H241" s="56"/>
      <c r="I241" s="36" t="str">
        <f t="shared" si="9"/>
        <v/>
      </c>
      <c r="J241" s="36">
        <f t="shared" si="10"/>
        <v>0</v>
      </c>
      <c r="K241" s="36" t="str">
        <f t="shared" ca="1" si="11"/>
        <v/>
      </c>
    </row>
    <row r="242" spans="3:11" x14ac:dyDescent="0.25">
      <c r="C242" s="53"/>
      <c r="D242" s="54"/>
      <c r="E242" s="55"/>
      <c r="F242" s="54"/>
      <c r="G242" s="56"/>
      <c r="H242" s="56"/>
      <c r="I242" s="36" t="str">
        <f t="shared" si="9"/>
        <v/>
      </c>
      <c r="J242" s="36">
        <f t="shared" si="10"/>
        <v>0</v>
      </c>
      <c r="K242" s="36" t="str">
        <f t="shared" ca="1" si="11"/>
        <v/>
      </c>
    </row>
    <row r="243" spans="3:11" x14ac:dyDescent="0.25">
      <c r="C243" s="53"/>
      <c r="D243" s="54"/>
      <c r="E243" s="55"/>
      <c r="F243" s="54"/>
      <c r="G243" s="56"/>
      <c r="H243" s="56"/>
      <c r="I243" s="36" t="str">
        <f t="shared" si="9"/>
        <v/>
      </c>
      <c r="J243" s="36">
        <f t="shared" si="10"/>
        <v>0</v>
      </c>
      <c r="K243" s="36" t="str">
        <f t="shared" ca="1" si="11"/>
        <v/>
      </c>
    </row>
    <row r="244" spans="3:11" x14ac:dyDescent="0.25">
      <c r="C244" s="53"/>
      <c r="D244" s="54"/>
      <c r="E244" s="55"/>
      <c r="F244" s="54"/>
      <c r="G244" s="56"/>
      <c r="H244" s="56"/>
      <c r="I244" s="36" t="str">
        <f t="shared" si="9"/>
        <v/>
      </c>
      <c r="J244" s="36">
        <f t="shared" si="10"/>
        <v>0</v>
      </c>
      <c r="K244" s="36" t="str">
        <f t="shared" ca="1" si="11"/>
        <v/>
      </c>
    </row>
    <row r="245" spans="3:11" x14ac:dyDescent="0.25">
      <c r="C245" s="53"/>
      <c r="D245" s="54"/>
      <c r="E245" s="55"/>
      <c r="F245" s="54"/>
      <c r="G245" s="56"/>
      <c r="H245" s="56"/>
      <c r="I245" s="36" t="str">
        <f t="shared" si="9"/>
        <v/>
      </c>
      <c r="J245" s="36">
        <f t="shared" si="10"/>
        <v>0</v>
      </c>
      <c r="K245" s="36" t="str">
        <f t="shared" ca="1" si="11"/>
        <v/>
      </c>
    </row>
    <row r="246" spans="3:11" x14ac:dyDescent="0.25">
      <c r="C246" s="53"/>
      <c r="D246" s="54"/>
      <c r="E246" s="55"/>
      <c r="F246" s="54"/>
      <c r="G246" s="56"/>
      <c r="H246" s="56"/>
      <c r="I246" s="36" t="str">
        <f t="shared" si="9"/>
        <v/>
      </c>
      <c r="J246" s="36">
        <f t="shared" si="10"/>
        <v>0</v>
      </c>
      <c r="K246" s="36" t="str">
        <f t="shared" ca="1" si="11"/>
        <v/>
      </c>
    </row>
    <row r="247" spans="3:11" x14ac:dyDescent="0.25">
      <c r="C247" s="53"/>
      <c r="D247" s="54"/>
      <c r="E247" s="55"/>
      <c r="F247" s="54"/>
      <c r="G247" s="56"/>
      <c r="H247" s="56"/>
      <c r="I247" s="36" t="str">
        <f t="shared" si="9"/>
        <v/>
      </c>
      <c r="J247" s="36">
        <f t="shared" si="10"/>
        <v>0</v>
      </c>
      <c r="K247" s="36" t="str">
        <f t="shared" ca="1" si="11"/>
        <v/>
      </c>
    </row>
    <row r="248" spans="3:11" x14ac:dyDescent="0.25">
      <c r="C248" s="53"/>
      <c r="D248" s="54"/>
      <c r="E248" s="55"/>
      <c r="F248" s="54"/>
      <c r="G248" s="56"/>
      <c r="H248" s="56"/>
      <c r="I248" s="36" t="str">
        <f t="shared" si="9"/>
        <v/>
      </c>
      <c r="J248" s="36">
        <f t="shared" si="10"/>
        <v>0</v>
      </c>
      <c r="K248" s="36" t="str">
        <f t="shared" ca="1" si="11"/>
        <v/>
      </c>
    </row>
    <row r="249" spans="3:11" x14ac:dyDescent="0.25">
      <c r="C249" s="53"/>
      <c r="D249" s="54"/>
      <c r="E249" s="55"/>
      <c r="F249" s="54"/>
      <c r="G249" s="56"/>
      <c r="H249" s="56"/>
      <c r="I249" s="36" t="str">
        <f t="shared" si="9"/>
        <v/>
      </c>
      <c r="J249" s="36">
        <f t="shared" si="10"/>
        <v>0</v>
      </c>
      <c r="K249" s="36" t="str">
        <f t="shared" ca="1" si="11"/>
        <v/>
      </c>
    </row>
    <row r="250" spans="3:11" x14ac:dyDescent="0.25">
      <c r="C250" s="53"/>
      <c r="D250" s="54"/>
      <c r="E250" s="55"/>
      <c r="F250" s="54"/>
      <c r="G250" s="56"/>
      <c r="H250" s="56"/>
      <c r="I250" s="36" t="str">
        <f t="shared" si="9"/>
        <v/>
      </c>
      <c r="J250" s="36">
        <f t="shared" si="10"/>
        <v>0</v>
      </c>
      <c r="K250" s="36" t="str">
        <f t="shared" ca="1" si="11"/>
        <v/>
      </c>
    </row>
    <row r="251" spans="3:11" x14ac:dyDescent="0.25">
      <c r="C251" s="53"/>
      <c r="D251" s="54"/>
      <c r="E251" s="55"/>
      <c r="F251" s="54"/>
      <c r="G251" s="56"/>
      <c r="H251" s="56"/>
      <c r="I251" s="36" t="str">
        <f t="shared" si="9"/>
        <v/>
      </c>
      <c r="J251" s="36">
        <f t="shared" si="10"/>
        <v>0</v>
      </c>
      <c r="K251" s="36" t="str">
        <f t="shared" ca="1" si="11"/>
        <v/>
      </c>
    </row>
    <row r="252" spans="3:11" x14ac:dyDescent="0.25">
      <c r="C252" s="53"/>
      <c r="D252" s="54"/>
      <c r="E252" s="55"/>
      <c r="F252" s="54"/>
      <c r="G252" s="56"/>
      <c r="H252" s="56"/>
      <c r="I252" s="36" t="str">
        <f t="shared" si="9"/>
        <v/>
      </c>
      <c r="J252" s="36">
        <f t="shared" si="10"/>
        <v>0</v>
      </c>
      <c r="K252" s="36" t="str">
        <f t="shared" ca="1" si="11"/>
        <v/>
      </c>
    </row>
    <row r="253" spans="3:11" x14ac:dyDescent="0.25">
      <c r="C253" s="53"/>
      <c r="D253" s="54"/>
      <c r="E253" s="55"/>
      <c r="F253" s="54"/>
      <c r="G253" s="56"/>
      <c r="H253" s="56"/>
      <c r="I253" s="36" t="str">
        <f t="shared" si="9"/>
        <v/>
      </c>
      <c r="J253" s="36">
        <f t="shared" si="10"/>
        <v>0</v>
      </c>
      <c r="K253" s="36" t="str">
        <f t="shared" ca="1" si="11"/>
        <v/>
      </c>
    </row>
    <row r="254" spans="3:11" x14ac:dyDescent="0.25">
      <c r="C254" s="53"/>
      <c r="D254" s="54"/>
      <c r="E254" s="55"/>
      <c r="F254" s="54"/>
      <c r="G254" s="56"/>
      <c r="H254" s="56"/>
      <c r="I254" s="36" t="str">
        <f t="shared" si="9"/>
        <v/>
      </c>
      <c r="J254" s="36">
        <f t="shared" si="10"/>
        <v>0</v>
      </c>
      <c r="K254" s="36" t="str">
        <f t="shared" ca="1" si="11"/>
        <v/>
      </c>
    </row>
    <row r="255" spans="3:11" x14ac:dyDescent="0.25">
      <c r="C255" s="53"/>
      <c r="D255" s="54"/>
      <c r="E255" s="55"/>
      <c r="F255" s="54"/>
      <c r="G255" s="56"/>
      <c r="H255" s="56"/>
      <c r="I255" s="36" t="str">
        <f t="shared" si="9"/>
        <v/>
      </c>
      <c r="J255" s="36">
        <f t="shared" si="10"/>
        <v>0</v>
      </c>
      <c r="K255" s="36" t="str">
        <f t="shared" ca="1" si="11"/>
        <v/>
      </c>
    </row>
    <row r="256" spans="3:11" x14ac:dyDescent="0.25">
      <c r="C256" s="53"/>
      <c r="D256" s="54"/>
      <c r="E256" s="55"/>
      <c r="F256" s="54"/>
      <c r="G256" s="56"/>
      <c r="H256" s="56"/>
      <c r="I256" s="36" t="str">
        <f t="shared" si="9"/>
        <v/>
      </c>
      <c r="J256" s="36">
        <f t="shared" si="10"/>
        <v>0</v>
      </c>
      <c r="K256" s="36" t="str">
        <f t="shared" ca="1" si="11"/>
        <v/>
      </c>
    </row>
    <row r="257" spans="3:11" x14ac:dyDescent="0.25">
      <c r="C257" s="53"/>
      <c r="D257" s="54"/>
      <c r="E257" s="55"/>
      <c r="F257" s="54"/>
      <c r="G257" s="56"/>
      <c r="H257" s="56"/>
      <c r="I257" s="36" t="str">
        <f t="shared" si="9"/>
        <v/>
      </c>
      <c r="J257" s="36">
        <f t="shared" si="10"/>
        <v>0</v>
      </c>
      <c r="K257" s="36" t="str">
        <f t="shared" ca="1" si="11"/>
        <v/>
      </c>
    </row>
    <row r="258" spans="3:11" x14ac:dyDescent="0.25">
      <c r="C258" s="53"/>
      <c r="D258" s="54"/>
      <c r="E258" s="55"/>
      <c r="F258" s="54"/>
      <c r="G258" s="56"/>
      <c r="H258" s="56"/>
      <c r="I258" s="36" t="str">
        <f t="shared" si="9"/>
        <v/>
      </c>
      <c r="J258" s="36">
        <f t="shared" si="10"/>
        <v>0</v>
      </c>
      <c r="K258" s="36" t="str">
        <f t="shared" ca="1" si="11"/>
        <v/>
      </c>
    </row>
    <row r="259" spans="3:11" x14ac:dyDescent="0.25">
      <c r="C259" s="53"/>
      <c r="D259" s="54"/>
      <c r="E259" s="55"/>
      <c r="F259" s="54"/>
      <c r="G259" s="56"/>
      <c r="H259" s="56"/>
      <c r="I259" s="36" t="str">
        <f t="shared" si="9"/>
        <v/>
      </c>
      <c r="J259" s="36">
        <f t="shared" si="10"/>
        <v>0</v>
      </c>
      <c r="K259" s="36" t="str">
        <f t="shared" ca="1" si="11"/>
        <v/>
      </c>
    </row>
    <row r="260" spans="3:11" x14ac:dyDescent="0.25">
      <c r="C260" s="53"/>
      <c r="D260" s="54"/>
      <c r="E260" s="55"/>
      <c r="F260" s="54"/>
      <c r="G260" s="56"/>
      <c r="H260" s="56"/>
      <c r="I260" s="36" t="str">
        <f t="shared" si="9"/>
        <v/>
      </c>
      <c r="J260" s="36">
        <f t="shared" si="10"/>
        <v>0</v>
      </c>
      <c r="K260" s="36" t="str">
        <f t="shared" ca="1" si="11"/>
        <v/>
      </c>
    </row>
    <row r="261" spans="3:11" x14ac:dyDescent="0.25">
      <c r="C261" s="53"/>
      <c r="D261" s="54"/>
      <c r="E261" s="55"/>
      <c r="F261" s="54"/>
      <c r="G261" s="56"/>
      <c r="H261" s="56"/>
      <c r="I261" s="36" t="str">
        <f t="shared" si="9"/>
        <v/>
      </c>
      <c r="J261" s="36">
        <f t="shared" si="10"/>
        <v>0</v>
      </c>
      <c r="K261" s="36" t="str">
        <f t="shared" ca="1" si="11"/>
        <v/>
      </c>
    </row>
    <row r="262" spans="3:11" x14ac:dyDescent="0.25">
      <c r="C262" s="53"/>
      <c r="D262" s="54"/>
      <c r="E262" s="55"/>
      <c r="F262" s="54"/>
      <c r="G262" s="56"/>
      <c r="H262" s="56"/>
      <c r="I262" s="36" t="str">
        <f t="shared" si="9"/>
        <v/>
      </c>
      <c r="J262" s="36">
        <f t="shared" si="10"/>
        <v>0</v>
      </c>
      <c r="K262" s="36" t="str">
        <f t="shared" ca="1" si="11"/>
        <v/>
      </c>
    </row>
    <row r="263" spans="3:11" x14ac:dyDescent="0.25">
      <c r="C263" s="53"/>
      <c r="D263" s="54"/>
      <c r="E263" s="55"/>
      <c r="F263" s="54"/>
      <c r="G263" s="56"/>
      <c r="H263" s="56"/>
      <c r="I263" s="36" t="str">
        <f t="shared" si="9"/>
        <v/>
      </c>
      <c r="J263" s="36">
        <f t="shared" si="10"/>
        <v>0</v>
      </c>
      <c r="K263" s="36" t="str">
        <f t="shared" ca="1" si="11"/>
        <v/>
      </c>
    </row>
    <row r="264" spans="3:11" x14ac:dyDescent="0.25">
      <c r="C264" s="53"/>
      <c r="D264" s="54"/>
      <c r="E264" s="55"/>
      <c r="F264" s="54"/>
      <c r="G264" s="56"/>
      <c r="H264" s="56"/>
      <c r="I264" s="36" t="str">
        <f t="shared" si="9"/>
        <v/>
      </c>
      <c r="J264" s="36">
        <f t="shared" si="10"/>
        <v>0</v>
      </c>
      <c r="K264" s="36" t="str">
        <f t="shared" ca="1" si="11"/>
        <v/>
      </c>
    </row>
    <row r="265" spans="3:11" x14ac:dyDescent="0.25">
      <c r="C265" s="53"/>
      <c r="D265" s="54"/>
      <c r="E265" s="55"/>
      <c r="F265" s="54"/>
      <c r="G265" s="56"/>
      <c r="H265" s="56"/>
      <c r="I265" s="36" t="str">
        <f t="shared" si="9"/>
        <v/>
      </c>
      <c r="J265" s="36">
        <f t="shared" si="10"/>
        <v>0</v>
      </c>
      <c r="K265" s="36" t="str">
        <f t="shared" ca="1" si="11"/>
        <v/>
      </c>
    </row>
    <row r="266" spans="3:11" x14ac:dyDescent="0.25">
      <c r="C266" s="53"/>
      <c r="D266" s="54"/>
      <c r="E266" s="55"/>
      <c r="F266" s="54"/>
      <c r="G266" s="56"/>
      <c r="H266" s="56"/>
      <c r="I266" s="36" t="str">
        <f t="shared" si="9"/>
        <v/>
      </c>
      <c r="J266" s="36">
        <f t="shared" si="10"/>
        <v>0</v>
      </c>
      <c r="K266" s="36" t="str">
        <f t="shared" ca="1" si="11"/>
        <v/>
      </c>
    </row>
    <row r="267" spans="3:11" x14ac:dyDescent="0.25">
      <c r="C267" s="53"/>
      <c r="D267" s="54"/>
      <c r="E267" s="55"/>
      <c r="F267" s="54"/>
      <c r="G267" s="56"/>
      <c r="H267" s="56"/>
      <c r="I267" s="36" t="str">
        <f t="shared" si="9"/>
        <v/>
      </c>
      <c r="J267" s="36">
        <f t="shared" si="10"/>
        <v>0</v>
      </c>
      <c r="K267" s="36" t="str">
        <f t="shared" ca="1" si="11"/>
        <v/>
      </c>
    </row>
    <row r="268" spans="3:11" x14ac:dyDescent="0.25">
      <c r="C268" s="53"/>
      <c r="D268" s="54"/>
      <c r="E268" s="55"/>
      <c r="F268" s="54"/>
      <c r="G268" s="56"/>
      <c r="H268" s="56"/>
      <c r="I268" s="36" t="str">
        <f t="shared" si="9"/>
        <v/>
      </c>
      <c r="J268" s="36">
        <f t="shared" si="10"/>
        <v>0</v>
      </c>
      <c r="K268" s="36" t="str">
        <f t="shared" ca="1" si="11"/>
        <v/>
      </c>
    </row>
    <row r="269" spans="3:11" x14ac:dyDescent="0.25">
      <c r="C269" s="53"/>
      <c r="D269" s="54"/>
      <c r="E269" s="55"/>
      <c r="F269" s="54"/>
      <c r="G269" s="56"/>
      <c r="H269" s="56"/>
      <c r="I269" s="36" t="str">
        <f t="shared" si="9"/>
        <v/>
      </c>
      <c r="J269" s="36">
        <f t="shared" si="10"/>
        <v>0</v>
      </c>
      <c r="K269" s="36" t="str">
        <f t="shared" ca="1" si="11"/>
        <v/>
      </c>
    </row>
    <row r="270" spans="3:11" x14ac:dyDescent="0.25">
      <c r="C270" s="53"/>
      <c r="D270" s="54"/>
      <c r="E270" s="55"/>
      <c r="F270" s="54"/>
      <c r="G270" s="56"/>
      <c r="H270" s="56"/>
      <c r="I270" s="36" t="str">
        <f t="shared" si="9"/>
        <v/>
      </c>
      <c r="J270" s="36">
        <f t="shared" si="10"/>
        <v>0</v>
      </c>
      <c r="K270" s="36" t="str">
        <f t="shared" ca="1" si="11"/>
        <v/>
      </c>
    </row>
    <row r="271" spans="3:11" x14ac:dyDescent="0.25">
      <c r="C271" s="53"/>
      <c r="D271" s="54"/>
      <c r="E271" s="55"/>
      <c r="F271" s="54"/>
      <c r="G271" s="56"/>
      <c r="H271" s="56"/>
      <c r="I271" s="36" t="str">
        <f t="shared" si="9"/>
        <v/>
      </c>
      <c r="J271" s="36">
        <f t="shared" si="10"/>
        <v>0</v>
      </c>
      <c r="K271" s="36" t="str">
        <f t="shared" ca="1" si="11"/>
        <v/>
      </c>
    </row>
    <row r="272" spans="3:11" x14ac:dyDescent="0.25">
      <c r="C272" s="53"/>
      <c r="D272" s="54"/>
      <c r="E272" s="55"/>
      <c r="F272" s="54"/>
      <c r="G272" s="56"/>
      <c r="H272" s="56"/>
      <c r="I272" s="36" t="str">
        <f t="shared" ref="I272:I335" si="12">IF(C272="","",IF(H272&lt;=0,"Em aberto",IF(H272&gt;=G272,"Pagamento Total",IF(H272&lt;G272,"Pagamento Parcial"))))</f>
        <v/>
      </c>
      <c r="J272" s="36">
        <f t="shared" ref="J272:J335" si="13">IF(C272&gt;0,G272-H272,0)</f>
        <v>0</v>
      </c>
      <c r="K272" s="36" t="str">
        <f t="shared" ref="K272:K335" ca="1" si="14">IF(ISBLANK(C272),"",IF(H272=G272,"Pago",IF(C272=TODAY(),"Vence Hoje",IF(TRIM(UPPER(G271))&lt;&gt;"S",IF(C272-TODAY()&lt;0,"Vencida",IF(C272-TODAY()&lt;8,"Próximos sete dias","Em aberto"))))))</f>
        <v/>
      </c>
    </row>
    <row r="273" spans="3:11" x14ac:dyDescent="0.25">
      <c r="C273" s="53"/>
      <c r="D273" s="54"/>
      <c r="E273" s="55"/>
      <c r="F273" s="54"/>
      <c r="G273" s="56"/>
      <c r="H273" s="56"/>
      <c r="I273" s="36" t="str">
        <f t="shared" si="12"/>
        <v/>
      </c>
      <c r="J273" s="36">
        <f t="shared" si="13"/>
        <v>0</v>
      </c>
      <c r="K273" s="36" t="str">
        <f t="shared" ca="1" si="14"/>
        <v/>
      </c>
    </row>
    <row r="274" spans="3:11" x14ac:dyDescent="0.25">
      <c r="C274" s="53"/>
      <c r="D274" s="54"/>
      <c r="E274" s="55"/>
      <c r="F274" s="54"/>
      <c r="G274" s="56"/>
      <c r="H274" s="56"/>
      <c r="I274" s="36" t="str">
        <f t="shared" si="12"/>
        <v/>
      </c>
      <c r="J274" s="36">
        <f t="shared" si="13"/>
        <v>0</v>
      </c>
      <c r="K274" s="36" t="str">
        <f t="shared" ca="1" si="14"/>
        <v/>
      </c>
    </row>
    <row r="275" spans="3:11" x14ac:dyDescent="0.25">
      <c r="C275" s="53"/>
      <c r="D275" s="54"/>
      <c r="E275" s="55"/>
      <c r="F275" s="54"/>
      <c r="G275" s="56"/>
      <c r="H275" s="56"/>
      <c r="I275" s="36" t="str">
        <f t="shared" si="12"/>
        <v/>
      </c>
      <c r="J275" s="36">
        <f t="shared" si="13"/>
        <v>0</v>
      </c>
      <c r="K275" s="36" t="str">
        <f t="shared" ca="1" si="14"/>
        <v/>
      </c>
    </row>
    <row r="276" spans="3:11" x14ac:dyDescent="0.25">
      <c r="C276" s="53"/>
      <c r="D276" s="54"/>
      <c r="E276" s="55"/>
      <c r="F276" s="54"/>
      <c r="G276" s="56"/>
      <c r="H276" s="56"/>
      <c r="I276" s="36" t="str">
        <f t="shared" si="12"/>
        <v/>
      </c>
      <c r="J276" s="36">
        <f t="shared" si="13"/>
        <v>0</v>
      </c>
      <c r="K276" s="36" t="str">
        <f t="shared" ca="1" si="14"/>
        <v/>
      </c>
    </row>
    <row r="277" spans="3:11" x14ac:dyDescent="0.25">
      <c r="C277" s="53"/>
      <c r="D277" s="54"/>
      <c r="E277" s="55"/>
      <c r="F277" s="54"/>
      <c r="G277" s="56"/>
      <c r="H277" s="56"/>
      <c r="I277" s="36" t="str">
        <f t="shared" si="12"/>
        <v/>
      </c>
      <c r="J277" s="36">
        <f t="shared" si="13"/>
        <v>0</v>
      </c>
      <c r="K277" s="36" t="str">
        <f t="shared" ca="1" si="14"/>
        <v/>
      </c>
    </row>
    <row r="278" spans="3:11" x14ac:dyDescent="0.25">
      <c r="C278" s="53"/>
      <c r="D278" s="54"/>
      <c r="E278" s="55"/>
      <c r="F278" s="54"/>
      <c r="G278" s="56"/>
      <c r="H278" s="56"/>
      <c r="I278" s="36" t="str">
        <f t="shared" si="12"/>
        <v/>
      </c>
      <c r="J278" s="36">
        <f t="shared" si="13"/>
        <v>0</v>
      </c>
      <c r="K278" s="36" t="str">
        <f t="shared" ca="1" si="14"/>
        <v/>
      </c>
    </row>
    <row r="279" spans="3:11" x14ac:dyDescent="0.25">
      <c r="C279" s="53"/>
      <c r="D279" s="54"/>
      <c r="E279" s="55"/>
      <c r="F279" s="54"/>
      <c r="G279" s="56"/>
      <c r="H279" s="56"/>
      <c r="I279" s="36" t="str">
        <f t="shared" si="12"/>
        <v/>
      </c>
      <c r="J279" s="36">
        <f t="shared" si="13"/>
        <v>0</v>
      </c>
      <c r="K279" s="36" t="str">
        <f t="shared" ca="1" si="14"/>
        <v/>
      </c>
    </row>
    <row r="280" spans="3:11" x14ac:dyDescent="0.25">
      <c r="C280" s="53"/>
      <c r="D280" s="54"/>
      <c r="E280" s="55"/>
      <c r="F280" s="54"/>
      <c r="G280" s="56"/>
      <c r="H280" s="56"/>
      <c r="I280" s="36" t="str">
        <f t="shared" si="12"/>
        <v/>
      </c>
      <c r="J280" s="36">
        <f t="shared" si="13"/>
        <v>0</v>
      </c>
      <c r="K280" s="36" t="str">
        <f t="shared" ca="1" si="14"/>
        <v/>
      </c>
    </row>
    <row r="281" spans="3:11" x14ac:dyDescent="0.25">
      <c r="C281" s="53"/>
      <c r="D281" s="54"/>
      <c r="E281" s="55"/>
      <c r="F281" s="54"/>
      <c r="G281" s="56"/>
      <c r="H281" s="56"/>
      <c r="I281" s="36" t="str">
        <f t="shared" si="12"/>
        <v/>
      </c>
      <c r="J281" s="36">
        <f t="shared" si="13"/>
        <v>0</v>
      </c>
      <c r="K281" s="36" t="str">
        <f t="shared" ca="1" si="14"/>
        <v/>
      </c>
    </row>
    <row r="282" spans="3:11" x14ac:dyDescent="0.25">
      <c r="C282" s="53"/>
      <c r="D282" s="54"/>
      <c r="E282" s="55"/>
      <c r="F282" s="54"/>
      <c r="G282" s="56"/>
      <c r="H282" s="56"/>
      <c r="I282" s="36" t="str">
        <f t="shared" si="12"/>
        <v/>
      </c>
      <c r="J282" s="36">
        <f t="shared" si="13"/>
        <v>0</v>
      </c>
      <c r="K282" s="36" t="str">
        <f t="shared" ca="1" si="14"/>
        <v/>
      </c>
    </row>
    <row r="283" spans="3:11" x14ac:dyDescent="0.25">
      <c r="C283" s="53"/>
      <c r="D283" s="54"/>
      <c r="E283" s="55"/>
      <c r="F283" s="54"/>
      <c r="G283" s="56"/>
      <c r="H283" s="56"/>
      <c r="I283" s="36" t="str">
        <f t="shared" si="12"/>
        <v/>
      </c>
      <c r="J283" s="36">
        <f t="shared" si="13"/>
        <v>0</v>
      </c>
      <c r="K283" s="36" t="str">
        <f t="shared" ca="1" si="14"/>
        <v/>
      </c>
    </row>
    <row r="284" spans="3:11" x14ac:dyDescent="0.25">
      <c r="C284" s="53"/>
      <c r="D284" s="54"/>
      <c r="E284" s="55"/>
      <c r="F284" s="54"/>
      <c r="G284" s="56"/>
      <c r="H284" s="56"/>
      <c r="I284" s="36" t="str">
        <f t="shared" si="12"/>
        <v/>
      </c>
      <c r="J284" s="36">
        <f t="shared" si="13"/>
        <v>0</v>
      </c>
      <c r="K284" s="36" t="str">
        <f t="shared" ca="1" si="14"/>
        <v/>
      </c>
    </row>
    <row r="285" spans="3:11" x14ac:dyDescent="0.25">
      <c r="C285" s="53"/>
      <c r="D285" s="54"/>
      <c r="E285" s="55"/>
      <c r="F285" s="54"/>
      <c r="G285" s="56"/>
      <c r="H285" s="56"/>
      <c r="I285" s="36" t="str">
        <f t="shared" si="12"/>
        <v/>
      </c>
      <c r="J285" s="36">
        <f t="shared" si="13"/>
        <v>0</v>
      </c>
      <c r="K285" s="36" t="str">
        <f t="shared" ca="1" si="14"/>
        <v/>
      </c>
    </row>
    <row r="286" spans="3:11" x14ac:dyDescent="0.25">
      <c r="C286" s="53"/>
      <c r="D286" s="54"/>
      <c r="E286" s="55"/>
      <c r="F286" s="54"/>
      <c r="G286" s="56"/>
      <c r="H286" s="56"/>
      <c r="I286" s="36" t="str">
        <f t="shared" si="12"/>
        <v/>
      </c>
      <c r="J286" s="36">
        <f t="shared" si="13"/>
        <v>0</v>
      </c>
      <c r="K286" s="36" t="str">
        <f t="shared" ca="1" si="14"/>
        <v/>
      </c>
    </row>
    <row r="287" spans="3:11" x14ac:dyDescent="0.25">
      <c r="C287" s="53"/>
      <c r="D287" s="54"/>
      <c r="E287" s="55"/>
      <c r="F287" s="54"/>
      <c r="G287" s="56"/>
      <c r="H287" s="56"/>
      <c r="I287" s="36" t="str">
        <f t="shared" si="12"/>
        <v/>
      </c>
      <c r="J287" s="36">
        <f t="shared" si="13"/>
        <v>0</v>
      </c>
      <c r="K287" s="36" t="str">
        <f t="shared" ca="1" si="14"/>
        <v/>
      </c>
    </row>
    <row r="288" spans="3:11" x14ac:dyDescent="0.25">
      <c r="C288" s="53"/>
      <c r="D288" s="54"/>
      <c r="E288" s="55"/>
      <c r="F288" s="54"/>
      <c r="G288" s="56"/>
      <c r="H288" s="56"/>
      <c r="I288" s="36" t="str">
        <f t="shared" si="12"/>
        <v/>
      </c>
      <c r="J288" s="36">
        <f t="shared" si="13"/>
        <v>0</v>
      </c>
      <c r="K288" s="36" t="str">
        <f t="shared" ca="1" si="14"/>
        <v/>
      </c>
    </row>
    <row r="289" spans="3:11" x14ac:dyDescent="0.25">
      <c r="C289" s="53"/>
      <c r="D289" s="54"/>
      <c r="E289" s="55"/>
      <c r="F289" s="54"/>
      <c r="G289" s="56"/>
      <c r="H289" s="56"/>
      <c r="I289" s="36" t="str">
        <f t="shared" si="12"/>
        <v/>
      </c>
      <c r="J289" s="36">
        <f t="shared" si="13"/>
        <v>0</v>
      </c>
      <c r="K289" s="36" t="str">
        <f t="shared" ca="1" si="14"/>
        <v/>
      </c>
    </row>
    <row r="290" spans="3:11" x14ac:dyDescent="0.25">
      <c r="C290" s="53"/>
      <c r="D290" s="54"/>
      <c r="E290" s="55"/>
      <c r="F290" s="54"/>
      <c r="G290" s="56"/>
      <c r="H290" s="56"/>
      <c r="I290" s="36" t="str">
        <f t="shared" si="12"/>
        <v/>
      </c>
      <c r="J290" s="36">
        <f t="shared" si="13"/>
        <v>0</v>
      </c>
      <c r="K290" s="36" t="str">
        <f t="shared" ca="1" si="14"/>
        <v/>
      </c>
    </row>
    <row r="291" spans="3:11" x14ac:dyDescent="0.25">
      <c r="C291" s="53"/>
      <c r="D291" s="54"/>
      <c r="E291" s="55"/>
      <c r="F291" s="54"/>
      <c r="G291" s="56"/>
      <c r="H291" s="56"/>
      <c r="I291" s="36" t="str">
        <f t="shared" si="12"/>
        <v/>
      </c>
      <c r="J291" s="36">
        <f t="shared" si="13"/>
        <v>0</v>
      </c>
      <c r="K291" s="36" t="str">
        <f t="shared" ca="1" si="14"/>
        <v/>
      </c>
    </row>
    <row r="292" spans="3:11" x14ac:dyDescent="0.25">
      <c r="C292" s="53"/>
      <c r="D292" s="54"/>
      <c r="E292" s="55"/>
      <c r="F292" s="54"/>
      <c r="G292" s="56"/>
      <c r="H292" s="56"/>
      <c r="I292" s="36" t="str">
        <f t="shared" si="12"/>
        <v/>
      </c>
      <c r="J292" s="36">
        <f t="shared" si="13"/>
        <v>0</v>
      </c>
      <c r="K292" s="36" t="str">
        <f t="shared" ca="1" si="14"/>
        <v/>
      </c>
    </row>
    <row r="293" spans="3:11" x14ac:dyDescent="0.25">
      <c r="C293" s="53"/>
      <c r="D293" s="54"/>
      <c r="E293" s="55"/>
      <c r="F293" s="54"/>
      <c r="G293" s="56"/>
      <c r="H293" s="56"/>
      <c r="I293" s="36" t="str">
        <f t="shared" si="12"/>
        <v/>
      </c>
      <c r="J293" s="36">
        <f t="shared" si="13"/>
        <v>0</v>
      </c>
      <c r="K293" s="36" t="str">
        <f t="shared" ca="1" si="14"/>
        <v/>
      </c>
    </row>
    <row r="294" spans="3:11" x14ac:dyDescent="0.25">
      <c r="C294" s="53"/>
      <c r="D294" s="54"/>
      <c r="E294" s="55"/>
      <c r="F294" s="54"/>
      <c r="G294" s="56"/>
      <c r="H294" s="56"/>
      <c r="I294" s="36" t="str">
        <f t="shared" si="12"/>
        <v/>
      </c>
      <c r="J294" s="36">
        <f t="shared" si="13"/>
        <v>0</v>
      </c>
      <c r="K294" s="36" t="str">
        <f t="shared" ca="1" si="14"/>
        <v/>
      </c>
    </row>
    <row r="295" spans="3:11" x14ac:dyDescent="0.25">
      <c r="C295" s="53"/>
      <c r="D295" s="54"/>
      <c r="E295" s="55"/>
      <c r="F295" s="54"/>
      <c r="G295" s="56"/>
      <c r="H295" s="56"/>
      <c r="I295" s="36" t="str">
        <f t="shared" si="12"/>
        <v/>
      </c>
      <c r="J295" s="36">
        <f t="shared" si="13"/>
        <v>0</v>
      </c>
      <c r="K295" s="36" t="str">
        <f t="shared" ca="1" si="14"/>
        <v/>
      </c>
    </row>
    <row r="296" spans="3:11" x14ac:dyDescent="0.25">
      <c r="C296" s="53"/>
      <c r="D296" s="54"/>
      <c r="E296" s="55"/>
      <c r="F296" s="54"/>
      <c r="G296" s="56"/>
      <c r="H296" s="56"/>
      <c r="I296" s="36" t="str">
        <f t="shared" si="12"/>
        <v/>
      </c>
      <c r="J296" s="36">
        <f t="shared" si="13"/>
        <v>0</v>
      </c>
      <c r="K296" s="36" t="str">
        <f t="shared" ca="1" si="14"/>
        <v/>
      </c>
    </row>
    <row r="297" spans="3:11" x14ac:dyDescent="0.25">
      <c r="C297" s="53"/>
      <c r="D297" s="54"/>
      <c r="E297" s="55"/>
      <c r="F297" s="54"/>
      <c r="G297" s="56"/>
      <c r="H297" s="56"/>
      <c r="I297" s="36" t="str">
        <f t="shared" si="12"/>
        <v/>
      </c>
      <c r="J297" s="36">
        <f t="shared" si="13"/>
        <v>0</v>
      </c>
      <c r="K297" s="36" t="str">
        <f t="shared" ca="1" si="14"/>
        <v/>
      </c>
    </row>
    <row r="298" spans="3:11" x14ac:dyDescent="0.25">
      <c r="C298" s="53"/>
      <c r="D298" s="54"/>
      <c r="E298" s="55"/>
      <c r="F298" s="54"/>
      <c r="G298" s="56"/>
      <c r="H298" s="56"/>
      <c r="I298" s="36" t="str">
        <f t="shared" si="12"/>
        <v/>
      </c>
      <c r="J298" s="36">
        <f t="shared" si="13"/>
        <v>0</v>
      </c>
      <c r="K298" s="36" t="str">
        <f t="shared" ca="1" si="14"/>
        <v/>
      </c>
    </row>
    <row r="299" spans="3:11" x14ac:dyDescent="0.25">
      <c r="C299" s="53"/>
      <c r="D299" s="54"/>
      <c r="E299" s="55"/>
      <c r="F299" s="54"/>
      <c r="G299" s="56"/>
      <c r="H299" s="56"/>
      <c r="I299" s="36" t="str">
        <f t="shared" si="12"/>
        <v/>
      </c>
      <c r="J299" s="36">
        <f t="shared" si="13"/>
        <v>0</v>
      </c>
      <c r="K299" s="36" t="str">
        <f t="shared" ca="1" si="14"/>
        <v/>
      </c>
    </row>
    <row r="300" spans="3:11" x14ac:dyDescent="0.25">
      <c r="C300" s="53"/>
      <c r="D300" s="54"/>
      <c r="E300" s="55"/>
      <c r="F300" s="54"/>
      <c r="G300" s="56"/>
      <c r="H300" s="56"/>
      <c r="I300" s="36" t="str">
        <f t="shared" si="12"/>
        <v/>
      </c>
      <c r="J300" s="36">
        <f t="shared" si="13"/>
        <v>0</v>
      </c>
      <c r="K300" s="36" t="str">
        <f t="shared" ca="1" si="14"/>
        <v/>
      </c>
    </row>
    <row r="301" spans="3:11" x14ac:dyDescent="0.25">
      <c r="C301" s="53"/>
      <c r="D301" s="54"/>
      <c r="E301" s="55"/>
      <c r="F301" s="54"/>
      <c r="G301" s="56"/>
      <c r="H301" s="56"/>
      <c r="I301" s="36" t="str">
        <f t="shared" si="12"/>
        <v/>
      </c>
      <c r="J301" s="36">
        <f t="shared" si="13"/>
        <v>0</v>
      </c>
      <c r="K301" s="36" t="str">
        <f t="shared" ca="1" si="14"/>
        <v/>
      </c>
    </row>
    <row r="302" spans="3:11" x14ac:dyDescent="0.25">
      <c r="C302" s="53"/>
      <c r="D302" s="54"/>
      <c r="E302" s="55"/>
      <c r="F302" s="54"/>
      <c r="G302" s="56"/>
      <c r="H302" s="56"/>
      <c r="I302" s="36" t="str">
        <f t="shared" si="12"/>
        <v/>
      </c>
      <c r="J302" s="36">
        <f t="shared" si="13"/>
        <v>0</v>
      </c>
      <c r="K302" s="36" t="str">
        <f t="shared" ca="1" si="14"/>
        <v/>
      </c>
    </row>
    <row r="303" spans="3:11" x14ac:dyDescent="0.25">
      <c r="C303" s="53"/>
      <c r="D303" s="54"/>
      <c r="E303" s="55"/>
      <c r="F303" s="54"/>
      <c r="G303" s="56"/>
      <c r="H303" s="56"/>
      <c r="I303" s="36" t="str">
        <f t="shared" si="12"/>
        <v/>
      </c>
      <c r="J303" s="36">
        <f t="shared" si="13"/>
        <v>0</v>
      </c>
      <c r="K303" s="36" t="str">
        <f t="shared" ca="1" si="14"/>
        <v/>
      </c>
    </row>
    <row r="304" spans="3:11" x14ac:dyDescent="0.25">
      <c r="C304" s="53"/>
      <c r="D304" s="54"/>
      <c r="E304" s="55"/>
      <c r="F304" s="54"/>
      <c r="G304" s="56"/>
      <c r="H304" s="56"/>
      <c r="I304" s="36" t="str">
        <f t="shared" si="12"/>
        <v/>
      </c>
      <c r="J304" s="36">
        <f t="shared" si="13"/>
        <v>0</v>
      </c>
      <c r="K304" s="36" t="str">
        <f t="shared" ca="1" si="14"/>
        <v/>
      </c>
    </row>
    <row r="305" spans="3:11" x14ac:dyDescent="0.25">
      <c r="C305" s="53"/>
      <c r="D305" s="54"/>
      <c r="E305" s="55"/>
      <c r="F305" s="54"/>
      <c r="G305" s="56"/>
      <c r="H305" s="56"/>
      <c r="I305" s="36" t="str">
        <f t="shared" si="12"/>
        <v/>
      </c>
      <c r="J305" s="36">
        <f t="shared" si="13"/>
        <v>0</v>
      </c>
      <c r="K305" s="36" t="str">
        <f t="shared" ca="1" si="14"/>
        <v/>
      </c>
    </row>
    <row r="306" spans="3:11" x14ac:dyDescent="0.25">
      <c r="C306" s="53"/>
      <c r="D306" s="54"/>
      <c r="E306" s="55"/>
      <c r="F306" s="54"/>
      <c r="G306" s="56"/>
      <c r="H306" s="56"/>
      <c r="I306" s="36" t="str">
        <f t="shared" si="12"/>
        <v/>
      </c>
      <c r="J306" s="36">
        <f t="shared" si="13"/>
        <v>0</v>
      </c>
      <c r="K306" s="36" t="str">
        <f t="shared" ca="1" si="14"/>
        <v/>
      </c>
    </row>
    <row r="307" spans="3:11" x14ac:dyDescent="0.25">
      <c r="C307" s="53"/>
      <c r="D307" s="54"/>
      <c r="E307" s="55"/>
      <c r="F307" s="54"/>
      <c r="G307" s="56"/>
      <c r="H307" s="56"/>
      <c r="I307" s="36" t="str">
        <f t="shared" si="12"/>
        <v/>
      </c>
      <c r="J307" s="36">
        <f t="shared" si="13"/>
        <v>0</v>
      </c>
      <c r="K307" s="36" t="str">
        <f t="shared" ca="1" si="14"/>
        <v/>
      </c>
    </row>
    <row r="308" spans="3:11" x14ac:dyDescent="0.25">
      <c r="C308" s="53"/>
      <c r="D308" s="54"/>
      <c r="E308" s="55"/>
      <c r="F308" s="54"/>
      <c r="G308" s="56"/>
      <c r="H308" s="56"/>
      <c r="I308" s="36" t="str">
        <f t="shared" si="12"/>
        <v/>
      </c>
      <c r="J308" s="36">
        <f t="shared" si="13"/>
        <v>0</v>
      </c>
      <c r="K308" s="36" t="str">
        <f t="shared" ca="1" si="14"/>
        <v/>
      </c>
    </row>
    <row r="309" spans="3:11" x14ac:dyDescent="0.25">
      <c r="C309" s="53"/>
      <c r="D309" s="54"/>
      <c r="E309" s="55"/>
      <c r="F309" s="54"/>
      <c r="G309" s="56"/>
      <c r="H309" s="56"/>
      <c r="I309" s="36" t="str">
        <f t="shared" si="12"/>
        <v/>
      </c>
      <c r="J309" s="36">
        <f t="shared" si="13"/>
        <v>0</v>
      </c>
      <c r="K309" s="36" t="str">
        <f t="shared" ca="1" si="14"/>
        <v/>
      </c>
    </row>
    <row r="310" spans="3:11" x14ac:dyDescent="0.25">
      <c r="C310" s="53"/>
      <c r="D310" s="54"/>
      <c r="E310" s="55"/>
      <c r="F310" s="54"/>
      <c r="G310" s="56"/>
      <c r="H310" s="56"/>
      <c r="I310" s="36" t="str">
        <f t="shared" si="12"/>
        <v/>
      </c>
      <c r="J310" s="36">
        <f t="shared" si="13"/>
        <v>0</v>
      </c>
      <c r="K310" s="36" t="str">
        <f t="shared" ca="1" si="14"/>
        <v/>
      </c>
    </row>
    <row r="311" spans="3:11" x14ac:dyDescent="0.25">
      <c r="C311" s="53"/>
      <c r="D311" s="54"/>
      <c r="E311" s="55"/>
      <c r="F311" s="54"/>
      <c r="G311" s="56"/>
      <c r="H311" s="56"/>
      <c r="I311" s="36" t="str">
        <f t="shared" si="12"/>
        <v/>
      </c>
      <c r="J311" s="36">
        <f t="shared" si="13"/>
        <v>0</v>
      </c>
      <c r="K311" s="36" t="str">
        <f t="shared" ca="1" si="14"/>
        <v/>
      </c>
    </row>
    <row r="312" spans="3:11" x14ac:dyDescent="0.25">
      <c r="C312" s="53"/>
      <c r="D312" s="54"/>
      <c r="E312" s="55"/>
      <c r="F312" s="54"/>
      <c r="G312" s="56"/>
      <c r="H312" s="56"/>
      <c r="I312" s="36" t="str">
        <f t="shared" si="12"/>
        <v/>
      </c>
      <c r="J312" s="36">
        <f t="shared" si="13"/>
        <v>0</v>
      </c>
      <c r="K312" s="36" t="str">
        <f t="shared" ca="1" si="14"/>
        <v/>
      </c>
    </row>
    <row r="313" spans="3:11" x14ac:dyDescent="0.25">
      <c r="C313" s="53"/>
      <c r="D313" s="54"/>
      <c r="E313" s="55"/>
      <c r="F313" s="54"/>
      <c r="G313" s="56"/>
      <c r="H313" s="56"/>
      <c r="I313" s="36" t="str">
        <f t="shared" si="12"/>
        <v/>
      </c>
      <c r="J313" s="36">
        <f t="shared" si="13"/>
        <v>0</v>
      </c>
      <c r="K313" s="36" t="str">
        <f t="shared" ca="1" si="14"/>
        <v/>
      </c>
    </row>
    <row r="314" spans="3:11" x14ac:dyDescent="0.25">
      <c r="C314" s="53"/>
      <c r="D314" s="54"/>
      <c r="E314" s="55"/>
      <c r="F314" s="54"/>
      <c r="G314" s="56"/>
      <c r="H314" s="56"/>
      <c r="I314" s="36" t="str">
        <f t="shared" si="12"/>
        <v/>
      </c>
      <c r="J314" s="36">
        <f t="shared" si="13"/>
        <v>0</v>
      </c>
      <c r="K314" s="36" t="str">
        <f t="shared" ca="1" si="14"/>
        <v/>
      </c>
    </row>
    <row r="315" spans="3:11" x14ac:dyDescent="0.25">
      <c r="C315" s="53"/>
      <c r="D315" s="54"/>
      <c r="E315" s="55"/>
      <c r="F315" s="54"/>
      <c r="G315" s="56"/>
      <c r="H315" s="56"/>
      <c r="I315" s="36" t="str">
        <f t="shared" si="12"/>
        <v/>
      </c>
      <c r="J315" s="36">
        <f t="shared" si="13"/>
        <v>0</v>
      </c>
      <c r="K315" s="36" t="str">
        <f t="shared" ca="1" si="14"/>
        <v/>
      </c>
    </row>
    <row r="316" spans="3:11" x14ac:dyDescent="0.25">
      <c r="C316" s="53"/>
      <c r="D316" s="54"/>
      <c r="E316" s="55"/>
      <c r="F316" s="54"/>
      <c r="G316" s="56"/>
      <c r="H316" s="56"/>
      <c r="I316" s="36" t="str">
        <f t="shared" si="12"/>
        <v/>
      </c>
      <c r="J316" s="36">
        <f t="shared" si="13"/>
        <v>0</v>
      </c>
      <c r="K316" s="36" t="str">
        <f t="shared" ca="1" si="14"/>
        <v/>
      </c>
    </row>
    <row r="317" spans="3:11" x14ac:dyDescent="0.25">
      <c r="C317" s="53"/>
      <c r="D317" s="54"/>
      <c r="E317" s="55"/>
      <c r="F317" s="54"/>
      <c r="G317" s="56"/>
      <c r="H317" s="56"/>
      <c r="I317" s="36" t="str">
        <f t="shared" si="12"/>
        <v/>
      </c>
      <c r="J317" s="36">
        <f t="shared" si="13"/>
        <v>0</v>
      </c>
      <c r="K317" s="36" t="str">
        <f t="shared" ca="1" si="14"/>
        <v/>
      </c>
    </row>
    <row r="318" spans="3:11" x14ac:dyDescent="0.25">
      <c r="C318" s="53"/>
      <c r="D318" s="54"/>
      <c r="E318" s="55"/>
      <c r="F318" s="54"/>
      <c r="G318" s="56"/>
      <c r="H318" s="56"/>
      <c r="I318" s="36" t="str">
        <f t="shared" si="12"/>
        <v/>
      </c>
      <c r="J318" s="36">
        <f t="shared" si="13"/>
        <v>0</v>
      </c>
      <c r="K318" s="36" t="str">
        <f t="shared" ca="1" si="14"/>
        <v/>
      </c>
    </row>
    <row r="319" spans="3:11" x14ac:dyDescent="0.25">
      <c r="C319" s="53"/>
      <c r="D319" s="54"/>
      <c r="E319" s="55"/>
      <c r="F319" s="54"/>
      <c r="G319" s="56"/>
      <c r="H319" s="56"/>
      <c r="I319" s="36" t="str">
        <f t="shared" si="12"/>
        <v/>
      </c>
      <c r="J319" s="36">
        <f t="shared" si="13"/>
        <v>0</v>
      </c>
      <c r="K319" s="36" t="str">
        <f t="shared" ca="1" si="14"/>
        <v/>
      </c>
    </row>
    <row r="320" spans="3:11" x14ac:dyDescent="0.25">
      <c r="C320" s="53"/>
      <c r="D320" s="54"/>
      <c r="E320" s="55"/>
      <c r="F320" s="54"/>
      <c r="G320" s="56"/>
      <c r="H320" s="56"/>
      <c r="I320" s="36" t="str">
        <f t="shared" si="12"/>
        <v/>
      </c>
      <c r="J320" s="36">
        <f t="shared" si="13"/>
        <v>0</v>
      </c>
      <c r="K320" s="36" t="str">
        <f t="shared" ca="1" si="14"/>
        <v/>
      </c>
    </row>
    <row r="321" spans="3:11" x14ac:dyDescent="0.25">
      <c r="C321" s="53"/>
      <c r="D321" s="54"/>
      <c r="E321" s="55"/>
      <c r="F321" s="54"/>
      <c r="G321" s="56"/>
      <c r="H321" s="56"/>
      <c r="I321" s="36" t="str">
        <f t="shared" si="12"/>
        <v/>
      </c>
      <c r="J321" s="36">
        <f t="shared" si="13"/>
        <v>0</v>
      </c>
      <c r="K321" s="36" t="str">
        <f t="shared" ca="1" si="14"/>
        <v/>
      </c>
    </row>
    <row r="322" spans="3:11" x14ac:dyDescent="0.25">
      <c r="C322" s="53"/>
      <c r="D322" s="54"/>
      <c r="E322" s="55"/>
      <c r="F322" s="54"/>
      <c r="G322" s="56"/>
      <c r="H322" s="56"/>
      <c r="I322" s="36" t="str">
        <f t="shared" si="12"/>
        <v/>
      </c>
      <c r="J322" s="36">
        <f t="shared" si="13"/>
        <v>0</v>
      </c>
      <c r="K322" s="36" t="str">
        <f t="shared" ca="1" si="14"/>
        <v/>
      </c>
    </row>
    <row r="323" spans="3:11" x14ac:dyDescent="0.25">
      <c r="C323" s="53"/>
      <c r="D323" s="54"/>
      <c r="E323" s="55"/>
      <c r="F323" s="54"/>
      <c r="G323" s="56"/>
      <c r="H323" s="56"/>
      <c r="I323" s="36" t="str">
        <f t="shared" si="12"/>
        <v/>
      </c>
      <c r="J323" s="36">
        <f t="shared" si="13"/>
        <v>0</v>
      </c>
      <c r="K323" s="36" t="str">
        <f t="shared" ca="1" si="14"/>
        <v/>
      </c>
    </row>
    <row r="324" spans="3:11" x14ac:dyDescent="0.25">
      <c r="C324" s="53"/>
      <c r="D324" s="54"/>
      <c r="E324" s="55"/>
      <c r="F324" s="54"/>
      <c r="G324" s="56"/>
      <c r="H324" s="56"/>
      <c r="I324" s="36" t="str">
        <f t="shared" si="12"/>
        <v/>
      </c>
      <c r="J324" s="36">
        <f t="shared" si="13"/>
        <v>0</v>
      </c>
      <c r="K324" s="36" t="str">
        <f t="shared" ca="1" si="14"/>
        <v/>
      </c>
    </row>
    <row r="325" spans="3:11" x14ac:dyDescent="0.25">
      <c r="C325" s="53"/>
      <c r="D325" s="54"/>
      <c r="E325" s="55"/>
      <c r="F325" s="54"/>
      <c r="G325" s="56"/>
      <c r="H325" s="56"/>
      <c r="I325" s="36" t="str">
        <f t="shared" si="12"/>
        <v/>
      </c>
      <c r="J325" s="36">
        <f t="shared" si="13"/>
        <v>0</v>
      </c>
      <c r="K325" s="36" t="str">
        <f t="shared" ca="1" si="14"/>
        <v/>
      </c>
    </row>
    <row r="326" spans="3:11" x14ac:dyDescent="0.25">
      <c r="C326" s="53"/>
      <c r="D326" s="54"/>
      <c r="E326" s="55"/>
      <c r="F326" s="54"/>
      <c r="G326" s="56"/>
      <c r="H326" s="56"/>
      <c r="I326" s="36" t="str">
        <f t="shared" si="12"/>
        <v/>
      </c>
      <c r="J326" s="36">
        <f t="shared" si="13"/>
        <v>0</v>
      </c>
      <c r="K326" s="36" t="str">
        <f t="shared" ca="1" si="14"/>
        <v/>
      </c>
    </row>
    <row r="327" spans="3:11" x14ac:dyDescent="0.25">
      <c r="C327" s="53"/>
      <c r="D327" s="54"/>
      <c r="E327" s="55"/>
      <c r="F327" s="54"/>
      <c r="G327" s="56"/>
      <c r="H327" s="56"/>
      <c r="I327" s="36" t="str">
        <f t="shared" si="12"/>
        <v/>
      </c>
      <c r="J327" s="36">
        <f t="shared" si="13"/>
        <v>0</v>
      </c>
      <c r="K327" s="36" t="str">
        <f t="shared" ca="1" si="14"/>
        <v/>
      </c>
    </row>
    <row r="328" spans="3:11" x14ac:dyDescent="0.25">
      <c r="C328" s="53"/>
      <c r="D328" s="54"/>
      <c r="E328" s="55"/>
      <c r="F328" s="54"/>
      <c r="G328" s="56"/>
      <c r="H328" s="56"/>
      <c r="I328" s="36" t="str">
        <f t="shared" si="12"/>
        <v/>
      </c>
      <c r="J328" s="36">
        <f t="shared" si="13"/>
        <v>0</v>
      </c>
      <c r="K328" s="36" t="str">
        <f t="shared" ca="1" si="14"/>
        <v/>
      </c>
    </row>
    <row r="329" spans="3:11" x14ac:dyDescent="0.25">
      <c r="C329" s="53"/>
      <c r="D329" s="54"/>
      <c r="E329" s="55"/>
      <c r="F329" s="54"/>
      <c r="G329" s="56"/>
      <c r="H329" s="56"/>
      <c r="I329" s="36" t="str">
        <f t="shared" si="12"/>
        <v/>
      </c>
      <c r="J329" s="36">
        <f t="shared" si="13"/>
        <v>0</v>
      </c>
      <c r="K329" s="36" t="str">
        <f t="shared" ca="1" si="14"/>
        <v/>
      </c>
    </row>
    <row r="330" spans="3:11" x14ac:dyDescent="0.25">
      <c r="C330" s="53"/>
      <c r="D330" s="54"/>
      <c r="E330" s="55"/>
      <c r="F330" s="54"/>
      <c r="G330" s="56"/>
      <c r="H330" s="56"/>
      <c r="I330" s="36" t="str">
        <f t="shared" si="12"/>
        <v/>
      </c>
      <c r="J330" s="36">
        <f t="shared" si="13"/>
        <v>0</v>
      </c>
      <c r="K330" s="36" t="str">
        <f t="shared" ca="1" si="14"/>
        <v/>
      </c>
    </row>
    <row r="331" spans="3:11" x14ac:dyDescent="0.25">
      <c r="C331" s="53"/>
      <c r="D331" s="54"/>
      <c r="E331" s="55"/>
      <c r="F331" s="54"/>
      <c r="G331" s="56"/>
      <c r="H331" s="56"/>
      <c r="I331" s="36" t="str">
        <f t="shared" si="12"/>
        <v/>
      </c>
      <c r="J331" s="36">
        <f t="shared" si="13"/>
        <v>0</v>
      </c>
      <c r="K331" s="36" t="str">
        <f t="shared" ca="1" si="14"/>
        <v/>
      </c>
    </row>
    <row r="332" spans="3:11" x14ac:dyDescent="0.25">
      <c r="C332" s="53"/>
      <c r="D332" s="54"/>
      <c r="E332" s="55"/>
      <c r="F332" s="54"/>
      <c r="G332" s="56"/>
      <c r="H332" s="56"/>
      <c r="I332" s="36" t="str">
        <f t="shared" si="12"/>
        <v/>
      </c>
      <c r="J332" s="36">
        <f t="shared" si="13"/>
        <v>0</v>
      </c>
      <c r="K332" s="36" t="str">
        <f t="shared" ca="1" si="14"/>
        <v/>
      </c>
    </row>
    <row r="333" spans="3:11" x14ac:dyDescent="0.25">
      <c r="C333" s="53"/>
      <c r="D333" s="54"/>
      <c r="E333" s="55"/>
      <c r="F333" s="54"/>
      <c r="G333" s="56"/>
      <c r="H333" s="56"/>
      <c r="I333" s="36" t="str">
        <f t="shared" si="12"/>
        <v/>
      </c>
      <c r="J333" s="36">
        <f t="shared" si="13"/>
        <v>0</v>
      </c>
      <c r="K333" s="36" t="str">
        <f t="shared" ca="1" si="14"/>
        <v/>
      </c>
    </row>
    <row r="334" spans="3:11" x14ac:dyDescent="0.25">
      <c r="C334" s="53"/>
      <c r="D334" s="54"/>
      <c r="E334" s="55"/>
      <c r="F334" s="54"/>
      <c r="G334" s="56"/>
      <c r="H334" s="56"/>
      <c r="I334" s="36" t="str">
        <f t="shared" si="12"/>
        <v/>
      </c>
      <c r="J334" s="36">
        <f t="shared" si="13"/>
        <v>0</v>
      </c>
      <c r="K334" s="36" t="str">
        <f t="shared" ca="1" si="14"/>
        <v/>
      </c>
    </row>
    <row r="335" spans="3:11" x14ac:dyDescent="0.25">
      <c r="C335" s="53"/>
      <c r="D335" s="54"/>
      <c r="E335" s="55"/>
      <c r="F335" s="54"/>
      <c r="G335" s="56"/>
      <c r="H335" s="56"/>
      <c r="I335" s="36" t="str">
        <f t="shared" si="12"/>
        <v/>
      </c>
      <c r="J335" s="36">
        <f t="shared" si="13"/>
        <v>0</v>
      </c>
      <c r="K335" s="36" t="str">
        <f t="shared" ca="1" si="14"/>
        <v/>
      </c>
    </row>
    <row r="336" spans="3:11" x14ac:dyDescent="0.25">
      <c r="C336" s="53"/>
      <c r="D336" s="54"/>
      <c r="E336" s="55"/>
      <c r="F336" s="54"/>
      <c r="G336" s="56"/>
      <c r="H336" s="56"/>
      <c r="I336" s="36" t="str">
        <f t="shared" ref="I336:I399" si="15">IF(C336="","",IF(H336&lt;=0,"Em aberto",IF(H336&gt;=G336,"Pagamento Total",IF(H336&lt;G336,"Pagamento Parcial"))))</f>
        <v/>
      </c>
      <c r="J336" s="36">
        <f t="shared" ref="J336:J399" si="16">IF(C336&gt;0,G336-H336,0)</f>
        <v>0</v>
      </c>
      <c r="K336" s="36" t="str">
        <f t="shared" ref="K336:K399" ca="1" si="17">IF(ISBLANK(C336),"",IF(H336=G336,"Pago",IF(C336=TODAY(),"Vence Hoje",IF(TRIM(UPPER(G335))&lt;&gt;"S",IF(C336-TODAY()&lt;0,"Vencida",IF(C336-TODAY()&lt;8,"Próximos sete dias","Em aberto"))))))</f>
        <v/>
      </c>
    </row>
    <row r="337" spans="3:11" x14ac:dyDescent="0.25">
      <c r="C337" s="53"/>
      <c r="D337" s="54"/>
      <c r="E337" s="55"/>
      <c r="F337" s="54"/>
      <c r="G337" s="56"/>
      <c r="H337" s="56"/>
      <c r="I337" s="36" t="str">
        <f t="shared" si="15"/>
        <v/>
      </c>
      <c r="J337" s="36">
        <f t="shared" si="16"/>
        <v>0</v>
      </c>
      <c r="K337" s="36" t="str">
        <f t="shared" ca="1" si="17"/>
        <v/>
      </c>
    </row>
    <row r="338" spans="3:11" x14ac:dyDescent="0.25">
      <c r="C338" s="53"/>
      <c r="D338" s="54"/>
      <c r="E338" s="55"/>
      <c r="F338" s="54"/>
      <c r="G338" s="56"/>
      <c r="H338" s="56"/>
      <c r="I338" s="36" t="str">
        <f t="shared" si="15"/>
        <v/>
      </c>
      <c r="J338" s="36">
        <f t="shared" si="16"/>
        <v>0</v>
      </c>
      <c r="K338" s="36" t="str">
        <f t="shared" ca="1" si="17"/>
        <v/>
      </c>
    </row>
    <row r="339" spans="3:11" x14ac:dyDescent="0.25">
      <c r="C339" s="53"/>
      <c r="D339" s="54"/>
      <c r="E339" s="55"/>
      <c r="F339" s="54"/>
      <c r="G339" s="56"/>
      <c r="H339" s="56"/>
      <c r="I339" s="36" t="str">
        <f t="shared" si="15"/>
        <v/>
      </c>
      <c r="J339" s="36">
        <f t="shared" si="16"/>
        <v>0</v>
      </c>
      <c r="K339" s="36" t="str">
        <f t="shared" ca="1" si="17"/>
        <v/>
      </c>
    </row>
    <row r="340" spans="3:11" x14ac:dyDescent="0.25">
      <c r="C340" s="53"/>
      <c r="D340" s="54"/>
      <c r="E340" s="55"/>
      <c r="F340" s="54"/>
      <c r="G340" s="56"/>
      <c r="H340" s="56"/>
      <c r="I340" s="36" t="str">
        <f t="shared" si="15"/>
        <v/>
      </c>
      <c r="J340" s="36">
        <f t="shared" si="16"/>
        <v>0</v>
      </c>
      <c r="K340" s="36" t="str">
        <f t="shared" ca="1" si="17"/>
        <v/>
      </c>
    </row>
    <row r="341" spans="3:11" x14ac:dyDescent="0.25">
      <c r="C341" s="53"/>
      <c r="D341" s="54"/>
      <c r="E341" s="55"/>
      <c r="F341" s="54"/>
      <c r="G341" s="56"/>
      <c r="H341" s="56"/>
      <c r="I341" s="36" t="str">
        <f t="shared" si="15"/>
        <v/>
      </c>
      <c r="J341" s="36">
        <f t="shared" si="16"/>
        <v>0</v>
      </c>
      <c r="K341" s="36" t="str">
        <f t="shared" ca="1" si="17"/>
        <v/>
      </c>
    </row>
    <row r="342" spans="3:11" x14ac:dyDescent="0.25">
      <c r="C342" s="53"/>
      <c r="D342" s="54"/>
      <c r="E342" s="55"/>
      <c r="F342" s="54"/>
      <c r="G342" s="56"/>
      <c r="H342" s="56"/>
      <c r="I342" s="36" t="str">
        <f t="shared" si="15"/>
        <v/>
      </c>
      <c r="J342" s="36">
        <f t="shared" si="16"/>
        <v>0</v>
      </c>
      <c r="K342" s="36" t="str">
        <f t="shared" ca="1" si="17"/>
        <v/>
      </c>
    </row>
    <row r="343" spans="3:11" x14ac:dyDescent="0.25">
      <c r="C343" s="53"/>
      <c r="D343" s="54"/>
      <c r="E343" s="55"/>
      <c r="F343" s="54"/>
      <c r="G343" s="56"/>
      <c r="H343" s="56"/>
      <c r="I343" s="36" t="str">
        <f t="shared" si="15"/>
        <v/>
      </c>
      <c r="J343" s="36">
        <f t="shared" si="16"/>
        <v>0</v>
      </c>
      <c r="K343" s="36" t="str">
        <f t="shared" ca="1" si="17"/>
        <v/>
      </c>
    </row>
    <row r="344" spans="3:11" x14ac:dyDescent="0.25">
      <c r="C344" s="53"/>
      <c r="D344" s="54"/>
      <c r="E344" s="55"/>
      <c r="F344" s="54"/>
      <c r="G344" s="56"/>
      <c r="H344" s="56"/>
      <c r="I344" s="36" t="str">
        <f t="shared" si="15"/>
        <v/>
      </c>
      <c r="J344" s="36">
        <f t="shared" si="16"/>
        <v>0</v>
      </c>
      <c r="K344" s="36" t="str">
        <f t="shared" ca="1" si="17"/>
        <v/>
      </c>
    </row>
    <row r="345" spans="3:11" x14ac:dyDescent="0.25">
      <c r="C345" s="53"/>
      <c r="D345" s="54"/>
      <c r="E345" s="55"/>
      <c r="F345" s="54"/>
      <c r="G345" s="56"/>
      <c r="H345" s="56"/>
      <c r="I345" s="36" t="str">
        <f t="shared" si="15"/>
        <v/>
      </c>
      <c r="J345" s="36">
        <f t="shared" si="16"/>
        <v>0</v>
      </c>
      <c r="K345" s="36" t="str">
        <f t="shared" ca="1" si="17"/>
        <v/>
      </c>
    </row>
    <row r="346" spans="3:11" x14ac:dyDescent="0.25">
      <c r="C346" s="53"/>
      <c r="D346" s="54"/>
      <c r="E346" s="55"/>
      <c r="F346" s="54"/>
      <c r="G346" s="56"/>
      <c r="H346" s="56"/>
      <c r="I346" s="36" t="str">
        <f t="shared" si="15"/>
        <v/>
      </c>
      <c r="J346" s="36">
        <f t="shared" si="16"/>
        <v>0</v>
      </c>
      <c r="K346" s="36" t="str">
        <f t="shared" ca="1" si="17"/>
        <v/>
      </c>
    </row>
    <row r="347" spans="3:11" x14ac:dyDescent="0.25">
      <c r="C347" s="53"/>
      <c r="D347" s="54"/>
      <c r="E347" s="55"/>
      <c r="F347" s="54"/>
      <c r="G347" s="56"/>
      <c r="H347" s="56"/>
      <c r="I347" s="36" t="str">
        <f t="shared" si="15"/>
        <v/>
      </c>
      <c r="J347" s="36">
        <f t="shared" si="16"/>
        <v>0</v>
      </c>
      <c r="K347" s="36" t="str">
        <f t="shared" ca="1" si="17"/>
        <v/>
      </c>
    </row>
    <row r="348" spans="3:11" x14ac:dyDescent="0.25">
      <c r="C348" s="53"/>
      <c r="D348" s="54"/>
      <c r="E348" s="55"/>
      <c r="F348" s="54"/>
      <c r="G348" s="56"/>
      <c r="H348" s="56"/>
      <c r="I348" s="36" t="str">
        <f t="shared" si="15"/>
        <v/>
      </c>
      <c r="J348" s="36">
        <f t="shared" si="16"/>
        <v>0</v>
      </c>
      <c r="K348" s="36" t="str">
        <f t="shared" ca="1" si="17"/>
        <v/>
      </c>
    </row>
    <row r="349" spans="3:11" x14ac:dyDescent="0.25">
      <c r="C349" s="53"/>
      <c r="D349" s="54"/>
      <c r="E349" s="55"/>
      <c r="F349" s="54"/>
      <c r="G349" s="56"/>
      <c r="H349" s="56"/>
      <c r="I349" s="36" t="str">
        <f t="shared" si="15"/>
        <v/>
      </c>
      <c r="J349" s="36">
        <f t="shared" si="16"/>
        <v>0</v>
      </c>
      <c r="K349" s="36" t="str">
        <f t="shared" ca="1" si="17"/>
        <v/>
      </c>
    </row>
    <row r="350" spans="3:11" x14ac:dyDescent="0.25">
      <c r="C350" s="53"/>
      <c r="D350" s="54"/>
      <c r="E350" s="55"/>
      <c r="F350" s="54"/>
      <c r="G350" s="56"/>
      <c r="H350" s="56"/>
      <c r="I350" s="36" t="str">
        <f t="shared" si="15"/>
        <v/>
      </c>
      <c r="J350" s="36">
        <f t="shared" si="16"/>
        <v>0</v>
      </c>
      <c r="K350" s="36" t="str">
        <f t="shared" ca="1" si="17"/>
        <v/>
      </c>
    </row>
    <row r="351" spans="3:11" x14ac:dyDescent="0.25">
      <c r="C351" s="53"/>
      <c r="D351" s="54"/>
      <c r="E351" s="55"/>
      <c r="F351" s="54"/>
      <c r="G351" s="56"/>
      <c r="H351" s="56"/>
      <c r="I351" s="36" t="str">
        <f t="shared" si="15"/>
        <v/>
      </c>
      <c r="J351" s="36">
        <f t="shared" si="16"/>
        <v>0</v>
      </c>
      <c r="K351" s="36" t="str">
        <f t="shared" ca="1" si="17"/>
        <v/>
      </c>
    </row>
    <row r="352" spans="3:11" x14ac:dyDescent="0.25">
      <c r="C352" s="53"/>
      <c r="D352" s="54"/>
      <c r="E352" s="55"/>
      <c r="F352" s="54"/>
      <c r="G352" s="56"/>
      <c r="H352" s="56"/>
      <c r="I352" s="36" t="str">
        <f t="shared" si="15"/>
        <v/>
      </c>
      <c r="J352" s="36">
        <f t="shared" si="16"/>
        <v>0</v>
      </c>
      <c r="K352" s="36" t="str">
        <f t="shared" ca="1" si="17"/>
        <v/>
      </c>
    </row>
    <row r="353" spans="3:11" x14ac:dyDescent="0.25">
      <c r="C353" s="53"/>
      <c r="D353" s="54"/>
      <c r="E353" s="55"/>
      <c r="F353" s="54"/>
      <c r="G353" s="56"/>
      <c r="H353" s="56"/>
      <c r="I353" s="36" t="str">
        <f t="shared" si="15"/>
        <v/>
      </c>
      <c r="J353" s="36">
        <f t="shared" si="16"/>
        <v>0</v>
      </c>
      <c r="K353" s="36" t="str">
        <f t="shared" ca="1" si="17"/>
        <v/>
      </c>
    </row>
    <row r="354" spans="3:11" x14ac:dyDescent="0.25">
      <c r="C354" s="53"/>
      <c r="D354" s="54"/>
      <c r="E354" s="55"/>
      <c r="F354" s="54"/>
      <c r="G354" s="56"/>
      <c r="H354" s="56"/>
      <c r="I354" s="36" t="str">
        <f t="shared" si="15"/>
        <v/>
      </c>
      <c r="J354" s="36">
        <f t="shared" si="16"/>
        <v>0</v>
      </c>
      <c r="K354" s="36" t="str">
        <f t="shared" ca="1" si="17"/>
        <v/>
      </c>
    </row>
    <row r="355" spans="3:11" x14ac:dyDescent="0.25">
      <c r="C355" s="53"/>
      <c r="D355" s="54"/>
      <c r="E355" s="55"/>
      <c r="F355" s="54"/>
      <c r="G355" s="56"/>
      <c r="H355" s="56"/>
      <c r="I355" s="36" t="str">
        <f t="shared" si="15"/>
        <v/>
      </c>
      <c r="J355" s="36">
        <f t="shared" si="16"/>
        <v>0</v>
      </c>
      <c r="K355" s="36" t="str">
        <f t="shared" ca="1" si="17"/>
        <v/>
      </c>
    </row>
    <row r="356" spans="3:11" x14ac:dyDescent="0.25">
      <c r="C356" s="53"/>
      <c r="D356" s="54"/>
      <c r="E356" s="55"/>
      <c r="F356" s="54"/>
      <c r="G356" s="56"/>
      <c r="H356" s="56"/>
      <c r="I356" s="36" t="str">
        <f t="shared" si="15"/>
        <v/>
      </c>
      <c r="J356" s="36">
        <f t="shared" si="16"/>
        <v>0</v>
      </c>
      <c r="K356" s="36" t="str">
        <f t="shared" ca="1" si="17"/>
        <v/>
      </c>
    </row>
    <row r="357" spans="3:11" x14ac:dyDescent="0.25">
      <c r="C357" s="53"/>
      <c r="D357" s="54"/>
      <c r="E357" s="55"/>
      <c r="F357" s="54"/>
      <c r="G357" s="56"/>
      <c r="H357" s="56"/>
      <c r="I357" s="36" t="str">
        <f t="shared" si="15"/>
        <v/>
      </c>
      <c r="J357" s="36">
        <f t="shared" si="16"/>
        <v>0</v>
      </c>
      <c r="K357" s="36" t="str">
        <f t="shared" ca="1" si="17"/>
        <v/>
      </c>
    </row>
    <row r="358" spans="3:11" x14ac:dyDescent="0.25">
      <c r="C358" s="53"/>
      <c r="D358" s="54"/>
      <c r="E358" s="55"/>
      <c r="F358" s="54"/>
      <c r="G358" s="56"/>
      <c r="H358" s="56"/>
      <c r="I358" s="36" t="str">
        <f t="shared" si="15"/>
        <v/>
      </c>
      <c r="J358" s="36">
        <f t="shared" si="16"/>
        <v>0</v>
      </c>
      <c r="K358" s="36" t="str">
        <f t="shared" ca="1" si="17"/>
        <v/>
      </c>
    </row>
    <row r="359" spans="3:11" x14ac:dyDescent="0.25">
      <c r="C359" s="53"/>
      <c r="D359" s="54"/>
      <c r="E359" s="55"/>
      <c r="F359" s="54"/>
      <c r="G359" s="56"/>
      <c r="H359" s="56"/>
      <c r="I359" s="36" t="str">
        <f t="shared" si="15"/>
        <v/>
      </c>
      <c r="J359" s="36">
        <f t="shared" si="16"/>
        <v>0</v>
      </c>
      <c r="K359" s="36" t="str">
        <f t="shared" ca="1" si="17"/>
        <v/>
      </c>
    </row>
    <row r="360" spans="3:11" x14ac:dyDescent="0.25">
      <c r="C360" s="53"/>
      <c r="D360" s="54"/>
      <c r="E360" s="55"/>
      <c r="F360" s="54"/>
      <c r="G360" s="56"/>
      <c r="H360" s="56"/>
      <c r="I360" s="36" t="str">
        <f t="shared" si="15"/>
        <v/>
      </c>
      <c r="J360" s="36">
        <f t="shared" si="16"/>
        <v>0</v>
      </c>
      <c r="K360" s="36" t="str">
        <f t="shared" ca="1" si="17"/>
        <v/>
      </c>
    </row>
    <row r="361" spans="3:11" x14ac:dyDescent="0.25">
      <c r="C361" s="53"/>
      <c r="D361" s="54"/>
      <c r="E361" s="55"/>
      <c r="F361" s="54"/>
      <c r="G361" s="56"/>
      <c r="H361" s="56"/>
      <c r="I361" s="36" t="str">
        <f t="shared" si="15"/>
        <v/>
      </c>
      <c r="J361" s="36">
        <f t="shared" si="16"/>
        <v>0</v>
      </c>
      <c r="K361" s="36" t="str">
        <f t="shared" ca="1" si="17"/>
        <v/>
      </c>
    </row>
    <row r="362" spans="3:11" x14ac:dyDescent="0.25">
      <c r="C362" s="53"/>
      <c r="D362" s="54"/>
      <c r="E362" s="55"/>
      <c r="F362" s="54"/>
      <c r="G362" s="56"/>
      <c r="H362" s="56"/>
      <c r="I362" s="36" t="str">
        <f t="shared" si="15"/>
        <v/>
      </c>
      <c r="J362" s="36">
        <f t="shared" si="16"/>
        <v>0</v>
      </c>
      <c r="K362" s="36" t="str">
        <f t="shared" ca="1" si="17"/>
        <v/>
      </c>
    </row>
    <row r="363" spans="3:11" x14ac:dyDescent="0.25">
      <c r="C363" s="53"/>
      <c r="D363" s="54"/>
      <c r="E363" s="55"/>
      <c r="F363" s="54"/>
      <c r="G363" s="56"/>
      <c r="H363" s="56"/>
      <c r="I363" s="36" t="str">
        <f t="shared" si="15"/>
        <v/>
      </c>
      <c r="J363" s="36">
        <f t="shared" si="16"/>
        <v>0</v>
      </c>
      <c r="K363" s="36" t="str">
        <f t="shared" ca="1" si="17"/>
        <v/>
      </c>
    </row>
    <row r="364" spans="3:11" x14ac:dyDescent="0.25">
      <c r="C364" s="53"/>
      <c r="D364" s="54"/>
      <c r="E364" s="55"/>
      <c r="F364" s="54"/>
      <c r="G364" s="56"/>
      <c r="H364" s="56"/>
      <c r="I364" s="36" t="str">
        <f t="shared" si="15"/>
        <v/>
      </c>
      <c r="J364" s="36">
        <f t="shared" si="16"/>
        <v>0</v>
      </c>
      <c r="K364" s="36" t="str">
        <f t="shared" ca="1" si="17"/>
        <v/>
      </c>
    </row>
    <row r="365" spans="3:11" x14ac:dyDescent="0.25">
      <c r="C365" s="53"/>
      <c r="D365" s="54"/>
      <c r="E365" s="55"/>
      <c r="F365" s="54"/>
      <c r="G365" s="56"/>
      <c r="H365" s="56"/>
      <c r="I365" s="36" t="str">
        <f t="shared" si="15"/>
        <v/>
      </c>
      <c r="J365" s="36">
        <f t="shared" si="16"/>
        <v>0</v>
      </c>
      <c r="K365" s="36" t="str">
        <f t="shared" ca="1" si="17"/>
        <v/>
      </c>
    </row>
    <row r="366" spans="3:11" x14ac:dyDescent="0.25">
      <c r="C366" s="53"/>
      <c r="D366" s="54"/>
      <c r="E366" s="55"/>
      <c r="F366" s="54"/>
      <c r="G366" s="56"/>
      <c r="H366" s="56"/>
      <c r="I366" s="36" t="str">
        <f t="shared" si="15"/>
        <v/>
      </c>
      <c r="J366" s="36">
        <f t="shared" si="16"/>
        <v>0</v>
      </c>
      <c r="K366" s="36" t="str">
        <f t="shared" ca="1" si="17"/>
        <v/>
      </c>
    </row>
    <row r="367" spans="3:11" x14ac:dyDescent="0.25">
      <c r="C367" s="53"/>
      <c r="D367" s="54"/>
      <c r="E367" s="55"/>
      <c r="F367" s="54"/>
      <c r="G367" s="56"/>
      <c r="H367" s="56"/>
      <c r="I367" s="36" t="str">
        <f t="shared" si="15"/>
        <v/>
      </c>
      <c r="J367" s="36">
        <f t="shared" si="16"/>
        <v>0</v>
      </c>
      <c r="K367" s="36" t="str">
        <f t="shared" ca="1" si="17"/>
        <v/>
      </c>
    </row>
    <row r="368" spans="3:11" x14ac:dyDescent="0.25">
      <c r="C368" s="53"/>
      <c r="D368" s="54"/>
      <c r="E368" s="55"/>
      <c r="F368" s="54"/>
      <c r="G368" s="56"/>
      <c r="H368" s="56"/>
      <c r="I368" s="36" t="str">
        <f t="shared" si="15"/>
        <v/>
      </c>
      <c r="J368" s="36">
        <f t="shared" si="16"/>
        <v>0</v>
      </c>
      <c r="K368" s="36" t="str">
        <f t="shared" ca="1" si="17"/>
        <v/>
      </c>
    </row>
    <row r="369" spans="3:11" x14ac:dyDescent="0.25">
      <c r="C369" s="53"/>
      <c r="D369" s="54"/>
      <c r="E369" s="55"/>
      <c r="F369" s="54"/>
      <c r="G369" s="56"/>
      <c r="H369" s="56"/>
      <c r="I369" s="36" t="str">
        <f t="shared" si="15"/>
        <v/>
      </c>
      <c r="J369" s="36">
        <f t="shared" si="16"/>
        <v>0</v>
      </c>
      <c r="K369" s="36" t="str">
        <f t="shared" ca="1" si="17"/>
        <v/>
      </c>
    </row>
    <row r="370" spans="3:11" x14ac:dyDescent="0.25">
      <c r="C370" s="53"/>
      <c r="D370" s="54"/>
      <c r="E370" s="55"/>
      <c r="F370" s="54"/>
      <c r="G370" s="56"/>
      <c r="H370" s="56"/>
      <c r="I370" s="36" t="str">
        <f t="shared" si="15"/>
        <v/>
      </c>
      <c r="J370" s="36">
        <f t="shared" si="16"/>
        <v>0</v>
      </c>
      <c r="K370" s="36" t="str">
        <f t="shared" ca="1" si="17"/>
        <v/>
      </c>
    </row>
    <row r="371" spans="3:11" x14ac:dyDescent="0.25">
      <c r="C371" s="53"/>
      <c r="D371" s="54"/>
      <c r="E371" s="55"/>
      <c r="F371" s="54"/>
      <c r="G371" s="56"/>
      <c r="H371" s="56"/>
      <c r="I371" s="36" t="str">
        <f t="shared" si="15"/>
        <v/>
      </c>
      <c r="J371" s="36">
        <f t="shared" si="16"/>
        <v>0</v>
      </c>
      <c r="K371" s="36" t="str">
        <f t="shared" ca="1" si="17"/>
        <v/>
      </c>
    </row>
    <row r="372" spans="3:11" x14ac:dyDescent="0.25">
      <c r="C372" s="53"/>
      <c r="D372" s="54"/>
      <c r="E372" s="55"/>
      <c r="F372" s="54"/>
      <c r="G372" s="56"/>
      <c r="H372" s="56"/>
      <c r="I372" s="36" t="str">
        <f t="shared" si="15"/>
        <v/>
      </c>
      <c r="J372" s="36">
        <f t="shared" si="16"/>
        <v>0</v>
      </c>
      <c r="K372" s="36" t="str">
        <f t="shared" ca="1" si="17"/>
        <v/>
      </c>
    </row>
    <row r="373" spans="3:11" x14ac:dyDescent="0.25">
      <c r="C373" s="53"/>
      <c r="D373" s="54"/>
      <c r="E373" s="55"/>
      <c r="F373" s="54"/>
      <c r="G373" s="56"/>
      <c r="H373" s="56"/>
      <c r="I373" s="36" t="str">
        <f t="shared" si="15"/>
        <v/>
      </c>
      <c r="J373" s="36">
        <f t="shared" si="16"/>
        <v>0</v>
      </c>
      <c r="K373" s="36" t="str">
        <f t="shared" ca="1" si="17"/>
        <v/>
      </c>
    </row>
    <row r="374" spans="3:11" x14ac:dyDescent="0.25">
      <c r="C374" s="53"/>
      <c r="D374" s="54"/>
      <c r="E374" s="55"/>
      <c r="F374" s="54"/>
      <c r="G374" s="56"/>
      <c r="H374" s="56"/>
      <c r="I374" s="36" t="str">
        <f t="shared" si="15"/>
        <v/>
      </c>
      <c r="J374" s="36">
        <f t="shared" si="16"/>
        <v>0</v>
      </c>
      <c r="K374" s="36" t="str">
        <f t="shared" ca="1" si="17"/>
        <v/>
      </c>
    </row>
    <row r="375" spans="3:11" x14ac:dyDescent="0.25">
      <c r="C375" s="53"/>
      <c r="D375" s="54"/>
      <c r="E375" s="55"/>
      <c r="F375" s="54"/>
      <c r="G375" s="56"/>
      <c r="H375" s="56"/>
      <c r="I375" s="36" t="str">
        <f t="shared" si="15"/>
        <v/>
      </c>
      <c r="J375" s="36">
        <f t="shared" si="16"/>
        <v>0</v>
      </c>
      <c r="K375" s="36" t="str">
        <f t="shared" ca="1" si="17"/>
        <v/>
      </c>
    </row>
    <row r="376" spans="3:11" x14ac:dyDescent="0.25">
      <c r="C376" s="53"/>
      <c r="D376" s="54"/>
      <c r="E376" s="55"/>
      <c r="F376" s="54"/>
      <c r="G376" s="56"/>
      <c r="H376" s="56"/>
      <c r="I376" s="36" t="str">
        <f t="shared" si="15"/>
        <v/>
      </c>
      <c r="J376" s="36">
        <f t="shared" si="16"/>
        <v>0</v>
      </c>
      <c r="K376" s="36" t="str">
        <f t="shared" ca="1" si="17"/>
        <v/>
      </c>
    </row>
    <row r="377" spans="3:11" x14ac:dyDescent="0.25">
      <c r="C377" s="53"/>
      <c r="D377" s="54"/>
      <c r="E377" s="55"/>
      <c r="F377" s="54"/>
      <c r="G377" s="56"/>
      <c r="H377" s="56"/>
      <c r="I377" s="36" t="str">
        <f t="shared" si="15"/>
        <v/>
      </c>
      <c r="J377" s="36">
        <f t="shared" si="16"/>
        <v>0</v>
      </c>
      <c r="K377" s="36" t="str">
        <f t="shared" ca="1" si="17"/>
        <v/>
      </c>
    </row>
    <row r="378" spans="3:11" x14ac:dyDescent="0.25">
      <c r="C378" s="53"/>
      <c r="D378" s="54"/>
      <c r="E378" s="55"/>
      <c r="F378" s="54"/>
      <c r="G378" s="56"/>
      <c r="H378" s="56"/>
      <c r="I378" s="36" t="str">
        <f t="shared" si="15"/>
        <v/>
      </c>
      <c r="J378" s="36">
        <f t="shared" si="16"/>
        <v>0</v>
      </c>
      <c r="K378" s="36" t="str">
        <f t="shared" ca="1" si="17"/>
        <v/>
      </c>
    </row>
    <row r="379" spans="3:11" x14ac:dyDescent="0.25">
      <c r="C379" s="53"/>
      <c r="D379" s="54"/>
      <c r="E379" s="55"/>
      <c r="F379" s="54"/>
      <c r="G379" s="56"/>
      <c r="H379" s="56"/>
      <c r="I379" s="36" t="str">
        <f t="shared" si="15"/>
        <v/>
      </c>
      <c r="J379" s="36">
        <f t="shared" si="16"/>
        <v>0</v>
      </c>
      <c r="K379" s="36" t="str">
        <f t="shared" ca="1" si="17"/>
        <v/>
      </c>
    </row>
    <row r="380" spans="3:11" x14ac:dyDescent="0.25">
      <c r="C380" s="53"/>
      <c r="D380" s="54"/>
      <c r="E380" s="55"/>
      <c r="F380" s="54"/>
      <c r="G380" s="56"/>
      <c r="H380" s="56"/>
      <c r="I380" s="36" t="str">
        <f t="shared" si="15"/>
        <v/>
      </c>
      <c r="J380" s="36">
        <f t="shared" si="16"/>
        <v>0</v>
      </c>
      <c r="K380" s="36" t="str">
        <f t="shared" ca="1" si="17"/>
        <v/>
      </c>
    </row>
    <row r="381" spans="3:11" x14ac:dyDescent="0.25">
      <c r="C381" s="53"/>
      <c r="D381" s="54"/>
      <c r="E381" s="55"/>
      <c r="F381" s="54"/>
      <c r="G381" s="56"/>
      <c r="H381" s="56"/>
      <c r="I381" s="36" t="str">
        <f t="shared" si="15"/>
        <v/>
      </c>
      <c r="J381" s="36">
        <f t="shared" si="16"/>
        <v>0</v>
      </c>
      <c r="K381" s="36" t="str">
        <f t="shared" ca="1" si="17"/>
        <v/>
      </c>
    </row>
    <row r="382" spans="3:11" x14ac:dyDescent="0.25">
      <c r="C382" s="53"/>
      <c r="D382" s="54"/>
      <c r="E382" s="55"/>
      <c r="F382" s="54"/>
      <c r="G382" s="56"/>
      <c r="H382" s="56"/>
      <c r="I382" s="36" t="str">
        <f t="shared" si="15"/>
        <v/>
      </c>
      <c r="J382" s="36">
        <f t="shared" si="16"/>
        <v>0</v>
      </c>
      <c r="K382" s="36" t="str">
        <f t="shared" ca="1" si="17"/>
        <v/>
      </c>
    </row>
    <row r="383" spans="3:11" x14ac:dyDescent="0.25">
      <c r="C383" s="53"/>
      <c r="D383" s="54"/>
      <c r="E383" s="55"/>
      <c r="F383" s="54"/>
      <c r="G383" s="56"/>
      <c r="H383" s="56"/>
      <c r="I383" s="36" t="str">
        <f t="shared" si="15"/>
        <v/>
      </c>
      <c r="J383" s="36">
        <f t="shared" si="16"/>
        <v>0</v>
      </c>
      <c r="K383" s="36" t="str">
        <f t="shared" ca="1" si="17"/>
        <v/>
      </c>
    </row>
    <row r="384" spans="3:11" x14ac:dyDescent="0.25">
      <c r="C384" s="53"/>
      <c r="D384" s="54"/>
      <c r="E384" s="55"/>
      <c r="F384" s="54"/>
      <c r="G384" s="56"/>
      <c r="H384" s="56"/>
      <c r="I384" s="36" t="str">
        <f t="shared" si="15"/>
        <v/>
      </c>
      <c r="J384" s="36">
        <f t="shared" si="16"/>
        <v>0</v>
      </c>
      <c r="K384" s="36" t="str">
        <f t="shared" ca="1" si="17"/>
        <v/>
      </c>
    </row>
    <row r="385" spans="3:11" x14ac:dyDescent="0.25">
      <c r="C385" s="53"/>
      <c r="D385" s="54"/>
      <c r="E385" s="55"/>
      <c r="F385" s="54"/>
      <c r="G385" s="56"/>
      <c r="H385" s="56"/>
      <c r="I385" s="36" t="str">
        <f t="shared" si="15"/>
        <v/>
      </c>
      <c r="J385" s="36">
        <f t="shared" si="16"/>
        <v>0</v>
      </c>
      <c r="K385" s="36" t="str">
        <f t="shared" ca="1" si="17"/>
        <v/>
      </c>
    </row>
    <row r="386" spans="3:11" x14ac:dyDescent="0.25">
      <c r="C386" s="53"/>
      <c r="D386" s="54"/>
      <c r="E386" s="55"/>
      <c r="F386" s="54"/>
      <c r="G386" s="56"/>
      <c r="H386" s="56"/>
      <c r="I386" s="36" t="str">
        <f t="shared" si="15"/>
        <v/>
      </c>
      <c r="J386" s="36">
        <f t="shared" si="16"/>
        <v>0</v>
      </c>
      <c r="K386" s="36" t="str">
        <f t="shared" ca="1" si="17"/>
        <v/>
      </c>
    </row>
    <row r="387" spans="3:11" x14ac:dyDescent="0.25">
      <c r="C387" s="53"/>
      <c r="D387" s="54"/>
      <c r="E387" s="55"/>
      <c r="F387" s="54"/>
      <c r="G387" s="56"/>
      <c r="H387" s="56"/>
      <c r="I387" s="36" t="str">
        <f t="shared" si="15"/>
        <v/>
      </c>
      <c r="J387" s="36">
        <f t="shared" si="16"/>
        <v>0</v>
      </c>
      <c r="K387" s="36" t="str">
        <f t="shared" ca="1" si="17"/>
        <v/>
      </c>
    </row>
    <row r="388" spans="3:11" x14ac:dyDescent="0.25">
      <c r="C388" s="53"/>
      <c r="D388" s="54"/>
      <c r="E388" s="55"/>
      <c r="F388" s="54"/>
      <c r="G388" s="56"/>
      <c r="H388" s="56"/>
      <c r="I388" s="36" t="str">
        <f t="shared" si="15"/>
        <v/>
      </c>
      <c r="J388" s="36">
        <f t="shared" si="16"/>
        <v>0</v>
      </c>
      <c r="K388" s="36" t="str">
        <f t="shared" ca="1" si="17"/>
        <v/>
      </c>
    </row>
    <row r="389" spans="3:11" x14ac:dyDescent="0.25">
      <c r="C389" s="53"/>
      <c r="D389" s="54"/>
      <c r="E389" s="55"/>
      <c r="F389" s="54"/>
      <c r="G389" s="56"/>
      <c r="H389" s="56"/>
      <c r="I389" s="36" t="str">
        <f t="shared" si="15"/>
        <v/>
      </c>
      <c r="J389" s="36">
        <f t="shared" si="16"/>
        <v>0</v>
      </c>
      <c r="K389" s="36" t="str">
        <f t="shared" ca="1" si="17"/>
        <v/>
      </c>
    </row>
    <row r="390" spans="3:11" x14ac:dyDescent="0.25">
      <c r="C390" s="53"/>
      <c r="D390" s="54"/>
      <c r="E390" s="55"/>
      <c r="F390" s="54"/>
      <c r="G390" s="56"/>
      <c r="H390" s="56"/>
      <c r="I390" s="36" t="str">
        <f t="shared" si="15"/>
        <v/>
      </c>
      <c r="J390" s="36">
        <f t="shared" si="16"/>
        <v>0</v>
      </c>
      <c r="K390" s="36" t="str">
        <f t="shared" ca="1" si="17"/>
        <v/>
      </c>
    </row>
    <row r="391" spans="3:11" x14ac:dyDescent="0.25">
      <c r="C391" s="53"/>
      <c r="D391" s="54"/>
      <c r="E391" s="55"/>
      <c r="F391" s="54"/>
      <c r="G391" s="56"/>
      <c r="H391" s="56"/>
      <c r="I391" s="36" t="str">
        <f t="shared" si="15"/>
        <v/>
      </c>
      <c r="J391" s="36">
        <f t="shared" si="16"/>
        <v>0</v>
      </c>
      <c r="K391" s="36" t="str">
        <f t="shared" ca="1" si="17"/>
        <v/>
      </c>
    </row>
    <row r="392" spans="3:11" x14ac:dyDescent="0.25">
      <c r="C392" s="53"/>
      <c r="D392" s="54"/>
      <c r="E392" s="55"/>
      <c r="F392" s="54"/>
      <c r="G392" s="56"/>
      <c r="H392" s="56"/>
      <c r="I392" s="36" t="str">
        <f t="shared" si="15"/>
        <v/>
      </c>
      <c r="J392" s="36">
        <f t="shared" si="16"/>
        <v>0</v>
      </c>
      <c r="K392" s="36" t="str">
        <f t="shared" ca="1" si="17"/>
        <v/>
      </c>
    </row>
    <row r="393" spans="3:11" x14ac:dyDescent="0.25">
      <c r="C393" s="53"/>
      <c r="D393" s="54"/>
      <c r="E393" s="55"/>
      <c r="F393" s="54"/>
      <c r="G393" s="56"/>
      <c r="H393" s="56"/>
      <c r="I393" s="36" t="str">
        <f t="shared" si="15"/>
        <v/>
      </c>
      <c r="J393" s="36">
        <f t="shared" si="16"/>
        <v>0</v>
      </c>
      <c r="K393" s="36" t="str">
        <f t="shared" ca="1" si="17"/>
        <v/>
      </c>
    </row>
    <row r="394" spans="3:11" x14ac:dyDescent="0.25">
      <c r="C394" s="53"/>
      <c r="D394" s="54"/>
      <c r="E394" s="55"/>
      <c r="F394" s="54"/>
      <c r="G394" s="56"/>
      <c r="H394" s="56"/>
      <c r="I394" s="36" t="str">
        <f t="shared" si="15"/>
        <v/>
      </c>
      <c r="J394" s="36">
        <f t="shared" si="16"/>
        <v>0</v>
      </c>
      <c r="K394" s="36" t="str">
        <f t="shared" ca="1" si="17"/>
        <v/>
      </c>
    </row>
    <row r="395" spans="3:11" x14ac:dyDescent="0.25">
      <c r="C395" s="53"/>
      <c r="D395" s="54"/>
      <c r="E395" s="55"/>
      <c r="F395" s="54"/>
      <c r="G395" s="56"/>
      <c r="H395" s="56"/>
      <c r="I395" s="36" t="str">
        <f t="shared" si="15"/>
        <v/>
      </c>
      <c r="J395" s="36">
        <f t="shared" si="16"/>
        <v>0</v>
      </c>
      <c r="K395" s="36" t="str">
        <f t="shared" ca="1" si="17"/>
        <v/>
      </c>
    </row>
    <row r="396" spans="3:11" x14ac:dyDescent="0.25">
      <c r="C396" s="53"/>
      <c r="D396" s="54"/>
      <c r="E396" s="55"/>
      <c r="F396" s="54"/>
      <c r="G396" s="56"/>
      <c r="H396" s="56"/>
      <c r="I396" s="36" t="str">
        <f t="shared" si="15"/>
        <v/>
      </c>
      <c r="J396" s="36">
        <f t="shared" si="16"/>
        <v>0</v>
      </c>
      <c r="K396" s="36" t="str">
        <f t="shared" ca="1" si="17"/>
        <v/>
      </c>
    </row>
    <row r="397" spans="3:11" x14ac:dyDescent="0.25">
      <c r="C397" s="53"/>
      <c r="D397" s="54"/>
      <c r="E397" s="55"/>
      <c r="F397" s="54"/>
      <c r="G397" s="56"/>
      <c r="H397" s="56"/>
      <c r="I397" s="36" t="str">
        <f t="shared" si="15"/>
        <v/>
      </c>
      <c r="J397" s="36">
        <f t="shared" si="16"/>
        <v>0</v>
      </c>
      <c r="K397" s="36" t="str">
        <f t="shared" ca="1" si="17"/>
        <v/>
      </c>
    </row>
    <row r="398" spans="3:11" x14ac:dyDescent="0.25">
      <c r="C398" s="53"/>
      <c r="D398" s="54"/>
      <c r="E398" s="55"/>
      <c r="F398" s="54"/>
      <c r="G398" s="56"/>
      <c r="H398" s="56"/>
      <c r="I398" s="36" t="str">
        <f t="shared" si="15"/>
        <v/>
      </c>
      <c r="J398" s="36">
        <f t="shared" si="16"/>
        <v>0</v>
      </c>
      <c r="K398" s="36" t="str">
        <f t="shared" ca="1" si="17"/>
        <v/>
      </c>
    </row>
    <row r="399" spans="3:11" x14ac:dyDescent="0.25">
      <c r="C399" s="53"/>
      <c r="D399" s="54"/>
      <c r="E399" s="55"/>
      <c r="F399" s="54"/>
      <c r="G399" s="56"/>
      <c r="H399" s="56"/>
      <c r="I399" s="36" t="str">
        <f t="shared" si="15"/>
        <v/>
      </c>
      <c r="J399" s="36">
        <f t="shared" si="16"/>
        <v>0</v>
      </c>
      <c r="K399" s="36" t="str">
        <f t="shared" ca="1" si="17"/>
        <v/>
      </c>
    </row>
    <row r="400" spans="3:11" x14ac:dyDescent="0.25">
      <c r="C400" s="53"/>
      <c r="D400" s="54"/>
      <c r="E400" s="55"/>
      <c r="F400" s="54"/>
      <c r="G400" s="56"/>
      <c r="H400" s="56"/>
      <c r="I400" s="36" t="str">
        <f t="shared" ref="I400:I463" si="18">IF(C400="","",IF(H400&lt;=0,"Em aberto",IF(H400&gt;=G400,"Pagamento Total",IF(H400&lt;G400,"Pagamento Parcial"))))</f>
        <v/>
      </c>
      <c r="J400" s="36">
        <f t="shared" ref="J400:J463" si="19">IF(C400&gt;0,G400-H400,0)</f>
        <v>0</v>
      </c>
      <c r="K400" s="36" t="str">
        <f t="shared" ref="K400:K463" ca="1" si="20">IF(ISBLANK(C400),"",IF(H400=G400,"Pago",IF(C400=TODAY(),"Vence Hoje",IF(TRIM(UPPER(G399))&lt;&gt;"S",IF(C400-TODAY()&lt;0,"Vencida",IF(C400-TODAY()&lt;8,"Próximos sete dias","Em aberto"))))))</f>
        <v/>
      </c>
    </row>
    <row r="401" spans="3:11" x14ac:dyDescent="0.25">
      <c r="C401" s="53"/>
      <c r="D401" s="54"/>
      <c r="E401" s="55"/>
      <c r="F401" s="54"/>
      <c r="G401" s="56"/>
      <c r="H401" s="56"/>
      <c r="I401" s="36" t="str">
        <f t="shared" si="18"/>
        <v/>
      </c>
      <c r="J401" s="36">
        <f t="shared" si="19"/>
        <v>0</v>
      </c>
      <c r="K401" s="36" t="str">
        <f t="shared" ca="1" si="20"/>
        <v/>
      </c>
    </row>
    <row r="402" spans="3:11" x14ac:dyDescent="0.25">
      <c r="C402" s="53"/>
      <c r="D402" s="54"/>
      <c r="E402" s="55"/>
      <c r="F402" s="54"/>
      <c r="G402" s="56"/>
      <c r="H402" s="56"/>
      <c r="I402" s="36" t="str">
        <f t="shared" si="18"/>
        <v/>
      </c>
      <c r="J402" s="36">
        <f t="shared" si="19"/>
        <v>0</v>
      </c>
      <c r="K402" s="36" t="str">
        <f t="shared" ca="1" si="20"/>
        <v/>
      </c>
    </row>
    <row r="403" spans="3:11" x14ac:dyDescent="0.25">
      <c r="C403" s="53"/>
      <c r="D403" s="54"/>
      <c r="E403" s="55"/>
      <c r="F403" s="54"/>
      <c r="G403" s="56"/>
      <c r="H403" s="56"/>
      <c r="I403" s="36" t="str">
        <f t="shared" si="18"/>
        <v/>
      </c>
      <c r="J403" s="36">
        <f t="shared" si="19"/>
        <v>0</v>
      </c>
      <c r="K403" s="36" t="str">
        <f t="shared" ca="1" si="20"/>
        <v/>
      </c>
    </row>
    <row r="404" spans="3:11" x14ac:dyDescent="0.25">
      <c r="C404" s="53"/>
      <c r="D404" s="54"/>
      <c r="E404" s="55"/>
      <c r="F404" s="54"/>
      <c r="G404" s="56"/>
      <c r="H404" s="56"/>
      <c r="I404" s="36" t="str">
        <f t="shared" si="18"/>
        <v/>
      </c>
      <c r="J404" s="36">
        <f t="shared" si="19"/>
        <v>0</v>
      </c>
      <c r="K404" s="36" t="str">
        <f t="shared" ca="1" si="20"/>
        <v/>
      </c>
    </row>
    <row r="405" spans="3:11" x14ac:dyDescent="0.25">
      <c r="C405" s="53"/>
      <c r="D405" s="54"/>
      <c r="E405" s="55"/>
      <c r="F405" s="54"/>
      <c r="G405" s="56"/>
      <c r="H405" s="56"/>
      <c r="I405" s="36" t="str">
        <f t="shared" si="18"/>
        <v/>
      </c>
      <c r="J405" s="36">
        <f t="shared" si="19"/>
        <v>0</v>
      </c>
      <c r="K405" s="36" t="str">
        <f t="shared" ca="1" si="20"/>
        <v/>
      </c>
    </row>
    <row r="406" spans="3:11" x14ac:dyDescent="0.25">
      <c r="C406" s="53"/>
      <c r="D406" s="54"/>
      <c r="E406" s="55"/>
      <c r="F406" s="54"/>
      <c r="G406" s="56"/>
      <c r="H406" s="56"/>
      <c r="I406" s="36" t="str">
        <f t="shared" si="18"/>
        <v/>
      </c>
      <c r="J406" s="36">
        <f t="shared" si="19"/>
        <v>0</v>
      </c>
      <c r="K406" s="36" t="str">
        <f t="shared" ca="1" si="20"/>
        <v/>
      </c>
    </row>
    <row r="407" spans="3:11" x14ac:dyDescent="0.25">
      <c r="C407" s="53"/>
      <c r="D407" s="54"/>
      <c r="E407" s="55"/>
      <c r="F407" s="54"/>
      <c r="G407" s="56"/>
      <c r="H407" s="56"/>
      <c r="I407" s="36" t="str">
        <f t="shared" si="18"/>
        <v/>
      </c>
      <c r="J407" s="36">
        <f t="shared" si="19"/>
        <v>0</v>
      </c>
      <c r="K407" s="36" t="str">
        <f t="shared" ca="1" si="20"/>
        <v/>
      </c>
    </row>
    <row r="408" spans="3:11" x14ac:dyDescent="0.25">
      <c r="C408" s="53"/>
      <c r="D408" s="54"/>
      <c r="E408" s="55"/>
      <c r="F408" s="54"/>
      <c r="G408" s="56"/>
      <c r="H408" s="56"/>
      <c r="I408" s="36" t="str">
        <f t="shared" si="18"/>
        <v/>
      </c>
      <c r="J408" s="36">
        <f t="shared" si="19"/>
        <v>0</v>
      </c>
      <c r="K408" s="36" t="str">
        <f t="shared" ca="1" si="20"/>
        <v/>
      </c>
    </row>
    <row r="409" spans="3:11" x14ac:dyDescent="0.25">
      <c r="C409" s="53"/>
      <c r="D409" s="54"/>
      <c r="E409" s="55"/>
      <c r="F409" s="54"/>
      <c r="G409" s="56"/>
      <c r="H409" s="56"/>
      <c r="I409" s="36" t="str">
        <f t="shared" si="18"/>
        <v/>
      </c>
      <c r="J409" s="36">
        <f t="shared" si="19"/>
        <v>0</v>
      </c>
      <c r="K409" s="36" t="str">
        <f t="shared" ca="1" si="20"/>
        <v/>
      </c>
    </row>
    <row r="410" spans="3:11" x14ac:dyDescent="0.25">
      <c r="C410" s="53"/>
      <c r="D410" s="54"/>
      <c r="E410" s="55"/>
      <c r="F410" s="54"/>
      <c r="G410" s="56"/>
      <c r="H410" s="56"/>
      <c r="I410" s="36" t="str">
        <f t="shared" si="18"/>
        <v/>
      </c>
      <c r="J410" s="36">
        <f t="shared" si="19"/>
        <v>0</v>
      </c>
      <c r="K410" s="36" t="str">
        <f t="shared" ca="1" si="20"/>
        <v/>
      </c>
    </row>
    <row r="411" spans="3:11" x14ac:dyDescent="0.25">
      <c r="C411" s="53"/>
      <c r="D411" s="54"/>
      <c r="E411" s="55"/>
      <c r="F411" s="54"/>
      <c r="G411" s="56"/>
      <c r="H411" s="56"/>
      <c r="I411" s="36" t="str">
        <f t="shared" si="18"/>
        <v/>
      </c>
      <c r="J411" s="36">
        <f t="shared" si="19"/>
        <v>0</v>
      </c>
      <c r="K411" s="36" t="str">
        <f t="shared" ca="1" si="20"/>
        <v/>
      </c>
    </row>
    <row r="412" spans="3:11" x14ac:dyDescent="0.25">
      <c r="C412" s="53"/>
      <c r="D412" s="54"/>
      <c r="E412" s="55"/>
      <c r="F412" s="54"/>
      <c r="G412" s="56"/>
      <c r="H412" s="56"/>
      <c r="I412" s="36" t="str">
        <f t="shared" si="18"/>
        <v/>
      </c>
      <c r="J412" s="36">
        <f t="shared" si="19"/>
        <v>0</v>
      </c>
      <c r="K412" s="36" t="str">
        <f t="shared" ca="1" si="20"/>
        <v/>
      </c>
    </row>
    <row r="413" spans="3:11" x14ac:dyDescent="0.25">
      <c r="C413" s="53"/>
      <c r="D413" s="54"/>
      <c r="E413" s="55"/>
      <c r="F413" s="54"/>
      <c r="G413" s="56"/>
      <c r="H413" s="56"/>
      <c r="I413" s="36" t="str">
        <f t="shared" si="18"/>
        <v/>
      </c>
      <c r="J413" s="36">
        <f t="shared" si="19"/>
        <v>0</v>
      </c>
      <c r="K413" s="36" t="str">
        <f t="shared" ca="1" si="20"/>
        <v/>
      </c>
    </row>
    <row r="414" spans="3:11" x14ac:dyDescent="0.25">
      <c r="C414" s="53"/>
      <c r="D414" s="54"/>
      <c r="E414" s="55"/>
      <c r="F414" s="54"/>
      <c r="G414" s="56"/>
      <c r="H414" s="56"/>
      <c r="I414" s="36" t="str">
        <f t="shared" si="18"/>
        <v/>
      </c>
      <c r="J414" s="36">
        <f t="shared" si="19"/>
        <v>0</v>
      </c>
      <c r="K414" s="36" t="str">
        <f t="shared" ca="1" si="20"/>
        <v/>
      </c>
    </row>
    <row r="415" spans="3:11" x14ac:dyDescent="0.25">
      <c r="C415" s="53"/>
      <c r="D415" s="54"/>
      <c r="E415" s="55"/>
      <c r="F415" s="54"/>
      <c r="G415" s="56"/>
      <c r="H415" s="56"/>
      <c r="I415" s="36" t="str">
        <f t="shared" si="18"/>
        <v/>
      </c>
      <c r="J415" s="36">
        <f t="shared" si="19"/>
        <v>0</v>
      </c>
      <c r="K415" s="36" t="str">
        <f t="shared" ca="1" si="20"/>
        <v/>
      </c>
    </row>
    <row r="416" spans="3:11" x14ac:dyDescent="0.25">
      <c r="C416" s="53"/>
      <c r="D416" s="54"/>
      <c r="E416" s="55"/>
      <c r="F416" s="54"/>
      <c r="G416" s="56"/>
      <c r="H416" s="56"/>
      <c r="I416" s="36" t="str">
        <f t="shared" si="18"/>
        <v/>
      </c>
      <c r="J416" s="36">
        <f t="shared" si="19"/>
        <v>0</v>
      </c>
      <c r="K416" s="36" t="str">
        <f t="shared" ca="1" si="20"/>
        <v/>
      </c>
    </row>
    <row r="417" spans="3:11" x14ac:dyDescent="0.25">
      <c r="C417" s="53"/>
      <c r="D417" s="54"/>
      <c r="E417" s="55"/>
      <c r="F417" s="54"/>
      <c r="G417" s="56"/>
      <c r="H417" s="56"/>
      <c r="I417" s="36" t="str">
        <f t="shared" si="18"/>
        <v/>
      </c>
      <c r="J417" s="36">
        <f t="shared" si="19"/>
        <v>0</v>
      </c>
      <c r="K417" s="36" t="str">
        <f t="shared" ca="1" si="20"/>
        <v/>
      </c>
    </row>
    <row r="418" spans="3:11" x14ac:dyDescent="0.25">
      <c r="C418" s="53"/>
      <c r="D418" s="54"/>
      <c r="E418" s="55"/>
      <c r="F418" s="54"/>
      <c r="G418" s="56"/>
      <c r="H418" s="56"/>
      <c r="I418" s="36" t="str">
        <f t="shared" si="18"/>
        <v/>
      </c>
      <c r="J418" s="36">
        <f t="shared" si="19"/>
        <v>0</v>
      </c>
      <c r="K418" s="36" t="str">
        <f t="shared" ca="1" si="20"/>
        <v/>
      </c>
    </row>
    <row r="419" spans="3:11" x14ac:dyDescent="0.25">
      <c r="C419" s="53"/>
      <c r="D419" s="54"/>
      <c r="E419" s="55"/>
      <c r="F419" s="54"/>
      <c r="G419" s="56"/>
      <c r="H419" s="56"/>
      <c r="I419" s="36" t="str">
        <f t="shared" si="18"/>
        <v/>
      </c>
      <c r="J419" s="36">
        <f t="shared" si="19"/>
        <v>0</v>
      </c>
      <c r="K419" s="36" t="str">
        <f t="shared" ca="1" si="20"/>
        <v/>
      </c>
    </row>
    <row r="420" spans="3:11" x14ac:dyDescent="0.25">
      <c r="C420" s="53"/>
      <c r="D420" s="54"/>
      <c r="E420" s="55"/>
      <c r="F420" s="54"/>
      <c r="G420" s="56"/>
      <c r="H420" s="56"/>
      <c r="I420" s="36" t="str">
        <f t="shared" si="18"/>
        <v/>
      </c>
      <c r="J420" s="36">
        <f t="shared" si="19"/>
        <v>0</v>
      </c>
      <c r="K420" s="36" t="str">
        <f t="shared" ca="1" si="20"/>
        <v/>
      </c>
    </row>
    <row r="421" spans="3:11" x14ac:dyDescent="0.25">
      <c r="C421" s="53"/>
      <c r="D421" s="54"/>
      <c r="E421" s="55"/>
      <c r="F421" s="54"/>
      <c r="G421" s="56"/>
      <c r="H421" s="56"/>
      <c r="I421" s="36" t="str">
        <f t="shared" si="18"/>
        <v/>
      </c>
      <c r="J421" s="36">
        <f t="shared" si="19"/>
        <v>0</v>
      </c>
      <c r="K421" s="36" t="str">
        <f t="shared" ca="1" si="20"/>
        <v/>
      </c>
    </row>
    <row r="422" spans="3:11" x14ac:dyDescent="0.25">
      <c r="C422" s="53"/>
      <c r="D422" s="54"/>
      <c r="E422" s="55"/>
      <c r="F422" s="54"/>
      <c r="G422" s="56"/>
      <c r="H422" s="56"/>
      <c r="I422" s="36" t="str">
        <f t="shared" si="18"/>
        <v/>
      </c>
      <c r="J422" s="36">
        <f t="shared" si="19"/>
        <v>0</v>
      </c>
      <c r="K422" s="36" t="str">
        <f t="shared" ca="1" si="20"/>
        <v/>
      </c>
    </row>
    <row r="423" spans="3:11" x14ac:dyDescent="0.25">
      <c r="C423" s="53"/>
      <c r="D423" s="54"/>
      <c r="E423" s="55"/>
      <c r="F423" s="54"/>
      <c r="G423" s="56"/>
      <c r="H423" s="56"/>
      <c r="I423" s="36" t="str">
        <f t="shared" si="18"/>
        <v/>
      </c>
      <c r="J423" s="36">
        <f t="shared" si="19"/>
        <v>0</v>
      </c>
      <c r="K423" s="36" t="str">
        <f t="shared" ca="1" si="20"/>
        <v/>
      </c>
    </row>
    <row r="424" spans="3:11" x14ac:dyDescent="0.25">
      <c r="C424" s="53"/>
      <c r="D424" s="54"/>
      <c r="E424" s="55"/>
      <c r="F424" s="54"/>
      <c r="G424" s="56"/>
      <c r="H424" s="56"/>
      <c r="I424" s="36" t="str">
        <f t="shared" si="18"/>
        <v/>
      </c>
      <c r="J424" s="36">
        <f t="shared" si="19"/>
        <v>0</v>
      </c>
      <c r="K424" s="36" t="str">
        <f t="shared" ca="1" si="20"/>
        <v/>
      </c>
    </row>
    <row r="425" spans="3:11" x14ac:dyDescent="0.25">
      <c r="C425" s="53"/>
      <c r="D425" s="54"/>
      <c r="E425" s="55"/>
      <c r="F425" s="54"/>
      <c r="G425" s="56"/>
      <c r="H425" s="56"/>
      <c r="I425" s="36" t="str">
        <f t="shared" si="18"/>
        <v/>
      </c>
      <c r="J425" s="36">
        <f t="shared" si="19"/>
        <v>0</v>
      </c>
      <c r="K425" s="36" t="str">
        <f t="shared" ca="1" si="20"/>
        <v/>
      </c>
    </row>
    <row r="426" spans="3:11" x14ac:dyDescent="0.25">
      <c r="C426" s="53"/>
      <c r="D426" s="54"/>
      <c r="E426" s="55"/>
      <c r="F426" s="54"/>
      <c r="G426" s="56"/>
      <c r="H426" s="56"/>
      <c r="I426" s="36" t="str">
        <f t="shared" si="18"/>
        <v/>
      </c>
      <c r="J426" s="36">
        <f t="shared" si="19"/>
        <v>0</v>
      </c>
      <c r="K426" s="36" t="str">
        <f t="shared" ca="1" si="20"/>
        <v/>
      </c>
    </row>
    <row r="427" spans="3:11" x14ac:dyDescent="0.25">
      <c r="C427" s="53"/>
      <c r="D427" s="54"/>
      <c r="E427" s="55"/>
      <c r="F427" s="54"/>
      <c r="G427" s="56"/>
      <c r="H427" s="56"/>
      <c r="I427" s="36" t="str">
        <f t="shared" si="18"/>
        <v/>
      </c>
      <c r="J427" s="36">
        <f t="shared" si="19"/>
        <v>0</v>
      </c>
      <c r="K427" s="36" t="str">
        <f t="shared" ca="1" si="20"/>
        <v/>
      </c>
    </row>
    <row r="428" spans="3:11" x14ac:dyDescent="0.25">
      <c r="C428" s="53"/>
      <c r="D428" s="54"/>
      <c r="E428" s="55"/>
      <c r="F428" s="54"/>
      <c r="G428" s="56"/>
      <c r="H428" s="56"/>
      <c r="I428" s="36" t="str">
        <f t="shared" si="18"/>
        <v/>
      </c>
      <c r="J428" s="36">
        <f t="shared" si="19"/>
        <v>0</v>
      </c>
      <c r="K428" s="36" t="str">
        <f t="shared" ca="1" si="20"/>
        <v/>
      </c>
    </row>
    <row r="429" spans="3:11" x14ac:dyDescent="0.25">
      <c r="C429" s="53"/>
      <c r="D429" s="54"/>
      <c r="E429" s="55"/>
      <c r="F429" s="54"/>
      <c r="G429" s="56"/>
      <c r="H429" s="56"/>
      <c r="I429" s="36" t="str">
        <f t="shared" si="18"/>
        <v/>
      </c>
      <c r="J429" s="36">
        <f t="shared" si="19"/>
        <v>0</v>
      </c>
      <c r="K429" s="36" t="str">
        <f t="shared" ca="1" si="20"/>
        <v/>
      </c>
    </row>
    <row r="430" spans="3:11" x14ac:dyDescent="0.25">
      <c r="C430" s="53"/>
      <c r="D430" s="54"/>
      <c r="E430" s="55"/>
      <c r="F430" s="54"/>
      <c r="G430" s="56"/>
      <c r="H430" s="56"/>
      <c r="I430" s="36" t="str">
        <f t="shared" si="18"/>
        <v/>
      </c>
      <c r="J430" s="36">
        <f t="shared" si="19"/>
        <v>0</v>
      </c>
      <c r="K430" s="36" t="str">
        <f t="shared" ca="1" si="20"/>
        <v/>
      </c>
    </row>
    <row r="431" spans="3:11" x14ac:dyDescent="0.25">
      <c r="C431" s="53"/>
      <c r="D431" s="54"/>
      <c r="E431" s="55"/>
      <c r="F431" s="54"/>
      <c r="G431" s="56"/>
      <c r="H431" s="56"/>
      <c r="I431" s="36" t="str">
        <f t="shared" si="18"/>
        <v/>
      </c>
      <c r="J431" s="36">
        <f t="shared" si="19"/>
        <v>0</v>
      </c>
      <c r="K431" s="36" t="str">
        <f t="shared" ca="1" si="20"/>
        <v/>
      </c>
    </row>
    <row r="432" spans="3:11" x14ac:dyDescent="0.25">
      <c r="C432" s="53"/>
      <c r="D432" s="54"/>
      <c r="E432" s="55"/>
      <c r="F432" s="54"/>
      <c r="G432" s="56"/>
      <c r="H432" s="56"/>
      <c r="I432" s="36" t="str">
        <f t="shared" si="18"/>
        <v/>
      </c>
      <c r="J432" s="36">
        <f t="shared" si="19"/>
        <v>0</v>
      </c>
      <c r="K432" s="36" t="str">
        <f t="shared" ca="1" si="20"/>
        <v/>
      </c>
    </row>
    <row r="433" spans="3:11" x14ac:dyDescent="0.25">
      <c r="C433" s="53"/>
      <c r="D433" s="54"/>
      <c r="E433" s="55"/>
      <c r="F433" s="54"/>
      <c r="G433" s="56"/>
      <c r="H433" s="56"/>
      <c r="I433" s="36" t="str">
        <f t="shared" si="18"/>
        <v/>
      </c>
      <c r="J433" s="36">
        <f t="shared" si="19"/>
        <v>0</v>
      </c>
      <c r="K433" s="36" t="str">
        <f t="shared" ca="1" si="20"/>
        <v/>
      </c>
    </row>
    <row r="434" spans="3:11" x14ac:dyDescent="0.25">
      <c r="C434" s="53"/>
      <c r="D434" s="54"/>
      <c r="E434" s="55"/>
      <c r="F434" s="54"/>
      <c r="G434" s="56"/>
      <c r="H434" s="56"/>
      <c r="I434" s="36" t="str">
        <f t="shared" si="18"/>
        <v/>
      </c>
      <c r="J434" s="36">
        <f t="shared" si="19"/>
        <v>0</v>
      </c>
      <c r="K434" s="36" t="str">
        <f t="shared" ca="1" si="20"/>
        <v/>
      </c>
    </row>
    <row r="435" spans="3:11" x14ac:dyDescent="0.25">
      <c r="C435" s="53"/>
      <c r="D435" s="54"/>
      <c r="E435" s="55"/>
      <c r="F435" s="54"/>
      <c r="G435" s="56"/>
      <c r="H435" s="56"/>
      <c r="I435" s="36" t="str">
        <f t="shared" si="18"/>
        <v/>
      </c>
      <c r="J435" s="36">
        <f t="shared" si="19"/>
        <v>0</v>
      </c>
      <c r="K435" s="36" t="str">
        <f t="shared" ca="1" si="20"/>
        <v/>
      </c>
    </row>
    <row r="436" spans="3:11" x14ac:dyDescent="0.25">
      <c r="C436" s="53"/>
      <c r="D436" s="54"/>
      <c r="E436" s="55"/>
      <c r="F436" s="54"/>
      <c r="G436" s="56"/>
      <c r="H436" s="56"/>
      <c r="I436" s="36" t="str">
        <f t="shared" si="18"/>
        <v/>
      </c>
      <c r="J436" s="36">
        <f t="shared" si="19"/>
        <v>0</v>
      </c>
      <c r="K436" s="36" t="str">
        <f t="shared" ca="1" si="20"/>
        <v/>
      </c>
    </row>
    <row r="437" spans="3:11" x14ac:dyDescent="0.25">
      <c r="C437" s="53"/>
      <c r="D437" s="54"/>
      <c r="E437" s="55"/>
      <c r="F437" s="54"/>
      <c r="G437" s="56"/>
      <c r="H437" s="56"/>
      <c r="I437" s="36" t="str">
        <f t="shared" si="18"/>
        <v/>
      </c>
      <c r="J437" s="36">
        <f t="shared" si="19"/>
        <v>0</v>
      </c>
      <c r="K437" s="36" t="str">
        <f t="shared" ca="1" si="20"/>
        <v/>
      </c>
    </row>
    <row r="438" spans="3:11" x14ac:dyDescent="0.25">
      <c r="C438" s="53"/>
      <c r="D438" s="54"/>
      <c r="E438" s="55"/>
      <c r="F438" s="54"/>
      <c r="G438" s="56"/>
      <c r="H438" s="56"/>
      <c r="I438" s="36" t="str">
        <f t="shared" si="18"/>
        <v/>
      </c>
      <c r="J438" s="36">
        <f t="shared" si="19"/>
        <v>0</v>
      </c>
      <c r="K438" s="36" t="str">
        <f t="shared" ca="1" si="20"/>
        <v/>
      </c>
    </row>
    <row r="439" spans="3:11" x14ac:dyDescent="0.25">
      <c r="C439" s="53"/>
      <c r="D439" s="54"/>
      <c r="E439" s="55"/>
      <c r="F439" s="54"/>
      <c r="G439" s="56"/>
      <c r="H439" s="56"/>
      <c r="I439" s="36" t="str">
        <f t="shared" si="18"/>
        <v/>
      </c>
      <c r="J439" s="36">
        <f t="shared" si="19"/>
        <v>0</v>
      </c>
      <c r="K439" s="36" t="str">
        <f t="shared" ca="1" si="20"/>
        <v/>
      </c>
    </row>
    <row r="440" spans="3:11" x14ac:dyDescent="0.25">
      <c r="C440" s="53"/>
      <c r="D440" s="54"/>
      <c r="E440" s="55"/>
      <c r="F440" s="54"/>
      <c r="G440" s="56"/>
      <c r="H440" s="56"/>
      <c r="I440" s="36" t="str">
        <f t="shared" si="18"/>
        <v/>
      </c>
      <c r="J440" s="36">
        <f t="shared" si="19"/>
        <v>0</v>
      </c>
      <c r="K440" s="36" t="str">
        <f t="shared" ca="1" si="20"/>
        <v/>
      </c>
    </row>
    <row r="441" spans="3:11" x14ac:dyDescent="0.25">
      <c r="C441" s="53"/>
      <c r="D441" s="54"/>
      <c r="E441" s="55"/>
      <c r="F441" s="54"/>
      <c r="G441" s="56"/>
      <c r="H441" s="56"/>
      <c r="I441" s="36" t="str">
        <f t="shared" si="18"/>
        <v/>
      </c>
      <c r="J441" s="36">
        <f t="shared" si="19"/>
        <v>0</v>
      </c>
      <c r="K441" s="36" t="str">
        <f t="shared" ca="1" si="20"/>
        <v/>
      </c>
    </row>
    <row r="442" spans="3:11" x14ac:dyDescent="0.25">
      <c r="C442" s="53"/>
      <c r="D442" s="54"/>
      <c r="E442" s="55"/>
      <c r="F442" s="54"/>
      <c r="G442" s="56"/>
      <c r="H442" s="56"/>
      <c r="I442" s="36" t="str">
        <f t="shared" si="18"/>
        <v/>
      </c>
      <c r="J442" s="36">
        <f t="shared" si="19"/>
        <v>0</v>
      </c>
      <c r="K442" s="36" t="str">
        <f t="shared" ca="1" si="20"/>
        <v/>
      </c>
    </row>
    <row r="443" spans="3:11" x14ac:dyDescent="0.25">
      <c r="C443" s="53"/>
      <c r="D443" s="54"/>
      <c r="E443" s="55"/>
      <c r="F443" s="54"/>
      <c r="G443" s="56"/>
      <c r="H443" s="56"/>
      <c r="I443" s="36" t="str">
        <f t="shared" si="18"/>
        <v/>
      </c>
      <c r="J443" s="36">
        <f t="shared" si="19"/>
        <v>0</v>
      </c>
      <c r="K443" s="36" t="str">
        <f t="shared" ca="1" si="20"/>
        <v/>
      </c>
    </row>
    <row r="444" spans="3:11" x14ac:dyDescent="0.25">
      <c r="C444" s="53"/>
      <c r="D444" s="54"/>
      <c r="E444" s="55"/>
      <c r="F444" s="54"/>
      <c r="G444" s="56"/>
      <c r="H444" s="56"/>
      <c r="I444" s="36" t="str">
        <f t="shared" si="18"/>
        <v/>
      </c>
      <c r="J444" s="36">
        <f t="shared" si="19"/>
        <v>0</v>
      </c>
      <c r="K444" s="36" t="str">
        <f t="shared" ca="1" si="20"/>
        <v/>
      </c>
    </row>
    <row r="445" spans="3:11" x14ac:dyDescent="0.25">
      <c r="C445" s="53"/>
      <c r="D445" s="54"/>
      <c r="E445" s="55"/>
      <c r="F445" s="54"/>
      <c r="G445" s="56"/>
      <c r="H445" s="56"/>
      <c r="I445" s="36" t="str">
        <f t="shared" si="18"/>
        <v/>
      </c>
      <c r="J445" s="36">
        <f t="shared" si="19"/>
        <v>0</v>
      </c>
      <c r="K445" s="36" t="str">
        <f t="shared" ca="1" si="20"/>
        <v/>
      </c>
    </row>
    <row r="446" spans="3:11" x14ac:dyDescent="0.25">
      <c r="C446" s="53"/>
      <c r="D446" s="54"/>
      <c r="E446" s="55"/>
      <c r="F446" s="54"/>
      <c r="G446" s="56"/>
      <c r="H446" s="56"/>
      <c r="I446" s="36" t="str">
        <f t="shared" si="18"/>
        <v/>
      </c>
      <c r="J446" s="36">
        <f t="shared" si="19"/>
        <v>0</v>
      </c>
      <c r="K446" s="36" t="str">
        <f t="shared" ca="1" si="20"/>
        <v/>
      </c>
    </row>
    <row r="447" spans="3:11" x14ac:dyDescent="0.25">
      <c r="C447" s="53"/>
      <c r="D447" s="54"/>
      <c r="E447" s="55"/>
      <c r="F447" s="54"/>
      <c r="G447" s="56"/>
      <c r="H447" s="56"/>
      <c r="I447" s="36" t="str">
        <f t="shared" si="18"/>
        <v/>
      </c>
      <c r="J447" s="36">
        <f t="shared" si="19"/>
        <v>0</v>
      </c>
      <c r="K447" s="36" t="str">
        <f t="shared" ca="1" si="20"/>
        <v/>
      </c>
    </row>
    <row r="448" spans="3:11" x14ac:dyDescent="0.25">
      <c r="C448" s="53"/>
      <c r="D448" s="54"/>
      <c r="E448" s="55"/>
      <c r="F448" s="54"/>
      <c r="G448" s="56"/>
      <c r="H448" s="56"/>
      <c r="I448" s="36" t="str">
        <f t="shared" si="18"/>
        <v/>
      </c>
      <c r="J448" s="36">
        <f t="shared" si="19"/>
        <v>0</v>
      </c>
      <c r="K448" s="36" t="str">
        <f t="shared" ca="1" si="20"/>
        <v/>
      </c>
    </row>
    <row r="449" spans="3:11" x14ac:dyDescent="0.25">
      <c r="C449" s="53"/>
      <c r="D449" s="54"/>
      <c r="E449" s="55"/>
      <c r="F449" s="54"/>
      <c r="G449" s="56"/>
      <c r="H449" s="56"/>
      <c r="I449" s="36" t="str">
        <f t="shared" si="18"/>
        <v/>
      </c>
      <c r="J449" s="36">
        <f t="shared" si="19"/>
        <v>0</v>
      </c>
      <c r="K449" s="36" t="str">
        <f t="shared" ca="1" si="20"/>
        <v/>
      </c>
    </row>
    <row r="450" spans="3:11" x14ac:dyDescent="0.25">
      <c r="C450" s="53"/>
      <c r="D450" s="54"/>
      <c r="E450" s="55"/>
      <c r="F450" s="54"/>
      <c r="G450" s="56"/>
      <c r="H450" s="56"/>
      <c r="I450" s="36" t="str">
        <f t="shared" si="18"/>
        <v/>
      </c>
      <c r="J450" s="36">
        <f t="shared" si="19"/>
        <v>0</v>
      </c>
      <c r="K450" s="36" t="str">
        <f t="shared" ca="1" si="20"/>
        <v/>
      </c>
    </row>
    <row r="451" spans="3:11" x14ac:dyDescent="0.25">
      <c r="C451" s="53"/>
      <c r="D451" s="54"/>
      <c r="E451" s="55"/>
      <c r="F451" s="54"/>
      <c r="G451" s="56"/>
      <c r="H451" s="56"/>
      <c r="I451" s="36" t="str">
        <f t="shared" si="18"/>
        <v/>
      </c>
      <c r="J451" s="36">
        <f t="shared" si="19"/>
        <v>0</v>
      </c>
      <c r="K451" s="36" t="str">
        <f t="shared" ca="1" si="20"/>
        <v/>
      </c>
    </row>
    <row r="452" spans="3:11" x14ac:dyDescent="0.25">
      <c r="C452" s="53"/>
      <c r="D452" s="54"/>
      <c r="E452" s="55"/>
      <c r="F452" s="54"/>
      <c r="G452" s="56"/>
      <c r="H452" s="56"/>
      <c r="I452" s="36" t="str">
        <f t="shared" si="18"/>
        <v/>
      </c>
      <c r="J452" s="36">
        <f t="shared" si="19"/>
        <v>0</v>
      </c>
      <c r="K452" s="36" t="str">
        <f t="shared" ca="1" si="20"/>
        <v/>
      </c>
    </row>
    <row r="453" spans="3:11" x14ac:dyDescent="0.25">
      <c r="C453" s="53"/>
      <c r="D453" s="54"/>
      <c r="E453" s="55"/>
      <c r="F453" s="54"/>
      <c r="G453" s="56"/>
      <c r="H453" s="56"/>
      <c r="I453" s="36" t="str">
        <f t="shared" si="18"/>
        <v/>
      </c>
      <c r="J453" s="36">
        <f t="shared" si="19"/>
        <v>0</v>
      </c>
      <c r="K453" s="36" t="str">
        <f t="shared" ca="1" si="20"/>
        <v/>
      </c>
    </row>
    <row r="454" spans="3:11" x14ac:dyDescent="0.25">
      <c r="C454" s="53"/>
      <c r="D454" s="54"/>
      <c r="E454" s="55"/>
      <c r="F454" s="54"/>
      <c r="G454" s="56"/>
      <c r="H454" s="56"/>
      <c r="I454" s="36" t="str">
        <f t="shared" si="18"/>
        <v/>
      </c>
      <c r="J454" s="36">
        <f t="shared" si="19"/>
        <v>0</v>
      </c>
      <c r="K454" s="36" t="str">
        <f t="shared" ca="1" si="20"/>
        <v/>
      </c>
    </row>
    <row r="455" spans="3:11" x14ac:dyDescent="0.25">
      <c r="C455" s="53"/>
      <c r="D455" s="54"/>
      <c r="E455" s="55"/>
      <c r="F455" s="54"/>
      <c r="G455" s="56"/>
      <c r="H455" s="56"/>
      <c r="I455" s="36" t="str">
        <f t="shared" si="18"/>
        <v/>
      </c>
      <c r="J455" s="36">
        <f t="shared" si="19"/>
        <v>0</v>
      </c>
      <c r="K455" s="36" t="str">
        <f t="shared" ca="1" si="20"/>
        <v/>
      </c>
    </row>
    <row r="456" spans="3:11" x14ac:dyDescent="0.25">
      <c r="C456" s="53"/>
      <c r="D456" s="54"/>
      <c r="E456" s="55"/>
      <c r="F456" s="54"/>
      <c r="G456" s="56"/>
      <c r="H456" s="56"/>
      <c r="I456" s="36" t="str">
        <f t="shared" si="18"/>
        <v/>
      </c>
      <c r="J456" s="36">
        <f t="shared" si="19"/>
        <v>0</v>
      </c>
      <c r="K456" s="36" t="str">
        <f t="shared" ca="1" si="20"/>
        <v/>
      </c>
    </row>
    <row r="457" spans="3:11" x14ac:dyDescent="0.25">
      <c r="C457" s="53"/>
      <c r="D457" s="54"/>
      <c r="E457" s="55"/>
      <c r="F457" s="54"/>
      <c r="G457" s="56"/>
      <c r="H457" s="56"/>
      <c r="I457" s="36" t="str">
        <f t="shared" si="18"/>
        <v/>
      </c>
      <c r="J457" s="36">
        <f t="shared" si="19"/>
        <v>0</v>
      </c>
      <c r="K457" s="36" t="str">
        <f t="shared" ca="1" si="20"/>
        <v/>
      </c>
    </row>
    <row r="458" spans="3:11" x14ac:dyDescent="0.25">
      <c r="C458" s="53"/>
      <c r="D458" s="54"/>
      <c r="E458" s="55"/>
      <c r="F458" s="54"/>
      <c r="G458" s="56"/>
      <c r="H458" s="56"/>
      <c r="I458" s="36" t="str">
        <f t="shared" si="18"/>
        <v/>
      </c>
      <c r="J458" s="36">
        <f t="shared" si="19"/>
        <v>0</v>
      </c>
      <c r="K458" s="36" t="str">
        <f t="shared" ca="1" si="20"/>
        <v/>
      </c>
    </row>
    <row r="459" spans="3:11" x14ac:dyDescent="0.25">
      <c r="C459" s="53"/>
      <c r="D459" s="54"/>
      <c r="E459" s="55"/>
      <c r="F459" s="54"/>
      <c r="G459" s="56"/>
      <c r="H459" s="56"/>
      <c r="I459" s="36" t="str">
        <f t="shared" si="18"/>
        <v/>
      </c>
      <c r="J459" s="36">
        <f t="shared" si="19"/>
        <v>0</v>
      </c>
      <c r="K459" s="36" t="str">
        <f t="shared" ca="1" si="20"/>
        <v/>
      </c>
    </row>
    <row r="460" spans="3:11" x14ac:dyDescent="0.25">
      <c r="C460" s="53"/>
      <c r="D460" s="54"/>
      <c r="E460" s="55"/>
      <c r="F460" s="54"/>
      <c r="G460" s="56"/>
      <c r="H460" s="56"/>
      <c r="I460" s="36" t="str">
        <f t="shared" si="18"/>
        <v/>
      </c>
      <c r="J460" s="36">
        <f t="shared" si="19"/>
        <v>0</v>
      </c>
      <c r="K460" s="36" t="str">
        <f t="shared" ca="1" si="20"/>
        <v/>
      </c>
    </row>
    <row r="461" spans="3:11" x14ac:dyDescent="0.25">
      <c r="C461" s="53"/>
      <c r="D461" s="54"/>
      <c r="E461" s="55"/>
      <c r="F461" s="54"/>
      <c r="G461" s="56"/>
      <c r="H461" s="56"/>
      <c r="I461" s="36" t="str">
        <f t="shared" si="18"/>
        <v/>
      </c>
      <c r="J461" s="36">
        <f t="shared" si="19"/>
        <v>0</v>
      </c>
      <c r="K461" s="36" t="str">
        <f t="shared" ca="1" si="20"/>
        <v/>
      </c>
    </row>
    <row r="462" spans="3:11" x14ac:dyDescent="0.25">
      <c r="C462" s="53"/>
      <c r="D462" s="54"/>
      <c r="E462" s="55"/>
      <c r="F462" s="54"/>
      <c r="G462" s="56"/>
      <c r="H462" s="56"/>
      <c r="I462" s="36" t="str">
        <f t="shared" si="18"/>
        <v/>
      </c>
      <c r="J462" s="36">
        <f t="shared" si="19"/>
        <v>0</v>
      </c>
      <c r="K462" s="36" t="str">
        <f t="shared" ca="1" si="20"/>
        <v/>
      </c>
    </row>
    <row r="463" spans="3:11" x14ac:dyDescent="0.25">
      <c r="C463" s="53"/>
      <c r="D463" s="54"/>
      <c r="E463" s="55"/>
      <c r="F463" s="54"/>
      <c r="G463" s="56"/>
      <c r="H463" s="56"/>
      <c r="I463" s="36" t="str">
        <f t="shared" si="18"/>
        <v/>
      </c>
      <c r="J463" s="36">
        <f t="shared" si="19"/>
        <v>0</v>
      </c>
      <c r="K463" s="36" t="str">
        <f t="shared" ca="1" si="20"/>
        <v/>
      </c>
    </row>
    <row r="464" spans="3:11" x14ac:dyDescent="0.25">
      <c r="C464" s="53"/>
      <c r="D464" s="54"/>
      <c r="E464" s="55"/>
      <c r="F464" s="54"/>
      <c r="G464" s="56"/>
      <c r="H464" s="56"/>
      <c r="I464" s="36" t="str">
        <f t="shared" ref="I464:I527" si="21">IF(C464="","",IF(H464&lt;=0,"Em aberto",IF(H464&gt;=G464,"Pagamento Total",IF(H464&lt;G464,"Pagamento Parcial"))))</f>
        <v/>
      </c>
      <c r="J464" s="36">
        <f t="shared" ref="J464:J527" si="22">IF(C464&gt;0,G464-H464,0)</f>
        <v>0</v>
      </c>
      <c r="K464" s="36" t="str">
        <f t="shared" ref="K464:K527" ca="1" si="23">IF(ISBLANK(C464),"",IF(H464=G464,"Pago",IF(C464=TODAY(),"Vence Hoje",IF(TRIM(UPPER(G463))&lt;&gt;"S",IF(C464-TODAY()&lt;0,"Vencida",IF(C464-TODAY()&lt;8,"Próximos sete dias","Em aberto"))))))</f>
        <v/>
      </c>
    </row>
    <row r="465" spans="3:11" x14ac:dyDescent="0.25">
      <c r="C465" s="53"/>
      <c r="D465" s="54"/>
      <c r="E465" s="55"/>
      <c r="F465" s="54"/>
      <c r="G465" s="56"/>
      <c r="H465" s="56"/>
      <c r="I465" s="36" t="str">
        <f t="shared" si="21"/>
        <v/>
      </c>
      <c r="J465" s="36">
        <f t="shared" si="22"/>
        <v>0</v>
      </c>
      <c r="K465" s="36" t="str">
        <f t="shared" ca="1" si="23"/>
        <v/>
      </c>
    </row>
    <row r="466" spans="3:11" x14ac:dyDescent="0.25">
      <c r="C466" s="53"/>
      <c r="D466" s="54"/>
      <c r="E466" s="55"/>
      <c r="F466" s="54"/>
      <c r="G466" s="56"/>
      <c r="H466" s="56"/>
      <c r="I466" s="36" t="str">
        <f t="shared" si="21"/>
        <v/>
      </c>
      <c r="J466" s="36">
        <f t="shared" si="22"/>
        <v>0</v>
      </c>
      <c r="K466" s="36" t="str">
        <f t="shared" ca="1" si="23"/>
        <v/>
      </c>
    </row>
    <row r="467" spans="3:11" x14ac:dyDescent="0.25">
      <c r="C467" s="53"/>
      <c r="D467" s="54"/>
      <c r="E467" s="55"/>
      <c r="F467" s="54"/>
      <c r="G467" s="56"/>
      <c r="H467" s="56"/>
      <c r="I467" s="36" t="str">
        <f t="shared" si="21"/>
        <v/>
      </c>
      <c r="J467" s="36">
        <f t="shared" si="22"/>
        <v>0</v>
      </c>
      <c r="K467" s="36" t="str">
        <f t="shared" ca="1" si="23"/>
        <v/>
      </c>
    </row>
    <row r="468" spans="3:11" x14ac:dyDescent="0.25">
      <c r="C468" s="53"/>
      <c r="D468" s="54"/>
      <c r="E468" s="55"/>
      <c r="F468" s="54"/>
      <c r="G468" s="56"/>
      <c r="H468" s="56"/>
      <c r="I468" s="36" t="str">
        <f t="shared" si="21"/>
        <v/>
      </c>
      <c r="J468" s="36">
        <f t="shared" si="22"/>
        <v>0</v>
      </c>
      <c r="K468" s="36" t="str">
        <f t="shared" ca="1" si="23"/>
        <v/>
      </c>
    </row>
    <row r="469" spans="3:11" x14ac:dyDescent="0.25">
      <c r="C469" s="53"/>
      <c r="D469" s="54"/>
      <c r="E469" s="55"/>
      <c r="F469" s="54"/>
      <c r="G469" s="56"/>
      <c r="H469" s="56"/>
      <c r="I469" s="36" t="str">
        <f t="shared" si="21"/>
        <v/>
      </c>
      <c r="J469" s="36">
        <f t="shared" si="22"/>
        <v>0</v>
      </c>
      <c r="K469" s="36" t="str">
        <f t="shared" ca="1" si="23"/>
        <v/>
      </c>
    </row>
    <row r="470" spans="3:11" x14ac:dyDescent="0.25">
      <c r="C470" s="53"/>
      <c r="D470" s="54"/>
      <c r="E470" s="55"/>
      <c r="F470" s="54"/>
      <c r="G470" s="56"/>
      <c r="H470" s="56"/>
      <c r="I470" s="36" t="str">
        <f t="shared" si="21"/>
        <v/>
      </c>
      <c r="J470" s="36">
        <f t="shared" si="22"/>
        <v>0</v>
      </c>
      <c r="K470" s="36" t="str">
        <f t="shared" ca="1" si="23"/>
        <v/>
      </c>
    </row>
    <row r="471" spans="3:11" x14ac:dyDescent="0.25">
      <c r="C471" s="53"/>
      <c r="D471" s="54"/>
      <c r="E471" s="55"/>
      <c r="F471" s="54"/>
      <c r="G471" s="56"/>
      <c r="H471" s="56"/>
      <c r="I471" s="36" t="str">
        <f t="shared" si="21"/>
        <v/>
      </c>
      <c r="J471" s="36">
        <f t="shared" si="22"/>
        <v>0</v>
      </c>
      <c r="K471" s="36" t="str">
        <f t="shared" ca="1" si="23"/>
        <v/>
      </c>
    </row>
    <row r="472" spans="3:11" x14ac:dyDescent="0.25">
      <c r="C472" s="53"/>
      <c r="D472" s="54"/>
      <c r="E472" s="55"/>
      <c r="F472" s="54"/>
      <c r="G472" s="56"/>
      <c r="H472" s="56"/>
      <c r="I472" s="36" t="str">
        <f t="shared" si="21"/>
        <v/>
      </c>
      <c r="J472" s="36">
        <f t="shared" si="22"/>
        <v>0</v>
      </c>
      <c r="K472" s="36" t="str">
        <f t="shared" ca="1" si="23"/>
        <v/>
      </c>
    </row>
    <row r="473" spans="3:11" x14ac:dyDescent="0.25">
      <c r="C473" s="53"/>
      <c r="D473" s="54"/>
      <c r="E473" s="55"/>
      <c r="F473" s="54"/>
      <c r="G473" s="56"/>
      <c r="H473" s="56"/>
      <c r="I473" s="36" t="str">
        <f t="shared" si="21"/>
        <v/>
      </c>
      <c r="J473" s="36">
        <f t="shared" si="22"/>
        <v>0</v>
      </c>
      <c r="K473" s="36" t="str">
        <f t="shared" ca="1" si="23"/>
        <v/>
      </c>
    </row>
    <row r="474" spans="3:11" x14ac:dyDescent="0.25">
      <c r="C474" s="53"/>
      <c r="D474" s="54"/>
      <c r="E474" s="55"/>
      <c r="F474" s="54"/>
      <c r="G474" s="56"/>
      <c r="H474" s="56"/>
      <c r="I474" s="36" t="str">
        <f t="shared" si="21"/>
        <v/>
      </c>
      <c r="J474" s="36">
        <f t="shared" si="22"/>
        <v>0</v>
      </c>
      <c r="K474" s="36" t="str">
        <f t="shared" ca="1" si="23"/>
        <v/>
      </c>
    </row>
    <row r="475" spans="3:11" x14ac:dyDescent="0.25">
      <c r="C475" s="53"/>
      <c r="D475" s="54"/>
      <c r="E475" s="55"/>
      <c r="F475" s="54"/>
      <c r="G475" s="56"/>
      <c r="H475" s="56"/>
      <c r="I475" s="36" t="str">
        <f t="shared" si="21"/>
        <v/>
      </c>
      <c r="J475" s="36">
        <f t="shared" si="22"/>
        <v>0</v>
      </c>
      <c r="K475" s="36" t="str">
        <f t="shared" ca="1" si="23"/>
        <v/>
      </c>
    </row>
    <row r="476" spans="3:11" x14ac:dyDescent="0.25">
      <c r="C476" s="53"/>
      <c r="D476" s="54"/>
      <c r="E476" s="55"/>
      <c r="F476" s="54"/>
      <c r="G476" s="56"/>
      <c r="H476" s="56"/>
      <c r="I476" s="36" t="str">
        <f t="shared" si="21"/>
        <v/>
      </c>
      <c r="J476" s="36">
        <f t="shared" si="22"/>
        <v>0</v>
      </c>
      <c r="K476" s="36" t="str">
        <f t="shared" ca="1" si="23"/>
        <v/>
      </c>
    </row>
    <row r="477" spans="3:11" x14ac:dyDescent="0.25">
      <c r="C477" s="53"/>
      <c r="D477" s="54"/>
      <c r="E477" s="55"/>
      <c r="F477" s="54"/>
      <c r="G477" s="56"/>
      <c r="H477" s="56"/>
      <c r="I477" s="36" t="str">
        <f t="shared" si="21"/>
        <v/>
      </c>
      <c r="J477" s="36">
        <f t="shared" si="22"/>
        <v>0</v>
      </c>
      <c r="K477" s="36" t="str">
        <f t="shared" ca="1" si="23"/>
        <v/>
      </c>
    </row>
    <row r="478" spans="3:11" x14ac:dyDescent="0.25">
      <c r="C478" s="53"/>
      <c r="D478" s="54"/>
      <c r="E478" s="55"/>
      <c r="F478" s="54"/>
      <c r="G478" s="56"/>
      <c r="H478" s="56"/>
      <c r="I478" s="36" t="str">
        <f t="shared" si="21"/>
        <v/>
      </c>
      <c r="J478" s="36">
        <f t="shared" si="22"/>
        <v>0</v>
      </c>
      <c r="K478" s="36" t="str">
        <f t="shared" ca="1" si="23"/>
        <v/>
      </c>
    </row>
    <row r="479" spans="3:11" x14ac:dyDescent="0.25">
      <c r="C479" s="53"/>
      <c r="D479" s="54"/>
      <c r="E479" s="55"/>
      <c r="F479" s="54"/>
      <c r="G479" s="56"/>
      <c r="H479" s="56"/>
      <c r="I479" s="36" t="str">
        <f t="shared" si="21"/>
        <v/>
      </c>
      <c r="J479" s="36">
        <f t="shared" si="22"/>
        <v>0</v>
      </c>
      <c r="K479" s="36" t="str">
        <f t="shared" ca="1" si="23"/>
        <v/>
      </c>
    </row>
    <row r="480" spans="3:11" x14ac:dyDescent="0.25">
      <c r="C480" s="53"/>
      <c r="D480" s="54"/>
      <c r="E480" s="55"/>
      <c r="F480" s="54"/>
      <c r="G480" s="56"/>
      <c r="H480" s="56"/>
      <c r="I480" s="36" t="str">
        <f t="shared" si="21"/>
        <v/>
      </c>
      <c r="J480" s="36">
        <f t="shared" si="22"/>
        <v>0</v>
      </c>
      <c r="K480" s="36" t="str">
        <f t="shared" ca="1" si="23"/>
        <v/>
      </c>
    </row>
    <row r="481" spans="3:11" x14ac:dyDescent="0.25">
      <c r="C481" s="53"/>
      <c r="D481" s="54"/>
      <c r="E481" s="55"/>
      <c r="F481" s="54"/>
      <c r="G481" s="56"/>
      <c r="H481" s="56"/>
      <c r="I481" s="36" t="str">
        <f t="shared" si="21"/>
        <v/>
      </c>
      <c r="J481" s="36">
        <f t="shared" si="22"/>
        <v>0</v>
      </c>
      <c r="K481" s="36" t="str">
        <f t="shared" ca="1" si="23"/>
        <v/>
      </c>
    </row>
    <row r="482" spans="3:11" x14ac:dyDescent="0.25">
      <c r="C482" s="53"/>
      <c r="D482" s="54"/>
      <c r="E482" s="55"/>
      <c r="F482" s="54"/>
      <c r="G482" s="56"/>
      <c r="H482" s="56"/>
      <c r="I482" s="36" t="str">
        <f t="shared" si="21"/>
        <v/>
      </c>
      <c r="J482" s="36">
        <f t="shared" si="22"/>
        <v>0</v>
      </c>
      <c r="K482" s="36" t="str">
        <f t="shared" ca="1" si="23"/>
        <v/>
      </c>
    </row>
    <row r="483" spans="3:11" x14ac:dyDescent="0.25">
      <c r="C483" s="53"/>
      <c r="D483" s="54"/>
      <c r="E483" s="55"/>
      <c r="F483" s="54"/>
      <c r="G483" s="56"/>
      <c r="H483" s="56"/>
      <c r="I483" s="36" t="str">
        <f t="shared" si="21"/>
        <v/>
      </c>
      <c r="J483" s="36">
        <f t="shared" si="22"/>
        <v>0</v>
      </c>
      <c r="K483" s="36" t="str">
        <f t="shared" ca="1" si="23"/>
        <v/>
      </c>
    </row>
    <row r="484" spans="3:11" x14ac:dyDescent="0.25">
      <c r="C484" s="53"/>
      <c r="D484" s="54"/>
      <c r="E484" s="55"/>
      <c r="F484" s="54"/>
      <c r="G484" s="56"/>
      <c r="H484" s="56"/>
      <c r="I484" s="36" t="str">
        <f t="shared" si="21"/>
        <v/>
      </c>
      <c r="J484" s="36">
        <f t="shared" si="22"/>
        <v>0</v>
      </c>
      <c r="K484" s="36" t="str">
        <f t="shared" ca="1" si="23"/>
        <v/>
      </c>
    </row>
    <row r="485" spans="3:11" x14ac:dyDescent="0.25">
      <c r="C485" s="53"/>
      <c r="D485" s="54"/>
      <c r="E485" s="55"/>
      <c r="F485" s="54"/>
      <c r="G485" s="56"/>
      <c r="H485" s="56"/>
      <c r="I485" s="36" t="str">
        <f t="shared" si="21"/>
        <v/>
      </c>
      <c r="J485" s="36">
        <f t="shared" si="22"/>
        <v>0</v>
      </c>
      <c r="K485" s="36" t="str">
        <f t="shared" ca="1" si="23"/>
        <v/>
      </c>
    </row>
    <row r="486" spans="3:11" x14ac:dyDescent="0.25">
      <c r="C486" s="53"/>
      <c r="D486" s="54"/>
      <c r="E486" s="55"/>
      <c r="F486" s="54"/>
      <c r="G486" s="56"/>
      <c r="H486" s="56"/>
      <c r="I486" s="36" t="str">
        <f t="shared" si="21"/>
        <v/>
      </c>
      <c r="J486" s="36">
        <f t="shared" si="22"/>
        <v>0</v>
      </c>
      <c r="K486" s="36" t="str">
        <f t="shared" ca="1" si="23"/>
        <v/>
      </c>
    </row>
    <row r="487" spans="3:11" x14ac:dyDescent="0.25">
      <c r="C487" s="53"/>
      <c r="D487" s="54"/>
      <c r="E487" s="55"/>
      <c r="F487" s="54"/>
      <c r="G487" s="56"/>
      <c r="H487" s="56"/>
      <c r="I487" s="36" t="str">
        <f t="shared" si="21"/>
        <v/>
      </c>
      <c r="J487" s="36">
        <f t="shared" si="22"/>
        <v>0</v>
      </c>
      <c r="K487" s="36" t="str">
        <f t="shared" ca="1" si="23"/>
        <v/>
      </c>
    </row>
    <row r="488" spans="3:11" x14ac:dyDescent="0.25">
      <c r="C488" s="53"/>
      <c r="D488" s="54"/>
      <c r="E488" s="55"/>
      <c r="F488" s="54"/>
      <c r="G488" s="56"/>
      <c r="H488" s="56"/>
      <c r="I488" s="36" t="str">
        <f t="shared" si="21"/>
        <v/>
      </c>
      <c r="J488" s="36">
        <f t="shared" si="22"/>
        <v>0</v>
      </c>
      <c r="K488" s="36" t="str">
        <f t="shared" ca="1" si="23"/>
        <v/>
      </c>
    </row>
    <row r="489" spans="3:11" x14ac:dyDescent="0.25">
      <c r="C489" s="53"/>
      <c r="D489" s="54"/>
      <c r="E489" s="55"/>
      <c r="F489" s="54"/>
      <c r="G489" s="56"/>
      <c r="H489" s="56"/>
      <c r="I489" s="36" t="str">
        <f t="shared" si="21"/>
        <v/>
      </c>
      <c r="J489" s="36">
        <f t="shared" si="22"/>
        <v>0</v>
      </c>
      <c r="K489" s="36" t="str">
        <f t="shared" ca="1" si="23"/>
        <v/>
      </c>
    </row>
    <row r="490" spans="3:11" x14ac:dyDescent="0.25">
      <c r="C490" s="53"/>
      <c r="D490" s="54"/>
      <c r="E490" s="55"/>
      <c r="F490" s="54"/>
      <c r="G490" s="56"/>
      <c r="H490" s="56"/>
      <c r="I490" s="36" t="str">
        <f t="shared" si="21"/>
        <v/>
      </c>
      <c r="J490" s="36">
        <f t="shared" si="22"/>
        <v>0</v>
      </c>
      <c r="K490" s="36" t="str">
        <f t="shared" ca="1" si="23"/>
        <v/>
      </c>
    </row>
    <row r="491" spans="3:11" x14ac:dyDescent="0.25">
      <c r="C491" s="53"/>
      <c r="D491" s="54"/>
      <c r="E491" s="55"/>
      <c r="F491" s="54"/>
      <c r="G491" s="56"/>
      <c r="H491" s="56"/>
      <c r="I491" s="36" t="str">
        <f t="shared" si="21"/>
        <v/>
      </c>
      <c r="J491" s="36">
        <f t="shared" si="22"/>
        <v>0</v>
      </c>
      <c r="K491" s="36" t="str">
        <f t="shared" ca="1" si="23"/>
        <v/>
      </c>
    </row>
    <row r="492" spans="3:11" x14ac:dyDescent="0.25">
      <c r="C492" s="53"/>
      <c r="D492" s="54"/>
      <c r="E492" s="55"/>
      <c r="F492" s="54"/>
      <c r="G492" s="56"/>
      <c r="H492" s="56"/>
      <c r="I492" s="36" t="str">
        <f t="shared" si="21"/>
        <v/>
      </c>
      <c r="J492" s="36">
        <f t="shared" si="22"/>
        <v>0</v>
      </c>
      <c r="K492" s="36" t="str">
        <f t="shared" ca="1" si="23"/>
        <v/>
      </c>
    </row>
    <row r="493" spans="3:11" x14ac:dyDescent="0.25">
      <c r="C493" s="53"/>
      <c r="D493" s="54"/>
      <c r="E493" s="55"/>
      <c r="F493" s="54"/>
      <c r="G493" s="56"/>
      <c r="H493" s="56"/>
      <c r="I493" s="36" t="str">
        <f t="shared" si="21"/>
        <v/>
      </c>
      <c r="J493" s="36">
        <f t="shared" si="22"/>
        <v>0</v>
      </c>
      <c r="K493" s="36" t="str">
        <f t="shared" ca="1" si="23"/>
        <v/>
      </c>
    </row>
    <row r="494" spans="3:11" x14ac:dyDescent="0.25">
      <c r="C494" s="53"/>
      <c r="D494" s="54"/>
      <c r="E494" s="55"/>
      <c r="F494" s="54"/>
      <c r="G494" s="56"/>
      <c r="H494" s="56"/>
      <c r="I494" s="36" t="str">
        <f t="shared" si="21"/>
        <v/>
      </c>
      <c r="J494" s="36">
        <f t="shared" si="22"/>
        <v>0</v>
      </c>
      <c r="K494" s="36" t="str">
        <f t="shared" ca="1" si="23"/>
        <v/>
      </c>
    </row>
    <row r="495" spans="3:11" x14ac:dyDescent="0.25">
      <c r="C495" s="53"/>
      <c r="D495" s="54"/>
      <c r="E495" s="55"/>
      <c r="F495" s="54"/>
      <c r="G495" s="56"/>
      <c r="H495" s="56"/>
      <c r="I495" s="36" t="str">
        <f t="shared" si="21"/>
        <v/>
      </c>
      <c r="J495" s="36">
        <f t="shared" si="22"/>
        <v>0</v>
      </c>
      <c r="K495" s="36" t="str">
        <f t="shared" ca="1" si="23"/>
        <v/>
      </c>
    </row>
    <row r="496" spans="3:11" x14ac:dyDescent="0.25">
      <c r="C496" s="53"/>
      <c r="D496" s="54"/>
      <c r="E496" s="55"/>
      <c r="F496" s="54"/>
      <c r="G496" s="56"/>
      <c r="H496" s="56"/>
      <c r="I496" s="36" t="str">
        <f t="shared" si="21"/>
        <v/>
      </c>
      <c r="J496" s="36">
        <f t="shared" si="22"/>
        <v>0</v>
      </c>
      <c r="K496" s="36" t="str">
        <f t="shared" ca="1" si="23"/>
        <v/>
      </c>
    </row>
    <row r="497" spans="3:11" x14ac:dyDescent="0.25">
      <c r="C497" s="53"/>
      <c r="D497" s="54"/>
      <c r="E497" s="55"/>
      <c r="F497" s="54"/>
      <c r="G497" s="56"/>
      <c r="H497" s="56"/>
      <c r="I497" s="36" t="str">
        <f t="shared" si="21"/>
        <v/>
      </c>
      <c r="J497" s="36">
        <f t="shared" si="22"/>
        <v>0</v>
      </c>
      <c r="K497" s="36" t="str">
        <f t="shared" ca="1" si="23"/>
        <v/>
      </c>
    </row>
    <row r="498" spans="3:11" x14ac:dyDescent="0.25">
      <c r="C498" s="53"/>
      <c r="D498" s="54"/>
      <c r="E498" s="55"/>
      <c r="F498" s="54"/>
      <c r="G498" s="56"/>
      <c r="H498" s="56"/>
      <c r="I498" s="36" t="str">
        <f t="shared" si="21"/>
        <v/>
      </c>
      <c r="J498" s="36">
        <f t="shared" si="22"/>
        <v>0</v>
      </c>
      <c r="K498" s="36" t="str">
        <f t="shared" ca="1" si="23"/>
        <v/>
      </c>
    </row>
    <row r="499" spans="3:11" x14ac:dyDescent="0.25">
      <c r="C499" s="53"/>
      <c r="D499" s="54"/>
      <c r="E499" s="55"/>
      <c r="F499" s="54"/>
      <c r="G499" s="56"/>
      <c r="H499" s="56"/>
      <c r="I499" s="36" t="str">
        <f t="shared" si="21"/>
        <v/>
      </c>
      <c r="J499" s="36">
        <f t="shared" si="22"/>
        <v>0</v>
      </c>
      <c r="K499" s="36" t="str">
        <f t="shared" ca="1" si="23"/>
        <v/>
      </c>
    </row>
    <row r="500" spans="3:11" x14ac:dyDescent="0.25">
      <c r="C500" s="53"/>
      <c r="D500" s="54"/>
      <c r="E500" s="55"/>
      <c r="F500" s="54"/>
      <c r="G500" s="56"/>
      <c r="H500" s="56"/>
      <c r="I500" s="36" t="str">
        <f t="shared" si="21"/>
        <v/>
      </c>
      <c r="J500" s="36">
        <f t="shared" si="22"/>
        <v>0</v>
      </c>
      <c r="K500" s="36" t="str">
        <f t="shared" ca="1" si="23"/>
        <v/>
      </c>
    </row>
    <row r="501" spans="3:11" x14ac:dyDescent="0.25">
      <c r="C501" s="53"/>
      <c r="D501" s="54"/>
      <c r="E501" s="55"/>
      <c r="F501" s="54"/>
      <c r="G501" s="56"/>
      <c r="H501" s="56"/>
      <c r="I501" s="36" t="str">
        <f t="shared" si="21"/>
        <v/>
      </c>
      <c r="J501" s="36">
        <f t="shared" si="22"/>
        <v>0</v>
      </c>
      <c r="K501" s="36" t="str">
        <f t="shared" ca="1" si="23"/>
        <v/>
      </c>
    </row>
    <row r="502" spans="3:11" x14ac:dyDescent="0.25">
      <c r="C502" s="53"/>
      <c r="D502" s="54"/>
      <c r="E502" s="55"/>
      <c r="F502" s="54"/>
      <c r="G502" s="56"/>
      <c r="H502" s="56"/>
      <c r="I502" s="36" t="str">
        <f t="shared" si="21"/>
        <v/>
      </c>
      <c r="J502" s="36">
        <f t="shared" si="22"/>
        <v>0</v>
      </c>
      <c r="K502" s="36" t="str">
        <f t="shared" ca="1" si="23"/>
        <v/>
      </c>
    </row>
    <row r="503" spans="3:11" x14ac:dyDescent="0.25">
      <c r="C503" s="53"/>
      <c r="D503" s="54"/>
      <c r="E503" s="55"/>
      <c r="F503" s="54"/>
      <c r="G503" s="56"/>
      <c r="H503" s="56"/>
      <c r="I503" s="36" t="str">
        <f t="shared" si="21"/>
        <v/>
      </c>
      <c r="J503" s="36">
        <f t="shared" si="22"/>
        <v>0</v>
      </c>
      <c r="K503" s="36" t="str">
        <f t="shared" ca="1" si="23"/>
        <v/>
      </c>
    </row>
    <row r="504" spans="3:11" x14ac:dyDescent="0.25">
      <c r="C504" s="53"/>
      <c r="D504" s="54"/>
      <c r="E504" s="55"/>
      <c r="F504" s="54"/>
      <c r="G504" s="56"/>
      <c r="H504" s="56"/>
      <c r="I504" s="36" t="str">
        <f t="shared" si="21"/>
        <v/>
      </c>
      <c r="J504" s="36">
        <f t="shared" si="22"/>
        <v>0</v>
      </c>
      <c r="K504" s="36" t="str">
        <f t="shared" ca="1" si="23"/>
        <v/>
      </c>
    </row>
    <row r="505" spans="3:11" x14ac:dyDescent="0.25">
      <c r="C505" s="53"/>
      <c r="D505" s="54"/>
      <c r="E505" s="55"/>
      <c r="F505" s="54"/>
      <c r="G505" s="56"/>
      <c r="H505" s="56"/>
      <c r="I505" s="36" t="str">
        <f t="shared" si="21"/>
        <v/>
      </c>
      <c r="J505" s="36">
        <f t="shared" si="22"/>
        <v>0</v>
      </c>
      <c r="K505" s="36" t="str">
        <f t="shared" ca="1" si="23"/>
        <v/>
      </c>
    </row>
    <row r="506" spans="3:11" x14ac:dyDescent="0.25">
      <c r="C506" s="53"/>
      <c r="D506" s="54"/>
      <c r="E506" s="55"/>
      <c r="F506" s="54"/>
      <c r="G506" s="56"/>
      <c r="H506" s="56"/>
      <c r="I506" s="36" t="str">
        <f t="shared" si="21"/>
        <v/>
      </c>
      <c r="J506" s="36">
        <f t="shared" si="22"/>
        <v>0</v>
      </c>
      <c r="K506" s="36" t="str">
        <f t="shared" ca="1" si="23"/>
        <v/>
      </c>
    </row>
    <row r="507" spans="3:11" x14ac:dyDescent="0.25">
      <c r="C507" s="53"/>
      <c r="D507" s="54"/>
      <c r="E507" s="55"/>
      <c r="F507" s="54"/>
      <c r="G507" s="56"/>
      <c r="H507" s="56"/>
      <c r="I507" s="36" t="str">
        <f t="shared" si="21"/>
        <v/>
      </c>
      <c r="J507" s="36">
        <f t="shared" si="22"/>
        <v>0</v>
      </c>
      <c r="K507" s="36" t="str">
        <f t="shared" ca="1" si="23"/>
        <v/>
      </c>
    </row>
    <row r="508" spans="3:11" x14ac:dyDescent="0.25">
      <c r="C508" s="53"/>
      <c r="D508" s="54"/>
      <c r="E508" s="55"/>
      <c r="F508" s="54"/>
      <c r="G508" s="56"/>
      <c r="H508" s="56"/>
      <c r="I508" s="36" t="str">
        <f t="shared" si="21"/>
        <v/>
      </c>
      <c r="J508" s="36">
        <f t="shared" si="22"/>
        <v>0</v>
      </c>
      <c r="K508" s="36" t="str">
        <f t="shared" ca="1" si="23"/>
        <v/>
      </c>
    </row>
    <row r="509" spans="3:11" x14ac:dyDescent="0.25">
      <c r="C509" s="53"/>
      <c r="D509" s="54"/>
      <c r="E509" s="55"/>
      <c r="F509" s="54"/>
      <c r="G509" s="56"/>
      <c r="H509" s="56"/>
      <c r="I509" s="36" t="str">
        <f t="shared" si="21"/>
        <v/>
      </c>
      <c r="J509" s="36">
        <f t="shared" si="22"/>
        <v>0</v>
      </c>
      <c r="K509" s="36" t="str">
        <f t="shared" ca="1" si="23"/>
        <v/>
      </c>
    </row>
    <row r="510" spans="3:11" x14ac:dyDescent="0.25">
      <c r="C510" s="53"/>
      <c r="D510" s="54"/>
      <c r="E510" s="55"/>
      <c r="F510" s="54"/>
      <c r="G510" s="56"/>
      <c r="H510" s="56"/>
      <c r="I510" s="36" t="str">
        <f t="shared" si="21"/>
        <v/>
      </c>
      <c r="J510" s="36">
        <f t="shared" si="22"/>
        <v>0</v>
      </c>
      <c r="K510" s="36" t="str">
        <f t="shared" ca="1" si="23"/>
        <v/>
      </c>
    </row>
    <row r="511" spans="3:11" x14ac:dyDescent="0.25">
      <c r="C511" s="53"/>
      <c r="D511" s="54"/>
      <c r="E511" s="55"/>
      <c r="F511" s="54"/>
      <c r="G511" s="56"/>
      <c r="H511" s="56"/>
      <c r="I511" s="36" t="str">
        <f t="shared" si="21"/>
        <v/>
      </c>
      <c r="J511" s="36">
        <f t="shared" si="22"/>
        <v>0</v>
      </c>
      <c r="K511" s="36" t="str">
        <f t="shared" ca="1" si="23"/>
        <v/>
      </c>
    </row>
    <row r="512" spans="3:11" x14ac:dyDescent="0.25">
      <c r="C512" s="53"/>
      <c r="D512" s="54"/>
      <c r="E512" s="55"/>
      <c r="F512" s="54"/>
      <c r="G512" s="56"/>
      <c r="H512" s="56"/>
      <c r="I512" s="36" t="str">
        <f t="shared" si="21"/>
        <v/>
      </c>
      <c r="J512" s="36">
        <f t="shared" si="22"/>
        <v>0</v>
      </c>
      <c r="K512" s="36" t="str">
        <f t="shared" ca="1" si="23"/>
        <v/>
      </c>
    </row>
    <row r="513" spans="3:11" x14ac:dyDescent="0.25">
      <c r="C513" s="53"/>
      <c r="D513" s="54"/>
      <c r="E513" s="55"/>
      <c r="F513" s="54"/>
      <c r="G513" s="56"/>
      <c r="H513" s="56"/>
      <c r="I513" s="36" t="str">
        <f t="shared" si="21"/>
        <v/>
      </c>
      <c r="J513" s="36">
        <f t="shared" si="22"/>
        <v>0</v>
      </c>
      <c r="K513" s="36" t="str">
        <f t="shared" ca="1" si="23"/>
        <v/>
      </c>
    </row>
    <row r="514" spans="3:11" x14ac:dyDescent="0.25">
      <c r="C514" s="53"/>
      <c r="D514" s="54"/>
      <c r="E514" s="55"/>
      <c r="F514" s="54"/>
      <c r="G514" s="56"/>
      <c r="H514" s="56"/>
      <c r="I514" s="36" t="str">
        <f t="shared" si="21"/>
        <v/>
      </c>
      <c r="J514" s="36">
        <f t="shared" si="22"/>
        <v>0</v>
      </c>
      <c r="K514" s="36" t="str">
        <f t="shared" ca="1" si="23"/>
        <v/>
      </c>
    </row>
    <row r="515" spans="3:11" x14ac:dyDescent="0.25">
      <c r="C515" s="53"/>
      <c r="D515" s="54"/>
      <c r="E515" s="55"/>
      <c r="F515" s="54"/>
      <c r="G515" s="56"/>
      <c r="H515" s="56"/>
      <c r="I515" s="36" t="str">
        <f t="shared" si="21"/>
        <v/>
      </c>
      <c r="J515" s="36">
        <f t="shared" si="22"/>
        <v>0</v>
      </c>
      <c r="K515" s="36" t="str">
        <f t="shared" ca="1" si="23"/>
        <v/>
      </c>
    </row>
    <row r="516" spans="3:11" x14ac:dyDescent="0.25">
      <c r="C516" s="53"/>
      <c r="D516" s="54"/>
      <c r="E516" s="55"/>
      <c r="F516" s="54"/>
      <c r="G516" s="56"/>
      <c r="H516" s="56"/>
      <c r="I516" s="36" t="str">
        <f t="shared" si="21"/>
        <v/>
      </c>
      <c r="J516" s="36">
        <f t="shared" si="22"/>
        <v>0</v>
      </c>
      <c r="K516" s="36" t="str">
        <f t="shared" ca="1" si="23"/>
        <v/>
      </c>
    </row>
    <row r="517" spans="3:11" x14ac:dyDescent="0.25">
      <c r="C517" s="53"/>
      <c r="D517" s="54"/>
      <c r="E517" s="55"/>
      <c r="F517" s="54"/>
      <c r="G517" s="56"/>
      <c r="H517" s="56"/>
      <c r="I517" s="36" t="str">
        <f t="shared" si="21"/>
        <v/>
      </c>
      <c r="J517" s="36">
        <f t="shared" si="22"/>
        <v>0</v>
      </c>
      <c r="K517" s="36" t="str">
        <f t="shared" ca="1" si="23"/>
        <v/>
      </c>
    </row>
    <row r="518" spans="3:11" x14ac:dyDescent="0.25">
      <c r="C518" s="53"/>
      <c r="D518" s="54"/>
      <c r="E518" s="55"/>
      <c r="F518" s="54"/>
      <c r="G518" s="56"/>
      <c r="H518" s="56"/>
      <c r="I518" s="36" t="str">
        <f t="shared" si="21"/>
        <v/>
      </c>
      <c r="J518" s="36">
        <f t="shared" si="22"/>
        <v>0</v>
      </c>
      <c r="K518" s="36" t="str">
        <f t="shared" ca="1" si="23"/>
        <v/>
      </c>
    </row>
    <row r="519" spans="3:11" x14ac:dyDescent="0.25">
      <c r="C519" s="53"/>
      <c r="D519" s="54"/>
      <c r="E519" s="55"/>
      <c r="F519" s="54"/>
      <c r="G519" s="56"/>
      <c r="H519" s="56"/>
      <c r="I519" s="36" t="str">
        <f t="shared" si="21"/>
        <v/>
      </c>
      <c r="J519" s="36">
        <f t="shared" si="22"/>
        <v>0</v>
      </c>
      <c r="K519" s="36" t="str">
        <f t="shared" ca="1" si="23"/>
        <v/>
      </c>
    </row>
    <row r="520" spans="3:11" x14ac:dyDescent="0.25">
      <c r="C520" s="53"/>
      <c r="D520" s="54"/>
      <c r="E520" s="55"/>
      <c r="F520" s="54"/>
      <c r="G520" s="56"/>
      <c r="H520" s="56"/>
      <c r="I520" s="36" t="str">
        <f t="shared" si="21"/>
        <v/>
      </c>
      <c r="J520" s="36">
        <f t="shared" si="22"/>
        <v>0</v>
      </c>
      <c r="K520" s="36" t="str">
        <f t="shared" ca="1" si="23"/>
        <v/>
      </c>
    </row>
    <row r="521" spans="3:11" x14ac:dyDescent="0.25">
      <c r="C521" s="53"/>
      <c r="D521" s="54"/>
      <c r="E521" s="55"/>
      <c r="F521" s="54"/>
      <c r="G521" s="56"/>
      <c r="H521" s="56"/>
      <c r="I521" s="36" t="str">
        <f t="shared" si="21"/>
        <v/>
      </c>
      <c r="J521" s="36">
        <f t="shared" si="22"/>
        <v>0</v>
      </c>
      <c r="K521" s="36" t="str">
        <f t="shared" ca="1" si="23"/>
        <v/>
      </c>
    </row>
    <row r="522" spans="3:11" x14ac:dyDescent="0.25">
      <c r="C522" s="53"/>
      <c r="D522" s="54"/>
      <c r="E522" s="55"/>
      <c r="F522" s="54"/>
      <c r="G522" s="56"/>
      <c r="H522" s="56"/>
      <c r="I522" s="36" t="str">
        <f t="shared" si="21"/>
        <v/>
      </c>
      <c r="J522" s="36">
        <f t="shared" si="22"/>
        <v>0</v>
      </c>
      <c r="K522" s="36" t="str">
        <f t="shared" ca="1" si="23"/>
        <v/>
      </c>
    </row>
    <row r="523" spans="3:11" x14ac:dyDescent="0.25">
      <c r="C523" s="53"/>
      <c r="D523" s="54"/>
      <c r="E523" s="55"/>
      <c r="F523" s="54"/>
      <c r="G523" s="56"/>
      <c r="H523" s="56"/>
      <c r="I523" s="36" t="str">
        <f t="shared" si="21"/>
        <v/>
      </c>
      <c r="J523" s="36">
        <f t="shared" si="22"/>
        <v>0</v>
      </c>
      <c r="K523" s="36" t="str">
        <f t="shared" ca="1" si="23"/>
        <v/>
      </c>
    </row>
    <row r="524" spans="3:11" x14ac:dyDescent="0.25">
      <c r="C524" s="53"/>
      <c r="D524" s="54"/>
      <c r="E524" s="55"/>
      <c r="F524" s="54"/>
      <c r="G524" s="56"/>
      <c r="H524" s="56"/>
      <c r="I524" s="36" t="str">
        <f t="shared" si="21"/>
        <v/>
      </c>
      <c r="J524" s="36">
        <f t="shared" si="22"/>
        <v>0</v>
      </c>
      <c r="K524" s="36" t="str">
        <f t="shared" ca="1" si="23"/>
        <v/>
      </c>
    </row>
    <row r="525" spans="3:11" x14ac:dyDescent="0.25">
      <c r="C525" s="53"/>
      <c r="D525" s="54"/>
      <c r="E525" s="55"/>
      <c r="F525" s="54"/>
      <c r="G525" s="56"/>
      <c r="H525" s="56"/>
      <c r="I525" s="36" t="str">
        <f t="shared" si="21"/>
        <v/>
      </c>
      <c r="J525" s="36">
        <f t="shared" si="22"/>
        <v>0</v>
      </c>
      <c r="K525" s="36" t="str">
        <f t="shared" ca="1" si="23"/>
        <v/>
      </c>
    </row>
    <row r="526" spans="3:11" x14ac:dyDescent="0.25">
      <c r="C526" s="53"/>
      <c r="D526" s="54"/>
      <c r="E526" s="55"/>
      <c r="F526" s="54"/>
      <c r="G526" s="56"/>
      <c r="H526" s="56"/>
      <c r="I526" s="36" t="str">
        <f t="shared" si="21"/>
        <v/>
      </c>
      <c r="J526" s="36">
        <f t="shared" si="22"/>
        <v>0</v>
      </c>
      <c r="K526" s="36" t="str">
        <f t="shared" ca="1" si="23"/>
        <v/>
      </c>
    </row>
    <row r="527" spans="3:11" x14ac:dyDescent="0.25">
      <c r="C527" s="53"/>
      <c r="D527" s="54"/>
      <c r="E527" s="55"/>
      <c r="F527" s="54"/>
      <c r="G527" s="56"/>
      <c r="H527" s="56"/>
      <c r="I527" s="36" t="str">
        <f t="shared" si="21"/>
        <v/>
      </c>
      <c r="J527" s="36">
        <f t="shared" si="22"/>
        <v>0</v>
      </c>
      <c r="K527" s="36" t="str">
        <f t="shared" ca="1" si="23"/>
        <v/>
      </c>
    </row>
    <row r="528" spans="3:11" x14ac:dyDescent="0.25">
      <c r="C528" s="53"/>
      <c r="D528" s="54"/>
      <c r="E528" s="55"/>
      <c r="F528" s="54"/>
      <c r="G528" s="56"/>
      <c r="H528" s="56"/>
      <c r="I528" s="36" t="str">
        <f t="shared" ref="I528:I591" si="24">IF(C528="","",IF(H528&lt;=0,"Em aberto",IF(H528&gt;=G528,"Pagamento Total",IF(H528&lt;G528,"Pagamento Parcial"))))</f>
        <v/>
      </c>
      <c r="J528" s="36">
        <f t="shared" ref="J528:J591" si="25">IF(C528&gt;0,G528-H528,0)</f>
        <v>0</v>
      </c>
      <c r="K528" s="36" t="str">
        <f t="shared" ref="K528:K591" ca="1" si="26">IF(ISBLANK(C528),"",IF(H528=G528,"Pago",IF(C528=TODAY(),"Vence Hoje",IF(TRIM(UPPER(G527))&lt;&gt;"S",IF(C528-TODAY()&lt;0,"Vencida",IF(C528-TODAY()&lt;8,"Próximos sete dias","Em aberto"))))))</f>
        <v/>
      </c>
    </row>
    <row r="529" spans="3:11" x14ac:dyDescent="0.25">
      <c r="C529" s="53"/>
      <c r="D529" s="54"/>
      <c r="E529" s="55"/>
      <c r="F529" s="54"/>
      <c r="G529" s="56"/>
      <c r="H529" s="56"/>
      <c r="I529" s="36" t="str">
        <f t="shared" si="24"/>
        <v/>
      </c>
      <c r="J529" s="36">
        <f t="shared" si="25"/>
        <v>0</v>
      </c>
      <c r="K529" s="36" t="str">
        <f t="shared" ca="1" si="26"/>
        <v/>
      </c>
    </row>
    <row r="530" spans="3:11" x14ac:dyDescent="0.25">
      <c r="C530" s="53"/>
      <c r="D530" s="54"/>
      <c r="E530" s="55"/>
      <c r="F530" s="54"/>
      <c r="G530" s="56"/>
      <c r="H530" s="56"/>
      <c r="I530" s="36" t="str">
        <f t="shared" si="24"/>
        <v/>
      </c>
      <c r="J530" s="36">
        <f t="shared" si="25"/>
        <v>0</v>
      </c>
      <c r="K530" s="36" t="str">
        <f t="shared" ca="1" si="26"/>
        <v/>
      </c>
    </row>
    <row r="531" spans="3:11" x14ac:dyDescent="0.25">
      <c r="C531" s="53"/>
      <c r="D531" s="54"/>
      <c r="E531" s="55"/>
      <c r="F531" s="54"/>
      <c r="G531" s="56"/>
      <c r="H531" s="56"/>
      <c r="I531" s="36" t="str">
        <f t="shared" si="24"/>
        <v/>
      </c>
      <c r="J531" s="36">
        <f t="shared" si="25"/>
        <v>0</v>
      </c>
      <c r="K531" s="36" t="str">
        <f t="shared" ca="1" si="26"/>
        <v/>
      </c>
    </row>
    <row r="532" spans="3:11" x14ac:dyDescent="0.25">
      <c r="C532" s="53"/>
      <c r="D532" s="54"/>
      <c r="E532" s="55"/>
      <c r="F532" s="54"/>
      <c r="G532" s="56"/>
      <c r="H532" s="56"/>
      <c r="I532" s="36" t="str">
        <f t="shared" si="24"/>
        <v/>
      </c>
      <c r="J532" s="36">
        <f t="shared" si="25"/>
        <v>0</v>
      </c>
      <c r="K532" s="36" t="str">
        <f t="shared" ca="1" si="26"/>
        <v/>
      </c>
    </row>
    <row r="533" spans="3:11" x14ac:dyDescent="0.25">
      <c r="C533" s="53"/>
      <c r="D533" s="54"/>
      <c r="E533" s="55"/>
      <c r="F533" s="54"/>
      <c r="G533" s="56"/>
      <c r="H533" s="56"/>
      <c r="I533" s="36" t="str">
        <f t="shared" si="24"/>
        <v/>
      </c>
      <c r="J533" s="36">
        <f t="shared" si="25"/>
        <v>0</v>
      </c>
      <c r="K533" s="36" t="str">
        <f t="shared" ca="1" si="26"/>
        <v/>
      </c>
    </row>
    <row r="534" spans="3:11" x14ac:dyDescent="0.25">
      <c r="C534" s="53"/>
      <c r="D534" s="54"/>
      <c r="E534" s="55"/>
      <c r="F534" s="54"/>
      <c r="G534" s="56"/>
      <c r="H534" s="56"/>
      <c r="I534" s="36" t="str">
        <f t="shared" si="24"/>
        <v/>
      </c>
      <c r="J534" s="36">
        <f t="shared" si="25"/>
        <v>0</v>
      </c>
      <c r="K534" s="36" t="str">
        <f t="shared" ca="1" si="26"/>
        <v/>
      </c>
    </row>
    <row r="535" spans="3:11" x14ac:dyDescent="0.25">
      <c r="C535" s="53"/>
      <c r="D535" s="54"/>
      <c r="E535" s="55"/>
      <c r="F535" s="54"/>
      <c r="G535" s="56"/>
      <c r="H535" s="56"/>
      <c r="I535" s="36" t="str">
        <f t="shared" si="24"/>
        <v/>
      </c>
      <c r="J535" s="36">
        <f t="shared" si="25"/>
        <v>0</v>
      </c>
      <c r="K535" s="36" t="str">
        <f t="shared" ca="1" si="26"/>
        <v/>
      </c>
    </row>
    <row r="536" spans="3:11" x14ac:dyDescent="0.25">
      <c r="C536" s="53"/>
      <c r="D536" s="54"/>
      <c r="E536" s="55"/>
      <c r="F536" s="54"/>
      <c r="G536" s="56"/>
      <c r="H536" s="56"/>
      <c r="I536" s="36" t="str">
        <f t="shared" si="24"/>
        <v/>
      </c>
      <c r="J536" s="36">
        <f t="shared" si="25"/>
        <v>0</v>
      </c>
      <c r="K536" s="36" t="str">
        <f t="shared" ca="1" si="26"/>
        <v/>
      </c>
    </row>
    <row r="537" spans="3:11" x14ac:dyDescent="0.25">
      <c r="C537" s="53"/>
      <c r="D537" s="54"/>
      <c r="E537" s="55"/>
      <c r="F537" s="54"/>
      <c r="G537" s="56"/>
      <c r="H537" s="56"/>
      <c r="I537" s="36" t="str">
        <f t="shared" si="24"/>
        <v/>
      </c>
      <c r="J537" s="36">
        <f t="shared" si="25"/>
        <v>0</v>
      </c>
      <c r="K537" s="36" t="str">
        <f t="shared" ca="1" si="26"/>
        <v/>
      </c>
    </row>
    <row r="538" spans="3:11" x14ac:dyDescent="0.25">
      <c r="C538" s="53"/>
      <c r="D538" s="54"/>
      <c r="E538" s="55"/>
      <c r="F538" s="54"/>
      <c r="G538" s="56"/>
      <c r="H538" s="56"/>
      <c r="I538" s="36" t="str">
        <f t="shared" si="24"/>
        <v/>
      </c>
      <c r="J538" s="36">
        <f t="shared" si="25"/>
        <v>0</v>
      </c>
      <c r="K538" s="36" t="str">
        <f t="shared" ca="1" si="26"/>
        <v/>
      </c>
    </row>
    <row r="539" spans="3:11" x14ac:dyDescent="0.25">
      <c r="C539" s="53"/>
      <c r="D539" s="54"/>
      <c r="E539" s="55"/>
      <c r="F539" s="54"/>
      <c r="G539" s="56"/>
      <c r="H539" s="56"/>
      <c r="I539" s="36" t="str">
        <f t="shared" si="24"/>
        <v/>
      </c>
      <c r="J539" s="36">
        <f t="shared" si="25"/>
        <v>0</v>
      </c>
      <c r="K539" s="36" t="str">
        <f t="shared" ca="1" si="26"/>
        <v/>
      </c>
    </row>
    <row r="540" spans="3:11" x14ac:dyDescent="0.25">
      <c r="C540" s="53"/>
      <c r="D540" s="54"/>
      <c r="E540" s="55"/>
      <c r="F540" s="54"/>
      <c r="G540" s="56"/>
      <c r="H540" s="56"/>
      <c r="I540" s="36" t="str">
        <f t="shared" si="24"/>
        <v/>
      </c>
      <c r="J540" s="36">
        <f t="shared" si="25"/>
        <v>0</v>
      </c>
      <c r="K540" s="36" t="str">
        <f t="shared" ca="1" si="26"/>
        <v/>
      </c>
    </row>
    <row r="541" spans="3:11" x14ac:dyDescent="0.25">
      <c r="C541" s="53"/>
      <c r="D541" s="54"/>
      <c r="E541" s="55"/>
      <c r="F541" s="54"/>
      <c r="G541" s="56"/>
      <c r="H541" s="56"/>
      <c r="I541" s="36" t="str">
        <f t="shared" si="24"/>
        <v/>
      </c>
      <c r="J541" s="36">
        <f t="shared" si="25"/>
        <v>0</v>
      </c>
      <c r="K541" s="36" t="str">
        <f t="shared" ca="1" si="26"/>
        <v/>
      </c>
    </row>
    <row r="542" spans="3:11" x14ac:dyDescent="0.25">
      <c r="C542" s="53"/>
      <c r="D542" s="54"/>
      <c r="E542" s="55"/>
      <c r="F542" s="54"/>
      <c r="G542" s="56"/>
      <c r="H542" s="56"/>
      <c r="I542" s="36" t="str">
        <f t="shared" si="24"/>
        <v/>
      </c>
      <c r="J542" s="36">
        <f t="shared" si="25"/>
        <v>0</v>
      </c>
      <c r="K542" s="36" t="str">
        <f t="shared" ca="1" si="26"/>
        <v/>
      </c>
    </row>
    <row r="543" spans="3:11" x14ac:dyDescent="0.25">
      <c r="C543" s="53"/>
      <c r="D543" s="54"/>
      <c r="E543" s="55"/>
      <c r="F543" s="54"/>
      <c r="G543" s="56"/>
      <c r="H543" s="56"/>
      <c r="I543" s="36" t="str">
        <f t="shared" si="24"/>
        <v/>
      </c>
      <c r="J543" s="36">
        <f t="shared" si="25"/>
        <v>0</v>
      </c>
      <c r="K543" s="36" t="str">
        <f t="shared" ca="1" si="26"/>
        <v/>
      </c>
    </row>
    <row r="544" spans="3:11" x14ac:dyDescent="0.25">
      <c r="C544" s="53"/>
      <c r="D544" s="54"/>
      <c r="E544" s="55"/>
      <c r="F544" s="54"/>
      <c r="G544" s="56"/>
      <c r="H544" s="56"/>
      <c r="I544" s="36" t="str">
        <f t="shared" si="24"/>
        <v/>
      </c>
      <c r="J544" s="36">
        <f t="shared" si="25"/>
        <v>0</v>
      </c>
      <c r="K544" s="36" t="str">
        <f t="shared" ca="1" si="26"/>
        <v/>
      </c>
    </row>
    <row r="545" spans="3:11" x14ac:dyDescent="0.25">
      <c r="C545" s="53"/>
      <c r="D545" s="54"/>
      <c r="E545" s="55"/>
      <c r="F545" s="54"/>
      <c r="G545" s="56"/>
      <c r="H545" s="56"/>
      <c r="I545" s="36" t="str">
        <f t="shared" si="24"/>
        <v/>
      </c>
      <c r="J545" s="36">
        <f t="shared" si="25"/>
        <v>0</v>
      </c>
      <c r="K545" s="36" t="str">
        <f t="shared" ca="1" si="26"/>
        <v/>
      </c>
    </row>
    <row r="546" spans="3:11" x14ac:dyDescent="0.25">
      <c r="C546" s="53"/>
      <c r="D546" s="54"/>
      <c r="E546" s="55"/>
      <c r="F546" s="54"/>
      <c r="G546" s="56"/>
      <c r="H546" s="56"/>
      <c r="I546" s="36" t="str">
        <f t="shared" si="24"/>
        <v/>
      </c>
      <c r="J546" s="36">
        <f t="shared" si="25"/>
        <v>0</v>
      </c>
      <c r="K546" s="36" t="str">
        <f t="shared" ca="1" si="26"/>
        <v/>
      </c>
    </row>
    <row r="547" spans="3:11" x14ac:dyDescent="0.25">
      <c r="C547" s="53"/>
      <c r="D547" s="54"/>
      <c r="E547" s="55"/>
      <c r="F547" s="54"/>
      <c r="G547" s="56"/>
      <c r="H547" s="56"/>
      <c r="I547" s="36" t="str">
        <f t="shared" si="24"/>
        <v/>
      </c>
      <c r="J547" s="36">
        <f t="shared" si="25"/>
        <v>0</v>
      </c>
      <c r="K547" s="36" t="str">
        <f t="shared" ca="1" si="26"/>
        <v/>
      </c>
    </row>
    <row r="548" spans="3:11" x14ac:dyDescent="0.25">
      <c r="C548" s="53"/>
      <c r="D548" s="54"/>
      <c r="E548" s="55"/>
      <c r="F548" s="54"/>
      <c r="G548" s="56"/>
      <c r="H548" s="56"/>
      <c r="I548" s="36" t="str">
        <f t="shared" si="24"/>
        <v/>
      </c>
      <c r="J548" s="36">
        <f t="shared" si="25"/>
        <v>0</v>
      </c>
      <c r="K548" s="36" t="str">
        <f t="shared" ca="1" si="26"/>
        <v/>
      </c>
    </row>
    <row r="549" spans="3:11" x14ac:dyDescent="0.25">
      <c r="C549" s="53"/>
      <c r="D549" s="54"/>
      <c r="E549" s="55"/>
      <c r="F549" s="54"/>
      <c r="G549" s="56"/>
      <c r="H549" s="56"/>
      <c r="I549" s="36" t="str">
        <f t="shared" si="24"/>
        <v/>
      </c>
      <c r="J549" s="36">
        <f t="shared" si="25"/>
        <v>0</v>
      </c>
      <c r="K549" s="36" t="str">
        <f t="shared" ca="1" si="26"/>
        <v/>
      </c>
    </row>
    <row r="550" spans="3:11" x14ac:dyDescent="0.25">
      <c r="C550" s="53"/>
      <c r="D550" s="54"/>
      <c r="E550" s="55"/>
      <c r="F550" s="54"/>
      <c r="G550" s="56"/>
      <c r="H550" s="56"/>
      <c r="I550" s="36" t="str">
        <f t="shared" si="24"/>
        <v/>
      </c>
      <c r="J550" s="36">
        <f t="shared" si="25"/>
        <v>0</v>
      </c>
      <c r="K550" s="36" t="str">
        <f t="shared" ca="1" si="26"/>
        <v/>
      </c>
    </row>
    <row r="551" spans="3:11" x14ac:dyDescent="0.25">
      <c r="C551" s="53"/>
      <c r="D551" s="54"/>
      <c r="E551" s="55"/>
      <c r="F551" s="54"/>
      <c r="G551" s="56"/>
      <c r="H551" s="56"/>
      <c r="I551" s="36" t="str">
        <f t="shared" si="24"/>
        <v/>
      </c>
      <c r="J551" s="36">
        <f t="shared" si="25"/>
        <v>0</v>
      </c>
      <c r="K551" s="36" t="str">
        <f t="shared" ca="1" si="26"/>
        <v/>
      </c>
    </row>
    <row r="552" spans="3:11" x14ac:dyDescent="0.25">
      <c r="C552" s="53"/>
      <c r="D552" s="54"/>
      <c r="E552" s="55"/>
      <c r="F552" s="54"/>
      <c r="G552" s="56"/>
      <c r="H552" s="56"/>
      <c r="I552" s="36" t="str">
        <f t="shared" si="24"/>
        <v/>
      </c>
      <c r="J552" s="36">
        <f t="shared" si="25"/>
        <v>0</v>
      </c>
      <c r="K552" s="36" t="str">
        <f t="shared" ca="1" si="26"/>
        <v/>
      </c>
    </row>
    <row r="553" spans="3:11" x14ac:dyDescent="0.25">
      <c r="C553" s="53"/>
      <c r="D553" s="54"/>
      <c r="E553" s="55"/>
      <c r="F553" s="54"/>
      <c r="G553" s="56"/>
      <c r="H553" s="56"/>
      <c r="I553" s="36" t="str">
        <f t="shared" si="24"/>
        <v/>
      </c>
      <c r="J553" s="36">
        <f t="shared" si="25"/>
        <v>0</v>
      </c>
      <c r="K553" s="36" t="str">
        <f t="shared" ca="1" si="26"/>
        <v/>
      </c>
    </row>
    <row r="554" spans="3:11" x14ac:dyDescent="0.25">
      <c r="C554" s="53"/>
      <c r="D554" s="54"/>
      <c r="E554" s="55"/>
      <c r="F554" s="54"/>
      <c r="G554" s="56"/>
      <c r="H554" s="56"/>
      <c r="I554" s="36" t="str">
        <f t="shared" si="24"/>
        <v/>
      </c>
      <c r="J554" s="36">
        <f t="shared" si="25"/>
        <v>0</v>
      </c>
      <c r="K554" s="36" t="str">
        <f t="shared" ca="1" si="26"/>
        <v/>
      </c>
    </row>
    <row r="555" spans="3:11" x14ac:dyDescent="0.25">
      <c r="C555" s="53"/>
      <c r="D555" s="54"/>
      <c r="E555" s="55"/>
      <c r="F555" s="54"/>
      <c r="G555" s="56"/>
      <c r="H555" s="56"/>
      <c r="I555" s="36" t="str">
        <f t="shared" si="24"/>
        <v/>
      </c>
      <c r="J555" s="36">
        <f t="shared" si="25"/>
        <v>0</v>
      </c>
      <c r="K555" s="36" t="str">
        <f t="shared" ca="1" si="26"/>
        <v/>
      </c>
    </row>
    <row r="556" spans="3:11" x14ac:dyDescent="0.25">
      <c r="C556" s="53"/>
      <c r="D556" s="54"/>
      <c r="E556" s="55"/>
      <c r="F556" s="54"/>
      <c r="G556" s="56"/>
      <c r="H556" s="56"/>
      <c r="I556" s="36" t="str">
        <f t="shared" si="24"/>
        <v/>
      </c>
      <c r="J556" s="36">
        <f t="shared" si="25"/>
        <v>0</v>
      </c>
      <c r="K556" s="36" t="str">
        <f t="shared" ca="1" si="26"/>
        <v/>
      </c>
    </row>
    <row r="557" spans="3:11" x14ac:dyDescent="0.25">
      <c r="C557" s="53"/>
      <c r="D557" s="54"/>
      <c r="E557" s="55"/>
      <c r="F557" s="54"/>
      <c r="G557" s="56"/>
      <c r="H557" s="56"/>
      <c r="I557" s="36" t="str">
        <f t="shared" si="24"/>
        <v/>
      </c>
      <c r="J557" s="36">
        <f t="shared" si="25"/>
        <v>0</v>
      </c>
      <c r="K557" s="36" t="str">
        <f t="shared" ca="1" si="26"/>
        <v/>
      </c>
    </row>
    <row r="558" spans="3:11" x14ac:dyDescent="0.25">
      <c r="C558" s="53"/>
      <c r="D558" s="54"/>
      <c r="E558" s="55"/>
      <c r="F558" s="54"/>
      <c r="G558" s="56"/>
      <c r="H558" s="56"/>
      <c r="I558" s="36" t="str">
        <f t="shared" si="24"/>
        <v/>
      </c>
      <c r="J558" s="36">
        <f t="shared" si="25"/>
        <v>0</v>
      </c>
      <c r="K558" s="36" t="str">
        <f t="shared" ca="1" si="26"/>
        <v/>
      </c>
    </row>
    <row r="559" spans="3:11" x14ac:dyDescent="0.25">
      <c r="C559" s="53"/>
      <c r="D559" s="54"/>
      <c r="E559" s="55"/>
      <c r="F559" s="54"/>
      <c r="G559" s="56"/>
      <c r="H559" s="56"/>
      <c r="I559" s="36" t="str">
        <f t="shared" si="24"/>
        <v/>
      </c>
      <c r="J559" s="36">
        <f t="shared" si="25"/>
        <v>0</v>
      </c>
      <c r="K559" s="36" t="str">
        <f t="shared" ca="1" si="26"/>
        <v/>
      </c>
    </row>
    <row r="560" spans="3:11" x14ac:dyDescent="0.25">
      <c r="C560" s="53"/>
      <c r="D560" s="54"/>
      <c r="E560" s="55"/>
      <c r="F560" s="54"/>
      <c r="G560" s="56"/>
      <c r="H560" s="56"/>
      <c r="I560" s="36" t="str">
        <f t="shared" si="24"/>
        <v/>
      </c>
      <c r="J560" s="36">
        <f t="shared" si="25"/>
        <v>0</v>
      </c>
      <c r="K560" s="36" t="str">
        <f t="shared" ca="1" si="26"/>
        <v/>
      </c>
    </row>
    <row r="561" spans="3:11" x14ac:dyDescent="0.25">
      <c r="C561" s="53"/>
      <c r="D561" s="54"/>
      <c r="E561" s="55"/>
      <c r="F561" s="54"/>
      <c r="G561" s="56"/>
      <c r="H561" s="56"/>
      <c r="I561" s="36" t="str">
        <f t="shared" si="24"/>
        <v/>
      </c>
      <c r="J561" s="36">
        <f t="shared" si="25"/>
        <v>0</v>
      </c>
      <c r="K561" s="36" t="str">
        <f t="shared" ca="1" si="26"/>
        <v/>
      </c>
    </row>
    <row r="562" spans="3:11" x14ac:dyDescent="0.25">
      <c r="C562" s="53"/>
      <c r="D562" s="54"/>
      <c r="E562" s="55"/>
      <c r="F562" s="54"/>
      <c r="G562" s="56"/>
      <c r="H562" s="56"/>
      <c r="I562" s="36" t="str">
        <f t="shared" si="24"/>
        <v/>
      </c>
      <c r="J562" s="36">
        <f t="shared" si="25"/>
        <v>0</v>
      </c>
      <c r="K562" s="36" t="str">
        <f t="shared" ca="1" si="26"/>
        <v/>
      </c>
    </row>
    <row r="563" spans="3:11" x14ac:dyDescent="0.25">
      <c r="C563" s="53"/>
      <c r="D563" s="54"/>
      <c r="E563" s="55"/>
      <c r="F563" s="54"/>
      <c r="G563" s="56"/>
      <c r="H563" s="56"/>
      <c r="I563" s="36" t="str">
        <f t="shared" si="24"/>
        <v/>
      </c>
      <c r="J563" s="36">
        <f t="shared" si="25"/>
        <v>0</v>
      </c>
      <c r="K563" s="36" t="str">
        <f t="shared" ca="1" si="26"/>
        <v/>
      </c>
    </row>
    <row r="564" spans="3:11" x14ac:dyDescent="0.25">
      <c r="C564" s="53"/>
      <c r="D564" s="54"/>
      <c r="E564" s="55"/>
      <c r="F564" s="54"/>
      <c r="G564" s="56"/>
      <c r="H564" s="56"/>
      <c r="I564" s="36" t="str">
        <f t="shared" si="24"/>
        <v/>
      </c>
      <c r="J564" s="36">
        <f t="shared" si="25"/>
        <v>0</v>
      </c>
      <c r="K564" s="36" t="str">
        <f t="shared" ca="1" si="26"/>
        <v/>
      </c>
    </row>
    <row r="565" spans="3:11" x14ac:dyDescent="0.25">
      <c r="C565" s="53"/>
      <c r="D565" s="54"/>
      <c r="E565" s="55"/>
      <c r="F565" s="54"/>
      <c r="G565" s="56"/>
      <c r="H565" s="56"/>
      <c r="I565" s="36" t="str">
        <f t="shared" si="24"/>
        <v/>
      </c>
      <c r="J565" s="36">
        <f t="shared" si="25"/>
        <v>0</v>
      </c>
      <c r="K565" s="36" t="str">
        <f t="shared" ca="1" si="26"/>
        <v/>
      </c>
    </row>
    <row r="566" spans="3:11" x14ac:dyDescent="0.25">
      <c r="C566" s="53"/>
      <c r="D566" s="54"/>
      <c r="E566" s="55"/>
      <c r="F566" s="54"/>
      <c r="G566" s="56"/>
      <c r="H566" s="56"/>
      <c r="I566" s="36" t="str">
        <f t="shared" si="24"/>
        <v/>
      </c>
      <c r="J566" s="36">
        <f t="shared" si="25"/>
        <v>0</v>
      </c>
      <c r="K566" s="36" t="str">
        <f t="shared" ca="1" si="26"/>
        <v/>
      </c>
    </row>
    <row r="567" spans="3:11" x14ac:dyDescent="0.25">
      <c r="C567" s="53"/>
      <c r="D567" s="54"/>
      <c r="E567" s="55"/>
      <c r="F567" s="54"/>
      <c r="G567" s="56"/>
      <c r="H567" s="56"/>
      <c r="I567" s="36" t="str">
        <f t="shared" si="24"/>
        <v/>
      </c>
      <c r="J567" s="36">
        <f t="shared" si="25"/>
        <v>0</v>
      </c>
      <c r="K567" s="36" t="str">
        <f t="shared" ca="1" si="26"/>
        <v/>
      </c>
    </row>
    <row r="568" spans="3:11" x14ac:dyDescent="0.25">
      <c r="C568" s="53"/>
      <c r="D568" s="54"/>
      <c r="E568" s="55"/>
      <c r="F568" s="54"/>
      <c r="G568" s="56"/>
      <c r="H568" s="56"/>
      <c r="I568" s="36" t="str">
        <f t="shared" si="24"/>
        <v/>
      </c>
      <c r="J568" s="36">
        <f t="shared" si="25"/>
        <v>0</v>
      </c>
      <c r="K568" s="36" t="str">
        <f t="shared" ca="1" si="26"/>
        <v/>
      </c>
    </row>
    <row r="569" spans="3:11" x14ac:dyDescent="0.25">
      <c r="C569" s="53"/>
      <c r="D569" s="54"/>
      <c r="E569" s="55"/>
      <c r="F569" s="54"/>
      <c r="G569" s="56"/>
      <c r="H569" s="56"/>
      <c r="I569" s="36" t="str">
        <f t="shared" si="24"/>
        <v/>
      </c>
      <c r="J569" s="36">
        <f t="shared" si="25"/>
        <v>0</v>
      </c>
      <c r="K569" s="36" t="str">
        <f t="shared" ca="1" si="26"/>
        <v/>
      </c>
    </row>
    <row r="570" spans="3:11" x14ac:dyDescent="0.25">
      <c r="C570" s="53"/>
      <c r="D570" s="54"/>
      <c r="E570" s="55"/>
      <c r="F570" s="54"/>
      <c r="G570" s="56"/>
      <c r="H570" s="56"/>
      <c r="I570" s="36" t="str">
        <f t="shared" si="24"/>
        <v/>
      </c>
      <c r="J570" s="36">
        <f t="shared" si="25"/>
        <v>0</v>
      </c>
      <c r="K570" s="36" t="str">
        <f t="shared" ca="1" si="26"/>
        <v/>
      </c>
    </row>
    <row r="571" spans="3:11" x14ac:dyDescent="0.25">
      <c r="C571" s="53"/>
      <c r="D571" s="54"/>
      <c r="E571" s="55"/>
      <c r="F571" s="54"/>
      <c r="G571" s="56"/>
      <c r="H571" s="56"/>
      <c r="I571" s="36" t="str">
        <f t="shared" si="24"/>
        <v/>
      </c>
      <c r="J571" s="36">
        <f t="shared" si="25"/>
        <v>0</v>
      </c>
      <c r="K571" s="36" t="str">
        <f t="shared" ca="1" si="26"/>
        <v/>
      </c>
    </row>
    <row r="572" spans="3:11" x14ac:dyDescent="0.25">
      <c r="C572" s="53"/>
      <c r="D572" s="54"/>
      <c r="E572" s="55"/>
      <c r="F572" s="54"/>
      <c r="G572" s="56"/>
      <c r="H572" s="56"/>
      <c r="I572" s="36" t="str">
        <f t="shared" si="24"/>
        <v/>
      </c>
      <c r="J572" s="36">
        <f t="shared" si="25"/>
        <v>0</v>
      </c>
      <c r="K572" s="36" t="str">
        <f t="shared" ca="1" si="26"/>
        <v/>
      </c>
    </row>
    <row r="573" spans="3:11" x14ac:dyDescent="0.25">
      <c r="C573" s="53"/>
      <c r="D573" s="54"/>
      <c r="E573" s="55"/>
      <c r="F573" s="54"/>
      <c r="G573" s="56"/>
      <c r="H573" s="56"/>
      <c r="I573" s="36" t="str">
        <f t="shared" si="24"/>
        <v/>
      </c>
      <c r="J573" s="36">
        <f t="shared" si="25"/>
        <v>0</v>
      </c>
      <c r="K573" s="36" t="str">
        <f t="shared" ca="1" si="26"/>
        <v/>
      </c>
    </row>
    <row r="574" spans="3:11" x14ac:dyDescent="0.25">
      <c r="C574" s="53"/>
      <c r="D574" s="54"/>
      <c r="E574" s="55"/>
      <c r="F574" s="54"/>
      <c r="G574" s="56"/>
      <c r="H574" s="56"/>
      <c r="I574" s="36" t="str">
        <f t="shared" si="24"/>
        <v/>
      </c>
      <c r="J574" s="36">
        <f t="shared" si="25"/>
        <v>0</v>
      </c>
      <c r="K574" s="36" t="str">
        <f t="shared" ca="1" si="26"/>
        <v/>
      </c>
    </row>
    <row r="575" spans="3:11" x14ac:dyDescent="0.25">
      <c r="C575" s="53"/>
      <c r="D575" s="54"/>
      <c r="E575" s="55"/>
      <c r="F575" s="54"/>
      <c r="G575" s="56"/>
      <c r="H575" s="56"/>
      <c r="I575" s="36" t="str">
        <f t="shared" si="24"/>
        <v/>
      </c>
      <c r="J575" s="36">
        <f t="shared" si="25"/>
        <v>0</v>
      </c>
      <c r="K575" s="36" t="str">
        <f t="shared" ca="1" si="26"/>
        <v/>
      </c>
    </row>
    <row r="576" spans="3:11" x14ac:dyDescent="0.25">
      <c r="C576" s="53"/>
      <c r="D576" s="54"/>
      <c r="E576" s="55"/>
      <c r="F576" s="54"/>
      <c r="G576" s="56"/>
      <c r="H576" s="56"/>
      <c r="I576" s="36" t="str">
        <f t="shared" si="24"/>
        <v/>
      </c>
      <c r="J576" s="36">
        <f t="shared" si="25"/>
        <v>0</v>
      </c>
      <c r="K576" s="36" t="str">
        <f t="shared" ca="1" si="26"/>
        <v/>
      </c>
    </row>
    <row r="577" spans="3:11" x14ac:dyDescent="0.25">
      <c r="C577" s="53"/>
      <c r="D577" s="54"/>
      <c r="E577" s="55"/>
      <c r="F577" s="54"/>
      <c r="G577" s="56"/>
      <c r="H577" s="56"/>
      <c r="I577" s="36" t="str">
        <f t="shared" si="24"/>
        <v/>
      </c>
      <c r="J577" s="36">
        <f t="shared" si="25"/>
        <v>0</v>
      </c>
      <c r="K577" s="36" t="str">
        <f t="shared" ca="1" si="26"/>
        <v/>
      </c>
    </row>
    <row r="578" spans="3:11" x14ac:dyDescent="0.25">
      <c r="C578" s="53"/>
      <c r="D578" s="54"/>
      <c r="E578" s="55"/>
      <c r="F578" s="54"/>
      <c r="G578" s="56"/>
      <c r="H578" s="56"/>
      <c r="I578" s="36" t="str">
        <f t="shared" si="24"/>
        <v/>
      </c>
      <c r="J578" s="36">
        <f t="shared" si="25"/>
        <v>0</v>
      </c>
      <c r="K578" s="36" t="str">
        <f t="shared" ca="1" si="26"/>
        <v/>
      </c>
    </row>
    <row r="579" spans="3:11" x14ac:dyDescent="0.25">
      <c r="C579" s="53"/>
      <c r="D579" s="54"/>
      <c r="E579" s="55"/>
      <c r="F579" s="54"/>
      <c r="G579" s="56"/>
      <c r="H579" s="56"/>
      <c r="I579" s="36" t="str">
        <f t="shared" si="24"/>
        <v/>
      </c>
      <c r="J579" s="36">
        <f t="shared" si="25"/>
        <v>0</v>
      </c>
      <c r="K579" s="36" t="str">
        <f t="shared" ca="1" si="26"/>
        <v/>
      </c>
    </row>
    <row r="580" spans="3:11" x14ac:dyDescent="0.25">
      <c r="C580" s="53"/>
      <c r="D580" s="54"/>
      <c r="E580" s="55"/>
      <c r="F580" s="54"/>
      <c r="G580" s="56"/>
      <c r="H580" s="56"/>
      <c r="I580" s="36" t="str">
        <f t="shared" si="24"/>
        <v/>
      </c>
      <c r="J580" s="36">
        <f t="shared" si="25"/>
        <v>0</v>
      </c>
      <c r="K580" s="36" t="str">
        <f t="shared" ca="1" si="26"/>
        <v/>
      </c>
    </row>
    <row r="581" spans="3:11" x14ac:dyDescent="0.25">
      <c r="C581" s="53"/>
      <c r="D581" s="54"/>
      <c r="E581" s="55"/>
      <c r="F581" s="54"/>
      <c r="G581" s="56"/>
      <c r="H581" s="56"/>
      <c r="I581" s="36" t="str">
        <f t="shared" si="24"/>
        <v/>
      </c>
      <c r="J581" s="36">
        <f t="shared" si="25"/>
        <v>0</v>
      </c>
      <c r="K581" s="36" t="str">
        <f t="shared" ca="1" si="26"/>
        <v/>
      </c>
    </row>
    <row r="582" spans="3:11" x14ac:dyDescent="0.25">
      <c r="C582" s="53"/>
      <c r="D582" s="54"/>
      <c r="E582" s="55"/>
      <c r="F582" s="54"/>
      <c r="G582" s="56"/>
      <c r="H582" s="56"/>
      <c r="I582" s="36" t="str">
        <f t="shared" si="24"/>
        <v/>
      </c>
      <c r="J582" s="36">
        <f t="shared" si="25"/>
        <v>0</v>
      </c>
      <c r="K582" s="36" t="str">
        <f t="shared" ca="1" si="26"/>
        <v/>
      </c>
    </row>
    <row r="583" spans="3:11" x14ac:dyDescent="0.25">
      <c r="C583" s="53"/>
      <c r="D583" s="54"/>
      <c r="E583" s="55"/>
      <c r="F583" s="54"/>
      <c r="G583" s="56"/>
      <c r="H583" s="56"/>
      <c r="I583" s="36" t="str">
        <f t="shared" si="24"/>
        <v/>
      </c>
      <c r="J583" s="36">
        <f t="shared" si="25"/>
        <v>0</v>
      </c>
      <c r="K583" s="36" t="str">
        <f t="shared" ca="1" si="26"/>
        <v/>
      </c>
    </row>
    <row r="584" spans="3:11" x14ac:dyDescent="0.25">
      <c r="C584" s="53"/>
      <c r="D584" s="54"/>
      <c r="E584" s="55"/>
      <c r="F584" s="54"/>
      <c r="G584" s="56"/>
      <c r="H584" s="56"/>
      <c r="I584" s="36" t="str">
        <f t="shared" si="24"/>
        <v/>
      </c>
      <c r="J584" s="36">
        <f t="shared" si="25"/>
        <v>0</v>
      </c>
      <c r="K584" s="36" t="str">
        <f t="shared" ca="1" si="26"/>
        <v/>
      </c>
    </row>
    <row r="585" spans="3:11" x14ac:dyDescent="0.25">
      <c r="C585" s="53"/>
      <c r="D585" s="54"/>
      <c r="E585" s="55"/>
      <c r="F585" s="54"/>
      <c r="G585" s="56"/>
      <c r="H585" s="56"/>
      <c r="I585" s="36" t="str">
        <f t="shared" si="24"/>
        <v/>
      </c>
      <c r="J585" s="36">
        <f t="shared" si="25"/>
        <v>0</v>
      </c>
      <c r="K585" s="36" t="str">
        <f t="shared" ca="1" si="26"/>
        <v/>
      </c>
    </row>
    <row r="586" spans="3:11" x14ac:dyDescent="0.25">
      <c r="C586" s="53"/>
      <c r="D586" s="54"/>
      <c r="E586" s="55"/>
      <c r="F586" s="54"/>
      <c r="G586" s="56"/>
      <c r="H586" s="56"/>
      <c r="I586" s="36" t="str">
        <f t="shared" si="24"/>
        <v/>
      </c>
      <c r="J586" s="36">
        <f t="shared" si="25"/>
        <v>0</v>
      </c>
      <c r="K586" s="36" t="str">
        <f t="shared" ca="1" si="26"/>
        <v/>
      </c>
    </row>
    <row r="587" spans="3:11" x14ac:dyDescent="0.25">
      <c r="C587" s="53"/>
      <c r="D587" s="54"/>
      <c r="E587" s="55"/>
      <c r="F587" s="54"/>
      <c r="G587" s="56"/>
      <c r="H587" s="56"/>
      <c r="I587" s="36" t="str">
        <f t="shared" si="24"/>
        <v/>
      </c>
      <c r="J587" s="36">
        <f t="shared" si="25"/>
        <v>0</v>
      </c>
      <c r="K587" s="36" t="str">
        <f t="shared" ca="1" si="26"/>
        <v/>
      </c>
    </row>
    <row r="588" spans="3:11" x14ac:dyDescent="0.25">
      <c r="C588" s="53"/>
      <c r="D588" s="54"/>
      <c r="E588" s="55"/>
      <c r="F588" s="54"/>
      <c r="G588" s="56"/>
      <c r="H588" s="56"/>
      <c r="I588" s="36" t="str">
        <f t="shared" si="24"/>
        <v/>
      </c>
      <c r="J588" s="36">
        <f t="shared" si="25"/>
        <v>0</v>
      </c>
      <c r="K588" s="36" t="str">
        <f t="shared" ca="1" si="26"/>
        <v/>
      </c>
    </row>
    <row r="589" spans="3:11" x14ac:dyDescent="0.25">
      <c r="C589" s="53"/>
      <c r="D589" s="54"/>
      <c r="E589" s="55"/>
      <c r="F589" s="54"/>
      <c r="G589" s="56"/>
      <c r="H589" s="56"/>
      <c r="I589" s="36" t="str">
        <f t="shared" si="24"/>
        <v/>
      </c>
      <c r="J589" s="36">
        <f t="shared" si="25"/>
        <v>0</v>
      </c>
      <c r="K589" s="36" t="str">
        <f t="shared" ca="1" si="26"/>
        <v/>
      </c>
    </row>
    <row r="590" spans="3:11" x14ac:dyDescent="0.25">
      <c r="C590" s="53"/>
      <c r="D590" s="54"/>
      <c r="E590" s="55"/>
      <c r="F590" s="54"/>
      <c r="G590" s="56"/>
      <c r="H590" s="56"/>
      <c r="I590" s="36" t="str">
        <f t="shared" si="24"/>
        <v/>
      </c>
      <c r="J590" s="36">
        <f t="shared" si="25"/>
        <v>0</v>
      </c>
      <c r="K590" s="36" t="str">
        <f t="shared" ca="1" si="26"/>
        <v/>
      </c>
    </row>
    <row r="591" spans="3:11" x14ac:dyDescent="0.25">
      <c r="C591" s="53"/>
      <c r="D591" s="54"/>
      <c r="E591" s="55"/>
      <c r="F591" s="54"/>
      <c r="G591" s="56"/>
      <c r="H591" s="56"/>
      <c r="I591" s="36" t="str">
        <f t="shared" si="24"/>
        <v/>
      </c>
      <c r="J591" s="36">
        <f t="shared" si="25"/>
        <v>0</v>
      </c>
      <c r="K591" s="36" t="str">
        <f t="shared" ca="1" si="26"/>
        <v/>
      </c>
    </row>
    <row r="592" spans="3:11" x14ac:dyDescent="0.25">
      <c r="C592" s="53"/>
      <c r="D592" s="54"/>
      <c r="E592" s="55"/>
      <c r="F592" s="54"/>
      <c r="G592" s="56"/>
      <c r="H592" s="56"/>
      <c r="I592" s="36" t="str">
        <f t="shared" ref="I592:I655" si="27">IF(C592="","",IF(H592&lt;=0,"Em aberto",IF(H592&gt;=G592,"Pagamento Total",IF(H592&lt;G592,"Pagamento Parcial"))))</f>
        <v/>
      </c>
      <c r="J592" s="36">
        <f t="shared" ref="J592:J655" si="28">IF(C592&gt;0,G592-H592,0)</f>
        <v>0</v>
      </c>
      <c r="K592" s="36" t="str">
        <f t="shared" ref="K592:K655" ca="1" si="29">IF(ISBLANK(C592),"",IF(H592=G592,"Pago",IF(C592=TODAY(),"Vence Hoje",IF(TRIM(UPPER(G591))&lt;&gt;"S",IF(C592-TODAY()&lt;0,"Vencida",IF(C592-TODAY()&lt;8,"Próximos sete dias","Em aberto"))))))</f>
        <v/>
      </c>
    </row>
    <row r="593" spans="3:11" x14ac:dyDescent="0.25">
      <c r="C593" s="53"/>
      <c r="D593" s="54"/>
      <c r="E593" s="55"/>
      <c r="F593" s="54"/>
      <c r="G593" s="56"/>
      <c r="H593" s="56"/>
      <c r="I593" s="36" t="str">
        <f t="shared" si="27"/>
        <v/>
      </c>
      <c r="J593" s="36">
        <f t="shared" si="28"/>
        <v>0</v>
      </c>
      <c r="K593" s="36" t="str">
        <f t="shared" ca="1" si="29"/>
        <v/>
      </c>
    </row>
    <row r="594" spans="3:11" x14ac:dyDescent="0.25">
      <c r="C594" s="53"/>
      <c r="D594" s="54"/>
      <c r="E594" s="55"/>
      <c r="F594" s="54"/>
      <c r="G594" s="56"/>
      <c r="H594" s="56"/>
      <c r="I594" s="36" t="str">
        <f t="shared" si="27"/>
        <v/>
      </c>
      <c r="J594" s="36">
        <f t="shared" si="28"/>
        <v>0</v>
      </c>
      <c r="K594" s="36" t="str">
        <f t="shared" ca="1" si="29"/>
        <v/>
      </c>
    </row>
    <row r="595" spans="3:11" x14ac:dyDescent="0.25">
      <c r="C595" s="53"/>
      <c r="D595" s="54"/>
      <c r="E595" s="55"/>
      <c r="F595" s="54"/>
      <c r="G595" s="56"/>
      <c r="H595" s="56"/>
      <c r="I595" s="36" t="str">
        <f t="shared" si="27"/>
        <v/>
      </c>
      <c r="J595" s="36">
        <f t="shared" si="28"/>
        <v>0</v>
      </c>
      <c r="K595" s="36" t="str">
        <f t="shared" ca="1" si="29"/>
        <v/>
      </c>
    </row>
    <row r="596" spans="3:11" x14ac:dyDescent="0.25">
      <c r="C596" s="53"/>
      <c r="D596" s="54"/>
      <c r="E596" s="55"/>
      <c r="F596" s="54"/>
      <c r="G596" s="56"/>
      <c r="H596" s="56"/>
      <c r="I596" s="36" t="str">
        <f t="shared" si="27"/>
        <v/>
      </c>
      <c r="J596" s="36">
        <f t="shared" si="28"/>
        <v>0</v>
      </c>
      <c r="K596" s="36" t="str">
        <f t="shared" ca="1" si="29"/>
        <v/>
      </c>
    </row>
    <row r="597" spans="3:11" x14ac:dyDescent="0.25">
      <c r="C597" s="53"/>
      <c r="D597" s="54"/>
      <c r="E597" s="55"/>
      <c r="F597" s="54"/>
      <c r="G597" s="56"/>
      <c r="H597" s="56"/>
      <c r="I597" s="36" t="str">
        <f t="shared" si="27"/>
        <v/>
      </c>
      <c r="J597" s="36">
        <f t="shared" si="28"/>
        <v>0</v>
      </c>
      <c r="K597" s="36" t="str">
        <f t="shared" ca="1" si="29"/>
        <v/>
      </c>
    </row>
    <row r="598" spans="3:11" x14ac:dyDescent="0.25">
      <c r="C598" s="53"/>
      <c r="D598" s="54"/>
      <c r="E598" s="55"/>
      <c r="F598" s="54"/>
      <c r="G598" s="56"/>
      <c r="H598" s="56"/>
      <c r="I598" s="36" t="str">
        <f t="shared" si="27"/>
        <v/>
      </c>
      <c r="J598" s="36">
        <f t="shared" si="28"/>
        <v>0</v>
      </c>
      <c r="K598" s="36" t="str">
        <f t="shared" ca="1" si="29"/>
        <v/>
      </c>
    </row>
    <row r="599" spans="3:11" x14ac:dyDescent="0.25">
      <c r="C599" s="53"/>
      <c r="D599" s="54"/>
      <c r="E599" s="55"/>
      <c r="F599" s="54"/>
      <c r="G599" s="56"/>
      <c r="H599" s="56"/>
      <c r="I599" s="36" t="str">
        <f t="shared" si="27"/>
        <v/>
      </c>
      <c r="J599" s="36">
        <f t="shared" si="28"/>
        <v>0</v>
      </c>
      <c r="K599" s="36" t="str">
        <f t="shared" ca="1" si="29"/>
        <v/>
      </c>
    </row>
    <row r="600" spans="3:11" x14ac:dyDescent="0.25">
      <c r="C600" s="53"/>
      <c r="D600" s="54"/>
      <c r="E600" s="55"/>
      <c r="F600" s="54"/>
      <c r="G600" s="56"/>
      <c r="H600" s="56"/>
      <c r="I600" s="36" t="str">
        <f t="shared" si="27"/>
        <v/>
      </c>
      <c r="J600" s="36">
        <f t="shared" si="28"/>
        <v>0</v>
      </c>
      <c r="K600" s="36" t="str">
        <f t="shared" ca="1" si="29"/>
        <v/>
      </c>
    </row>
    <row r="601" spans="3:11" x14ac:dyDescent="0.25">
      <c r="C601" s="53"/>
      <c r="D601" s="54"/>
      <c r="E601" s="55"/>
      <c r="F601" s="54"/>
      <c r="G601" s="56"/>
      <c r="H601" s="56"/>
      <c r="I601" s="36" t="str">
        <f t="shared" si="27"/>
        <v/>
      </c>
      <c r="J601" s="36">
        <f t="shared" si="28"/>
        <v>0</v>
      </c>
      <c r="K601" s="36" t="str">
        <f t="shared" ca="1" si="29"/>
        <v/>
      </c>
    </row>
    <row r="602" spans="3:11" x14ac:dyDescent="0.25">
      <c r="C602" s="53"/>
      <c r="D602" s="54"/>
      <c r="E602" s="55"/>
      <c r="F602" s="54"/>
      <c r="G602" s="56"/>
      <c r="H602" s="56"/>
      <c r="I602" s="36" t="str">
        <f t="shared" si="27"/>
        <v/>
      </c>
      <c r="J602" s="36">
        <f t="shared" si="28"/>
        <v>0</v>
      </c>
      <c r="K602" s="36" t="str">
        <f t="shared" ca="1" si="29"/>
        <v/>
      </c>
    </row>
    <row r="603" spans="3:11" x14ac:dyDescent="0.25">
      <c r="C603" s="53"/>
      <c r="D603" s="54"/>
      <c r="E603" s="55"/>
      <c r="F603" s="54"/>
      <c r="G603" s="56"/>
      <c r="H603" s="56"/>
      <c r="I603" s="36" t="str">
        <f t="shared" si="27"/>
        <v/>
      </c>
      <c r="J603" s="36">
        <f t="shared" si="28"/>
        <v>0</v>
      </c>
      <c r="K603" s="36" t="str">
        <f t="shared" ca="1" si="29"/>
        <v/>
      </c>
    </row>
    <row r="604" spans="3:11" x14ac:dyDescent="0.25">
      <c r="C604" s="53"/>
      <c r="D604" s="54"/>
      <c r="E604" s="55"/>
      <c r="F604" s="54"/>
      <c r="G604" s="56"/>
      <c r="H604" s="56"/>
      <c r="I604" s="36" t="str">
        <f t="shared" si="27"/>
        <v/>
      </c>
      <c r="J604" s="36">
        <f t="shared" si="28"/>
        <v>0</v>
      </c>
      <c r="K604" s="36" t="str">
        <f t="shared" ca="1" si="29"/>
        <v/>
      </c>
    </row>
    <row r="605" spans="3:11" x14ac:dyDescent="0.25">
      <c r="C605" s="53"/>
      <c r="D605" s="54"/>
      <c r="E605" s="55"/>
      <c r="F605" s="54"/>
      <c r="G605" s="56"/>
      <c r="H605" s="56"/>
      <c r="I605" s="36" t="str">
        <f t="shared" si="27"/>
        <v/>
      </c>
      <c r="J605" s="36">
        <f t="shared" si="28"/>
        <v>0</v>
      </c>
      <c r="K605" s="36" t="str">
        <f t="shared" ca="1" si="29"/>
        <v/>
      </c>
    </row>
    <row r="606" spans="3:11" x14ac:dyDescent="0.25">
      <c r="C606" s="53"/>
      <c r="D606" s="54"/>
      <c r="E606" s="55"/>
      <c r="F606" s="54"/>
      <c r="G606" s="56"/>
      <c r="H606" s="56"/>
      <c r="I606" s="36" t="str">
        <f t="shared" si="27"/>
        <v/>
      </c>
      <c r="J606" s="36">
        <f t="shared" si="28"/>
        <v>0</v>
      </c>
      <c r="K606" s="36" t="str">
        <f t="shared" ca="1" si="29"/>
        <v/>
      </c>
    </row>
    <row r="607" spans="3:11" x14ac:dyDescent="0.25">
      <c r="C607" s="53"/>
      <c r="D607" s="54"/>
      <c r="E607" s="55"/>
      <c r="F607" s="54"/>
      <c r="G607" s="56"/>
      <c r="H607" s="56"/>
      <c r="I607" s="36" t="str">
        <f t="shared" si="27"/>
        <v/>
      </c>
      <c r="J607" s="36">
        <f t="shared" si="28"/>
        <v>0</v>
      </c>
      <c r="K607" s="36" t="str">
        <f t="shared" ca="1" si="29"/>
        <v/>
      </c>
    </row>
    <row r="608" spans="3:11" x14ac:dyDescent="0.25">
      <c r="C608" s="53"/>
      <c r="D608" s="54"/>
      <c r="E608" s="55"/>
      <c r="F608" s="54"/>
      <c r="G608" s="56"/>
      <c r="H608" s="56"/>
      <c r="I608" s="36" t="str">
        <f t="shared" si="27"/>
        <v/>
      </c>
      <c r="J608" s="36">
        <f t="shared" si="28"/>
        <v>0</v>
      </c>
      <c r="K608" s="36" t="str">
        <f t="shared" ca="1" si="29"/>
        <v/>
      </c>
    </row>
    <row r="609" spans="3:11" x14ac:dyDescent="0.25">
      <c r="C609" s="53"/>
      <c r="D609" s="54"/>
      <c r="E609" s="55"/>
      <c r="F609" s="54"/>
      <c r="G609" s="56"/>
      <c r="H609" s="56"/>
      <c r="I609" s="36" t="str">
        <f t="shared" si="27"/>
        <v/>
      </c>
      <c r="J609" s="36">
        <f t="shared" si="28"/>
        <v>0</v>
      </c>
      <c r="K609" s="36" t="str">
        <f t="shared" ca="1" si="29"/>
        <v/>
      </c>
    </row>
    <row r="610" spans="3:11" x14ac:dyDescent="0.25">
      <c r="C610" s="53"/>
      <c r="D610" s="54"/>
      <c r="E610" s="55"/>
      <c r="F610" s="54"/>
      <c r="G610" s="56"/>
      <c r="H610" s="56"/>
      <c r="I610" s="36" t="str">
        <f t="shared" si="27"/>
        <v/>
      </c>
      <c r="J610" s="36">
        <f t="shared" si="28"/>
        <v>0</v>
      </c>
      <c r="K610" s="36" t="str">
        <f t="shared" ca="1" si="29"/>
        <v/>
      </c>
    </row>
    <row r="611" spans="3:11" x14ac:dyDescent="0.25">
      <c r="C611" s="53"/>
      <c r="D611" s="54"/>
      <c r="E611" s="55"/>
      <c r="F611" s="54"/>
      <c r="G611" s="56"/>
      <c r="H611" s="56"/>
      <c r="I611" s="36" t="str">
        <f t="shared" si="27"/>
        <v/>
      </c>
      <c r="J611" s="36">
        <f t="shared" si="28"/>
        <v>0</v>
      </c>
      <c r="K611" s="36" t="str">
        <f t="shared" ca="1" si="29"/>
        <v/>
      </c>
    </row>
    <row r="612" spans="3:11" x14ac:dyDescent="0.25">
      <c r="C612" s="53"/>
      <c r="D612" s="54"/>
      <c r="E612" s="55"/>
      <c r="F612" s="54"/>
      <c r="G612" s="56"/>
      <c r="H612" s="56"/>
      <c r="I612" s="36" t="str">
        <f t="shared" si="27"/>
        <v/>
      </c>
      <c r="J612" s="36">
        <f t="shared" si="28"/>
        <v>0</v>
      </c>
      <c r="K612" s="36" t="str">
        <f t="shared" ca="1" si="29"/>
        <v/>
      </c>
    </row>
    <row r="613" spans="3:11" x14ac:dyDescent="0.25">
      <c r="C613" s="53"/>
      <c r="D613" s="54"/>
      <c r="E613" s="55"/>
      <c r="F613" s="54"/>
      <c r="G613" s="56"/>
      <c r="H613" s="56"/>
      <c r="I613" s="36" t="str">
        <f t="shared" si="27"/>
        <v/>
      </c>
      <c r="J613" s="36">
        <f t="shared" si="28"/>
        <v>0</v>
      </c>
      <c r="K613" s="36" t="str">
        <f t="shared" ca="1" si="29"/>
        <v/>
      </c>
    </row>
    <row r="614" spans="3:11" x14ac:dyDescent="0.25">
      <c r="C614" s="53"/>
      <c r="D614" s="54"/>
      <c r="E614" s="55"/>
      <c r="F614" s="54"/>
      <c r="G614" s="56"/>
      <c r="H614" s="56"/>
      <c r="I614" s="36" t="str">
        <f t="shared" si="27"/>
        <v/>
      </c>
      <c r="J614" s="36">
        <f t="shared" si="28"/>
        <v>0</v>
      </c>
      <c r="K614" s="36" t="str">
        <f t="shared" ca="1" si="29"/>
        <v/>
      </c>
    </row>
    <row r="615" spans="3:11" x14ac:dyDescent="0.25">
      <c r="C615" s="53"/>
      <c r="D615" s="54"/>
      <c r="E615" s="55"/>
      <c r="F615" s="54"/>
      <c r="G615" s="56"/>
      <c r="H615" s="56"/>
      <c r="I615" s="36" t="str">
        <f t="shared" si="27"/>
        <v/>
      </c>
      <c r="J615" s="36">
        <f t="shared" si="28"/>
        <v>0</v>
      </c>
      <c r="K615" s="36" t="str">
        <f t="shared" ca="1" si="29"/>
        <v/>
      </c>
    </row>
    <row r="616" spans="3:11" x14ac:dyDescent="0.25">
      <c r="C616" s="53"/>
      <c r="D616" s="54"/>
      <c r="E616" s="55"/>
      <c r="F616" s="54"/>
      <c r="G616" s="56"/>
      <c r="H616" s="56"/>
      <c r="I616" s="36" t="str">
        <f t="shared" si="27"/>
        <v/>
      </c>
      <c r="J616" s="36">
        <f t="shared" si="28"/>
        <v>0</v>
      </c>
      <c r="K616" s="36" t="str">
        <f t="shared" ca="1" si="29"/>
        <v/>
      </c>
    </row>
    <row r="617" spans="3:11" x14ac:dyDescent="0.25">
      <c r="C617" s="53"/>
      <c r="D617" s="54"/>
      <c r="E617" s="55"/>
      <c r="F617" s="54"/>
      <c r="G617" s="56"/>
      <c r="H617" s="56"/>
      <c r="I617" s="36" t="str">
        <f t="shared" si="27"/>
        <v/>
      </c>
      <c r="J617" s="36">
        <f t="shared" si="28"/>
        <v>0</v>
      </c>
      <c r="K617" s="36" t="str">
        <f t="shared" ca="1" si="29"/>
        <v/>
      </c>
    </row>
    <row r="618" spans="3:11" x14ac:dyDescent="0.25">
      <c r="C618" s="53"/>
      <c r="D618" s="54"/>
      <c r="E618" s="55"/>
      <c r="F618" s="54"/>
      <c r="G618" s="56"/>
      <c r="H618" s="56"/>
      <c r="I618" s="36" t="str">
        <f t="shared" si="27"/>
        <v/>
      </c>
      <c r="J618" s="36">
        <f t="shared" si="28"/>
        <v>0</v>
      </c>
      <c r="K618" s="36" t="str">
        <f t="shared" ca="1" si="29"/>
        <v/>
      </c>
    </row>
    <row r="619" spans="3:11" x14ac:dyDescent="0.25">
      <c r="C619" s="53"/>
      <c r="D619" s="54"/>
      <c r="E619" s="55"/>
      <c r="F619" s="54"/>
      <c r="G619" s="56"/>
      <c r="H619" s="56"/>
      <c r="I619" s="36" t="str">
        <f t="shared" si="27"/>
        <v/>
      </c>
      <c r="J619" s="36">
        <f t="shared" si="28"/>
        <v>0</v>
      </c>
      <c r="K619" s="36" t="str">
        <f t="shared" ca="1" si="29"/>
        <v/>
      </c>
    </row>
    <row r="620" spans="3:11" x14ac:dyDescent="0.25">
      <c r="C620" s="53"/>
      <c r="D620" s="54"/>
      <c r="E620" s="55"/>
      <c r="F620" s="54"/>
      <c r="G620" s="56"/>
      <c r="H620" s="56"/>
      <c r="I620" s="36" t="str">
        <f t="shared" si="27"/>
        <v/>
      </c>
      <c r="J620" s="36">
        <f t="shared" si="28"/>
        <v>0</v>
      </c>
      <c r="K620" s="36" t="str">
        <f t="shared" ca="1" si="29"/>
        <v/>
      </c>
    </row>
    <row r="621" spans="3:11" x14ac:dyDescent="0.25">
      <c r="C621" s="53"/>
      <c r="D621" s="54"/>
      <c r="E621" s="55"/>
      <c r="F621" s="54"/>
      <c r="G621" s="56"/>
      <c r="H621" s="56"/>
      <c r="I621" s="36" t="str">
        <f t="shared" si="27"/>
        <v/>
      </c>
      <c r="J621" s="36">
        <f t="shared" si="28"/>
        <v>0</v>
      </c>
      <c r="K621" s="36" t="str">
        <f t="shared" ca="1" si="29"/>
        <v/>
      </c>
    </row>
    <row r="622" spans="3:11" x14ac:dyDescent="0.25">
      <c r="C622" s="53"/>
      <c r="D622" s="54"/>
      <c r="E622" s="55"/>
      <c r="F622" s="54"/>
      <c r="G622" s="56"/>
      <c r="H622" s="56"/>
      <c r="I622" s="36" t="str">
        <f t="shared" si="27"/>
        <v/>
      </c>
      <c r="J622" s="36">
        <f t="shared" si="28"/>
        <v>0</v>
      </c>
      <c r="K622" s="36" t="str">
        <f t="shared" ca="1" si="29"/>
        <v/>
      </c>
    </row>
    <row r="623" spans="3:11" x14ac:dyDescent="0.25">
      <c r="C623" s="53"/>
      <c r="D623" s="54"/>
      <c r="E623" s="55"/>
      <c r="F623" s="54"/>
      <c r="G623" s="56"/>
      <c r="H623" s="56"/>
      <c r="I623" s="36" t="str">
        <f t="shared" si="27"/>
        <v/>
      </c>
      <c r="J623" s="36">
        <f t="shared" si="28"/>
        <v>0</v>
      </c>
      <c r="K623" s="36" t="str">
        <f t="shared" ca="1" si="29"/>
        <v/>
      </c>
    </row>
    <row r="624" spans="3:11" x14ac:dyDescent="0.25">
      <c r="C624" s="53"/>
      <c r="D624" s="54"/>
      <c r="E624" s="55"/>
      <c r="F624" s="54"/>
      <c r="G624" s="56"/>
      <c r="H624" s="56"/>
      <c r="I624" s="36" t="str">
        <f t="shared" si="27"/>
        <v/>
      </c>
      <c r="J624" s="36">
        <f t="shared" si="28"/>
        <v>0</v>
      </c>
      <c r="K624" s="36" t="str">
        <f t="shared" ca="1" si="29"/>
        <v/>
      </c>
    </row>
    <row r="625" spans="3:11" x14ac:dyDescent="0.25">
      <c r="C625" s="53"/>
      <c r="D625" s="54"/>
      <c r="E625" s="55"/>
      <c r="F625" s="54"/>
      <c r="G625" s="56"/>
      <c r="H625" s="56"/>
      <c r="I625" s="36" t="str">
        <f t="shared" si="27"/>
        <v/>
      </c>
      <c r="J625" s="36">
        <f t="shared" si="28"/>
        <v>0</v>
      </c>
      <c r="K625" s="36" t="str">
        <f t="shared" ca="1" si="29"/>
        <v/>
      </c>
    </row>
    <row r="626" spans="3:11" x14ac:dyDescent="0.25">
      <c r="C626" s="53"/>
      <c r="D626" s="54"/>
      <c r="E626" s="55"/>
      <c r="F626" s="54"/>
      <c r="G626" s="56"/>
      <c r="H626" s="56"/>
      <c r="I626" s="36" t="str">
        <f t="shared" si="27"/>
        <v/>
      </c>
      <c r="J626" s="36">
        <f t="shared" si="28"/>
        <v>0</v>
      </c>
      <c r="K626" s="36" t="str">
        <f t="shared" ca="1" si="29"/>
        <v/>
      </c>
    </row>
    <row r="627" spans="3:11" x14ac:dyDescent="0.25">
      <c r="C627" s="53"/>
      <c r="D627" s="54"/>
      <c r="E627" s="55"/>
      <c r="F627" s="54"/>
      <c r="G627" s="56"/>
      <c r="H627" s="56"/>
      <c r="I627" s="36" t="str">
        <f t="shared" si="27"/>
        <v/>
      </c>
      <c r="J627" s="36">
        <f t="shared" si="28"/>
        <v>0</v>
      </c>
      <c r="K627" s="36" t="str">
        <f t="shared" ca="1" si="29"/>
        <v/>
      </c>
    </row>
    <row r="628" spans="3:11" x14ac:dyDescent="0.25">
      <c r="C628" s="53"/>
      <c r="D628" s="54"/>
      <c r="E628" s="55"/>
      <c r="F628" s="54"/>
      <c r="G628" s="56"/>
      <c r="H628" s="56"/>
      <c r="I628" s="36" t="str">
        <f t="shared" si="27"/>
        <v/>
      </c>
      <c r="J628" s="36">
        <f t="shared" si="28"/>
        <v>0</v>
      </c>
      <c r="K628" s="36" t="str">
        <f t="shared" ca="1" si="29"/>
        <v/>
      </c>
    </row>
    <row r="629" spans="3:11" x14ac:dyDescent="0.25">
      <c r="C629" s="53"/>
      <c r="D629" s="54"/>
      <c r="E629" s="55"/>
      <c r="F629" s="54"/>
      <c r="G629" s="56"/>
      <c r="H629" s="56"/>
      <c r="I629" s="36" t="str">
        <f t="shared" si="27"/>
        <v/>
      </c>
      <c r="J629" s="36">
        <f t="shared" si="28"/>
        <v>0</v>
      </c>
      <c r="K629" s="36" t="str">
        <f t="shared" ca="1" si="29"/>
        <v/>
      </c>
    </row>
    <row r="630" spans="3:11" x14ac:dyDescent="0.25">
      <c r="C630" s="53"/>
      <c r="D630" s="54"/>
      <c r="E630" s="55"/>
      <c r="F630" s="54"/>
      <c r="G630" s="56"/>
      <c r="H630" s="56"/>
      <c r="I630" s="36" t="str">
        <f t="shared" si="27"/>
        <v/>
      </c>
      <c r="J630" s="36">
        <f t="shared" si="28"/>
        <v>0</v>
      </c>
      <c r="K630" s="36" t="str">
        <f t="shared" ca="1" si="29"/>
        <v/>
      </c>
    </row>
    <row r="631" spans="3:11" x14ac:dyDescent="0.25">
      <c r="C631" s="53"/>
      <c r="D631" s="54"/>
      <c r="E631" s="55"/>
      <c r="F631" s="54"/>
      <c r="G631" s="56"/>
      <c r="H631" s="56"/>
      <c r="I631" s="36" t="str">
        <f t="shared" si="27"/>
        <v/>
      </c>
      <c r="J631" s="36">
        <f t="shared" si="28"/>
        <v>0</v>
      </c>
      <c r="K631" s="36" t="str">
        <f t="shared" ca="1" si="29"/>
        <v/>
      </c>
    </row>
    <row r="632" spans="3:11" x14ac:dyDescent="0.25">
      <c r="C632" s="53"/>
      <c r="D632" s="54"/>
      <c r="E632" s="55"/>
      <c r="F632" s="54"/>
      <c r="G632" s="56"/>
      <c r="H632" s="56"/>
      <c r="I632" s="36" t="str">
        <f t="shared" si="27"/>
        <v/>
      </c>
      <c r="J632" s="36">
        <f t="shared" si="28"/>
        <v>0</v>
      </c>
      <c r="K632" s="36" t="str">
        <f t="shared" ca="1" si="29"/>
        <v/>
      </c>
    </row>
    <row r="633" spans="3:11" x14ac:dyDescent="0.25">
      <c r="C633" s="53"/>
      <c r="D633" s="54"/>
      <c r="E633" s="55"/>
      <c r="F633" s="54"/>
      <c r="G633" s="56"/>
      <c r="H633" s="56"/>
      <c r="I633" s="36" t="str">
        <f t="shared" si="27"/>
        <v/>
      </c>
      <c r="J633" s="36">
        <f t="shared" si="28"/>
        <v>0</v>
      </c>
      <c r="K633" s="36" t="str">
        <f t="shared" ca="1" si="29"/>
        <v/>
      </c>
    </row>
    <row r="634" spans="3:11" x14ac:dyDescent="0.25">
      <c r="C634" s="53"/>
      <c r="D634" s="54"/>
      <c r="E634" s="55"/>
      <c r="F634" s="54"/>
      <c r="G634" s="56"/>
      <c r="H634" s="56"/>
      <c r="I634" s="36" t="str">
        <f t="shared" si="27"/>
        <v/>
      </c>
      <c r="J634" s="36">
        <f t="shared" si="28"/>
        <v>0</v>
      </c>
      <c r="K634" s="36" t="str">
        <f t="shared" ca="1" si="29"/>
        <v/>
      </c>
    </row>
    <row r="635" spans="3:11" x14ac:dyDescent="0.25">
      <c r="C635" s="53"/>
      <c r="D635" s="54"/>
      <c r="E635" s="55"/>
      <c r="F635" s="54"/>
      <c r="G635" s="56"/>
      <c r="H635" s="56"/>
      <c r="I635" s="36" t="str">
        <f t="shared" si="27"/>
        <v/>
      </c>
      <c r="J635" s="36">
        <f t="shared" si="28"/>
        <v>0</v>
      </c>
      <c r="K635" s="36" t="str">
        <f t="shared" ca="1" si="29"/>
        <v/>
      </c>
    </row>
    <row r="636" spans="3:11" x14ac:dyDescent="0.25">
      <c r="C636" s="53"/>
      <c r="D636" s="54"/>
      <c r="E636" s="55"/>
      <c r="F636" s="54"/>
      <c r="G636" s="56"/>
      <c r="H636" s="56"/>
      <c r="I636" s="36" t="str">
        <f t="shared" si="27"/>
        <v/>
      </c>
      <c r="J636" s="36">
        <f t="shared" si="28"/>
        <v>0</v>
      </c>
      <c r="K636" s="36" t="str">
        <f t="shared" ca="1" si="29"/>
        <v/>
      </c>
    </row>
    <row r="637" spans="3:11" x14ac:dyDescent="0.25">
      <c r="C637" s="53"/>
      <c r="D637" s="54"/>
      <c r="E637" s="55"/>
      <c r="F637" s="54"/>
      <c r="G637" s="56"/>
      <c r="H637" s="56"/>
      <c r="I637" s="36" t="str">
        <f t="shared" si="27"/>
        <v/>
      </c>
      <c r="J637" s="36">
        <f t="shared" si="28"/>
        <v>0</v>
      </c>
      <c r="K637" s="36" t="str">
        <f t="shared" ca="1" si="29"/>
        <v/>
      </c>
    </row>
    <row r="638" spans="3:11" x14ac:dyDescent="0.25">
      <c r="C638" s="53"/>
      <c r="D638" s="54"/>
      <c r="E638" s="55"/>
      <c r="F638" s="54"/>
      <c r="G638" s="56"/>
      <c r="H638" s="56"/>
      <c r="I638" s="36" t="str">
        <f t="shared" si="27"/>
        <v/>
      </c>
      <c r="J638" s="36">
        <f t="shared" si="28"/>
        <v>0</v>
      </c>
      <c r="K638" s="36" t="str">
        <f t="shared" ca="1" si="29"/>
        <v/>
      </c>
    </row>
    <row r="639" spans="3:11" x14ac:dyDescent="0.25">
      <c r="C639" s="53"/>
      <c r="D639" s="54"/>
      <c r="E639" s="55"/>
      <c r="F639" s="54"/>
      <c r="G639" s="56"/>
      <c r="H639" s="56"/>
      <c r="I639" s="36" t="str">
        <f t="shared" si="27"/>
        <v/>
      </c>
      <c r="J639" s="36">
        <f t="shared" si="28"/>
        <v>0</v>
      </c>
      <c r="K639" s="36" t="str">
        <f t="shared" ca="1" si="29"/>
        <v/>
      </c>
    </row>
    <row r="640" spans="3:11" x14ac:dyDescent="0.25">
      <c r="C640" s="53"/>
      <c r="D640" s="54"/>
      <c r="E640" s="55"/>
      <c r="F640" s="54"/>
      <c r="G640" s="56"/>
      <c r="H640" s="56"/>
      <c r="I640" s="36" t="str">
        <f t="shared" si="27"/>
        <v/>
      </c>
      <c r="J640" s="36">
        <f t="shared" si="28"/>
        <v>0</v>
      </c>
      <c r="K640" s="36" t="str">
        <f t="shared" ca="1" si="29"/>
        <v/>
      </c>
    </row>
    <row r="641" spans="3:11" x14ac:dyDescent="0.25">
      <c r="C641" s="53"/>
      <c r="D641" s="54"/>
      <c r="E641" s="55"/>
      <c r="F641" s="54"/>
      <c r="G641" s="56"/>
      <c r="H641" s="56"/>
      <c r="I641" s="36" t="str">
        <f t="shared" si="27"/>
        <v/>
      </c>
      <c r="J641" s="36">
        <f t="shared" si="28"/>
        <v>0</v>
      </c>
      <c r="K641" s="36" t="str">
        <f t="shared" ca="1" si="29"/>
        <v/>
      </c>
    </row>
    <row r="642" spans="3:11" x14ac:dyDescent="0.25">
      <c r="C642" s="53"/>
      <c r="D642" s="54"/>
      <c r="E642" s="55"/>
      <c r="F642" s="54"/>
      <c r="G642" s="56"/>
      <c r="H642" s="56"/>
      <c r="I642" s="36" t="str">
        <f t="shared" si="27"/>
        <v/>
      </c>
      <c r="J642" s="36">
        <f t="shared" si="28"/>
        <v>0</v>
      </c>
      <c r="K642" s="36" t="str">
        <f t="shared" ca="1" si="29"/>
        <v/>
      </c>
    </row>
    <row r="643" spans="3:11" x14ac:dyDescent="0.25">
      <c r="C643" s="53"/>
      <c r="D643" s="54"/>
      <c r="E643" s="55"/>
      <c r="F643" s="54"/>
      <c r="G643" s="56"/>
      <c r="H643" s="56"/>
      <c r="I643" s="36" t="str">
        <f t="shared" si="27"/>
        <v/>
      </c>
      <c r="J643" s="36">
        <f t="shared" si="28"/>
        <v>0</v>
      </c>
      <c r="K643" s="36" t="str">
        <f t="shared" ca="1" si="29"/>
        <v/>
      </c>
    </row>
    <row r="644" spans="3:11" x14ac:dyDescent="0.25">
      <c r="C644" s="53"/>
      <c r="D644" s="54"/>
      <c r="E644" s="55"/>
      <c r="F644" s="54"/>
      <c r="G644" s="56"/>
      <c r="H644" s="56"/>
      <c r="I644" s="36" t="str">
        <f t="shared" si="27"/>
        <v/>
      </c>
      <c r="J644" s="36">
        <f t="shared" si="28"/>
        <v>0</v>
      </c>
      <c r="K644" s="36" t="str">
        <f t="shared" ca="1" si="29"/>
        <v/>
      </c>
    </row>
    <row r="645" spans="3:11" x14ac:dyDescent="0.25">
      <c r="C645" s="53"/>
      <c r="D645" s="54"/>
      <c r="E645" s="55"/>
      <c r="F645" s="54"/>
      <c r="G645" s="56"/>
      <c r="H645" s="56"/>
      <c r="I645" s="36" t="str">
        <f t="shared" si="27"/>
        <v/>
      </c>
      <c r="J645" s="36">
        <f t="shared" si="28"/>
        <v>0</v>
      </c>
      <c r="K645" s="36" t="str">
        <f t="shared" ca="1" si="29"/>
        <v/>
      </c>
    </row>
    <row r="646" spans="3:11" x14ac:dyDescent="0.25">
      <c r="C646" s="53"/>
      <c r="D646" s="54"/>
      <c r="E646" s="55"/>
      <c r="F646" s="54"/>
      <c r="G646" s="56"/>
      <c r="H646" s="56"/>
      <c r="I646" s="36" t="str">
        <f t="shared" si="27"/>
        <v/>
      </c>
      <c r="J646" s="36">
        <f t="shared" si="28"/>
        <v>0</v>
      </c>
      <c r="K646" s="36" t="str">
        <f t="shared" ca="1" si="29"/>
        <v/>
      </c>
    </row>
    <row r="647" spans="3:11" x14ac:dyDescent="0.25">
      <c r="C647" s="53"/>
      <c r="D647" s="54"/>
      <c r="E647" s="55"/>
      <c r="F647" s="54"/>
      <c r="G647" s="56"/>
      <c r="H647" s="56"/>
      <c r="I647" s="36" t="str">
        <f t="shared" si="27"/>
        <v/>
      </c>
      <c r="J647" s="36">
        <f t="shared" si="28"/>
        <v>0</v>
      </c>
      <c r="K647" s="36" t="str">
        <f t="shared" ca="1" si="29"/>
        <v/>
      </c>
    </row>
    <row r="648" spans="3:11" x14ac:dyDescent="0.25">
      <c r="C648" s="53"/>
      <c r="D648" s="54"/>
      <c r="E648" s="55"/>
      <c r="F648" s="54"/>
      <c r="G648" s="56"/>
      <c r="H648" s="56"/>
      <c r="I648" s="36" t="str">
        <f t="shared" si="27"/>
        <v/>
      </c>
      <c r="J648" s="36">
        <f t="shared" si="28"/>
        <v>0</v>
      </c>
      <c r="K648" s="36" t="str">
        <f t="shared" ca="1" si="29"/>
        <v/>
      </c>
    </row>
    <row r="649" spans="3:11" x14ac:dyDescent="0.25">
      <c r="C649" s="53"/>
      <c r="D649" s="54"/>
      <c r="E649" s="55"/>
      <c r="F649" s="54"/>
      <c r="G649" s="56"/>
      <c r="H649" s="56"/>
      <c r="I649" s="36" t="str">
        <f t="shared" si="27"/>
        <v/>
      </c>
      <c r="J649" s="36">
        <f t="shared" si="28"/>
        <v>0</v>
      </c>
      <c r="K649" s="36" t="str">
        <f t="shared" ca="1" si="29"/>
        <v/>
      </c>
    </row>
    <row r="650" spans="3:11" x14ac:dyDescent="0.25">
      <c r="C650" s="53"/>
      <c r="D650" s="54"/>
      <c r="E650" s="55"/>
      <c r="F650" s="54"/>
      <c r="G650" s="56"/>
      <c r="H650" s="56"/>
      <c r="I650" s="36" t="str">
        <f t="shared" si="27"/>
        <v/>
      </c>
      <c r="J650" s="36">
        <f t="shared" si="28"/>
        <v>0</v>
      </c>
      <c r="K650" s="36" t="str">
        <f t="shared" ca="1" si="29"/>
        <v/>
      </c>
    </row>
    <row r="651" spans="3:11" x14ac:dyDescent="0.25">
      <c r="C651" s="53"/>
      <c r="D651" s="54"/>
      <c r="E651" s="55"/>
      <c r="F651" s="54"/>
      <c r="G651" s="56"/>
      <c r="H651" s="56"/>
      <c r="I651" s="36" t="str">
        <f t="shared" si="27"/>
        <v/>
      </c>
      <c r="J651" s="36">
        <f t="shared" si="28"/>
        <v>0</v>
      </c>
      <c r="K651" s="36" t="str">
        <f t="shared" ca="1" si="29"/>
        <v/>
      </c>
    </row>
    <row r="652" spans="3:11" x14ac:dyDescent="0.25">
      <c r="C652" s="53"/>
      <c r="D652" s="54"/>
      <c r="E652" s="55"/>
      <c r="F652" s="54"/>
      <c r="G652" s="56"/>
      <c r="H652" s="56"/>
      <c r="I652" s="36" t="str">
        <f t="shared" si="27"/>
        <v/>
      </c>
      <c r="J652" s="36">
        <f t="shared" si="28"/>
        <v>0</v>
      </c>
      <c r="K652" s="36" t="str">
        <f t="shared" ca="1" si="29"/>
        <v/>
      </c>
    </row>
    <row r="653" spans="3:11" x14ac:dyDescent="0.25">
      <c r="C653" s="53"/>
      <c r="D653" s="54"/>
      <c r="E653" s="55"/>
      <c r="F653" s="54"/>
      <c r="G653" s="56"/>
      <c r="H653" s="56"/>
      <c r="I653" s="36" t="str">
        <f t="shared" si="27"/>
        <v/>
      </c>
      <c r="J653" s="36">
        <f t="shared" si="28"/>
        <v>0</v>
      </c>
      <c r="K653" s="36" t="str">
        <f t="shared" ca="1" si="29"/>
        <v/>
      </c>
    </row>
    <row r="654" spans="3:11" x14ac:dyDescent="0.25">
      <c r="C654" s="53"/>
      <c r="D654" s="54"/>
      <c r="E654" s="55"/>
      <c r="F654" s="54"/>
      <c r="G654" s="56"/>
      <c r="H654" s="56"/>
      <c r="I654" s="36" t="str">
        <f t="shared" si="27"/>
        <v/>
      </c>
      <c r="J654" s="36">
        <f t="shared" si="28"/>
        <v>0</v>
      </c>
      <c r="K654" s="36" t="str">
        <f t="shared" ca="1" si="29"/>
        <v/>
      </c>
    </row>
    <row r="655" spans="3:11" x14ac:dyDescent="0.25">
      <c r="C655" s="53"/>
      <c r="D655" s="54"/>
      <c r="E655" s="55"/>
      <c r="F655" s="54"/>
      <c r="G655" s="56"/>
      <c r="H655" s="56"/>
      <c r="I655" s="36" t="str">
        <f t="shared" si="27"/>
        <v/>
      </c>
      <c r="J655" s="36">
        <f t="shared" si="28"/>
        <v>0</v>
      </c>
      <c r="K655" s="36" t="str">
        <f t="shared" ca="1" si="29"/>
        <v/>
      </c>
    </row>
    <row r="656" spans="3:11" x14ac:dyDescent="0.25">
      <c r="C656" s="53"/>
      <c r="D656" s="54"/>
      <c r="E656" s="55"/>
      <c r="F656" s="54"/>
      <c r="G656" s="56"/>
      <c r="H656" s="56"/>
      <c r="I656" s="36" t="str">
        <f t="shared" ref="I656:I719" si="30">IF(C656="","",IF(H656&lt;=0,"Em aberto",IF(H656&gt;=G656,"Pagamento Total",IF(H656&lt;G656,"Pagamento Parcial"))))</f>
        <v/>
      </c>
      <c r="J656" s="36">
        <f t="shared" ref="J656:J719" si="31">IF(C656&gt;0,G656-H656,0)</f>
        <v>0</v>
      </c>
      <c r="K656" s="36" t="str">
        <f t="shared" ref="K656:K719" ca="1" si="32">IF(ISBLANK(C656),"",IF(H656=G656,"Pago",IF(C656=TODAY(),"Vence Hoje",IF(TRIM(UPPER(G655))&lt;&gt;"S",IF(C656-TODAY()&lt;0,"Vencida",IF(C656-TODAY()&lt;8,"Próximos sete dias","Em aberto"))))))</f>
        <v/>
      </c>
    </row>
    <row r="657" spans="3:11" x14ac:dyDescent="0.25">
      <c r="C657" s="53"/>
      <c r="D657" s="54"/>
      <c r="E657" s="55"/>
      <c r="F657" s="54"/>
      <c r="G657" s="56"/>
      <c r="H657" s="56"/>
      <c r="I657" s="36" t="str">
        <f t="shared" si="30"/>
        <v/>
      </c>
      <c r="J657" s="36">
        <f t="shared" si="31"/>
        <v>0</v>
      </c>
      <c r="K657" s="36" t="str">
        <f t="shared" ca="1" si="32"/>
        <v/>
      </c>
    </row>
    <row r="658" spans="3:11" x14ac:dyDescent="0.25">
      <c r="C658" s="53"/>
      <c r="D658" s="54"/>
      <c r="E658" s="55"/>
      <c r="F658" s="54"/>
      <c r="G658" s="56"/>
      <c r="H658" s="56"/>
      <c r="I658" s="36" t="str">
        <f t="shared" si="30"/>
        <v/>
      </c>
      <c r="J658" s="36">
        <f t="shared" si="31"/>
        <v>0</v>
      </c>
      <c r="K658" s="36" t="str">
        <f t="shared" ca="1" si="32"/>
        <v/>
      </c>
    </row>
    <row r="659" spans="3:11" x14ac:dyDescent="0.25">
      <c r="C659" s="53"/>
      <c r="D659" s="54"/>
      <c r="E659" s="55"/>
      <c r="F659" s="54"/>
      <c r="G659" s="56"/>
      <c r="H659" s="56"/>
      <c r="I659" s="36" t="str">
        <f t="shared" si="30"/>
        <v/>
      </c>
      <c r="J659" s="36">
        <f t="shared" si="31"/>
        <v>0</v>
      </c>
      <c r="K659" s="36" t="str">
        <f t="shared" ca="1" si="32"/>
        <v/>
      </c>
    </row>
    <row r="660" spans="3:11" x14ac:dyDescent="0.25">
      <c r="C660" s="53"/>
      <c r="D660" s="54"/>
      <c r="E660" s="55"/>
      <c r="F660" s="54"/>
      <c r="G660" s="56"/>
      <c r="H660" s="56"/>
      <c r="I660" s="36" t="str">
        <f t="shared" si="30"/>
        <v/>
      </c>
      <c r="J660" s="36">
        <f t="shared" si="31"/>
        <v>0</v>
      </c>
      <c r="K660" s="36" t="str">
        <f t="shared" ca="1" si="32"/>
        <v/>
      </c>
    </row>
    <row r="661" spans="3:11" x14ac:dyDescent="0.25">
      <c r="C661" s="53"/>
      <c r="D661" s="54"/>
      <c r="E661" s="55"/>
      <c r="F661" s="54"/>
      <c r="G661" s="56"/>
      <c r="H661" s="56"/>
      <c r="I661" s="36" t="str">
        <f t="shared" si="30"/>
        <v/>
      </c>
      <c r="J661" s="36">
        <f t="shared" si="31"/>
        <v>0</v>
      </c>
      <c r="K661" s="36" t="str">
        <f t="shared" ca="1" si="32"/>
        <v/>
      </c>
    </row>
    <row r="662" spans="3:11" x14ac:dyDescent="0.25">
      <c r="C662" s="53"/>
      <c r="D662" s="54"/>
      <c r="E662" s="55"/>
      <c r="F662" s="54"/>
      <c r="G662" s="56"/>
      <c r="H662" s="56"/>
      <c r="I662" s="36" t="str">
        <f t="shared" si="30"/>
        <v/>
      </c>
      <c r="J662" s="36">
        <f t="shared" si="31"/>
        <v>0</v>
      </c>
      <c r="K662" s="36" t="str">
        <f t="shared" ca="1" si="32"/>
        <v/>
      </c>
    </row>
    <row r="663" spans="3:11" x14ac:dyDescent="0.25">
      <c r="C663" s="53"/>
      <c r="D663" s="54"/>
      <c r="E663" s="55"/>
      <c r="F663" s="54"/>
      <c r="G663" s="56"/>
      <c r="H663" s="56"/>
      <c r="I663" s="36" t="str">
        <f t="shared" si="30"/>
        <v/>
      </c>
      <c r="J663" s="36">
        <f t="shared" si="31"/>
        <v>0</v>
      </c>
      <c r="K663" s="36" t="str">
        <f t="shared" ca="1" si="32"/>
        <v/>
      </c>
    </row>
    <row r="664" spans="3:11" x14ac:dyDescent="0.25">
      <c r="C664" s="53"/>
      <c r="D664" s="54"/>
      <c r="E664" s="55"/>
      <c r="F664" s="54"/>
      <c r="G664" s="56"/>
      <c r="H664" s="56"/>
      <c r="I664" s="36" t="str">
        <f t="shared" si="30"/>
        <v/>
      </c>
      <c r="J664" s="36">
        <f t="shared" si="31"/>
        <v>0</v>
      </c>
      <c r="K664" s="36" t="str">
        <f t="shared" ca="1" si="32"/>
        <v/>
      </c>
    </row>
    <row r="665" spans="3:11" x14ac:dyDescent="0.25">
      <c r="C665" s="53"/>
      <c r="D665" s="54"/>
      <c r="E665" s="55"/>
      <c r="F665" s="54"/>
      <c r="G665" s="56"/>
      <c r="H665" s="56"/>
      <c r="I665" s="36" t="str">
        <f t="shared" si="30"/>
        <v/>
      </c>
      <c r="J665" s="36">
        <f t="shared" si="31"/>
        <v>0</v>
      </c>
      <c r="K665" s="36" t="str">
        <f t="shared" ca="1" si="32"/>
        <v/>
      </c>
    </row>
    <row r="666" spans="3:11" x14ac:dyDescent="0.25">
      <c r="C666" s="53"/>
      <c r="D666" s="54"/>
      <c r="E666" s="55"/>
      <c r="F666" s="54"/>
      <c r="G666" s="56"/>
      <c r="H666" s="56"/>
      <c r="I666" s="36" t="str">
        <f t="shared" si="30"/>
        <v/>
      </c>
      <c r="J666" s="36">
        <f t="shared" si="31"/>
        <v>0</v>
      </c>
      <c r="K666" s="36" t="str">
        <f t="shared" ca="1" si="32"/>
        <v/>
      </c>
    </row>
    <row r="667" spans="3:11" x14ac:dyDescent="0.25">
      <c r="C667" s="53"/>
      <c r="D667" s="54"/>
      <c r="E667" s="55"/>
      <c r="F667" s="54"/>
      <c r="G667" s="56"/>
      <c r="H667" s="56"/>
      <c r="I667" s="36" t="str">
        <f t="shared" si="30"/>
        <v/>
      </c>
      <c r="J667" s="36">
        <f t="shared" si="31"/>
        <v>0</v>
      </c>
      <c r="K667" s="36" t="str">
        <f t="shared" ca="1" si="32"/>
        <v/>
      </c>
    </row>
    <row r="668" spans="3:11" x14ac:dyDescent="0.25">
      <c r="C668" s="53"/>
      <c r="D668" s="54"/>
      <c r="E668" s="55"/>
      <c r="F668" s="54"/>
      <c r="G668" s="56"/>
      <c r="H668" s="56"/>
      <c r="I668" s="36" t="str">
        <f t="shared" si="30"/>
        <v/>
      </c>
      <c r="J668" s="36">
        <f t="shared" si="31"/>
        <v>0</v>
      </c>
      <c r="K668" s="36" t="str">
        <f t="shared" ca="1" si="32"/>
        <v/>
      </c>
    </row>
    <row r="669" spans="3:11" x14ac:dyDescent="0.25">
      <c r="C669" s="53"/>
      <c r="D669" s="54"/>
      <c r="E669" s="55"/>
      <c r="F669" s="54"/>
      <c r="G669" s="56"/>
      <c r="H669" s="56"/>
      <c r="I669" s="36" t="str">
        <f t="shared" si="30"/>
        <v/>
      </c>
      <c r="J669" s="36">
        <f t="shared" si="31"/>
        <v>0</v>
      </c>
      <c r="K669" s="36" t="str">
        <f t="shared" ca="1" si="32"/>
        <v/>
      </c>
    </row>
    <row r="670" spans="3:11" x14ac:dyDescent="0.25">
      <c r="C670" s="53"/>
      <c r="D670" s="54"/>
      <c r="E670" s="55"/>
      <c r="F670" s="54"/>
      <c r="G670" s="56"/>
      <c r="H670" s="56"/>
      <c r="I670" s="36" t="str">
        <f t="shared" si="30"/>
        <v/>
      </c>
      <c r="J670" s="36">
        <f t="shared" si="31"/>
        <v>0</v>
      </c>
      <c r="K670" s="36" t="str">
        <f t="shared" ca="1" si="32"/>
        <v/>
      </c>
    </row>
    <row r="671" spans="3:11" x14ac:dyDescent="0.25">
      <c r="C671" s="53"/>
      <c r="D671" s="54"/>
      <c r="E671" s="55"/>
      <c r="F671" s="54"/>
      <c r="G671" s="56"/>
      <c r="H671" s="56"/>
      <c r="I671" s="36" t="str">
        <f t="shared" si="30"/>
        <v/>
      </c>
      <c r="J671" s="36">
        <f t="shared" si="31"/>
        <v>0</v>
      </c>
      <c r="K671" s="36" t="str">
        <f t="shared" ca="1" si="32"/>
        <v/>
      </c>
    </row>
    <row r="672" spans="3:11" x14ac:dyDescent="0.25">
      <c r="C672" s="53"/>
      <c r="D672" s="54"/>
      <c r="E672" s="55"/>
      <c r="F672" s="54"/>
      <c r="G672" s="56"/>
      <c r="H672" s="56"/>
      <c r="I672" s="36" t="str">
        <f t="shared" si="30"/>
        <v/>
      </c>
      <c r="J672" s="36">
        <f t="shared" si="31"/>
        <v>0</v>
      </c>
      <c r="K672" s="36" t="str">
        <f t="shared" ca="1" si="32"/>
        <v/>
      </c>
    </row>
    <row r="673" spans="3:11" x14ac:dyDescent="0.25">
      <c r="C673" s="53"/>
      <c r="D673" s="54"/>
      <c r="E673" s="55"/>
      <c r="F673" s="54"/>
      <c r="G673" s="56"/>
      <c r="H673" s="56"/>
      <c r="I673" s="36" t="str">
        <f t="shared" si="30"/>
        <v/>
      </c>
      <c r="J673" s="36">
        <f t="shared" si="31"/>
        <v>0</v>
      </c>
      <c r="K673" s="36" t="str">
        <f t="shared" ca="1" si="32"/>
        <v/>
      </c>
    </row>
    <row r="674" spans="3:11" x14ac:dyDescent="0.25">
      <c r="C674" s="53"/>
      <c r="D674" s="54"/>
      <c r="E674" s="55"/>
      <c r="F674" s="54"/>
      <c r="G674" s="56"/>
      <c r="H674" s="56"/>
      <c r="I674" s="36" t="str">
        <f t="shared" si="30"/>
        <v/>
      </c>
      <c r="J674" s="36">
        <f t="shared" si="31"/>
        <v>0</v>
      </c>
      <c r="K674" s="36" t="str">
        <f t="shared" ca="1" si="32"/>
        <v/>
      </c>
    </row>
    <row r="675" spans="3:11" x14ac:dyDescent="0.25">
      <c r="C675" s="53"/>
      <c r="D675" s="54"/>
      <c r="E675" s="55"/>
      <c r="F675" s="54"/>
      <c r="G675" s="56"/>
      <c r="H675" s="56"/>
      <c r="I675" s="36" t="str">
        <f t="shared" si="30"/>
        <v/>
      </c>
      <c r="J675" s="36">
        <f t="shared" si="31"/>
        <v>0</v>
      </c>
      <c r="K675" s="36" t="str">
        <f t="shared" ca="1" si="32"/>
        <v/>
      </c>
    </row>
    <row r="676" spans="3:11" x14ac:dyDescent="0.25">
      <c r="C676" s="53"/>
      <c r="D676" s="54"/>
      <c r="E676" s="55"/>
      <c r="F676" s="54"/>
      <c r="G676" s="56"/>
      <c r="H676" s="56"/>
      <c r="I676" s="36" t="str">
        <f t="shared" si="30"/>
        <v/>
      </c>
      <c r="J676" s="36">
        <f t="shared" si="31"/>
        <v>0</v>
      </c>
      <c r="K676" s="36" t="str">
        <f t="shared" ca="1" si="32"/>
        <v/>
      </c>
    </row>
    <row r="677" spans="3:11" x14ac:dyDescent="0.25">
      <c r="C677" s="53"/>
      <c r="D677" s="54"/>
      <c r="E677" s="55"/>
      <c r="F677" s="54"/>
      <c r="G677" s="56"/>
      <c r="H677" s="56"/>
      <c r="I677" s="36" t="str">
        <f t="shared" si="30"/>
        <v/>
      </c>
      <c r="J677" s="36">
        <f t="shared" si="31"/>
        <v>0</v>
      </c>
      <c r="K677" s="36" t="str">
        <f t="shared" ca="1" si="32"/>
        <v/>
      </c>
    </row>
    <row r="678" spans="3:11" x14ac:dyDescent="0.25">
      <c r="C678" s="53"/>
      <c r="D678" s="54"/>
      <c r="E678" s="55"/>
      <c r="F678" s="54"/>
      <c r="G678" s="56"/>
      <c r="H678" s="56"/>
      <c r="I678" s="36" t="str">
        <f t="shared" si="30"/>
        <v/>
      </c>
      <c r="J678" s="36">
        <f t="shared" si="31"/>
        <v>0</v>
      </c>
      <c r="K678" s="36" t="str">
        <f t="shared" ca="1" si="32"/>
        <v/>
      </c>
    </row>
    <row r="679" spans="3:11" x14ac:dyDescent="0.25">
      <c r="C679" s="53"/>
      <c r="D679" s="54"/>
      <c r="E679" s="55"/>
      <c r="F679" s="54"/>
      <c r="G679" s="56"/>
      <c r="H679" s="56"/>
      <c r="I679" s="36" t="str">
        <f t="shared" si="30"/>
        <v/>
      </c>
      <c r="J679" s="36">
        <f t="shared" si="31"/>
        <v>0</v>
      </c>
      <c r="K679" s="36" t="str">
        <f t="shared" ca="1" si="32"/>
        <v/>
      </c>
    </row>
    <row r="680" spans="3:11" x14ac:dyDescent="0.25">
      <c r="C680" s="53"/>
      <c r="D680" s="54"/>
      <c r="E680" s="55"/>
      <c r="F680" s="54"/>
      <c r="G680" s="56"/>
      <c r="H680" s="56"/>
      <c r="I680" s="36" t="str">
        <f t="shared" si="30"/>
        <v/>
      </c>
      <c r="J680" s="36">
        <f t="shared" si="31"/>
        <v>0</v>
      </c>
      <c r="K680" s="36" t="str">
        <f t="shared" ca="1" si="32"/>
        <v/>
      </c>
    </row>
    <row r="681" spans="3:11" x14ac:dyDescent="0.25">
      <c r="C681" s="53"/>
      <c r="D681" s="54"/>
      <c r="E681" s="55"/>
      <c r="F681" s="54"/>
      <c r="G681" s="56"/>
      <c r="H681" s="56"/>
      <c r="I681" s="36" t="str">
        <f t="shared" si="30"/>
        <v/>
      </c>
      <c r="J681" s="36">
        <f t="shared" si="31"/>
        <v>0</v>
      </c>
      <c r="K681" s="36" t="str">
        <f t="shared" ca="1" si="32"/>
        <v/>
      </c>
    </row>
    <row r="682" spans="3:11" x14ac:dyDescent="0.25">
      <c r="C682" s="53"/>
      <c r="D682" s="54"/>
      <c r="E682" s="55"/>
      <c r="F682" s="54"/>
      <c r="G682" s="56"/>
      <c r="H682" s="56"/>
      <c r="I682" s="36" t="str">
        <f t="shared" si="30"/>
        <v/>
      </c>
      <c r="J682" s="36">
        <f t="shared" si="31"/>
        <v>0</v>
      </c>
      <c r="K682" s="36" t="str">
        <f t="shared" ca="1" si="32"/>
        <v/>
      </c>
    </row>
    <row r="683" spans="3:11" x14ac:dyDescent="0.25">
      <c r="C683" s="53"/>
      <c r="D683" s="54"/>
      <c r="E683" s="55"/>
      <c r="F683" s="54"/>
      <c r="G683" s="56"/>
      <c r="H683" s="56"/>
      <c r="I683" s="36" t="str">
        <f t="shared" si="30"/>
        <v/>
      </c>
      <c r="J683" s="36">
        <f t="shared" si="31"/>
        <v>0</v>
      </c>
      <c r="K683" s="36" t="str">
        <f t="shared" ca="1" si="32"/>
        <v/>
      </c>
    </row>
    <row r="684" spans="3:11" x14ac:dyDescent="0.25">
      <c r="C684" s="53"/>
      <c r="D684" s="54"/>
      <c r="E684" s="55"/>
      <c r="F684" s="54"/>
      <c r="G684" s="56"/>
      <c r="H684" s="56"/>
      <c r="I684" s="36" t="str">
        <f t="shared" si="30"/>
        <v/>
      </c>
      <c r="J684" s="36">
        <f t="shared" si="31"/>
        <v>0</v>
      </c>
      <c r="K684" s="36" t="str">
        <f t="shared" ca="1" si="32"/>
        <v/>
      </c>
    </row>
    <row r="685" spans="3:11" x14ac:dyDescent="0.25">
      <c r="C685" s="53"/>
      <c r="D685" s="54"/>
      <c r="E685" s="55"/>
      <c r="F685" s="54"/>
      <c r="G685" s="56"/>
      <c r="H685" s="56"/>
      <c r="I685" s="36" t="str">
        <f t="shared" si="30"/>
        <v/>
      </c>
      <c r="J685" s="36">
        <f t="shared" si="31"/>
        <v>0</v>
      </c>
      <c r="K685" s="36" t="str">
        <f t="shared" ca="1" si="32"/>
        <v/>
      </c>
    </row>
    <row r="686" spans="3:11" x14ac:dyDescent="0.25">
      <c r="C686" s="53"/>
      <c r="D686" s="54"/>
      <c r="E686" s="55"/>
      <c r="F686" s="54"/>
      <c r="G686" s="56"/>
      <c r="H686" s="56"/>
      <c r="I686" s="36" t="str">
        <f t="shared" si="30"/>
        <v/>
      </c>
      <c r="J686" s="36">
        <f t="shared" si="31"/>
        <v>0</v>
      </c>
      <c r="K686" s="36" t="str">
        <f t="shared" ca="1" si="32"/>
        <v/>
      </c>
    </row>
    <row r="687" spans="3:11" x14ac:dyDescent="0.25">
      <c r="C687" s="53"/>
      <c r="D687" s="54"/>
      <c r="E687" s="55"/>
      <c r="F687" s="54"/>
      <c r="G687" s="56"/>
      <c r="H687" s="56"/>
      <c r="I687" s="36" t="str">
        <f t="shared" si="30"/>
        <v/>
      </c>
      <c r="J687" s="36">
        <f t="shared" si="31"/>
        <v>0</v>
      </c>
      <c r="K687" s="36" t="str">
        <f t="shared" ca="1" si="32"/>
        <v/>
      </c>
    </row>
    <row r="688" spans="3:11" x14ac:dyDescent="0.25">
      <c r="C688" s="53"/>
      <c r="D688" s="54"/>
      <c r="E688" s="55"/>
      <c r="F688" s="54"/>
      <c r="G688" s="56"/>
      <c r="H688" s="56"/>
      <c r="I688" s="36" t="str">
        <f t="shared" si="30"/>
        <v/>
      </c>
      <c r="J688" s="36">
        <f t="shared" si="31"/>
        <v>0</v>
      </c>
      <c r="K688" s="36" t="str">
        <f t="shared" ca="1" si="32"/>
        <v/>
      </c>
    </row>
    <row r="689" spans="3:11" x14ac:dyDescent="0.25">
      <c r="C689" s="53"/>
      <c r="D689" s="54"/>
      <c r="E689" s="55"/>
      <c r="F689" s="54"/>
      <c r="G689" s="56"/>
      <c r="H689" s="56"/>
      <c r="I689" s="36" t="str">
        <f t="shared" si="30"/>
        <v/>
      </c>
      <c r="J689" s="36">
        <f t="shared" si="31"/>
        <v>0</v>
      </c>
      <c r="K689" s="36" t="str">
        <f t="shared" ca="1" si="32"/>
        <v/>
      </c>
    </row>
    <row r="690" spans="3:11" x14ac:dyDescent="0.25">
      <c r="C690" s="53"/>
      <c r="D690" s="54"/>
      <c r="E690" s="55"/>
      <c r="F690" s="54"/>
      <c r="G690" s="56"/>
      <c r="H690" s="56"/>
      <c r="I690" s="36" t="str">
        <f t="shared" si="30"/>
        <v/>
      </c>
      <c r="J690" s="36">
        <f t="shared" si="31"/>
        <v>0</v>
      </c>
      <c r="K690" s="36" t="str">
        <f t="shared" ca="1" si="32"/>
        <v/>
      </c>
    </row>
    <row r="691" spans="3:11" x14ac:dyDescent="0.25">
      <c r="C691" s="53"/>
      <c r="D691" s="54"/>
      <c r="E691" s="55"/>
      <c r="F691" s="54"/>
      <c r="G691" s="56"/>
      <c r="H691" s="56"/>
      <c r="I691" s="36" t="str">
        <f t="shared" si="30"/>
        <v/>
      </c>
      <c r="J691" s="36">
        <f t="shared" si="31"/>
        <v>0</v>
      </c>
      <c r="K691" s="36" t="str">
        <f t="shared" ca="1" si="32"/>
        <v/>
      </c>
    </row>
    <row r="692" spans="3:11" x14ac:dyDescent="0.25">
      <c r="C692" s="53"/>
      <c r="D692" s="54"/>
      <c r="E692" s="55"/>
      <c r="F692" s="54"/>
      <c r="G692" s="56"/>
      <c r="H692" s="56"/>
      <c r="I692" s="36" t="str">
        <f t="shared" si="30"/>
        <v/>
      </c>
      <c r="J692" s="36">
        <f t="shared" si="31"/>
        <v>0</v>
      </c>
      <c r="K692" s="36" t="str">
        <f t="shared" ca="1" si="32"/>
        <v/>
      </c>
    </row>
    <row r="693" spans="3:11" x14ac:dyDescent="0.25">
      <c r="C693" s="53"/>
      <c r="D693" s="54"/>
      <c r="E693" s="55"/>
      <c r="F693" s="54"/>
      <c r="G693" s="56"/>
      <c r="H693" s="56"/>
      <c r="I693" s="36" t="str">
        <f t="shared" si="30"/>
        <v/>
      </c>
      <c r="J693" s="36">
        <f t="shared" si="31"/>
        <v>0</v>
      </c>
      <c r="K693" s="36" t="str">
        <f t="shared" ca="1" si="32"/>
        <v/>
      </c>
    </row>
    <row r="694" spans="3:11" x14ac:dyDescent="0.25">
      <c r="C694" s="53"/>
      <c r="D694" s="54"/>
      <c r="E694" s="55"/>
      <c r="F694" s="54"/>
      <c r="G694" s="56"/>
      <c r="H694" s="56"/>
      <c r="I694" s="36" t="str">
        <f t="shared" si="30"/>
        <v/>
      </c>
      <c r="J694" s="36">
        <f t="shared" si="31"/>
        <v>0</v>
      </c>
      <c r="K694" s="36" t="str">
        <f t="shared" ca="1" si="32"/>
        <v/>
      </c>
    </row>
    <row r="695" spans="3:11" x14ac:dyDescent="0.25">
      <c r="C695" s="53"/>
      <c r="D695" s="54"/>
      <c r="E695" s="55"/>
      <c r="F695" s="54"/>
      <c r="G695" s="56"/>
      <c r="H695" s="56"/>
      <c r="I695" s="36" t="str">
        <f t="shared" si="30"/>
        <v/>
      </c>
      <c r="J695" s="36">
        <f t="shared" si="31"/>
        <v>0</v>
      </c>
      <c r="K695" s="36" t="str">
        <f t="shared" ca="1" si="32"/>
        <v/>
      </c>
    </row>
    <row r="696" spans="3:11" x14ac:dyDescent="0.25">
      <c r="C696" s="53"/>
      <c r="D696" s="54"/>
      <c r="E696" s="55"/>
      <c r="F696" s="54"/>
      <c r="G696" s="56"/>
      <c r="H696" s="56"/>
      <c r="I696" s="36" t="str">
        <f t="shared" si="30"/>
        <v/>
      </c>
      <c r="J696" s="36">
        <f t="shared" si="31"/>
        <v>0</v>
      </c>
      <c r="K696" s="36" t="str">
        <f t="shared" ca="1" si="32"/>
        <v/>
      </c>
    </row>
    <row r="697" spans="3:11" x14ac:dyDescent="0.25">
      <c r="C697" s="53"/>
      <c r="D697" s="54"/>
      <c r="E697" s="55"/>
      <c r="F697" s="54"/>
      <c r="G697" s="56"/>
      <c r="H697" s="56"/>
      <c r="I697" s="36" t="str">
        <f t="shared" si="30"/>
        <v/>
      </c>
      <c r="J697" s="36">
        <f t="shared" si="31"/>
        <v>0</v>
      </c>
      <c r="K697" s="36" t="str">
        <f t="shared" ca="1" si="32"/>
        <v/>
      </c>
    </row>
    <row r="698" spans="3:11" x14ac:dyDescent="0.25">
      <c r="C698" s="53"/>
      <c r="D698" s="54"/>
      <c r="E698" s="55"/>
      <c r="F698" s="54"/>
      <c r="G698" s="56"/>
      <c r="H698" s="56"/>
      <c r="I698" s="36" t="str">
        <f t="shared" si="30"/>
        <v/>
      </c>
      <c r="J698" s="36">
        <f t="shared" si="31"/>
        <v>0</v>
      </c>
      <c r="K698" s="36" t="str">
        <f t="shared" ca="1" si="32"/>
        <v/>
      </c>
    </row>
    <row r="699" spans="3:11" x14ac:dyDescent="0.25">
      <c r="C699" s="53"/>
      <c r="D699" s="54"/>
      <c r="E699" s="55"/>
      <c r="F699" s="54"/>
      <c r="G699" s="56"/>
      <c r="H699" s="56"/>
      <c r="I699" s="36" t="str">
        <f t="shared" si="30"/>
        <v/>
      </c>
      <c r="J699" s="36">
        <f t="shared" si="31"/>
        <v>0</v>
      </c>
      <c r="K699" s="36" t="str">
        <f t="shared" ca="1" si="32"/>
        <v/>
      </c>
    </row>
    <row r="700" spans="3:11" x14ac:dyDescent="0.25">
      <c r="C700" s="53"/>
      <c r="D700" s="54"/>
      <c r="E700" s="55"/>
      <c r="F700" s="54"/>
      <c r="G700" s="56"/>
      <c r="H700" s="56"/>
      <c r="I700" s="36" t="str">
        <f t="shared" si="30"/>
        <v/>
      </c>
      <c r="J700" s="36">
        <f t="shared" si="31"/>
        <v>0</v>
      </c>
      <c r="K700" s="36" t="str">
        <f t="shared" ca="1" si="32"/>
        <v/>
      </c>
    </row>
    <row r="701" spans="3:11" x14ac:dyDescent="0.25">
      <c r="C701" s="53"/>
      <c r="D701" s="54"/>
      <c r="E701" s="55"/>
      <c r="F701" s="54"/>
      <c r="G701" s="56"/>
      <c r="H701" s="56"/>
      <c r="I701" s="36" t="str">
        <f t="shared" si="30"/>
        <v/>
      </c>
      <c r="J701" s="36">
        <f t="shared" si="31"/>
        <v>0</v>
      </c>
      <c r="K701" s="36" t="str">
        <f t="shared" ca="1" si="32"/>
        <v/>
      </c>
    </row>
    <row r="702" spans="3:11" x14ac:dyDescent="0.25">
      <c r="C702" s="53"/>
      <c r="D702" s="54"/>
      <c r="E702" s="55"/>
      <c r="F702" s="54"/>
      <c r="G702" s="56"/>
      <c r="H702" s="56"/>
      <c r="I702" s="36" t="str">
        <f t="shared" si="30"/>
        <v/>
      </c>
      <c r="J702" s="36">
        <f t="shared" si="31"/>
        <v>0</v>
      </c>
      <c r="K702" s="36" t="str">
        <f t="shared" ca="1" si="32"/>
        <v/>
      </c>
    </row>
    <row r="703" spans="3:11" x14ac:dyDescent="0.25">
      <c r="C703" s="53"/>
      <c r="D703" s="54"/>
      <c r="E703" s="55"/>
      <c r="F703" s="54"/>
      <c r="G703" s="56"/>
      <c r="H703" s="56"/>
      <c r="I703" s="36" t="str">
        <f t="shared" si="30"/>
        <v/>
      </c>
      <c r="J703" s="36">
        <f t="shared" si="31"/>
        <v>0</v>
      </c>
      <c r="K703" s="36" t="str">
        <f t="shared" ca="1" si="32"/>
        <v/>
      </c>
    </row>
    <row r="704" spans="3:11" x14ac:dyDescent="0.25">
      <c r="C704" s="53"/>
      <c r="D704" s="54"/>
      <c r="E704" s="55"/>
      <c r="F704" s="54"/>
      <c r="G704" s="56"/>
      <c r="H704" s="56"/>
      <c r="I704" s="36" t="str">
        <f t="shared" si="30"/>
        <v/>
      </c>
      <c r="J704" s="36">
        <f t="shared" si="31"/>
        <v>0</v>
      </c>
      <c r="K704" s="36" t="str">
        <f t="shared" ca="1" si="32"/>
        <v/>
      </c>
    </row>
    <row r="705" spans="3:11" x14ac:dyDescent="0.25">
      <c r="C705" s="53"/>
      <c r="D705" s="54"/>
      <c r="E705" s="55"/>
      <c r="F705" s="54"/>
      <c r="G705" s="56"/>
      <c r="H705" s="56"/>
      <c r="I705" s="36" t="str">
        <f t="shared" si="30"/>
        <v/>
      </c>
      <c r="J705" s="36">
        <f t="shared" si="31"/>
        <v>0</v>
      </c>
      <c r="K705" s="36" t="str">
        <f t="shared" ca="1" si="32"/>
        <v/>
      </c>
    </row>
    <row r="706" spans="3:11" x14ac:dyDescent="0.25">
      <c r="C706" s="53"/>
      <c r="D706" s="54"/>
      <c r="E706" s="55"/>
      <c r="F706" s="54"/>
      <c r="G706" s="56"/>
      <c r="H706" s="56"/>
      <c r="I706" s="36" t="str">
        <f t="shared" si="30"/>
        <v/>
      </c>
      <c r="J706" s="36">
        <f t="shared" si="31"/>
        <v>0</v>
      </c>
      <c r="K706" s="36" t="str">
        <f t="shared" ca="1" si="32"/>
        <v/>
      </c>
    </row>
    <row r="707" spans="3:11" x14ac:dyDescent="0.25">
      <c r="C707" s="53"/>
      <c r="D707" s="54"/>
      <c r="E707" s="55"/>
      <c r="F707" s="54"/>
      <c r="G707" s="56"/>
      <c r="H707" s="56"/>
      <c r="I707" s="36" t="str">
        <f t="shared" si="30"/>
        <v/>
      </c>
      <c r="J707" s="36">
        <f t="shared" si="31"/>
        <v>0</v>
      </c>
      <c r="K707" s="36" t="str">
        <f t="shared" ca="1" si="32"/>
        <v/>
      </c>
    </row>
    <row r="708" spans="3:11" x14ac:dyDescent="0.25">
      <c r="C708" s="53"/>
      <c r="D708" s="54"/>
      <c r="E708" s="55"/>
      <c r="F708" s="54"/>
      <c r="G708" s="56"/>
      <c r="H708" s="56"/>
      <c r="I708" s="36" t="str">
        <f t="shared" si="30"/>
        <v/>
      </c>
      <c r="J708" s="36">
        <f t="shared" si="31"/>
        <v>0</v>
      </c>
      <c r="K708" s="36" t="str">
        <f t="shared" ca="1" si="32"/>
        <v/>
      </c>
    </row>
    <row r="709" spans="3:11" x14ac:dyDescent="0.25">
      <c r="C709" s="53"/>
      <c r="D709" s="54"/>
      <c r="E709" s="55"/>
      <c r="F709" s="54"/>
      <c r="G709" s="56"/>
      <c r="H709" s="56"/>
      <c r="I709" s="36" t="str">
        <f t="shared" si="30"/>
        <v/>
      </c>
      <c r="J709" s="36">
        <f t="shared" si="31"/>
        <v>0</v>
      </c>
      <c r="K709" s="36" t="str">
        <f t="shared" ca="1" si="32"/>
        <v/>
      </c>
    </row>
    <row r="710" spans="3:11" x14ac:dyDescent="0.25">
      <c r="C710" s="53"/>
      <c r="D710" s="54"/>
      <c r="E710" s="55"/>
      <c r="F710" s="54"/>
      <c r="G710" s="56"/>
      <c r="H710" s="56"/>
      <c r="I710" s="36" t="str">
        <f t="shared" si="30"/>
        <v/>
      </c>
      <c r="J710" s="36">
        <f t="shared" si="31"/>
        <v>0</v>
      </c>
      <c r="K710" s="36" t="str">
        <f t="shared" ca="1" si="32"/>
        <v/>
      </c>
    </row>
    <row r="711" spans="3:11" x14ac:dyDescent="0.25">
      <c r="C711" s="53"/>
      <c r="D711" s="54"/>
      <c r="E711" s="55"/>
      <c r="F711" s="54"/>
      <c r="G711" s="56"/>
      <c r="H711" s="56"/>
      <c r="I711" s="36" t="str">
        <f t="shared" si="30"/>
        <v/>
      </c>
      <c r="J711" s="36">
        <f t="shared" si="31"/>
        <v>0</v>
      </c>
      <c r="K711" s="36" t="str">
        <f t="shared" ca="1" si="32"/>
        <v/>
      </c>
    </row>
    <row r="712" spans="3:11" x14ac:dyDescent="0.25">
      <c r="C712" s="53"/>
      <c r="D712" s="54"/>
      <c r="E712" s="55"/>
      <c r="F712" s="54"/>
      <c r="G712" s="56"/>
      <c r="H712" s="56"/>
      <c r="I712" s="36" t="str">
        <f t="shared" si="30"/>
        <v/>
      </c>
      <c r="J712" s="36">
        <f t="shared" si="31"/>
        <v>0</v>
      </c>
      <c r="K712" s="36" t="str">
        <f t="shared" ca="1" si="32"/>
        <v/>
      </c>
    </row>
    <row r="713" spans="3:11" x14ac:dyDescent="0.25">
      <c r="C713" s="53"/>
      <c r="D713" s="54"/>
      <c r="E713" s="55"/>
      <c r="F713" s="54"/>
      <c r="G713" s="56"/>
      <c r="H713" s="56"/>
      <c r="I713" s="36" t="str">
        <f t="shared" si="30"/>
        <v/>
      </c>
      <c r="J713" s="36">
        <f t="shared" si="31"/>
        <v>0</v>
      </c>
      <c r="K713" s="36" t="str">
        <f t="shared" ca="1" si="32"/>
        <v/>
      </c>
    </row>
    <row r="714" spans="3:11" x14ac:dyDescent="0.25">
      <c r="C714" s="53"/>
      <c r="D714" s="54"/>
      <c r="E714" s="55"/>
      <c r="F714" s="54"/>
      <c r="G714" s="56"/>
      <c r="H714" s="56"/>
      <c r="I714" s="36" t="str">
        <f t="shared" si="30"/>
        <v/>
      </c>
      <c r="J714" s="36">
        <f t="shared" si="31"/>
        <v>0</v>
      </c>
      <c r="K714" s="36" t="str">
        <f t="shared" ca="1" si="32"/>
        <v/>
      </c>
    </row>
    <row r="715" spans="3:11" x14ac:dyDescent="0.25">
      <c r="C715" s="53"/>
      <c r="D715" s="54"/>
      <c r="E715" s="55"/>
      <c r="F715" s="54"/>
      <c r="G715" s="56"/>
      <c r="H715" s="56"/>
      <c r="I715" s="36" t="str">
        <f t="shared" si="30"/>
        <v/>
      </c>
      <c r="J715" s="36">
        <f t="shared" si="31"/>
        <v>0</v>
      </c>
      <c r="K715" s="36" t="str">
        <f t="shared" ca="1" si="32"/>
        <v/>
      </c>
    </row>
    <row r="716" spans="3:11" x14ac:dyDescent="0.25">
      <c r="C716" s="53"/>
      <c r="D716" s="54"/>
      <c r="E716" s="55"/>
      <c r="F716" s="54"/>
      <c r="G716" s="56"/>
      <c r="H716" s="56"/>
      <c r="I716" s="36" t="str">
        <f t="shared" si="30"/>
        <v/>
      </c>
      <c r="J716" s="36">
        <f t="shared" si="31"/>
        <v>0</v>
      </c>
      <c r="K716" s="36" t="str">
        <f t="shared" ca="1" si="32"/>
        <v/>
      </c>
    </row>
    <row r="717" spans="3:11" x14ac:dyDescent="0.25">
      <c r="C717" s="53"/>
      <c r="D717" s="54"/>
      <c r="E717" s="55"/>
      <c r="F717" s="54"/>
      <c r="G717" s="56"/>
      <c r="H717" s="56"/>
      <c r="I717" s="36" t="str">
        <f t="shared" si="30"/>
        <v/>
      </c>
      <c r="J717" s="36">
        <f t="shared" si="31"/>
        <v>0</v>
      </c>
      <c r="K717" s="36" t="str">
        <f t="shared" ca="1" si="32"/>
        <v/>
      </c>
    </row>
    <row r="718" spans="3:11" x14ac:dyDescent="0.25">
      <c r="C718" s="53"/>
      <c r="D718" s="54"/>
      <c r="E718" s="55"/>
      <c r="F718" s="54"/>
      <c r="G718" s="56"/>
      <c r="H718" s="56"/>
      <c r="I718" s="36" t="str">
        <f t="shared" si="30"/>
        <v/>
      </c>
      <c r="J718" s="36">
        <f t="shared" si="31"/>
        <v>0</v>
      </c>
      <c r="K718" s="36" t="str">
        <f t="shared" ca="1" si="32"/>
        <v/>
      </c>
    </row>
    <row r="719" spans="3:11" x14ac:dyDescent="0.25">
      <c r="C719" s="53"/>
      <c r="D719" s="54"/>
      <c r="E719" s="55"/>
      <c r="F719" s="54"/>
      <c r="G719" s="56"/>
      <c r="H719" s="56"/>
      <c r="I719" s="36" t="str">
        <f t="shared" si="30"/>
        <v/>
      </c>
      <c r="J719" s="36">
        <f t="shared" si="31"/>
        <v>0</v>
      </c>
      <c r="K719" s="36" t="str">
        <f t="shared" ca="1" si="32"/>
        <v/>
      </c>
    </row>
    <row r="720" spans="3:11" x14ac:dyDescent="0.25">
      <c r="C720" s="53"/>
      <c r="D720" s="54"/>
      <c r="E720" s="55"/>
      <c r="F720" s="54"/>
      <c r="G720" s="56"/>
      <c r="H720" s="56"/>
      <c r="I720" s="36" t="str">
        <f t="shared" ref="I720:I775" si="33">IF(C720="","",IF(H720&lt;=0,"Em aberto",IF(H720&gt;=G720,"Pagamento Total",IF(H720&lt;G720,"Pagamento Parcial"))))</f>
        <v/>
      </c>
      <c r="J720" s="36">
        <f t="shared" ref="J720:J775" si="34">IF(C720&gt;0,G720-H720,0)</f>
        <v>0</v>
      </c>
      <c r="K720" s="36" t="str">
        <f t="shared" ref="K720:K775" ca="1" si="35">IF(ISBLANK(C720),"",IF(H720=G720,"Pago",IF(C720=TODAY(),"Vence Hoje",IF(TRIM(UPPER(G719))&lt;&gt;"S",IF(C720-TODAY()&lt;0,"Vencida",IF(C720-TODAY()&lt;8,"Próximos sete dias","Em aberto"))))))</f>
        <v/>
      </c>
    </row>
    <row r="721" spans="3:11" x14ac:dyDescent="0.25">
      <c r="C721" s="53"/>
      <c r="D721" s="54"/>
      <c r="E721" s="55"/>
      <c r="F721" s="54"/>
      <c r="G721" s="56"/>
      <c r="H721" s="56"/>
      <c r="I721" s="36" t="str">
        <f t="shared" si="33"/>
        <v/>
      </c>
      <c r="J721" s="36">
        <f t="shared" si="34"/>
        <v>0</v>
      </c>
      <c r="K721" s="36" t="str">
        <f t="shared" ca="1" si="35"/>
        <v/>
      </c>
    </row>
    <row r="722" spans="3:11" x14ac:dyDescent="0.25">
      <c r="C722" s="53"/>
      <c r="D722" s="54"/>
      <c r="E722" s="55"/>
      <c r="F722" s="54"/>
      <c r="G722" s="56"/>
      <c r="H722" s="56"/>
      <c r="I722" s="36" t="str">
        <f t="shared" si="33"/>
        <v/>
      </c>
      <c r="J722" s="36">
        <f t="shared" si="34"/>
        <v>0</v>
      </c>
      <c r="K722" s="36" t="str">
        <f t="shared" ca="1" si="35"/>
        <v/>
      </c>
    </row>
    <row r="723" spans="3:11" x14ac:dyDescent="0.25">
      <c r="C723" s="53"/>
      <c r="D723" s="54"/>
      <c r="E723" s="55"/>
      <c r="F723" s="54"/>
      <c r="G723" s="56"/>
      <c r="H723" s="56"/>
      <c r="I723" s="36" t="str">
        <f t="shared" si="33"/>
        <v/>
      </c>
      <c r="J723" s="36">
        <f t="shared" si="34"/>
        <v>0</v>
      </c>
      <c r="K723" s="36" t="str">
        <f t="shared" ca="1" si="35"/>
        <v/>
      </c>
    </row>
    <row r="724" spans="3:11" x14ac:dyDescent="0.25">
      <c r="C724" s="53"/>
      <c r="D724" s="54"/>
      <c r="E724" s="55"/>
      <c r="F724" s="54"/>
      <c r="G724" s="56"/>
      <c r="H724" s="56"/>
      <c r="I724" s="36" t="str">
        <f t="shared" si="33"/>
        <v/>
      </c>
      <c r="J724" s="36">
        <f t="shared" si="34"/>
        <v>0</v>
      </c>
      <c r="K724" s="36" t="str">
        <f t="shared" ca="1" si="35"/>
        <v/>
      </c>
    </row>
    <row r="725" spans="3:11" x14ac:dyDescent="0.25">
      <c r="C725" s="53"/>
      <c r="D725" s="54"/>
      <c r="E725" s="55"/>
      <c r="F725" s="54"/>
      <c r="G725" s="56"/>
      <c r="H725" s="56"/>
      <c r="I725" s="36" t="str">
        <f t="shared" si="33"/>
        <v/>
      </c>
      <c r="J725" s="36">
        <f t="shared" si="34"/>
        <v>0</v>
      </c>
      <c r="K725" s="36" t="str">
        <f t="shared" ca="1" si="35"/>
        <v/>
      </c>
    </row>
    <row r="726" spans="3:11" x14ac:dyDescent="0.25">
      <c r="C726" s="53"/>
      <c r="D726" s="54"/>
      <c r="E726" s="55"/>
      <c r="F726" s="54"/>
      <c r="G726" s="56"/>
      <c r="H726" s="56"/>
      <c r="I726" s="36" t="str">
        <f t="shared" si="33"/>
        <v/>
      </c>
      <c r="J726" s="36">
        <f t="shared" si="34"/>
        <v>0</v>
      </c>
      <c r="K726" s="36" t="str">
        <f t="shared" ca="1" si="35"/>
        <v/>
      </c>
    </row>
    <row r="727" spans="3:11" x14ac:dyDescent="0.25">
      <c r="C727" s="53"/>
      <c r="D727" s="54"/>
      <c r="E727" s="55"/>
      <c r="F727" s="54"/>
      <c r="G727" s="56"/>
      <c r="H727" s="56"/>
      <c r="I727" s="36" t="str">
        <f t="shared" si="33"/>
        <v/>
      </c>
      <c r="J727" s="36">
        <f t="shared" si="34"/>
        <v>0</v>
      </c>
      <c r="K727" s="36" t="str">
        <f t="shared" ca="1" si="35"/>
        <v/>
      </c>
    </row>
    <row r="728" spans="3:11" x14ac:dyDescent="0.25">
      <c r="C728" s="53"/>
      <c r="D728" s="54"/>
      <c r="E728" s="55"/>
      <c r="F728" s="54"/>
      <c r="G728" s="56"/>
      <c r="H728" s="56"/>
      <c r="I728" s="36" t="str">
        <f t="shared" si="33"/>
        <v/>
      </c>
      <c r="J728" s="36">
        <f t="shared" si="34"/>
        <v>0</v>
      </c>
      <c r="K728" s="36" t="str">
        <f t="shared" ca="1" si="35"/>
        <v/>
      </c>
    </row>
    <row r="729" spans="3:11" x14ac:dyDescent="0.25">
      <c r="C729" s="53"/>
      <c r="D729" s="54"/>
      <c r="E729" s="55"/>
      <c r="F729" s="54"/>
      <c r="G729" s="56"/>
      <c r="H729" s="56"/>
      <c r="I729" s="36" t="str">
        <f t="shared" si="33"/>
        <v/>
      </c>
      <c r="J729" s="36">
        <f t="shared" si="34"/>
        <v>0</v>
      </c>
      <c r="K729" s="36" t="str">
        <f t="shared" ca="1" si="35"/>
        <v/>
      </c>
    </row>
    <row r="730" spans="3:11" x14ac:dyDescent="0.25">
      <c r="C730" s="53"/>
      <c r="D730" s="54"/>
      <c r="E730" s="55"/>
      <c r="F730" s="54"/>
      <c r="G730" s="56"/>
      <c r="H730" s="56"/>
      <c r="I730" s="36" t="str">
        <f t="shared" si="33"/>
        <v/>
      </c>
      <c r="J730" s="36">
        <f t="shared" si="34"/>
        <v>0</v>
      </c>
      <c r="K730" s="36" t="str">
        <f t="shared" ca="1" si="35"/>
        <v/>
      </c>
    </row>
    <row r="731" spans="3:11" x14ac:dyDescent="0.25">
      <c r="C731" s="53"/>
      <c r="D731" s="54"/>
      <c r="E731" s="55"/>
      <c r="F731" s="54"/>
      <c r="G731" s="56"/>
      <c r="H731" s="56"/>
      <c r="I731" s="36" t="str">
        <f t="shared" si="33"/>
        <v/>
      </c>
      <c r="J731" s="36">
        <f t="shared" si="34"/>
        <v>0</v>
      </c>
      <c r="K731" s="36" t="str">
        <f t="shared" ca="1" si="35"/>
        <v/>
      </c>
    </row>
    <row r="732" spans="3:11" x14ac:dyDescent="0.25">
      <c r="C732" s="53"/>
      <c r="D732" s="54"/>
      <c r="E732" s="55"/>
      <c r="F732" s="54"/>
      <c r="G732" s="56"/>
      <c r="H732" s="56"/>
      <c r="I732" s="36" t="str">
        <f t="shared" si="33"/>
        <v/>
      </c>
      <c r="J732" s="36">
        <f t="shared" si="34"/>
        <v>0</v>
      </c>
      <c r="K732" s="36" t="str">
        <f t="shared" ca="1" si="35"/>
        <v/>
      </c>
    </row>
    <row r="733" spans="3:11" x14ac:dyDescent="0.25">
      <c r="C733" s="53"/>
      <c r="D733" s="54"/>
      <c r="E733" s="55"/>
      <c r="F733" s="54"/>
      <c r="G733" s="56"/>
      <c r="H733" s="56"/>
      <c r="I733" s="36" t="str">
        <f t="shared" si="33"/>
        <v/>
      </c>
      <c r="J733" s="36">
        <f t="shared" si="34"/>
        <v>0</v>
      </c>
      <c r="K733" s="36" t="str">
        <f t="shared" ca="1" si="35"/>
        <v/>
      </c>
    </row>
    <row r="734" spans="3:11" x14ac:dyDescent="0.25">
      <c r="C734" s="53"/>
      <c r="D734" s="54"/>
      <c r="E734" s="55"/>
      <c r="F734" s="54"/>
      <c r="G734" s="56"/>
      <c r="H734" s="56"/>
      <c r="I734" s="36" t="str">
        <f t="shared" si="33"/>
        <v/>
      </c>
      <c r="J734" s="36">
        <f t="shared" si="34"/>
        <v>0</v>
      </c>
      <c r="K734" s="36" t="str">
        <f t="shared" ca="1" si="35"/>
        <v/>
      </c>
    </row>
    <row r="735" spans="3:11" x14ac:dyDescent="0.25">
      <c r="C735" s="53"/>
      <c r="D735" s="54"/>
      <c r="E735" s="55"/>
      <c r="F735" s="54"/>
      <c r="G735" s="56"/>
      <c r="H735" s="56"/>
      <c r="I735" s="36" t="str">
        <f t="shared" si="33"/>
        <v/>
      </c>
      <c r="J735" s="36">
        <f t="shared" si="34"/>
        <v>0</v>
      </c>
      <c r="K735" s="36" t="str">
        <f t="shared" ca="1" si="35"/>
        <v/>
      </c>
    </row>
    <row r="736" spans="3:11" x14ac:dyDescent="0.25">
      <c r="C736" s="53"/>
      <c r="D736" s="54"/>
      <c r="E736" s="55"/>
      <c r="F736" s="54"/>
      <c r="G736" s="56"/>
      <c r="H736" s="56"/>
      <c r="I736" s="36" t="str">
        <f t="shared" si="33"/>
        <v/>
      </c>
      <c r="J736" s="36">
        <f t="shared" si="34"/>
        <v>0</v>
      </c>
      <c r="K736" s="36" t="str">
        <f t="shared" ca="1" si="35"/>
        <v/>
      </c>
    </row>
    <row r="737" spans="3:11" x14ac:dyDescent="0.25">
      <c r="C737" s="53"/>
      <c r="D737" s="54"/>
      <c r="E737" s="55"/>
      <c r="F737" s="54"/>
      <c r="G737" s="56"/>
      <c r="H737" s="56"/>
      <c r="I737" s="36" t="str">
        <f t="shared" si="33"/>
        <v/>
      </c>
      <c r="J737" s="36">
        <f t="shared" si="34"/>
        <v>0</v>
      </c>
      <c r="K737" s="36" t="str">
        <f t="shared" ca="1" si="35"/>
        <v/>
      </c>
    </row>
    <row r="738" spans="3:11" x14ac:dyDescent="0.25">
      <c r="C738" s="53"/>
      <c r="D738" s="54"/>
      <c r="E738" s="55"/>
      <c r="F738" s="54"/>
      <c r="G738" s="56"/>
      <c r="H738" s="56"/>
      <c r="I738" s="36" t="str">
        <f t="shared" si="33"/>
        <v/>
      </c>
      <c r="J738" s="36">
        <f t="shared" si="34"/>
        <v>0</v>
      </c>
      <c r="K738" s="36" t="str">
        <f t="shared" ca="1" si="35"/>
        <v/>
      </c>
    </row>
    <row r="739" spans="3:11" x14ac:dyDescent="0.25">
      <c r="C739" s="53"/>
      <c r="D739" s="54"/>
      <c r="E739" s="55"/>
      <c r="F739" s="54"/>
      <c r="G739" s="56"/>
      <c r="H739" s="56"/>
      <c r="I739" s="36" t="str">
        <f t="shared" si="33"/>
        <v/>
      </c>
      <c r="J739" s="36">
        <f t="shared" si="34"/>
        <v>0</v>
      </c>
      <c r="K739" s="36" t="str">
        <f t="shared" ca="1" si="35"/>
        <v/>
      </c>
    </row>
    <row r="740" spans="3:11" x14ac:dyDescent="0.25">
      <c r="C740" s="53"/>
      <c r="D740" s="54"/>
      <c r="E740" s="55"/>
      <c r="F740" s="54"/>
      <c r="G740" s="56"/>
      <c r="H740" s="56"/>
      <c r="I740" s="36" t="str">
        <f t="shared" si="33"/>
        <v/>
      </c>
      <c r="J740" s="36">
        <f t="shared" si="34"/>
        <v>0</v>
      </c>
      <c r="K740" s="36" t="str">
        <f t="shared" ca="1" si="35"/>
        <v/>
      </c>
    </row>
    <row r="741" spans="3:11" x14ac:dyDescent="0.25">
      <c r="C741" s="53"/>
      <c r="D741" s="54"/>
      <c r="E741" s="55"/>
      <c r="F741" s="54"/>
      <c r="G741" s="56"/>
      <c r="H741" s="56"/>
      <c r="I741" s="36" t="str">
        <f t="shared" si="33"/>
        <v/>
      </c>
      <c r="J741" s="36">
        <f t="shared" si="34"/>
        <v>0</v>
      </c>
      <c r="K741" s="36" t="str">
        <f t="shared" ca="1" si="35"/>
        <v/>
      </c>
    </row>
    <row r="742" spans="3:11" x14ac:dyDescent="0.25">
      <c r="C742" s="53"/>
      <c r="D742" s="54"/>
      <c r="E742" s="55"/>
      <c r="F742" s="54"/>
      <c r="G742" s="56"/>
      <c r="H742" s="56"/>
      <c r="I742" s="36" t="str">
        <f t="shared" si="33"/>
        <v/>
      </c>
      <c r="J742" s="36">
        <f t="shared" si="34"/>
        <v>0</v>
      </c>
      <c r="K742" s="36" t="str">
        <f t="shared" ca="1" si="35"/>
        <v/>
      </c>
    </row>
    <row r="743" spans="3:11" x14ac:dyDescent="0.25">
      <c r="C743" s="53"/>
      <c r="D743" s="54"/>
      <c r="E743" s="55"/>
      <c r="F743" s="54"/>
      <c r="G743" s="56"/>
      <c r="H743" s="56"/>
      <c r="I743" s="36" t="str">
        <f t="shared" si="33"/>
        <v/>
      </c>
      <c r="J743" s="36">
        <f t="shared" si="34"/>
        <v>0</v>
      </c>
      <c r="K743" s="36" t="str">
        <f t="shared" ca="1" si="35"/>
        <v/>
      </c>
    </row>
    <row r="744" spans="3:11" x14ac:dyDescent="0.25">
      <c r="C744" s="53"/>
      <c r="D744" s="54"/>
      <c r="E744" s="55"/>
      <c r="F744" s="54"/>
      <c r="G744" s="56"/>
      <c r="H744" s="56"/>
      <c r="I744" s="36" t="str">
        <f t="shared" si="33"/>
        <v/>
      </c>
      <c r="J744" s="36">
        <f t="shared" si="34"/>
        <v>0</v>
      </c>
      <c r="K744" s="36" t="str">
        <f t="shared" ca="1" si="35"/>
        <v/>
      </c>
    </row>
    <row r="745" spans="3:11" x14ac:dyDescent="0.25">
      <c r="C745" s="53"/>
      <c r="D745" s="54"/>
      <c r="E745" s="55"/>
      <c r="F745" s="54"/>
      <c r="G745" s="56"/>
      <c r="H745" s="56"/>
      <c r="I745" s="36" t="str">
        <f t="shared" si="33"/>
        <v/>
      </c>
      <c r="J745" s="36">
        <f t="shared" si="34"/>
        <v>0</v>
      </c>
      <c r="K745" s="36" t="str">
        <f t="shared" ca="1" si="35"/>
        <v/>
      </c>
    </row>
    <row r="746" spans="3:11" x14ac:dyDescent="0.25">
      <c r="C746" s="53"/>
      <c r="D746" s="54"/>
      <c r="E746" s="55"/>
      <c r="F746" s="54"/>
      <c r="G746" s="56"/>
      <c r="H746" s="56"/>
      <c r="I746" s="36" t="str">
        <f t="shared" si="33"/>
        <v/>
      </c>
      <c r="J746" s="36">
        <f t="shared" si="34"/>
        <v>0</v>
      </c>
      <c r="K746" s="36" t="str">
        <f t="shared" ca="1" si="35"/>
        <v/>
      </c>
    </row>
    <row r="747" spans="3:11" x14ac:dyDescent="0.25">
      <c r="C747" s="53"/>
      <c r="D747" s="54"/>
      <c r="E747" s="55"/>
      <c r="F747" s="54"/>
      <c r="G747" s="56"/>
      <c r="H747" s="56"/>
      <c r="I747" s="36" t="str">
        <f t="shared" si="33"/>
        <v/>
      </c>
      <c r="J747" s="36">
        <f t="shared" si="34"/>
        <v>0</v>
      </c>
      <c r="K747" s="36" t="str">
        <f t="shared" ca="1" si="35"/>
        <v/>
      </c>
    </row>
    <row r="748" spans="3:11" x14ac:dyDescent="0.25">
      <c r="C748" s="53"/>
      <c r="D748" s="54"/>
      <c r="E748" s="55"/>
      <c r="F748" s="54"/>
      <c r="G748" s="56"/>
      <c r="H748" s="56"/>
      <c r="I748" s="36" t="str">
        <f t="shared" si="33"/>
        <v/>
      </c>
      <c r="J748" s="36">
        <f t="shared" si="34"/>
        <v>0</v>
      </c>
      <c r="K748" s="36" t="str">
        <f t="shared" ca="1" si="35"/>
        <v/>
      </c>
    </row>
    <row r="749" spans="3:11" x14ac:dyDescent="0.25">
      <c r="C749" s="53"/>
      <c r="D749" s="54"/>
      <c r="E749" s="55"/>
      <c r="F749" s="54"/>
      <c r="G749" s="56"/>
      <c r="H749" s="56"/>
      <c r="I749" s="36" t="str">
        <f t="shared" si="33"/>
        <v/>
      </c>
      <c r="J749" s="36">
        <f t="shared" si="34"/>
        <v>0</v>
      </c>
      <c r="K749" s="36" t="str">
        <f t="shared" ca="1" si="35"/>
        <v/>
      </c>
    </row>
    <row r="750" spans="3:11" x14ac:dyDescent="0.25">
      <c r="C750" s="53"/>
      <c r="D750" s="54"/>
      <c r="E750" s="55"/>
      <c r="F750" s="54"/>
      <c r="G750" s="56"/>
      <c r="H750" s="56"/>
      <c r="I750" s="36" t="str">
        <f t="shared" si="33"/>
        <v/>
      </c>
      <c r="J750" s="36">
        <f t="shared" si="34"/>
        <v>0</v>
      </c>
      <c r="K750" s="36" t="str">
        <f t="shared" ca="1" si="35"/>
        <v/>
      </c>
    </row>
    <row r="751" spans="3:11" x14ac:dyDescent="0.25">
      <c r="C751" s="53"/>
      <c r="D751" s="54"/>
      <c r="E751" s="55"/>
      <c r="F751" s="54"/>
      <c r="G751" s="56"/>
      <c r="H751" s="56"/>
      <c r="I751" s="36" t="str">
        <f t="shared" si="33"/>
        <v/>
      </c>
      <c r="J751" s="36">
        <f t="shared" si="34"/>
        <v>0</v>
      </c>
      <c r="K751" s="36" t="str">
        <f t="shared" ca="1" si="35"/>
        <v/>
      </c>
    </row>
    <row r="752" spans="3:11" x14ac:dyDescent="0.25">
      <c r="C752" s="53"/>
      <c r="D752" s="54"/>
      <c r="E752" s="55"/>
      <c r="F752" s="54"/>
      <c r="G752" s="56"/>
      <c r="H752" s="56"/>
      <c r="I752" s="36" t="str">
        <f t="shared" si="33"/>
        <v/>
      </c>
      <c r="J752" s="36">
        <f t="shared" si="34"/>
        <v>0</v>
      </c>
      <c r="K752" s="36" t="str">
        <f t="shared" ca="1" si="35"/>
        <v/>
      </c>
    </row>
    <row r="753" spans="3:11" x14ac:dyDescent="0.25">
      <c r="C753" s="53"/>
      <c r="D753" s="54"/>
      <c r="E753" s="55"/>
      <c r="F753" s="54"/>
      <c r="G753" s="56"/>
      <c r="H753" s="56"/>
      <c r="I753" s="36" t="str">
        <f t="shared" si="33"/>
        <v/>
      </c>
      <c r="J753" s="36">
        <f t="shared" si="34"/>
        <v>0</v>
      </c>
      <c r="K753" s="36" t="str">
        <f t="shared" ca="1" si="35"/>
        <v/>
      </c>
    </row>
    <row r="754" spans="3:11" x14ac:dyDescent="0.25">
      <c r="C754" s="53"/>
      <c r="D754" s="54"/>
      <c r="E754" s="55"/>
      <c r="F754" s="54"/>
      <c r="G754" s="56"/>
      <c r="H754" s="56"/>
      <c r="I754" s="36" t="str">
        <f t="shared" si="33"/>
        <v/>
      </c>
      <c r="J754" s="36">
        <f t="shared" si="34"/>
        <v>0</v>
      </c>
      <c r="K754" s="36" t="str">
        <f t="shared" ca="1" si="35"/>
        <v/>
      </c>
    </row>
    <row r="755" spans="3:11" x14ac:dyDescent="0.25">
      <c r="C755" s="53"/>
      <c r="D755" s="54"/>
      <c r="E755" s="55"/>
      <c r="F755" s="54"/>
      <c r="G755" s="56"/>
      <c r="H755" s="56"/>
      <c r="I755" s="36" t="str">
        <f t="shared" si="33"/>
        <v/>
      </c>
      <c r="J755" s="36">
        <f t="shared" si="34"/>
        <v>0</v>
      </c>
      <c r="K755" s="36" t="str">
        <f t="shared" ca="1" si="35"/>
        <v/>
      </c>
    </row>
    <row r="756" spans="3:11" x14ac:dyDescent="0.25">
      <c r="C756" s="53"/>
      <c r="D756" s="54"/>
      <c r="E756" s="55"/>
      <c r="F756" s="54"/>
      <c r="G756" s="56"/>
      <c r="H756" s="56"/>
      <c r="I756" s="36" t="str">
        <f t="shared" si="33"/>
        <v/>
      </c>
      <c r="J756" s="36">
        <f t="shared" si="34"/>
        <v>0</v>
      </c>
      <c r="K756" s="36" t="str">
        <f t="shared" ca="1" si="35"/>
        <v/>
      </c>
    </row>
    <row r="757" spans="3:11" x14ac:dyDescent="0.25">
      <c r="C757" s="53"/>
      <c r="D757" s="54"/>
      <c r="E757" s="55"/>
      <c r="F757" s="54"/>
      <c r="G757" s="56"/>
      <c r="H757" s="56"/>
      <c r="I757" s="36" t="str">
        <f t="shared" si="33"/>
        <v/>
      </c>
      <c r="J757" s="36">
        <f t="shared" si="34"/>
        <v>0</v>
      </c>
      <c r="K757" s="36" t="str">
        <f t="shared" ca="1" si="35"/>
        <v/>
      </c>
    </row>
    <row r="758" spans="3:11" x14ac:dyDescent="0.25">
      <c r="C758" s="53"/>
      <c r="D758" s="54"/>
      <c r="E758" s="55"/>
      <c r="F758" s="54"/>
      <c r="G758" s="56"/>
      <c r="H758" s="56"/>
      <c r="I758" s="36" t="str">
        <f t="shared" si="33"/>
        <v/>
      </c>
      <c r="J758" s="36">
        <f t="shared" si="34"/>
        <v>0</v>
      </c>
      <c r="K758" s="36" t="str">
        <f t="shared" ca="1" si="35"/>
        <v/>
      </c>
    </row>
    <row r="759" spans="3:11" x14ac:dyDescent="0.25">
      <c r="C759" s="53"/>
      <c r="D759" s="54"/>
      <c r="E759" s="55"/>
      <c r="F759" s="54"/>
      <c r="G759" s="56"/>
      <c r="H759" s="56"/>
      <c r="I759" s="36" t="str">
        <f t="shared" si="33"/>
        <v/>
      </c>
      <c r="J759" s="36">
        <f t="shared" si="34"/>
        <v>0</v>
      </c>
      <c r="K759" s="36" t="str">
        <f t="shared" ca="1" si="35"/>
        <v/>
      </c>
    </row>
    <row r="760" spans="3:11" x14ac:dyDescent="0.25">
      <c r="C760" s="53"/>
      <c r="D760" s="54"/>
      <c r="E760" s="55"/>
      <c r="F760" s="54"/>
      <c r="G760" s="56"/>
      <c r="H760" s="56"/>
      <c r="I760" s="36" t="str">
        <f t="shared" si="33"/>
        <v/>
      </c>
      <c r="J760" s="36">
        <f t="shared" si="34"/>
        <v>0</v>
      </c>
      <c r="K760" s="36" t="str">
        <f t="shared" ca="1" si="35"/>
        <v/>
      </c>
    </row>
    <row r="761" spans="3:11" x14ac:dyDescent="0.25">
      <c r="C761" s="53"/>
      <c r="D761" s="54"/>
      <c r="E761" s="55"/>
      <c r="F761" s="54"/>
      <c r="G761" s="56"/>
      <c r="H761" s="56"/>
      <c r="I761" s="36" t="str">
        <f t="shared" si="33"/>
        <v/>
      </c>
      <c r="J761" s="36">
        <f t="shared" si="34"/>
        <v>0</v>
      </c>
      <c r="K761" s="36" t="str">
        <f t="shared" ca="1" si="35"/>
        <v/>
      </c>
    </row>
    <row r="762" spans="3:11" x14ac:dyDescent="0.25">
      <c r="C762" s="53"/>
      <c r="D762" s="54"/>
      <c r="E762" s="55"/>
      <c r="F762" s="54"/>
      <c r="G762" s="56"/>
      <c r="H762" s="56"/>
      <c r="I762" s="36" t="str">
        <f t="shared" si="33"/>
        <v/>
      </c>
      <c r="J762" s="36">
        <f t="shared" si="34"/>
        <v>0</v>
      </c>
      <c r="K762" s="36" t="str">
        <f t="shared" ca="1" si="35"/>
        <v/>
      </c>
    </row>
    <row r="763" spans="3:11" x14ac:dyDescent="0.25">
      <c r="C763" s="53"/>
      <c r="D763" s="54"/>
      <c r="E763" s="55"/>
      <c r="F763" s="54"/>
      <c r="G763" s="56"/>
      <c r="H763" s="56"/>
      <c r="I763" s="36" t="str">
        <f t="shared" si="33"/>
        <v/>
      </c>
      <c r="J763" s="36">
        <f t="shared" si="34"/>
        <v>0</v>
      </c>
      <c r="K763" s="36" t="str">
        <f t="shared" ca="1" si="35"/>
        <v/>
      </c>
    </row>
    <row r="764" spans="3:11" x14ac:dyDescent="0.25">
      <c r="C764" s="53"/>
      <c r="D764" s="54"/>
      <c r="E764" s="55"/>
      <c r="F764" s="54"/>
      <c r="G764" s="56"/>
      <c r="H764" s="56"/>
      <c r="I764" s="36" t="str">
        <f t="shared" si="33"/>
        <v/>
      </c>
      <c r="J764" s="36">
        <f t="shared" si="34"/>
        <v>0</v>
      </c>
      <c r="K764" s="36" t="str">
        <f t="shared" ca="1" si="35"/>
        <v/>
      </c>
    </row>
    <row r="765" spans="3:11" x14ac:dyDescent="0.25">
      <c r="C765" s="53"/>
      <c r="D765" s="54"/>
      <c r="E765" s="55"/>
      <c r="F765" s="54"/>
      <c r="G765" s="56"/>
      <c r="H765" s="56"/>
      <c r="I765" s="36" t="str">
        <f t="shared" si="33"/>
        <v/>
      </c>
      <c r="J765" s="36">
        <f t="shared" si="34"/>
        <v>0</v>
      </c>
      <c r="K765" s="36" t="str">
        <f t="shared" ca="1" si="35"/>
        <v/>
      </c>
    </row>
    <row r="766" spans="3:11" x14ac:dyDescent="0.25">
      <c r="C766" s="53"/>
      <c r="D766" s="54"/>
      <c r="E766" s="55"/>
      <c r="F766" s="54"/>
      <c r="G766" s="56"/>
      <c r="H766" s="56"/>
      <c r="I766" s="36" t="str">
        <f t="shared" si="33"/>
        <v/>
      </c>
      <c r="J766" s="36">
        <f t="shared" si="34"/>
        <v>0</v>
      </c>
      <c r="K766" s="36" t="str">
        <f t="shared" ca="1" si="35"/>
        <v/>
      </c>
    </row>
    <row r="767" spans="3:11" x14ac:dyDescent="0.25">
      <c r="C767" s="53"/>
      <c r="D767" s="54"/>
      <c r="E767" s="55"/>
      <c r="F767" s="54"/>
      <c r="G767" s="56"/>
      <c r="H767" s="56"/>
      <c r="I767" s="36" t="str">
        <f t="shared" si="33"/>
        <v/>
      </c>
      <c r="J767" s="36">
        <f t="shared" si="34"/>
        <v>0</v>
      </c>
      <c r="K767" s="36" t="str">
        <f t="shared" ca="1" si="35"/>
        <v/>
      </c>
    </row>
    <row r="768" spans="3:11" x14ac:dyDescent="0.25">
      <c r="C768" s="53"/>
      <c r="D768" s="54"/>
      <c r="E768" s="55"/>
      <c r="F768" s="54"/>
      <c r="G768" s="56"/>
      <c r="H768" s="56"/>
      <c r="I768" s="36" t="str">
        <f t="shared" si="33"/>
        <v/>
      </c>
      <c r="J768" s="36">
        <f t="shared" si="34"/>
        <v>0</v>
      </c>
      <c r="K768" s="36" t="str">
        <f t="shared" ca="1" si="35"/>
        <v/>
      </c>
    </row>
    <row r="769" spans="3:11" x14ac:dyDescent="0.25">
      <c r="C769" s="53"/>
      <c r="D769" s="54"/>
      <c r="E769" s="55"/>
      <c r="F769" s="54"/>
      <c r="G769" s="56"/>
      <c r="H769" s="56"/>
      <c r="I769" s="36" t="str">
        <f t="shared" si="33"/>
        <v/>
      </c>
      <c r="J769" s="36">
        <f t="shared" si="34"/>
        <v>0</v>
      </c>
      <c r="K769" s="36" t="str">
        <f t="shared" ca="1" si="35"/>
        <v/>
      </c>
    </row>
    <row r="770" spans="3:11" x14ac:dyDescent="0.25">
      <c r="C770" s="53"/>
      <c r="D770" s="54"/>
      <c r="E770" s="55"/>
      <c r="F770" s="54"/>
      <c r="G770" s="56"/>
      <c r="H770" s="56"/>
      <c r="I770" s="36" t="str">
        <f t="shared" si="33"/>
        <v/>
      </c>
      <c r="J770" s="36">
        <f t="shared" si="34"/>
        <v>0</v>
      </c>
      <c r="K770" s="36" t="str">
        <f t="shared" ca="1" si="35"/>
        <v/>
      </c>
    </row>
    <row r="771" spans="3:11" x14ac:dyDescent="0.25">
      <c r="C771" s="53"/>
      <c r="D771" s="54"/>
      <c r="E771" s="55"/>
      <c r="F771" s="54"/>
      <c r="G771" s="56"/>
      <c r="H771" s="56"/>
      <c r="I771" s="36" t="str">
        <f t="shared" si="33"/>
        <v/>
      </c>
      <c r="J771" s="36">
        <f t="shared" si="34"/>
        <v>0</v>
      </c>
      <c r="K771" s="36" t="str">
        <f t="shared" ca="1" si="35"/>
        <v/>
      </c>
    </row>
    <row r="772" spans="3:11" x14ac:dyDescent="0.25">
      <c r="C772" s="53"/>
      <c r="D772" s="54"/>
      <c r="E772" s="55"/>
      <c r="F772" s="54"/>
      <c r="G772" s="56"/>
      <c r="H772" s="56"/>
      <c r="I772" s="36" t="str">
        <f t="shared" si="33"/>
        <v/>
      </c>
      <c r="J772" s="36">
        <f t="shared" si="34"/>
        <v>0</v>
      </c>
      <c r="K772" s="36" t="str">
        <f t="shared" ca="1" si="35"/>
        <v/>
      </c>
    </row>
    <row r="773" spans="3:11" x14ac:dyDescent="0.25">
      <c r="C773" s="53"/>
      <c r="D773" s="54"/>
      <c r="E773" s="55"/>
      <c r="F773" s="54"/>
      <c r="G773" s="56"/>
      <c r="H773" s="56"/>
      <c r="I773" s="36" t="str">
        <f t="shared" si="33"/>
        <v/>
      </c>
      <c r="J773" s="36">
        <f t="shared" si="34"/>
        <v>0</v>
      </c>
      <c r="K773" s="36" t="str">
        <f t="shared" ca="1" si="35"/>
        <v/>
      </c>
    </row>
    <row r="774" spans="3:11" x14ac:dyDescent="0.25">
      <c r="C774" s="53"/>
      <c r="D774" s="54"/>
      <c r="E774" s="55"/>
      <c r="F774" s="54"/>
      <c r="G774" s="56"/>
      <c r="H774" s="56"/>
      <c r="I774" s="36" t="str">
        <f t="shared" si="33"/>
        <v/>
      </c>
      <c r="J774" s="36">
        <f t="shared" si="34"/>
        <v>0</v>
      </c>
      <c r="K774" s="36" t="str">
        <f t="shared" ca="1" si="35"/>
        <v/>
      </c>
    </row>
    <row r="775" spans="3:11" x14ac:dyDescent="0.25">
      <c r="C775" s="53"/>
      <c r="D775" s="54"/>
      <c r="E775" s="55"/>
      <c r="F775" s="54"/>
      <c r="G775" s="56"/>
      <c r="H775" s="56"/>
      <c r="I775" s="36" t="str">
        <f t="shared" si="33"/>
        <v/>
      </c>
      <c r="J775" s="36">
        <f t="shared" si="34"/>
        <v>0</v>
      </c>
      <c r="K775" s="36" t="str">
        <f t="shared" ca="1" si="35"/>
        <v/>
      </c>
    </row>
  </sheetData>
  <sheetProtection selectLockedCells="1"/>
  <autoFilter ref="C14:K14" xr:uid="{01300E15-3204-407F-B29E-A1AA936ADD5D}"/>
  <mergeCells count="6">
    <mergeCell ref="F12:G12"/>
    <mergeCell ref="C4:K4"/>
    <mergeCell ref="J6:K6"/>
    <mergeCell ref="F9:G9"/>
    <mergeCell ref="F10:G10"/>
    <mergeCell ref="F11:G11"/>
  </mergeCells>
  <printOptions horizontalCentered="1"/>
  <pageMargins left="0.19685039370078741" right="0.19685039370078741" top="0.19685039370078741" bottom="0.19685039370078741" header="0.11811023622047245" footer="0.11811023622047245"/>
  <pageSetup paperSize="9" scale="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12</vt:i4>
      </vt:variant>
    </vt:vector>
  </HeadingPairs>
  <TitlesOfParts>
    <vt:vector size="16" baseType="lpstr">
      <vt:lpstr>DEZ.19</vt:lpstr>
      <vt:lpstr>Jan</vt:lpstr>
      <vt:lpstr>Fev</vt:lpstr>
      <vt:lpstr>Mar</vt:lpstr>
      <vt:lpstr>DEZ.19!Area_de_impressao</vt:lpstr>
      <vt:lpstr>Fev!Area_de_impressao</vt:lpstr>
      <vt:lpstr>Jan!Area_de_impressao</vt:lpstr>
      <vt:lpstr>Mar!Area_de_impressao</vt:lpstr>
      <vt:lpstr>DEZ.19!Tabela2</vt:lpstr>
      <vt:lpstr>Fev!Tabela2</vt:lpstr>
      <vt:lpstr>Mar!Tabela2</vt:lpstr>
      <vt:lpstr>Tabela2</vt:lpstr>
      <vt:lpstr>DEZ.19!Titulos_de_impressao</vt:lpstr>
      <vt:lpstr>Fev!Titulos_de_impressao</vt:lpstr>
      <vt:lpstr>Jan!Titulos_de_impressao</vt:lpstr>
      <vt:lpstr>Mar!Titulos_de_impressao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Weverton Miguel</dc:creator>
  <cp:lastModifiedBy>George Silva</cp:lastModifiedBy>
  <dcterms:created xsi:type="dcterms:W3CDTF">2019-12-18T19:15:53Z</dcterms:created>
  <dcterms:modified xsi:type="dcterms:W3CDTF">2020-02-10T22:24:59Z</dcterms:modified>
</cp:coreProperties>
</file>