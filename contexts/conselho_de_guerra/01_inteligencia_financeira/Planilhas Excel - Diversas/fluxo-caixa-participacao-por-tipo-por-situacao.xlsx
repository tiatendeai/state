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B1" i="3" l="1"/>
  <c r="E1" i="2" l="1"/>
  <c r="E2" i="2" l="1"/>
  <c r="B2" i="3" s="1"/>
</calcChain>
</file>

<file path=xl/sharedStrings.xml><?xml version="1.0" encoding="utf-8"?>
<sst xmlns="http://schemas.openxmlformats.org/spreadsheetml/2006/main" count="18" uniqueCount="16">
  <si>
    <t>Rótulos de Linha</t>
  </si>
  <si>
    <t>ANO</t>
  </si>
  <si>
    <t>(Tudo)</t>
  </si>
  <si>
    <t>SEMESTRE</t>
  </si>
  <si>
    <t>TRIMESTRE</t>
  </si>
  <si>
    <t>FILTROS</t>
  </si>
  <si>
    <t>PREVISTO</t>
  </si>
  <si>
    <t>REALIZADO</t>
  </si>
  <si>
    <t>VER GRÁFICO</t>
  </si>
  <si>
    <t>VER TABELA</t>
  </si>
  <si>
    <t>Total Geral</t>
  </si>
  <si>
    <t>Total</t>
  </si>
  <si>
    <t>MÊS</t>
  </si>
  <si>
    <t>TIPO</t>
  </si>
  <si>
    <t>PARTICIPAÇÃO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</si>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</sst>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[reidasplanilhas-R009-Fluxo-Caixa-Participacao-por-Tipo-por-Situacao.xlsx]TABELA!Tabela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400"/>
              </a:pPr>
              <a:endParaRPr lang="pt-BR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</c:dLbl>
      </c:pivotFmt>
    </c:pivotFmts>
    <c:view3D>
      <c:rotX val="4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29292105407506"/>
          <c:y val="9.1086022216538387E-2"/>
          <c:w val="0.75383978186587508"/>
          <c:h val="0.7373376325029396"/>
        </c:manualLayout>
      </c:layout>
      <c:pie3DChart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explosion val="25"/>
          <c:dLbls>
            <c:spPr/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TABELA!$B$11:$B$13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TABELA!$C$11:$C$13</c:f>
              <c:numCache>
                <c:formatCode>_(* #,##0.00_);_(* \(#,##0.00\);_(* "-"??_);_(@_)</c:formatCode>
                <c:ptCount val="2"/>
                <c:pt idx="0">
                  <c:v>1389002.2700000007</c:v>
                </c:pt>
                <c:pt idx="1">
                  <c:v>9548273.4100000001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dTable>
        <c:showHorzBorder val="1"/>
        <c:showVertBorder val="1"/>
        <c:showOutline val="0"/>
        <c:showKeys val="1"/>
        <c:spPr>
          <a:noFill/>
        </c:spPr>
      </c:dTable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107156</xdr:colOff>
      <xdr:row>1</xdr:row>
      <xdr:rowOff>204328</xdr:rowOff>
    </xdr:from>
    <xdr:to>
      <xdr:col>3</xdr:col>
      <xdr:colOff>472966</xdr:colOff>
      <xdr:row>3</xdr:row>
      <xdr:rowOff>31414</xdr:rowOff>
    </xdr:to>
    <xdr:sp macro="" textlink="">
      <xdr:nvSpPr>
        <xdr:cNvPr id="2" name="Seta para a direita 1"/>
        <xdr:cNvSpPr/>
      </xdr:nvSpPr>
      <xdr:spPr>
        <a:xfrm rot="10800000">
          <a:off x="3250406" y="815242"/>
          <a:ext cx="365810" cy="263922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409340625003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0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C13" firstHeaderRow="2" firstDataRow="2" firstDataCol="1" rowPageCount="5" colPageCount="1"/>
  <pivotFields count="14">
    <pivotField showAll="0" insertBlankRow="1"/>
    <pivotField showAll="0" insertBlankRow="1"/>
    <pivotField showAll="0" insertBlankRow="1"/>
    <pivotField axis="axisPage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Row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1">
    <field x="12"/>
  </rowFields>
  <rowItems count="3">
    <i>
      <x/>
    </i>
    <i>
      <x v="1"/>
    </i>
    <i t="grand">
      <x/>
    </i>
  </rowItems>
  <colItems count="1">
    <i/>
  </colItems>
  <pageFields count="5">
    <pageField fld="7" item="0" hier="-1"/>
    <pageField fld="6" item="1" hier="-1"/>
    <pageField fld="5" hier="-1"/>
    <pageField fld="4" hier="-1"/>
    <pageField fld="3" hier="-1"/>
  </pageFields>
  <dataFields count="1">
    <dataField name="PARTICIPAÇÃO" fld="13" baseField="12" baseItem="0" numFmtId="43"/>
  </dataFields>
  <formats count="9">
    <format dxfId="8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7">
      <pivotArea field="6" type="button" dataOnly="0" labelOnly="1" outline="0" axis="axisPage" fieldPosition="1"/>
    </format>
    <format dxfId="6">
      <pivotArea dataOnly="0" labelOnly="1" outline="0" fieldPosition="0">
        <references count="1">
          <reference field="6" count="1">
            <x v="1"/>
          </reference>
        </references>
      </pivotArea>
    </format>
    <format dxfId="5">
      <pivotArea field="5" type="button" dataOnly="0" labelOnly="1" outline="0" axis="axisPage" fieldPosition="2"/>
    </format>
    <format dxfId="4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3">
      <pivotArea field="4" type="button" dataOnly="0" labelOnly="1" outline="0" axis="axisPage" fieldPosition="3"/>
    </format>
    <format dxfId="2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1">
      <pivotArea field="8" type="button" dataOnly="0" labelOnly="1" outline="0"/>
    </format>
    <format dxfId="0">
      <pivotArea field="9" type="button" dataOnly="0" labelOnly="1" outline="0"/>
    </format>
  </formats>
  <chartFormats count="42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9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13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2" width="28.7109375" customWidth="1"/>
    <col min="3" max="15" width="15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5" t="s">
        <v>5</v>
      </c>
      <c r="C1" s="15"/>
      <c r="E1" s="16" t="str">
        <f>GRAFICO!B1</f>
        <v>FLUXO DE CAIXA - PARTICIPAÇÃO POR TIPO (ENTRADAS) E POR SITUAÇÃO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8" customFormat="1" ht="20.100000000000001" customHeight="1" x14ac:dyDescent="0.25">
      <c r="B2" s="6"/>
      <c r="C2" s="6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ANO=2011, SEMESTRE=(Tudo), TRIMESTRE=(Tudo), MÊS=(Tudo)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8" customFormat="1" ht="15" customHeight="1" x14ac:dyDescent="0.25">
      <c r="B3" s="3" t="s">
        <v>13</v>
      </c>
      <c r="C3" t="s">
        <v>15</v>
      </c>
      <c r="E3" s="18" t="s">
        <v>8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10" customFormat="1" ht="15" customHeight="1" x14ac:dyDescent="0.25">
      <c r="B4" s="13" t="s">
        <v>1</v>
      </c>
      <c r="C4" s="14">
        <v>2011</v>
      </c>
    </row>
    <row r="5" spans="2:14" s="10" customFormat="1" ht="15" customHeight="1" x14ac:dyDescent="0.25">
      <c r="B5" s="13" t="s">
        <v>3</v>
      </c>
      <c r="C5" s="10" t="s">
        <v>2</v>
      </c>
    </row>
    <row r="6" spans="2:14" s="10" customFormat="1" ht="15" customHeight="1" x14ac:dyDescent="0.25">
      <c r="B6" s="13" t="s">
        <v>4</v>
      </c>
      <c r="C6" s="10" t="s">
        <v>2</v>
      </c>
    </row>
    <row r="7" spans="2:14" s="10" customFormat="1" ht="15" customHeight="1" x14ac:dyDescent="0.25">
      <c r="B7" s="3" t="s">
        <v>12</v>
      </c>
      <c r="C7" t="s">
        <v>2</v>
      </c>
    </row>
    <row r="8" spans="2:14" s="10" customFormat="1" x14ac:dyDescent="0.25"/>
    <row r="9" spans="2:14" x14ac:dyDescent="0.25">
      <c r="B9" s="3" t="s">
        <v>14</v>
      </c>
    </row>
    <row r="10" spans="2:14" x14ac:dyDescent="0.25">
      <c r="B10" s="3" t="s">
        <v>0</v>
      </c>
      <c r="C10" s="4" t="s">
        <v>11</v>
      </c>
    </row>
    <row r="11" spans="2:14" x14ac:dyDescent="0.25">
      <c r="B11" s="2" t="s">
        <v>6</v>
      </c>
      <c r="C11" s="1">
        <v>1389002.2700000007</v>
      </c>
    </row>
    <row r="12" spans="2:14" x14ac:dyDescent="0.25">
      <c r="B12" s="2" t="s">
        <v>7</v>
      </c>
      <c r="C12" s="1">
        <v>9548273.4100000001</v>
      </c>
    </row>
    <row r="13" spans="2:14" x14ac:dyDescent="0.25">
      <c r="B13" s="2" t="s">
        <v>10</v>
      </c>
      <c r="C13" s="1">
        <v>10937275.680000003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tr">
        <f>"FLUXO DE CAIXA - PARTICIPAÇÃO POR TIPO"&amp;IF(OR(TABELA!C3="ENTRADAS",TABELA!C3="SAÍDAS")," ("&amp;TABELA!C3&amp;")","")&amp;" E POR SITUAÇÃO"</f>
        <v>FLUXO DE CAIXA - PARTICIPAÇÃO POR TIPO (ENTRADAS) E POR SITUAÇÃO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ANO=2011, SEMESTRE=(Tudo), TRIMESTRE=(Tudo), MÊS=(Tudo)</v>
      </c>
      <c r="C2" s="8"/>
    </row>
    <row r="3" spans="1:3" x14ac:dyDescent="0.25">
      <c r="B3" s="12" t="s">
        <v>9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2011-12-31T10:54:25Z</dcterms:created>
  <dcterms:modified xsi:type="dcterms:W3CDTF">2011-12-31T12:50:15Z</dcterms:modified>
</cp:coreProperties>
</file>