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\\deli\projects\Office_Online\technicians\JDolecek\O15 Excel\Templates\target\"/>
    </mc:Choice>
  </mc:AlternateContent>
  <bookViews>
    <workbookView xWindow="0" yWindow="0" windowWidth="19200" windowHeight="11595"/>
  </bookViews>
  <sheets>
    <sheet name="Orçamento de Despesas" sheetId="1" r:id="rId1"/>
  </sheets>
  <definedNames>
    <definedName name="Imprimir_Títulos" localSheetId="0">'Orçamento de Despesas'!$27:$27</definedName>
    <definedName name="opsMin">MIN(tblPersonnelExpenses[DIFERENÇA (%)])</definedName>
    <definedName name="prsMin">MIN(tblOperatingExpenses[DIFERENÇA (%)])</definedName>
  </definedNames>
  <calcPr calcId="152511"/>
  <webPublishing codePage="1252"/>
</workbook>
</file>

<file path=xl/calcChain.xml><?xml version="1.0" encoding="utf-8"?>
<calcChain xmlns="http://schemas.openxmlformats.org/spreadsheetml/2006/main">
  <c r="G47" i="1" l="1"/>
  <c r="F47" i="1"/>
  <c r="E47" i="1"/>
  <c r="D47" i="1"/>
  <c r="G29" i="1" l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28" i="1"/>
  <c r="G14" i="1"/>
  <c r="G15" i="1"/>
  <c r="G16" i="1"/>
  <c r="G13" i="1"/>
  <c r="F14" i="1"/>
  <c r="F15" i="1"/>
  <c r="F16" i="1"/>
  <c r="F13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28" i="1"/>
  <c r="B14" i="1"/>
  <c r="B15" i="1"/>
  <c r="B16" i="1"/>
  <c r="B13" i="1"/>
</calcChain>
</file>

<file path=xl/sharedStrings.xml><?xml version="1.0" encoding="utf-8"?>
<sst xmlns="http://schemas.openxmlformats.org/spreadsheetml/2006/main" count="40" uniqueCount="33">
  <si>
    <t>Escritório</t>
  </si>
  <si>
    <t>Loja</t>
  </si>
  <si>
    <t>Vendedores</t>
  </si>
  <si>
    <t>Total de Despesas</t>
  </si>
  <si>
    <t>Publicidade</t>
  </si>
  <si>
    <t>Dívidas</t>
  </si>
  <si>
    <t>Benefícios</t>
  </si>
  <si>
    <t>Suprimentos</t>
  </si>
  <si>
    <t>Postagem</t>
  </si>
  <si>
    <t>Aluguel ou hipoteca</t>
  </si>
  <si>
    <t>Despesas de vendas</t>
  </si>
  <si>
    <t>Impostos</t>
  </si>
  <si>
    <t>Serviços essenciais</t>
  </si>
  <si>
    <t>Outros</t>
  </si>
  <si>
    <t>Seguro</t>
  </si>
  <si>
    <t>Juros</t>
  </si>
  <si>
    <t>Telefone</t>
  </si>
  <si>
    <t>Manutenção e reparos</t>
  </si>
  <si>
    <t>Honorários advocatícios</t>
  </si>
  <si>
    <t>Depreciação</t>
  </si>
  <si>
    <t>Remessa</t>
  </si>
  <si>
    <t>Armazenamento</t>
  </si>
  <si>
    <t>Orçamento de Despesas</t>
  </si>
  <si>
    <t>STATUS</t>
  </si>
  <si>
    <t>PESSOAL</t>
  </si>
  <si>
    <t>ORÇAMENTO</t>
  </si>
  <si>
    <t>REAL</t>
  </si>
  <si>
    <t>DIFERENÇA (%)</t>
  </si>
  <si>
    <t>OPERACIONAL</t>
  </si>
  <si>
    <t>ORÇAMENTO DO PESSOAL</t>
  </si>
  <si>
    <t>ORÇAMENTO OPERACIONAL</t>
  </si>
  <si>
    <t>CONTOSO, 2013</t>
  </si>
  <si>
    <t>DIFERENÇA (R$)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</si>
</sst>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&quot;$&quot;* #,##0.00_);_(&quot;$&quot;* \(#,##0.00\);_(&quot;$&quot;* &quot;-&quot;??_);_(@_)"/>
    <numFmt numFmtId="165" formatCode="_(\$* #,##0.00_);_(\$* \(#,##0.00\);_(\$* &quot;-&quot;??_);_(@_)"/>
    <numFmt numFmtId="166" formatCode="&quot;R$&quot;\ #,##0.00"/>
  </numFmts>
  <fonts count="13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0"/>
      <color theme="1"/>
      <name val="Bookman Old Style"/>
      <family val="2"/>
      <scheme val="major"/>
    </font>
    <font>
      <sz val="10"/>
      <color theme="1"/>
      <name val="Century Gothic"/>
      <family val="2"/>
      <scheme val="minor"/>
    </font>
    <font>
      <sz val="8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2"/>
      <color theme="1" tint="0.249977111117893"/>
      <name val="Century Gothic"/>
      <family val="2"/>
      <scheme val="minor"/>
    </font>
    <font>
      <sz val="11"/>
      <color theme="1"/>
      <name val="Bookman Old Style"/>
      <family val="1"/>
      <scheme val="major"/>
    </font>
    <font>
      <sz val="28"/>
      <color theme="3"/>
      <name val="Bookman Old Style"/>
      <family val="2"/>
      <scheme val="major"/>
    </font>
    <font>
      <sz val="28"/>
      <color theme="1"/>
      <name val="Bookman Old Style"/>
      <family val="2"/>
      <scheme val="major"/>
    </font>
    <font>
      <sz val="14"/>
      <color theme="1" tint="0.249977111117893"/>
      <name val="Century Gothic"/>
      <family val="2"/>
      <scheme val="minor"/>
    </font>
    <font>
      <b/>
      <i/>
      <strike/>
      <condense/>
      <extend/>
      <outline/>
      <shadow/>
      <sz val="11"/>
      <color theme="1"/>
      <name val="Bookman Old Style"/>
      <family val="1"/>
      <scheme val="major"/>
    </font>
    <font>
      <sz val="11"/>
      <color theme="1"/>
      <name val="Bookman Old Style"/>
      <family val="1"/>
      <scheme val="maj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4" fillId="0" borderId="0">
      <alignment horizontal="left" vertical="center"/>
    </xf>
    <xf numFmtId="14" fontId="4" fillId="0" borderId="0"/>
    <xf numFmtId="0" fontId="9" fillId="0" borderId="0">
      <alignment horizontal="left"/>
    </xf>
    <xf numFmtId="164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Fill="1" applyBorder="1"/>
    <xf numFmtId="0" fontId="2" fillId="0" borderId="0" xfId="0" applyFont="1" applyFill="1" applyBorder="1"/>
    <xf numFmtId="0" fontId="0" fillId="0" borderId="0" xfId="0" applyFill="1" applyBorder="1" applyAlignment="1">
      <alignment vertical="center"/>
    </xf>
    <xf numFmtId="164" fontId="0" fillId="0" borderId="0" xfId="0" applyNumberFormat="1" applyFill="1" applyBorder="1" applyAlignment="1">
      <alignment vertical="center"/>
    </xf>
    <xf numFmtId="9" fontId="0" fillId="0" borderId="0" xfId="1" applyFont="1" applyFill="1" applyBorder="1" applyAlignment="1">
      <alignment vertical="center"/>
    </xf>
    <xf numFmtId="0" fontId="3" fillId="0" borderId="0" xfId="0" applyFont="1" applyFill="1" applyBorder="1" applyAlignment="1">
      <alignment horizontal="left" vertical="center"/>
    </xf>
    <xf numFmtId="14" fontId="3" fillId="0" borderId="0" xfId="0" applyNumberFormat="1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1" xfId="0" applyFill="1" applyBorder="1"/>
    <xf numFmtId="0" fontId="0" fillId="0" borderId="7" xfId="0" applyFill="1" applyBorder="1"/>
    <xf numFmtId="0" fontId="7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165" fontId="7" fillId="0" borderId="0" xfId="0" applyNumberFormat="1" applyFont="1" applyFill="1" applyBorder="1" applyAlignment="1">
      <alignment horizontal="center" vertical="center"/>
    </xf>
    <xf numFmtId="9" fontId="7" fillId="0" borderId="0" xfId="1" applyNumberFormat="1" applyFont="1" applyFill="1" applyBorder="1" applyAlignment="1">
      <alignment horizontal="right" vertical="center" indent="1"/>
    </xf>
    <xf numFmtId="0" fontId="7" fillId="0" borderId="0" xfId="0" applyFont="1" applyFill="1" applyBorder="1"/>
    <xf numFmtId="0" fontId="10" fillId="0" borderId="2" xfId="0" applyFont="1" applyFill="1" applyBorder="1" applyAlignment="1">
      <alignment horizontal="left"/>
    </xf>
    <xf numFmtId="0" fontId="10" fillId="0" borderId="2" xfId="0" applyFont="1" applyFill="1" applyBorder="1"/>
    <xf numFmtId="166" fontId="7" fillId="0" borderId="0" xfId="5" applyNumberFormat="1" applyFont="1" applyFill="1" applyBorder="1" applyAlignment="1">
      <alignment horizontal="right" vertical="center"/>
    </xf>
    <xf numFmtId="166" fontId="7" fillId="0" borderId="0" xfId="0" applyNumberFormat="1" applyFont="1" applyFill="1" applyBorder="1" applyAlignment="1">
      <alignment horizontal="right" vertical="center"/>
    </xf>
    <xf numFmtId="0" fontId="11" fillId="0" borderId="0" xfId="0" applyNumberFormat="1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vertical="center"/>
    </xf>
    <xf numFmtId="9" fontId="12" fillId="0" borderId="0" xfId="0" applyNumberFormat="1" applyFont="1" applyFill="1" applyBorder="1" applyAlignment="1">
      <alignment horizontal="right" vertical="center" indent="1"/>
    </xf>
    <xf numFmtId="166" fontId="7" fillId="0" borderId="0" xfId="0" applyNumberFormat="1" applyFont="1" applyFill="1" applyBorder="1" applyAlignment="1">
      <alignment vertical="center"/>
    </xf>
    <xf numFmtId="166" fontId="12" fillId="0" borderId="0" xfId="0" applyNumberFormat="1" applyFont="1" applyFill="1" applyBorder="1" applyAlignment="1">
      <alignment horizontal="right" vertical="center"/>
    </xf>
    <xf numFmtId="166" fontId="12" fillId="0" borderId="0" xfId="0" applyNumberFormat="1" applyFont="1" applyFill="1" applyBorder="1" applyAlignment="1">
      <alignment vertical="center"/>
    </xf>
    <xf numFmtId="0" fontId="6" fillId="0" borderId="0" xfId="2" applyFont="1" applyAlignment="1">
      <alignment horizontal="right"/>
    </xf>
    <xf numFmtId="0" fontId="8" fillId="0" borderId="0" xfId="4" applyFont="1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166" fontId="5" fillId="0" borderId="0" xfId="0" applyNumberFormat="1" applyFont="1" applyFill="1" applyBorder="1" applyAlignment="1">
      <alignment horizontal="center" vertical="center"/>
    </xf>
  </cellXfs>
  <cellStyles count="6">
    <cellStyle name="Company Name" xfId="2"/>
    <cellStyle name="Date" xfId="3"/>
    <cellStyle name="Moeda" xfId="5" builtinId="4"/>
    <cellStyle name="Normal" xfId="0" builtinId="0" customBuiltin="1"/>
    <cellStyle name="Porcentagem" xfId="1" builtinId="5"/>
    <cellStyle name="Título" xfId="4" builtinId="15" customBuiltin="1"/>
  </cellStyles>
  <dxfs count="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ookman Old Style"/>
        <scheme val="major"/>
      </font>
      <numFmt numFmtId="13" formatCode="0%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ookman Old Style"/>
        <scheme val="major"/>
      </font>
      <numFmt numFmtId="166" formatCode="&quot;R$&quot;\ #,##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ookman Old Style"/>
        <scheme val="major"/>
      </font>
      <numFmt numFmtId="166" formatCode="&quot;R$&quot;\ 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ookman Old Style"/>
        <scheme val="major"/>
      </font>
      <numFmt numFmtId="166" formatCode="&quot;R$&quot;\ 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ookman Old Style"/>
        <scheme val="maj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/>
        <strike/>
        <condense/>
        <extend/>
        <outline/>
        <shadow/>
        <u val="none"/>
        <vertAlign val="baseline"/>
        <sz val="11"/>
        <color theme="1"/>
        <name val="Bookman Old Style"/>
        <scheme val="maj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/>
        <outline/>
        <shadow/>
        <u val="none"/>
        <vertAlign val="baseline"/>
        <sz val="11"/>
        <color theme="1"/>
        <name val="Bookman Old Style"/>
        <scheme val="major"/>
      </font>
      <numFmt numFmtId="13" formatCode="0%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font>
        <strike/>
        <outline/>
        <shadow/>
        <u val="none"/>
        <vertAlign val="baseline"/>
        <sz val="11"/>
        <color theme="1"/>
        <name val="Bookman Old Style"/>
        <scheme val="major"/>
      </font>
      <numFmt numFmtId="166" formatCode="&quot;R$&quot;\ #,##0.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/>
        <outline/>
        <shadow/>
        <u val="none"/>
        <vertAlign val="baseline"/>
        <sz val="11"/>
        <color theme="1"/>
        <name val="Bookman Old Style"/>
        <scheme val="major"/>
      </font>
      <numFmt numFmtId="166" formatCode="&quot;R$&quot;\ 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strike/>
        <outline/>
        <shadow/>
        <u val="none"/>
        <vertAlign val="baseline"/>
        <sz val="11"/>
        <color theme="1"/>
        <name val="Bookman Old Style"/>
        <scheme val="major"/>
      </font>
      <numFmt numFmtId="166" formatCode="&quot;R$&quot;\ #,##0.0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strike/>
        <outline/>
        <shadow/>
        <u val="none"/>
        <vertAlign val="baseline"/>
        <sz val="11"/>
        <color theme="1"/>
        <name val="Bookman Old Style"/>
        <scheme val="maj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/>
        <outline/>
        <shadow/>
        <u val="none"/>
        <vertAlign val="baseline"/>
        <sz val="11"/>
        <color theme="1"/>
        <name val="Bookman Old Style"/>
        <scheme val="major"/>
      </font>
    </dxf>
    <dxf>
      <font>
        <strike/>
        <outline/>
        <shadow/>
        <u val="none"/>
        <vertAlign val="baseline"/>
        <sz val="11"/>
        <color theme="1"/>
      </font>
    </dxf>
    <dxf>
      <font>
        <strike/>
        <outline/>
        <shadow/>
        <u val="none"/>
        <vertAlign val="baseline"/>
        <sz val="11"/>
        <color theme="1"/>
      </font>
    </dxf>
    <dxf>
      <font>
        <b/>
        <strike/>
        <outline/>
        <shadow/>
        <u val="none"/>
        <vertAlign val="baseline"/>
        <sz val="11"/>
        <color theme="1"/>
        <name val="Century Gothic"/>
        <scheme val="minor"/>
      </font>
    </dxf>
    <dxf>
      <font>
        <strike/>
        <outline/>
        <shadow/>
        <u val="none"/>
        <vertAlign val="baseline"/>
        <sz val="11"/>
        <color theme="1"/>
        <name val="Bookman Old Style"/>
        <scheme val="major"/>
      </font>
      <numFmt numFmtId="13" formatCode="0%"/>
    </dxf>
    <dxf>
      <font>
        <strike/>
        <outline/>
        <shadow/>
        <u val="none"/>
        <vertAlign val="baseline"/>
        <sz val="11"/>
        <color theme="1"/>
        <name val="Bookman Old Style"/>
        <scheme val="major"/>
      </font>
      <numFmt numFmtId="166" formatCode="&quot;R$&quot;\ #,##0.00"/>
    </dxf>
    <dxf>
      <font>
        <strike/>
        <outline/>
        <shadow/>
        <u val="none"/>
        <vertAlign val="baseline"/>
        <sz val="11"/>
        <color theme="1"/>
        <name val="Bookman Old Style"/>
        <scheme val="major"/>
      </font>
      <numFmt numFmtId="166" formatCode="&quot;R$&quot;\ #,##0.00"/>
    </dxf>
    <dxf>
      <font>
        <strike/>
        <outline/>
        <shadow/>
        <u val="none"/>
        <vertAlign val="baseline"/>
        <sz val="11"/>
        <color theme="1"/>
        <name val="Bookman Old Style"/>
        <scheme val="major"/>
      </font>
      <numFmt numFmtId="166" formatCode="&quot;R$&quot;\ #,##0.00"/>
    </dxf>
    <dxf>
      <font>
        <strike/>
        <outline/>
        <shadow/>
        <u val="none"/>
        <vertAlign val="baseline"/>
        <sz val="11"/>
        <color theme="1"/>
        <name val="Bookman Old Style"/>
        <scheme val="major"/>
      </font>
    </dxf>
    <dxf>
      <font>
        <strike/>
        <outline/>
        <shadow/>
        <u val="none"/>
        <vertAlign val="baseline"/>
        <sz val="11"/>
        <color theme="1"/>
        <name val="Bookman Old Style"/>
        <scheme val="major"/>
      </font>
    </dxf>
    <dxf>
      <font>
        <strike/>
        <outline/>
        <shadow/>
        <u val="none"/>
        <vertAlign val="baseline"/>
        <sz val="11"/>
        <color theme="1"/>
        <name val="Century Gothic"/>
        <scheme val="minor"/>
      </font>
    </dxf>
    <dxf>
      <font>
        <strike/>
        <outline/>
        <shadow/>
        <u val="none"/>
        <vertAlign val="baseline"/>
        <sz val="11"/>
        <color theme="1"/>
        <name val="Bookman Old Style"/>
        <scheme val="major"/>
      </font>
    </dxf>
    <dxf>
      <font>
        <b/>
        <strike/>
        <outline/>
        <shadow/>
        <u val="none"/>
        <vertAlign val="baseline"/>
        <sz val="11"/>
        <color theme="1"/>
        <name val="Century Gothic"/>
        <scheme val="minor"/>
      </font>
    </dxf>
    <dxf>
      <font>
        <b/>
        <i val="0"/>
      </font>
    </dxf>
    <dxf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  <vertical/>
        <horizontal/>
      </border>
    </dxf>
    <dxf>
      <font>
        <sz val="9"/>
        <color theme="3"/>
      </font>
      <fill>
        <patternFill patternType="none">
          <bgColor auto="1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 style="dotted">
          <color theme="0" tint="-0.34998626667073579"/>
        </horizontal>
      </border>
    </dxf>
  </dxfs>
  <tableStyles count="1" defaultTableStyle="Expense Budget">
    <tableStyle name="Expense Budget" pivot="0" count="3">
      <tableStyleElement type="wholeTable" dxfId="26"/>
      <tableStyleElement type="headerRow" dxfId="25"/>
      <tableStyleElement type="totalRow" dxfId="2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'Orçamento de Despesas'!$D$12</c:f>
              <c:strCache>
                <c:ptCount val="1"/>
                <c:pt idx="0">
                  <c:v>ORÇAMENTO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strRef>
              <c:f>'Orçamento de Despesas'!$C$13:$C$16</c:f>
              <c:strCache>
                <c:ptCount val="4"/>
                <c:pt idx="0">
                  <c:v>Escritório</c:v>
                </c:pt>
                <c:pt idx="1">
                  <c:v>Loja</c:v>
                </c:pt>
                <c:pt idx="2">
                  <c:v>Vendedores</c:v>
                </c:pt>
                <c:pt idx="3">
                  <c:v>Outros</c:v>
                </c:pt>
              </c:strCache>
            </c:strRef>
          </c:cat>
          <c:val>
            <c:numRef>
              <c:f>'Orçamento de Despesas'!$D$13:$D$17</c:f>
              <c:numCache>
                <c:formatCode>"R$"\ #,##0.00</c:formatCode>
                <c:ptCount val="5"/>
                <c:pt idx="0">
                  <c:v>500</c:v>
                </c:pt>
                <c:pt idx="1">
                  <c:v>125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</c:ser>
        <c:ser>
          <c:idx val="2"/>
          <c:order val="1"/>
          <c:tx>
            <c:strRef>
              <c:f>'Orçamento de Despesas'!$E$12</c:f>
              <c:strCache>
                <c:ptCount val="1"/>
                <c:pt idx="0">
                  <c:v>REAL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'Orçamento de Despesas'!$C$13:$C$16</c:f>
              <c:strCache>
                <c:ptCount val="4"/>
                <c:pt idx="0">
                  <c:v>Escritório</c:v>
                </c:pt>
                <c:pt idx="1">
                  <c:v>Loja</c:v>
                </c:pt>
                <c:pt idx="2">
                  <c:v>Vendedores</c:v>
                </c:pt>
                <c:pt idx="3">
                  <c:v>Outros</c:v>
                </c:pt>
              </c:strCache>
            </c:strRef>
          </c:cat>
          <c:val>
            <c:numRef>
              <c:f>'Orçamento de Despesas'!$E$13:$E$17</c:f>
              <c:numCache>
                <c:formatCode>"R$"\ #,##0.00</c:formatCode>
                <c:ptCount val="5"/>
                <c:pt idx="0">
                  <c:v>565</c:v>
                </c:pt>
                <c:pt idx="1">
                  <c:v>150</c:v>
                </c:pt>
                <c:pt idx="2">
                  <c:v>100</c:v>
                </c:pt>
                <c:pt idx="3">
                  <c:v>90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788112960"/>
        <c:axId val="-788106976"/>
      </c:barChart>
      <c:catAx>
        <c:axId val="-788112960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accent3">
                <a:lumMod val="20000"/>
                <a:lumOff val="80000"/>
              </a:schemeClr>
            </a:solidFill>
          </a:ln>
        </c:spPr>
        <c:txPr>
          <a:bodyPr/>
          <a:lstStyle/>
          <a:p>
            <a:pPr>
              <a:defRPr sz="700">
                <a:solidFill>
                  <a:schemeClr val="tx1">
                    <a:lumMod val="75000"/>
                    <a:lumOff val="25000"/>
                  </a:schemeClr>
                </a:solidFill>
              </a:defRPr>
            </a:pPr>
            <a:endParaRPr lang="pt-BR"/>
          </a:p>
        </c:txPr>
        <c:crossAx val="-788106976"/>
        <c:crosses val="autoZero"/>
        <c:auto val="1"/>
        <c:lblAlgn val="ctr"/>
        <c:lblOffset val="100"/>
        <c:noMultiLvlLbl val="0"/>
      </c:catAx>
      <c:valAx>
        <c:axId val="-788106976"/>
        <c:scaling>
          <c:orientation val="minMax"/>
        </c:scaling>
        <c:delete val="0"/>
        <c:axPos val="l"/>
        <c:numFmt formatCode="&quot;R$&quot;#,##0_);\(&quot;R$&quot;#,##0\)" sourceLinked="0"/>
        <c:majorTickMark val="out"/>
        <c:minorTickMark val="none"/>
        <c:tickLblPos val="nextTo"/>
        <c:spPr>
          <a:ln>
            <a:solidFill>
              <a:schemeClr val="accent3">
                <a:lumMod val="20000"/>
                <a:lumOff val="80000"/>
              </a:schemeClr>
            </a:solidFill>
          </a:ln>
        </c:spPr>
        <c:txPr>
          <a:bodyPr/>
          <a:lstStyle/>
          <a:p>
            <a:pPr>
              <a:defRPr sz="700">
                <a:solidFill>
                  <a:schemeClr val="tx1">
                    <a:lumMod val="75000"/>
                    <a:lumOff val="25000"/>
                  </a:schemeClr>
                </a:solidFill>
              </a:defRPr>
            </a:pPr>
            <a:endParaRPr lang="pt-BR"/>
          </a:p>
        </c:txPr>
        <c:crossAx val="-788112960"/>
        <c:crosses val="autoZero"/>
        <c:crossBetween val="between"/>
      </c:valAx>
      <c:spPr>
        <a:noFill/>
        <a:ln>
          <a:noFill/>
        </a:ln>
      </c:spPr>
    </c:plotArea>
    <c:legend>
      <c:legendPos val="r"/>
      <c:layout/>
      <c:overlay val="0"/>
      <c:txPr>
        <a:bodyPr/>
        <a:lstStyle/>
        <a:p>
          <a:pPr>
            <a:defRPr sz="700">
              <a:solidFill>
                <a:schemeClr val="tx1">
                  <a:lumMod val="75000"/>
                  <a:lumOff val="25000"/>
                </a:schemeClr>
              </a:solidFill>
            </a:defRPr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'Orçamento de Despesas'!$D$27</c:f>
              <c:strCache>
                <c:ptCount val="1"/>
                <c:pt idx="0">
                  <c:v>ORÇAMENTO</c:v>
                </c:pt>
              </c:strCache>
            </c:strRef>
          </c:tx>
          <c:invertIfNegative val="0"/>
          <c:cat>
            <c:strRef>
              <c:f>'Orçamento de Despesas'!$C$28:$C$47</c:f>
              <c:strCache>
                <c:ptCount val="19"/>
                <c:pt idx="0">
                  <c:v>Publicidade</c:v>
                </c:pt>
                <c:pt idx="1">
                  <c:v>Dívidas</c:v>
                </c:pt>
                <c:pt idx="2">
                  <c:v>Benefícios</c:v>
                </c:pt>
                <c:pt idx="3">
                  <c:v>Suprimentos</c:v>
                </c:pt>
                <c:pt idx="4">
                  <c:v>Postagem</c:v>
                </c:pt>
                <c:pt idx="5">
                  <c:v>Aluguel ou hipoteca</c:v>
                </c:pt>
                <c:pt idx="6">
                  <c:v>Despesas de vendas</c:v>
                </c:pt>
                <c:pt idx="7">
                  <c:v>Impostos</c:v>
                </c:pt>
                <c:pt idx="8">
                  <c:v>Serviços essenciais</c:v>
                </c:pt>
                <c:pt idx="9">
                  <c:v>Outros</c:v>
                </c:pt>
                <c:pt idx="10">
                  <c:v>Seguro</c:v>
                </c:pt>
                <c:pt idx="11">
                  <c:v>Juros</c:v>
                </c:pt>
                <c:pt idx="12">
                  <c:v>Telefone</c:v>
                </c:pt>
                <c:pt idx="13">
                  <c:v>Manutenção e reparos</c:v>
                </c:pt>
                <c:pt idx="14">
                  <c:v>Honorários advocatícios</c:v>
                </c:pt>
                <c:pt idx="15">
                  <c:v>Depreciação</c:v>
                </c:pt>
                <c:pt idx="16">
                  <c:v>Remessa</c:v>
                </c:pt>
                <c:pt idx="17">
                  <c:v>Armazenamento</c:v>
                </c:pt>
                <c:pt idx="18">
                  <c:v>Outros</c:v>
                </c:pt>
              </c:strCache>
            </c:strRef>
          </c:cat>
          <c:val>
            <c:numRef>
              <c:f>'Orçamento de Despesas'!$D$28:$D$47</c:f>
              <c:numCache>
                <c:formatCode>"R$"\ #,##0.00</c:formatCode>
                <c:ptCount val="19"/>
                <c:pt idx="0">
                  <c:v>250</c:v>
                </c:pt>
                <c:pt idx="1">
                  <c:v>125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</c:ser>
        <c:ser>
          <c:idx val="1"/>
          <c:order val="1"/>
          <c:tx>
            <c:strRef>
              <c:f>'Orçamento de Despesas'!$E$27</c:f>
              <c:strCache>
                <c:ptCount val="1"/>
                <c:pt idx="0">
                  <c:v>REAL</c:v>
                </c:pt>
              </c:strCache>
            </c:strRef>
          </c:tx>
          <c:invertIfNegative val="0"/>
          <c:cat>
            <c:strRef>
              <c:f>'Orçamento de Despesas'!$C$28:$C$47</c:f>
              <c:strCache>
                <c:ptCount val="19"/>
                <c:pt idx="0">
                  <c:v>Publicidade</c:v>
                </c:pt>
                <c:pt idx="1">
                  <c:v>Dívidas</c:v>
                </c:pt>
                <c:pt idx="2">
                  <c:v>Benefícios</c:v>
                </c:pt>
                <c:pt idx="3">
                  <c:v>Suprimentos</c:v>
                </c:pt>
                <c:pt idx="4">
                  <c:v>Postagem</c:v>
                </c:pt>
                <c:pt idx="5">
                  <c:v>Aluguel ou hipoteca</c:v>
                </c:pt>
                <c:pt idx="6">
                  <c:v>Despesas de vendas</c:v>
                </c:pt>
                <c:pt idx="7">
                  <c:v>Impostos</c:v>
                </c:pt>
                <c:pt idx="8">
                  <c:v>Serviços essenciais</c:v>
                </c:pt>
                <c:pt idx="9">
                  <c:v>Outros</c:v>
                </c:pt>
                <c:pt idx="10">
                  <c:v>Seguro</c:v>
                </c:pt>
                <c:pt idx="11">
                  <c:v>Juros</c:v>
                </c:pt>
                <c:pt idx="12">
                  <c:v>Telefone</c:v>
                </c:pt>
                <c:pt idx="13">
                  <c:v>Manutenção e reparos</c:v>
                </c:pt>
                <c:pt idx="14">
                  <c:v>Honorários advocatícios</c:v>
                </c:pt>
                <c:pt idx="15">
                  <c:v>Depreciação</c:v>
                </c:pt>
                <c:pt idx="16">
                  <c:v>Remessa</c:v>
                </c:pt>
                <c:pt idx="17">
                  <c:v>Armazenamento</c:v>
                </c:pt>
                <c:pt idx="18">
                  <c:v>Outros</c:v>
                </c:pt>
              </c:strCache>
            </c:strRef>
          </c:cat>
          <c:val>
            <c:numRef>
              <c:f>'Orçamento de Despesas'!$E$28:$E$47</c:f>
              <c:numCache>
                <c:formatCode>"R$"\ #,##0.00</c:formatCode>
                <c:ptCount val="19"/>
                <c:pt idx="0">
                  <c:v>245</c:v>
                </c:pt>
                <c:pt idx="1">
                  <c:v>150</c:v>
                </c:pt>
                <c:pt idx="2">
                  <c:v>100</c:v>
                </c:pt>
                <c:pt idx="3">
                  <c:v>90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788110784"/>
        <c:axId val="-788109696"/>
      </c:barChart>
      <c:catAx>
        <c:axId val="-788110784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accent3">
                <a:lumMod val="20000"/>
                <a:lumOff val="80000"/>
              </a:schemeClr>
            </a:solidFill>
          </a:ln>
        </c:spPr>
        <c:txPr>
          <a:bodyPr rot="-2700000" vert="horz"/>
          <a:lstStyle/>
          <a:p>
            <a:pPr>
              <a:defRPr sz="600">
                <a:solidFill>
                  <a:schemeClr val="tx1">
                    <a:lumMod val="75000"/>
                    <a:lumOff val="25000"/>
                  </a:schemeClr>
                </a:solidFill>
              </a:defRPr>
            </a:pPr>
            <a:endParaRPr lang="pt-BR"/>
          </a:p>
        </c:txPr>
        <c:crossAx val="-788109696"/>
        <c:crosses val="autoZero"/>
        <c:auto val="1"/>
        <c:lblAlgn val="ctr"/>
        <c:lblOffset val="100"/>
        <c:tickLblSkip val="1"/>
        <c:noMultiLvlLbl val="0"/>
      </c:catAx>
      <c:valAx>
        <c:axId val="-788109696"/>
        <c:scaling>
          <c:orientation val="minMax"/>
        </c:scaling>
        <c:delete val="0"/>
        <c:axPos val="l"/>
        <c:numFmt formatCode="&quot;R$&quot;#,##0_);\(&quot;R$&quot;#,##0\)" sourceLinked="0"/>
        <c:majorTickMark val="out"/>
        <c:minorTickMark val="none"/>
        <c:tickLblPos val="nextTo"/>
        <c:spPr>
          <a:ln>
            <a:solidFill>
              <a:schemeClr val="accent3">
                <a:lumMod val="20000"/>
                <a:lumOff val="80000"/>
              </a:schemeClr>
            </a:solidFill>
          </a:ln>
        </c:spPr>
        <c:txPr>
          <a:bodyPr/>
          <a:lstStyle/>
          <a:p>
            <a:pPr>
              <a:defRPr sz="700">
                <a:solidFill>
                  <a:schemeClr val="tx1">
                    <a:lumMod val="75000"/>
                    <a:lumOff val="25000"/>
                  </a:schemeClr>
                </a:solidFill>
              </a:defRPr>
            </a:pPr>
            <a:endParaRPr lang="pt-BR"/>
          </a:p>
        </c:txPr>
        <c:crossAx val="-788110784"/>
        <c:crosses val="autoZero"/>
        <c:crossBetween val="between"/>
      </c:valAx>
      <c:spPr>
        <a:noFill/>
        <a:ln>
          <a:noFill/>
        </a:ln>
      </c:spPr>
    </c:plotArea>
    <c:legend>
      <c:legendPos val="r"/>
      <c:layout/>
      <c:overlay val="0"/>
      <c:txPr>
        <a:bodyPr/>
        <a:lstStyle/>
        <a:p>
          <a:pPr>
            <a:defRPr sz="700">
              <a:solidFill>
                <a:schemeClr val="tx1">
                  <a:lumMod val="75000"/>
                  <a:lumOff val="25000"/>
                </a:schemeClr>
              </a:solidFill>
            </a:defRPr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104775</xdr:rowOff>
    </xdr:from>
    <xdr:to>
      <xdr:col>7</xdr:col>
      <xdr:colOff>36195</xdr:colOff>
      <xdr:row>1</xdr:row>
      <xdr:rowOff>142875</xdr:rowOff>
    </xdr:to>
    <xdr:grpSp>
      <xdr:nvGrpSpPr>
        <xdr:cNvPr id="2" name="Borda do Título" descr="&quot;&quot;" title="Border"/>
        <xdr:cNvGrpSpPr/>
      </xdr:nvGrpSpPr>
      <xdr:grpSpPr>
        <a:xfrm>
          <a:off x="171450" y="657225"/>
          <a:ext cx="7141845" cy="38100"/>
          <a:chOff x="247650" y="800100"/>
          <a:chExt cx="7751445" cy="38100"/>
        </a:xfrm>
      </xdr:grpSpPr>
      <xdr:cxnSp macro="">
        <xdr:nvCxnSpPr>
          <xdr:cNvPr id="3" name="Conector Reto 2"/>
          <xdr:cNvCxnSpPr/>
        </xdr:nvCxnSpPr>
        <xdr:spPr>
          <a:xfrm>
            <a:off x="247650" y="800100"/>
            <a:ext cx="7751445" cy="0"/>
          </a:xfrm>
          <a:prstGeom prst="line">
            <a:avLst/>
          </a:prstGeom>
          <a:ln w="25400"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ector Reto 4"/>
          <xdr:cNvCxnSpPr/>
        </xdr:nvCxnSpPr>
        <xdr:spPr>
          <a:xfrm>
            <a:off x="247650" y="838200"/>
            <a:ext cx="7751445" cy="0"/>
          </a:xfrm>
          <a:prstGeom prst="line">
            <a:avLst/>
          </a:prstGeom>
          <a:ln w="6350"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0</xdr:colOff>
      <xdr:row>4</xdr:row>
      <xdr:rowOff>85724</xdr:rowOff>
    </xdr:from>
    <xdr:to>
      <xdr:col>7</xdr:col>
      <xdr:colOff>0</xdr:colOff>
      <xdr:row>9</xdr:row>
      <xdr:rowOff>247649</xdr:rowOff>
    </xdr:to>
    <xdr:graphicFrame macro="">
      <xdr:nvGraphicFramePr>
        <xdr:cNvPr id="9" name="Gráfico de Orçamento de Pessoal" descr="Column chart summary of Personnel Budget such as, Office, Store, Salespeople, and Other." title="Personnel Expens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19</xdr:row>
      <xdr:rowOff>85726</xdr:rowOff>
    </xdr:from>
    <xdr:to>
      <xdr:col>7</xdr:col>
      <xdr:colOff>0</xdr:colOff>
      <xdr:row>24</xdr:row>
      <xdr:rowOff>246508</xdr:rowOff>
    </xdr:to>
    <xdr:graphicFrame macro="">
      <xdr:nvGraphicFramePr>
        <xdr:cNvPr id="12" name="Gráfico de Orçamento Operacional" descr="Column chart summary of Operating Expenses such as Advertising, Debts, Benefits, Supplies, Postage, etc." title="Operating Expense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17</xdr:row>
      <xdr:rowOff>0</xdr:rowOff>
    </xdr:from>
    <xdr:to>
      <xdr:col>7</xdr:col>
      <xdr:colOff>36195</xdr:colOff>
      <xdr:row>17</xdr:row>
      <xdr:rowOff>38100</xdr:rowOff>
    </xdr:to>
    <xdr:grpSp>
      <xdr:nvGrpSpPr>
        <xdr:cNvPr id="18" name="Limite de pessoal" descr="&quot;&quot;" title="Border"/>
        <xdr:cNvGrpSpPr/>
      </xdr:nvGrpSpPr>
      <xdr:grpSpPr>
        <a:xfrm>
          <a:off x="171450" y="4400550"/>
          <a:ext cx="7141845" cy="38100"/>
          <a:chOff x="247650" y="800100"/>
          <a:chExt cx="7751445" cy="38100"/>
        </a:xfrm>
      </xdr:grpSpPr>
      <xdr:cxnSp macro="">
        <xdr:nvCxnSpPr>
          <xdr:cNvPr id="19" name="Conector Reto 18"/>
          <xdr:cNvCxnSpPr/>
        </xdr:nvCxnSpPr>
        <xdr:spPr>
          <a:xfrm>
            <a:off x="247650" y="800100"/>
            <a:ext cx="7751445" cy="0"/>
          </a:xfrm>
          <a:prstGeom prst="line">
            <a:avLst/>
          </a:prstGeom>
          <a:ln w="25400"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Conector Reto 19"/>
          <xdr:cNvCxnSpPr/>
        </xdr:nvCxnSpPr>
        <xdr:spPr>
          <a:xfrm>
            <a:off x="247650" y="838200"/>
            <a:ext cx="7751445" cy="0"/>
          </a:xfrm>
          <a:prstGeom prst="line">
            <a:avLst/>
          </a:prstGeom>
          <a:ln w="6350"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0</xdr:colOff>
      <xdr:row>49</xdr:row>
      <xdr:rowOff>0</xdr:rowOff>
    </xdr:from>
    <xdr:to>
      <xdr:col>7</xdr:col>
      <xdr:colOff>36195</xdr:colOff>
      <xdr:row>49</xdr:row>
      <xdr:rowOff>38100</xdr:rowOff>
    </xdr:to>
    <xdr:grpSp>
      <xdr:nvGrpSpPr>
        <xdr:cNvPr id="21" name="Limite operacional" descr="&quot;&quot;" title="Border"/>
        <xdr:cNvGrpSpPr/>
      </xdr:nvGrpSpPr>
      <xdr:grpSpPr>
        <a:xfrm>
          <a:off x="171450" y="12325350"/>
          <a:ext cx="7141845" cy="38100"/>
          <a:chOff x="247650" y="800100"/>
          <a:chExt cx="7751445" cy="38100"/>
        </a:xfrm>
      </xdr:grpSpPr>
      <xdr:cxnSp macro="">
        <xdr:nvCxnSpPr>
          <xdr:cNvPr id="22" name="Conector Reto 21"/>
          <xdr:cNvCxnSpPr/>
        </xdr:nvCxnSpPr>
        <xdr:spPr>
          <a:xfrm>
            <a:off x="247650" y="800100"/>
            <a:ext cx="7751445" cy="0"/>
          </a:xfrm>
          <a:prstGeom prst="line">
            <a:avLst/>
          </a:prstGeom>
          <a:ln w="25400"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Conector Reto 22"/>
          <xdr:cNvCxnSpPr/>
        </xdr:nvCxnSpPr>
        <xdr:spPr>
          <a:xfrm>
            <a:off x="247650" y="838200"/>
            <a:ext cx="7751445" cy="0"/>
          </a:xfrm>
          <a:prstGeom prst="line">
            <a:avLst/>
          </a:prstGeom>
          <a:ln w="6350"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ables/table1.xml><?xml version="1.0" encoding="utf-8"?>
<table xmlns="http://schemas.openxmlformats.org/spreadsheetml/2006/main" id="1" name="tblPersonnelExpenses" displayName="tblPersonnelExpenses" ref="B12:G16" headerRowDxfId="23" dataDxfId="22" totalsRowDxfId="21">
  <autoFilter ref="B12:G16"/>
  <tableColumns count="6">
    <tableColumn id="6" name="STATUS" totalsRowLabel="Total" dataDxfId="20">
      <calculatedColumnFormula>IFERROR(tblPersonnelExpenses[[#This Row],[REAL]]/tblPersonnelExpenses[[#This Row],[ORÇAMENTO]],"")</calculatedColumnFormula>
    </tableColumn>
    <tableColumn id="1" name="PESSOAL" dataDxfId="19"/>
    <tableColumn id="2" name="ORÇAMENTO" dataDxfId="18"/>
    <tableColumn id="3" name="REAL" dataDxfId="17"/>
    <tableColumn id="4" name="DIFERENÇA (R$)" dataDxfId="16">
      <calculatedColumnFormula>tblPersonnelExpenses[[#This Row],[ORÇAMENTO]]-tblPersonnelExpenses[[#This Row],[REAL]]</calculatedColumnFormula>
    </tableColumn>
    <tableColumn id="5" name="DIFERENÇA (%)" totalsRowFunction="sum" dataDxfId="15">
      <calculatedColumnFormula>IFERROR(tblPersonnelExpenses[DIFERENÇA (R$)]/tblPersonnelExpenses[ORÇAMENTO],"")</calculatedColumnFormula>
    </tableColumn>
  </tableColumns>
  <tableStyleInfo name="Expense Budget" showFirstColumn="0" showLastColumn="0" showRowStripes="1" showColumnStripes="0"/>
  <extLst>
    <ext xmlns:x14="http://schemas.microsoft.com/office/spreadsheetml/2009/9/main" uri="{504A1905-F514-4f6f-8877-14C23A59335A}">
      <x14:table altText="Tabela de Despesas do Pessoal" altTextSummary="Status, Pessoal, Real, Diferença ($) e Diferença (%) para despesas do pessoal como Escritório, Loja, Vendedores etc."/>
    </ext>
  </extLst>
</table>
</file>

<file path=xl/tables/table2.xml><?xml version="1.0" encoding="utf-8"?>
<table xmlns="http://schemas.openxmlformats.org/spreadsheetml/2006/main" id="2" name="tblOperatingExpenses" displayName="tblOperatingExpenses" ref="B27:G47" totalsRowCount="1" headerRowDxfId="14" dataDxfId="13" totalsRowDxfId="12">
  <autoFilter ref="B27:G46"/>
  <tableColumns count="6">
    <tableColumn id="6" name="STATUS" dataDxfId="11" totalsRowDxfId="5">
      <calculatedColumnFormula>IFERROR(tblOperatingExpenses[[#This Row],[REAL]]/tblOperatingExpenses[[#This Row],[ORÇAMENTO]],"")</calculatedColumnFormula>
    </tableColumn>
    <tableColumn id="1" name="OPERACIONAL" totalsRowLabel="Total de Despesas" dataDxfId="10" totalsRowDxfId="4"/>
    <tableColumn id="2" name="ORÇAMENTO" totalsRowFunction="custom" dataDxfId="9" totalsRowDxfId="3" dataCellStyle="Moeda">
      <totalsRowFormula>SUBTOTAL(109,tblOperatingExpenses[ORÇAMENTO],tblPersonnelExpenses[ORÇAMENTO])</totalsRowFormula>
    </tableColumn>
    <tableColumn id="3" name="REAL" totalsRowFunction="custom" dataDxfId="8" totalsRowDxfId="2" dataCellStyle="Moeda">
      <totalsRowFormula>SUBTOTAL(109,tblOperatingExpenses[REAL],tblPersonnelExpenses[REAL])</totalsRowFormula>
    </tableColumn>
    <tableColumn id="4" name="DIFERENÇA (R$)" totalsRowFunction="custom" dataDxfId="7" totalsRowDxfId="1">
      <calculatedColumnFormula>tblOperatingExpenses[[#This Row],[ORÇAMENTO]]-tblOperatingExpenses[[#This Row],[REAL]]</calculatedColumnFormula>
      <totalsRowFormula>SUBTOTAL(109,tblOperatingExpenses[DIFERENÇA (R$)],tblPersonnelExpenses[DIFERENÇA (R$)])</totalsRowFormula>
    </tableColumn>
    <tableColumn id="5" name="DIFERENÇA (%)" totalsRowFunction="custom" dataDxfId="6" totalsRowDxfId="0" dataCellStyle="Porcentagem">
      <calculatedColumnFormula>IFERROR(tblOperatingExpenses[[#This Row],[DIFERENÇA (R$)]]/tblOperatingExpenses[[#This Row],[ORÇAMENTO]],"")</calculatedColumnFormula>
      <totalsRowFormula>IFERROR(SUM(tblOperatingExpenses[[#Totals],[DIFERENÇA (R$)]]/tblOperatingExpenses[[#Totals],[ORÇAMENTO]]),"")</totalsRowFormula>
    </tableColumn>
  </tableColumns>
  <tableStyleInfo name="Expense Budget" showFirstColumn="0" showLastColumn="0" showRowStripes="1" showColumnStripes="0"/>
  <extLst>
    <ext xmlns:x14="http://schemas.microsoft.com/office/spreadsheetml/2009/9/main" uri="{504A1905-F514-4f6f-8877-14C23A59335A}">
      <x14:table altText="Despesas Operacionais" altTextSummary="Status, Operacional, Orçamento, Real, Diferença ($) e Diferença (%) para despesas operacionais como Publicidade, Dívidas, Benefícios, Suprimentos, Postagem etc."/>
    </ext>
  </extLst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theme/theme1.xml><?xml version="1.0" encoding="utf-8"?>
<a:theme xmlns:a="http://schemas.openxmlformats.org/drawingml/2006/main" name="Custom Theme">
  <a:themeElements>
    <a:clrScheme name="Simple Expense Budget">
      <a:dk1>
        <a:sysClr val="windowText" lastClr="000000"/>
      </a:dk1>
      <a:lt1>
        <a:sysClr val="window" lastClr="FFFFFF"/>
      </a:lt1>
      <a:dk2>
        <a:srgbClr val="38321C"/>
      </a:dk2>
      <a:lt2>
        <a:srgbClr val="FFFFFF"/>
      </a:lt2>
      <a:accent1>
        <a:srgbClr val="A9E5EF"/>
      </a:accent1>
      <a:accent2>
        <a:srgbClr val="B21B1B"/>
      </a:accent2>
      <a:accent3>
        <a:srgbClr val="F3D43B"/>
      </a:accent3>
      <a:accent4>
        <a:srgbClr val="707070"/>
      </a:accent4>
      <a:accent5>
        <a:srgbClr val="1AB39F"/>
      </a:accent5>
      <a:accent6>
        <a:srgbClr val="738AC8"/>
      </a:accent6>
      <a:hlink>
        <a:srgbClr val="154DFF"/>
      </a:hlink>
      <a:folHlink>
        <a:srgbClr val="CC0099"/>
      </a:folHlink>
    </a:clrScheme>
    <a:fontScheme name="Simple Expense Budget">
      <a:majorFont>
        <a:latin typeface="Bookman Old Style"/>
        <a:ea typeface=""/>
        <a:cs typeface=""/>
      </a:majorFont>
      <a:minorFont>
        <a:latin typeface="Century Gothic"/>
        <a:ea typeface=""/>
        <a:cs typeface=""/>
      </a:minorFont>
    </a:fontScheme>
    <a:fmtScheme name="Safari">
      <a:fillStyleLst>
        <a:solidFill>
          <a:schemeClr val="phClr">
            <a:tint val="100000"/>
            <a:shade val="100000"/>
            <a:satMod val="100000"/>
          </a:schemeClr>
        </a:solidFill>
        <a:gradFill rotWithShape="1">
          <a:gsLst>
            <a:gs pos="0">
              <a:schemeClr val="phClr">
                <a:tint val="20000"/>
                <a:shade val="100000"/>
                <a:satMod val="210000"/>
              </a:schemeClr>
            </a:gs>
            <a:gs pos="72000">
              <a:schemeClr val="phClr">
                <a:tint val="100000"/>
                <a:shade val="100000"/>
                <a:satMod val="210000"/>
              </a:schemeClr>
            </a:gs>
            <a:gs pos="100000">
              <a:schemeClr val="phClr">
                <a:tint val="100000"/>
                <a:shade val="100000"/>
                <a:satMod val="210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50000"/>
                <a:shade val="90000"/>
                <a:satMod val="190000"/>
              </a:schemeClr>
            </a:gs>
            <a:gs pos="27000">
              <a:schemeClr val="phClr">
                <a:tint val="82000"/>
                <a:shade val="90000"/>
                <a:satMod val="200000"/>
              </a:schemeClr>
            </a:gs>
            <a:gs pos="46000">
              <a:schemeClr val="phClr">
                <a:tint val="90000"/>
                <a:shade val="85000"/>
                <a:satMod val="210000"/>
              </a:schemeClr>
            </a:gs>
            <a:gs pos="68000">
              <a:schemeClr val="phClr">
                <a:tint val="91000"/>
                <a:shade val="85000"/>
                <a:satMod val="240000"/>
              </a:schemeClr>
            </a:gs>
            <a:gs pos="81000">
              <a:schemeClr val="phClr">
                <a:tint val="90000"/>
                <a:shade val="89000"/>
                <a:satMod val="240000"/>
              </a:schemeClr>
            </a:gs>
            <a:gs pos="100000">
              <a:schemeClr val="phClr">
                <a:tint val="60000"/>
                <a:shade val="100000"/>
                <a:satMod val="250000"/>
              </a:schemeClr>
            </a:gs>
          </a:gsLst>
          <a:lin ang="5400000" scaled="1"/>
        </a:gradFill>
      </a:fillStyleLst>
      <a:lnStyleLst>
        <a:ln w="1270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algn="br">
              <a:srgbClr val="4E3B30">
                <a:alpha val="52941"/>
              </a:srgbClr>
            </a:outerShdw>
          </a:effectLst>
          <a:scene3d>
            <a:camera prst="orthographicFront" fov="0">
              <a:rot lat="0" lon="0" rev="0"/>
            </a:camera>
            <a:lightRig rig="threePt" dir="tl">
              <a:rot lat="0" lon="0" rev="0"/>
            </a:lightRig>
          </a:scene3d>
        </a:effectStyle>
        <a:effectStyle>
          <a:effectLst>
            <a:outerShdw blurRad="88900" dist="50800" dir="5400000" algn="br">
              <a:schemeClr val="phClr">
                <a:tint val="100000"/>
                <a:shade val="75000"/>
                <a:satMod val="100000"/>
              </a:schemeClr>
            </a:outerShdw>
          </a:effectLst>
          <a:scene3d>
            <a:camera prst="perspectiveFront" fov="60000">
              <a:rot lat="0" lon="0" rev="0"/>
            </a:camera>
            <a:lightRig rig="threePt" dir="tl">
              <a:rot lat="0" lon="0" rev="0"/>
            </a:lightRig>
          </a:scene3d>
          <a:sp3d prstMaterial="metal">
            <a:bevelT w="12700" h="12700"/>
            <a:contourClr>
              <a:schemeClr val="phClr">
                <a:tint val="100000"/>
                <a:shade val="100000"/>
                <a:satMod val="100000"/>
              </a:schemeClr>
            </a:contourClr>
          </a:sp3d>
        </a:effectStyle>
        <a:effectStyle>
          <a:effectLst>
            <a:glow rad="38100">
              <a:schemeClr val="phClr">
                <a:tint val="100000"/>
                <a:shade val="75000"/>
                <a:satMod val="100000"/>
              </a:schemeClr>
            </a:glow>
          </a:effectLst>
          <a:scene3d>
            <a:camera prst="obliqueTopLeft" fov="600000">
              <a:rot lat="0" lon="0" rev="0"/>
            </a:camera>
            <a:lightRig rig="balanced" dir="br">
              <a:rot lat="0" lon="0" rev="0"/>
            </a:lightRig>
          </a:scene3d>
          <a:sp3d prstMaterial="matte">
            <a:bevelT w="190500" h="190500"/>
            <a:contourClr>
              <a:schemeClr val="phClr">
                <a:tint val="100000"/>
                <a:shade val="100000"/>
                <a:satMod val="100000"/>
              </a:schemeClr>
            </a:contourClr>
          </a:sp3d>
        </a:effectStyle>
      </a:effectStyleLst>
      <a:bgFillStyleLst>
        <a:solidFill>
          <a:schemeClr val="phClr">
            <a:tint val="100000"/>
            <a:shade val="100000"/>
            <a:satMod val="100000"/>
          </a:schemeClr>
        </a:solidFill>
        <a:gradFill rotWithShape="1">
          <a:gsLst>
            <a:gs pos="0">
              <a:schemeClr val="phClr">
                <a:tint val="0"/>
                <a:shade val="100000"/>
                <a:satMod val="100000"/>
              </a:schemeClr>
            </a:gs>
            <a:gs pos="100000">
              <a:schemeClr val="phClr">
                <a:tint val="100000"/>
                <a:shade val="100000"/>
                <a:satMod val="100000"/>
              </a:schemeClr>
            </a:gs>
          </a:gsLst>
          <a:lin ang="2700000" scaled="1"/>
        </a:gradFill>
        <a:blipFill>
          <a:blip xmlns:r="http://schemas.openxmlformats.org/officeDocument/2006/relationships" r:embed="rId1">
            <a:duotone>
              <a:srgbClr val="FFFFFF"/>
              <a:schemeClr val="phClr">
                <a:tint val="100000"/>
                <a:shade val="100000"/>
                <a:satMod val="100000"/>
              </a:schemeClr>
            </a:duotone>
          </a:blip>
          <a:stretch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A1:G49"/>
  <sheetViews>
    <sheetView showGridLines="0" tabSelected="1" workbookViewId="0"/>
  </sheetViews>
  <sheetFormatPr defaultRowHeight="19.5" customHeight="1" x14ac:dyDescent="0.3"/>
  <cols>
    <col min="1" max="1" width="2.25" style="1" customWidth="1"/>
    <col min="2" max="2" width="11.625" style="1" customWidth="1"/>
    <col min="3" max="3" width="20.625" style="1" customWidth="1"/>
    <col min="4" max="5" width="13.25" style="1" customWidth="1"/>
    <col min="6" max="7" width="17.25" style="1" customWidth="1"/>
    <col min="8" max="8" width="2.25" style="1" customWidth="1"/>
    <col min="9" max="16384" width="9" style="1"/>
  </cols>
  <sheetData>
    <row r="1" spans="2:7" s="2" customFormat="1" ht="43.5" customHeight="1" x14ac:dyDescent="0.5">
      <c r="B1" s="33" t="s">
        <v>22</v>
      </c>
      <c r="C1" s="33"/>
      <c r="D1" s="33"/>
      <c r="E1" s="33"/>
      <c r="F1" s="32" t="s">
        <v>31</v>
      </c>
      <c r="G1" s="32"/>
    </row>
    <row r="2" spans="2:7" s="8" customFormat="1" ht="15" customHeight="1" x14ac:dyDescent="0.3">
      <c r="D2" s="6"/>
      <c r="E2" s="6"/>
      <c r="F2" s="7"/>
    </row>
    <row r="3" spans="2:7" ht="15" customHeight="1" x14ac:dyDescent="0.3"/>
    <row r="4" spans="2:7" ht="19.5" customHeight="1" x14ac:dyDescent="0.3">
      <c r="B4" s="22" t="s">
        <v>29</v>
      </c>
      <c r="C4" s="10"/>
      <c r="D4" s="11"/>
      <c r="E4" s="12"/>
      <c r="F4" s="12"/>
      <c r="G4" s="12"/>
    </row>
    <row r="5" spans="2:7" ht="19.5" customHeight="1" x14ac:dyDescent="0.3">
      <c r="B5" s="13"/>
      <c r="G5" s="14"/>
    </row>
    <row r="6" spans="2:7" ht="19.5" customHeight="1" x14ac:dyDescent="0.3">
      <c r="B6" s="13"/>
      <c r="G6" s="14"/>
    </row>
    <row r="7" spans="2:7" ht="19.5" customHeight="1" x14ac:dyDescent="0.3">
      <c r="B7" s="13"/>
      <c r="G7" s="14"/>
    </row>
    <row r="8" spans="2:7" ht="19.5" customHeight="1" x14ac:dyDescent="0.3">
      <c r="B8" s="13"/>
      <c r="G8" s="14"/>
    </row>
    <row r="9" spans="2:7" ht="19.5" customHeight="1" x14ac:dyDescent="0.3">
      <c r="B9" s="13"/>
      <c r="G9" s="14"/>
    </row>
    <row r="10" spans="2:7" ht="19.5" customHeight="1" x14ac:dyDescent="0.3">
      <c r="B10" s="11"/>
      <c r="C10" s="12"/>
      <c r="D10" s="12"/>
      <c r="E10" s="12"/>
      <c r="F10" s="12"/>
      <c r="G10" s="15"/>
    </row>
    <row r="12" spans="2:7" s="3" customFormat="1" ht="19.5" customHeight="1" x14ac:dyDescent="0.3">
      <c r="B12" s="17" t="s">
        <v>23</v>
      </c>
      <c r="C12" s="18" t="s">
        <v>24</v>
      </c>
      <c r="D12" s="17" t="s">
        <v>25</v>
      </c>
      <c r="E12" s="17" t="s">
        <v>26</v>
      </c>
      <c r="F12" s="17" t="s">
        <v>32</v>
      </c>
      <c r="G12" s="17" t="s">
        <v>27</v>
      </c>
    </row>
    <row r="13" spans="2:7" s="3" customFormat="1" ht="19.5" customHeight="1" x14ac:dyDescent="0.25">
      <c r="B13" s="19">
        <f>IFERROR(tblPersonnelExpenses[[#This Row],[REAL]]/tblPersonnelExpenses[[#This Row],[ORÇAMENTO]],"")</f>
        <v>1.1299999999999999</v>
      </c>
      <c r="C13" s="21" t="s">
        <v>0</v>
      </c>
      <c r="D13" s="24">
        <v>500</v>
      </c>
      <c r="E13" s="24">
        <v>565</v>
      </c>
      <c r="F13" s="25">
        <f>tblPersonnelExpenses[[#This Row],[ORÇAMENTO]]-tblPersonnelExpenses[[#This Row],[REAL]]</f>
        <v>-65</v>
      </c>
      <c r="G13" s="20">
        <f>IFERROR(tblPersonnelExpenses[DIFERENÇA (R$)]/tblPersonnelExpenses[ORÇAMENTO],"")</f>
        <v>-0.13</v>
      </c>
    </row>
    <row r="14" spans="2:7" s="3" customFormat="1" ht="19.5" customHeight="1" x14ac:dyDescent="0.3">
      <c r="B14" s="19">
        <f>IFERROR(tblPersonnelExpenses[[#This Row],[REAL]]/tblPersonnelExpenses[[#This Row],[ORÇAMENTO]],"")</f>
        <v>1.2</v>
      </c>
      <c r="C14" s="16" t="s">
        <v>1</v>
      </c>
      <c r="D14" s="24">
        <v>125</v>
      </c>
      <c r="E14" s="24">
        <v>150</v>
      </c>
      <c r="F14" s="25">
        <f>tblPersonnelExpenses[[#This Row],[ORÇAMENTO]]-tblPersonnelExpenses[[#This Row],[REAL]]</f>
        <v>-25</v>
      </c>
      <c r="G14" s="20">
        <f>IFERROR(tblPersonnelExpenses[DIFERENÇA (R$)]/tblPersonnelExpenses[ORÇAMENTO],"")</f>
        <v>-0.2</v>
      </c>
    </row>
    <row r="15" spans="2:7" s="3" customFormat="1" ht="19.5" customHeight="1" x14ac:dyDescent="0.3">
      <c r="B15" s="19">
        <f>IFERROR(tblPersonnelExpenses[[#This Row],[REAL]]/tblPersonnelExpenses[[#This Row],[ORÇAMENTO]],"")</f>
        <v>1</v>
      </c>
      <c r="C15" s="16" t="s">
        <v>2</v>
      </c>
      <c r="D15" s="24">
        <v>100</v>
      </c>
      <c r="E15" s="24">
        <v>100</v>
      </c>
      <c r="F15" s="25">
        <f>tblPersonnelExpenses[[#This Row],[ORÇAMENTO]]-tblPersonnelExpenses[[#This Row],[REAL]]</f>
        <v>0</v>
      </c>
      <c r="G15" s="20">
        <f>IFERROR(tblPersonnelExpenses[DIFERENÇA (R$)]/tblPersonnelExpenses[ORÇAMENTO],"")</f>
        <v>0</v>
      </c>
    </row>
    <row r="16" spans="2:7" s="3" customFormat="1" ht="19.5" customHeight="1" x14ac:dyDescent="0.3">
      <c r="B16" s="19">
        <f>IFERROR(tblPersonnelExpenses[[#This Row],[REAL]]/tblPersonnelExpenses[[#This Row],[ORÇAMENTO]],"")</f>
        <v>0.9</v>
      </c>
      <c r="C16" s="16" t="s">
        <v>13</v>
      </c>
      <c r="D16" s="24">
        <v>100</v>
      </c>
      <c r="E16" s="24">
        <v>90</v>
      </c>
      <c r="F16" s="25">
        <f>tblPersonnelExpenses[[#This Row],[ORÇAMENTO]]-tblPersonnelExpenses[[#This Row],[REAL]]</f>
        <v>10</v>
      </c>
      <c r="G16" s="20">
        <f>IFERROR(tblPersonnelExpenses[DIFERENÇA (R$)]/tblPersonnelExpenses[ORÇAMENTO],"")</f>
        <v>0.1</v>
      </c>
    </row>
    <row r="17" spans="1:7" s="3" customFormat="1" ht="19.5" customHeight="1" x14ac:dyDescent="0.3">
      <c r="B17" s="35"/>
      <c r="C17" s="35"/>
      <c r="D17" s="35"/>
      <c r="E17" s="35"/>
      <c r="F17" s="35"/>
      <c r="G17" s="35"/>
    </row>
    <row r="18" spans="1:7" s="3" customFormat="1" ht="19.5" customHeight="1" x14ac:dyDescent="0.3">
      <c r="B18"/>
      <c r="D18" s="4"/>
      <c r="E18" s="4"/>
      <c r="F18" s="4"/>
      <c r="G18" s="5"/>
    </row>
    <row r="19" spans="1:7" s="3" customFormat="1" ht="19.5" customHeight="1" x14ac:dyDescent="0.3">
      <c r="A19" s="9"/>
      <c r="B19" s="23" t="s">
        <v>30</v>
      </c>
      <c r="C19" s="10"/>
      <c r="D19" s="11"/>
      <c r="E19" s="12"/>
      <c r="F19" s="12"/>
      <c r="G19" s="12"/>
    </row>
    <row r="20" spans="1:7" s="3" customFormat="1" ht="19.5" customHeight="1" x14ac:dyDescent="0.3">
      <c r="A20" s="9"/>
      <c r="B20" s="13"/>
      <c r="C20" s="1"/>
      <c r="D20" s="1"/>
      <c r="E20" s="1"/>
      <c r="F20" s="1"/>
      <c r="G20" s="14"/>
    </row>
    <row r="21" spans="1:7" s="3" customFormat="1" ht="19.5" customHeight="1" x14ac:dyDescent="0.3">
      <c r="A21" s="9"/>
      <c r="B21" s="13"/>
      <c r="C21" s="1"/>
      <c r="D21" s="1"/>
      <c r="E21" s="1"/>
      <c r="F21" s="1"/>
      <c r="G21" s="14"/>
    </row>
    <row r="22" spans="1:7" s="3" customFormat="1" ht="19.5" customHeight="1" x14ac:dyDescent="0.3">
      <c r="A22" s="9"/>
      <c r="B22" s="13"/>
      <c r="C22" s="1"/>
      <c r="D22" s="1"/>
      <c r="E22" s="1"/>
      <c r="F22" s="1"/>
      <c r="G22" s="14"/>
    </row>
    <row r="23" spans="1:7" s="3" customFormat="1" ht="19.5" customHeight="1" x14ac:dyDescent="0.3">
      <c r="A23" s="9"/>
      <c r="B23" s="13"/>
      <c r="C23" s="1"/>
      <c r="D23" s="1"/>
      <c r="E23" s="1"/>
      <c r="F23" s="1"/>
      <c r="G23" s="14"/>
    </row>
    <row r="24" spans="1:7" s="3" customFormat="1" ht="19.5" customHeight="1" x14ac:dyDescent="0.3">
      <c r="A24" s="9"/>
      <c r="B24" s="13"/>
      <c r="C24" s="1"/>
      <c r="D24" s="1"/>
      <c r="E24" s="1"/>
      <c r="F24" s="1"/>
      <c r="G24" s="14"/>
    </row>
    <row r="25" spans="1:7" s="3" customFormat="1" ht="19.5" customHeight="1" x14ac:dyDescent="0.3">
      <c r="A25" s="9"/>
      <c r="B25" s="11"/>
      <c r="C25" s="12"/>
      <c r="D25" s="12"/>
      <c r="E25" s="12"/>
      <c r="F25" s="12"/>
      <c r="G25" s="15"/>
    </row>
    <row r="26" spans="1:7" s="3" customFormat="1" ht="19.5" customHeight="1" x14ac:dyDescent="0.3">
      <c r="B26" s="1"/>
      <c r="C26" s="1"/>
      <c r="D26" s="1"/>
      <c r="E26" s="1"/>
      <c r="F26" s="1"/>
      <c r="G26" s="1"/>
    </row>
    <row r="27" spans="1:7" s="3" customFormat="1" ht="19.5" customHeight="1" x14ac:dyDescent="0.3">
      <c r="B27" s="17" t="s">
        <v>23</v>
      </c>
      <c r="C27" s="18" t="s">
        <v>28</v>
      </c>
      <c r="D27" s="17" t="s">
        <v>25</v>
      </c>
      <c r="E27" s="17" t="s">
        <v>26</v>
      </c>
      <c r="F27" s="36" t="s">
        <v>32</v>
      </c>
      <c r="G27" s="17" t="s">
        <v>27</v>
      </c>
    </row>
    <row r="28" spans="1:7" s="3" customFormat="1" ht="19.5" customHeight="1" x14ac:dyDescent="0.3">
      <c r="B28" s="19">
        <f>IFERROR(tblOperatingExpenses[[#This Row],[REAL]]/tblOperatingExpenses[[#This Row],[ORÇAMENTO]],"")</f>
        <v>0.98</v>
      </c>
      <c r="C28" s="16" t="s">
        <v>4</v>
      </c>
      <c r="D28" s="24">
        <v>250</v>
      </c>
      <c r="E28" s="24">
        <v>245</v>
      </c>
      <c r="F28" s="29">
        <f>tblOperatingExpenses[[#This Row],[ORÇAMENTO]]-tblOperatingExpenses[[#This Row],[REAL]]</f>
        <v>5</v>
      </c>
      <c r="G28" s="20">
        <f>IFERROR(tblOperatingExpenses[[#This Row],[DIFERENÇA (R$)]]/tblOperatingExpenses[[#This Row],[ORÇAMENTO]],"")</f>
        <v>0.02</v>
      </c>
    </row>
    <row r="29" spans="1:7" s="3" customFormat="1" ht="19.5" customHeight="1" x14ac:dyDescent="0.3">
      <c r="B29" s="19">
        <f>IFERROR(tblOperatingExpenses[[#This Row],[REAL]]/tblOperatingExpenses[[#This Row],[ORÇAMENTO]],"")</f>
        <v>1.2</v>
      </c>
      <c r="C29" s="16" t="s">
        <v>5</v>
      </c>
      <c r="D29" s="24">
        <v>125</v>
      </c>
      <c r="E29" s="24">
        <v>150</v>
      </c>
      <c r="F29" s="29">
        <f>tblOperatingExpenses[[#This Row],[ORÇAMENTO]]-tblOperatingExpenses[[#This Row],[REAL]]</f>
        <v>-25</v>
      </c>
      <c r="G29" s="20">
        <f>IFERROR(tblOperatingExpenses[[#This Row],[DIFERENÇA (R$)]]/tblOperatingExpenses[[#This Row],[ORÇAMENTO]],"")</f>
        <v>-0.2</v>
      </c>
    </row>
    <row r="30" spans="1:7" s="3" customFormat="1" ht="19.5" customHeight="1" x14ac:dyDescent="0.3">
      <c r="B30" s="19">
        <f>IFERROR(tblOperatingExpenses[[#This Row],[REAL]]/tblOperatingExpenses[[#This Row],[ORÇAMENTO]],"")</f>
        <v>1</v>
      </c>
      <c r="C30" s="16" t="s">
        <v>6</v>
      </c>
      <c r="D30" s="24">
        <v>100</v>
      </c>
      <c r="E30" s="24">
        <v>100</v>
      </c>
      <c r="F30" s="29">
        <f>tblOperatingExpenses[[#This Row],[ORÇAMENTO]]-tblOperatingExpenses[[#This Row],[REAL]]</f>
        <v>0</v>
      </c>
      <c r="G30" s="20">
        <f>IFERROR(tblOperatingExpenses[[#This Row],[DIFERENÇA (R$)]]/tblOperatingExpenses[[#This Row],[ORÇAMENTO]],"")</f>
        <v>0</v>
      </c>
    </row>
    <row r="31" spans="1:7" s="3" customFormat="1" ht="19.5" customHeight="1" x14ac:dyDescent="0.3">
      <c r="B31" s="19">
        <f>IFERROR(tblOperatingExpenses[[#This Row],[REAL]]/tblOperatingExpenses[[#This Row],[ORÇAMENTO]],"")</f>
        <v>0.9</v>
      </c>
      <c r="C31" s="16" t="s">
        <v>7</v>
      </c>
      <c r="D31" s="24">
        <v>100</v>
      </c>
      <c r="E31" s="24">
        <v>90</v>
      </c>
      <c r="F31" s="29">
        <f>tblOperatingExpenses[[#This Row],[ORÇAMENTO]]-tblOperatingExpenses[[#This Row],[REAL]]</f>
        <v>10</v>
      </c>
      <c r="G31" s="20">
        <f>IFERROR(tblOperatingExpenses[[#This Row],[DIFERENÇA (R$)]]/tblOperatingExpenses[[#This Row],[ORÇAMENTO]],"")</f>
        <v>0.1</v>
      </c>
    </row>
    <row r="32" spans="1:7" s="3" customFormat="1" ht="19.5" customHeight="1" x14ac:dyDescent="0.3">
      <c r="B32" s="19" t="str">
        <f>IFERROR(tblOperatingExpenses[[#This Row],[REAL]]/tblOperatingExpenses[[#This Row],[ORÇAMENTO]],"")</f>
        <v/>
      </c>
      <c r="C32" s="16" t="s">
        <v>8</v>
      </c>
      <c r="D32" s="24"/>
      <c r="E32" s="24"/>
      <c r="F32" s="29">
        <f>tblOperatingExpenses[[#This Row],[ORÇAMENTO]]-tblOperatingExpenses[[#This Row],[REAL]]</f>
        <v>0</v>
      </c>
      <c r="G32" s="20" t="str">
        <f>IFERROR(tblOperatingExpenses[[#This Row],[DIFERENÇA (R$)]]/tblOperatingExpenses[[#This Row],[ORÇAMENTO]],"")</f>
        <v/>
      </c>
    </row>
    <row r="33" spans="2:7" s="3" customFormat="1" ht="19.5" customHeight="1" x14ac:dyDescent="0.3">
      <c r="B33" s="19" t="str">
        <f>IFERROR(tblOperatingExpenses[[#This Row],[REAL]]/tblOperatingExpenses[[#This Row],[ORÇAMENTO]],"")</f>
        <v/>
      </c>
      <c r="C33" s="16" t="s">
        <v>9</v>
      </c>
      <c r="D33" s="24"/>
      <c r="E33" s="24"/>
      <c r="F33" s="29">
        <f>tblOperatingExpenses[[#This Row],[ORÇAMENTO]]-tblOperatingExpenses[[#This Row],[REAL]]</f>
        <v>0</v>
      </c>
      <c r="G33" s="20" t="str">
        <f>IFERROR(tblOperatingExpenses[[#This Row],[DIFERENÇA (R$)]]/tblOperatingExpenses[[#This Row],[ORÇAMENTO]],"")</f>
        <v/>
      </c>
    </row>
    <row r="34" spans="2:7" s="3" customFormat="1" ht="19.5" customHeight="1" x14ac:dyDescent="0.3">
      <c r="B34" s="19" t="str">
        <f>IFERROR(tblOperatingExpenses[[#This Row],[REAL]]/tblOperatingExpenses[[#This Row],[ORÇAMENTO]],"")</f>
        <v/>
      </c>
      <c r="C34" s="16" t="s">
        <v>10</v>
      </c>
      <c r="D34" s="24"/>
      <c r="E34" s="24"/>
      <c r="F34" s="29">
        <f>tblOperatingExpenses[[#This Row],[ORÇAMENTO]]-tblOperatingExpenses[[#This Row],[REAL]]</f>
        <v>0</v>
      </c>
      <c r="G34" s="20" t="str">
        <f>IFERROR(tblOperatingExpenses[[#This Row],[DIFERENÇA (R$)]]/tblOperatingExpenses[[#This Row],[ORÇAMENTO]],"")</f>
        <v/>
      </c>
    </row>
    <row r="35" spans="2:7" s="3" customFormat="1" ht="19.5" customHeight="1" x14ac:dyDescent="0.3">
      <c r="B35" s="19" t="str">
        <f>IFERROR(tblOperatingExpenses[[#This Row],[REAL]]/tblOperatingExpenses[[#This Row],[ORÇAMENTO]],"")</f>
        <v/>
      </c>
      <c r="C35" s="16" t="s">
        <v>11</v>
      </c>
      <c r="D35" s="24"/>
      <c r="E35" s="24"/>
      <c r="F35" s="29">
        <f>tblOperatingExpenses[[#This Row],[ORÇAMENTO]]-tblOperatingExpenses[[#This Row],[REAL]]</f>
        <v>0</v>
      </c>
      <c r="G35" s="20" t="str">
        <f>IFERROR(tblOperatingExpenses[[#This Row],[DIFERENÇA (R$)]]/tblOperatingExpenses[[#This Row],[ORÇAMENTO]],"")</f>
        <v/>
      </c>
    </row>
    <row r="36" spans="2:7" s="3" customFormat="1" ht="19.5" customHeight="1" x14ac:dyDescent="0.3">
      <c r="B36" s="19" t="str">
        <f>IFERROR(tblOperatingExpenses[[#This Row],[REAL]]/tblOperatingExpenses[[#This Row],[ORÇAMENTO]],"")</f>
        <v/>
      </c>
      <c r="C36" s="16" t="s">
        <v>12</v>
      </c>
      <c r="D36" s="24"/>
      <c r="E36" s="24"/>
      <c r="F36" s="29">
        <f>tblOperatingExpenses[[#This Row],[ORÇAMENTO]]-tblOperatingExpenses[[#This Row],[REAL]]</f>
        <v>0</v>
      </c>
      <c r="G36" s="20" t="str">
        <f>IFERROR(tblOperatingExpenses[[#This Row],[DIFERENÇA (R$)]]/tblOperatingExpenses[[#This Row],[ORÇAMENTO]],"")</f>
        <v/>
      </c>
    </row>
    <row r="37" spans="2:7" s="3" customFormat="1" ht="19.5" customHeight="1" x14ac:dyDescent="0.3">
      <c r="B37" s="19" t="str">
        <f>IFERROR(tblOperatingExpenses[[#This Row],[REAL]]/tblOperatingExpenses[[#This Row],[ORÇAMENTO]],"")</f>
        <v/>
      </c>
      <c r="C37" s="16" t="s">
        <v>13</v>
      </c>
      <c r="D37" s="24"/>
      <c r="E37" s="24"/>
      <c r="F37" s="29">
        <f>tblOperatingExpenses[[#This Row],[ORÇAMENTO]]-tblOperatingExpenses[[#This Row],[REAL]]</f>
        <v>0</v>
      </c>
      <c r="G37" s="20" t="str">
        <f>IFERROR(tblOperatingExpenses[[#This Row],[DIFERENÇA (R$)]]/tblOperatingExpenses[[#This Row],[ORÇAMENTO]],"")</f>
        <v/>
      </c>
    </row>
    <row r="38" spans="2:7" s="3" customFormat="1" ht="19.5" customHeight="1" x14ac:dyDescent="0.3">
      <c r="B38" s="19" t="str">
        <f>IFERROR(tblOperatingExpenses[[#This Row],[REAL]]/tblOperatingExpenses[[#This Row],[ORÇAMENTO]],"")</f>
        <v/>
      </c>
      <c r="C38" s="16" t="s">
        <v>14</v>
      </c>
      <c r="D38" s="24"/>
      <c r="E38" s="24"/>
      <c r="F38" s="29">
        <f>tblOperatingExpenses[[#This Row],[ORÇAMENTO]]-tblOperatingExpenses[[#This Row],[REAL]]</f>
        <v>0</v>
      </c>
      <c r="G38" s="20" t="str">
        <f>IFERROR(tblOperatingExpenses[[#This Row],[DIFERENÇA (R$)]]/tblOperatingExpenses[[#This Row],[ORÇAMENTO]],"")</f>
        <v/>
      </c>
    </row>
    <row r="39" spans="2:7" s="3" customFormat="1" ht="19.5" customHeight="1" x14ac:dyDescent="0.3">
      <c r="B39" s="19" t="str">
        <f>IFERROR(tblOperatingExpenses[[#This Row],[REAL]]/tblOperatingExpenses[[#This Row],[ORÇAMENTO]],"")</f>
        <v/>
      </c>
      <c r="C39" s="16" t="s">
        <v>15</v>
      </c>
      <c r="D39" s="24"/>
      <c r="E39" s="24"/>
      <c r="F39" s="29">
        <f>tblOperatingExpenses[[#This Row],[ORÇAMENTO]]-tblOperatingExpenses[[#This Row],[REAL]]</f>
        <v>0</v>
      </c>
      <c r="G39" s="20" t="str">
        <f>IFERROR(tblOperatingExpenses[[#This Row],[DIFERENÇA (R$)]]/tblOperatingExpenses[[#This Row],[ORÇAMENTO]],"")</f>
        <v/>
      </c>
    </row>
    <row r="40" spans="2:7" s="3" customFormat="1" ht="19.5" customHeight="1" x14ac:dyDescent="0.3">
      <c r="B40" s="19" t="str">
        <f>IFERROR(tblOperatingExpenses[[#This Row],[REAL]]/tblOperatingExpenses[[#This Row],[ORÇAMENTO]],"")</f>
        <v/>
      </c>
      <c r="C40" s="16" t="s">
        <v>16</v>
      </c>
      <c r="D40" s="24"/>
      <c r="E40" s="24"/>
      <c r="F40" s="29">
        <f>tblOperatingExpenses[[#This Row],[ORÇAMENTO]]-tblOperatingExpenses[[#This Row],[REAL]]</f>
        <v>0</v>
      </c>
      <c r="G40" s="20" t="str">
        <f>IFERROR(tblOperatingExpenses[[#This Row],[DIFERENÇA (R$)]]/tblOperatingExpenses[[#This Row],[ORÇAMENTO]],"")</f>
        <v/>
      </c>
    </row>
    <row r="41" spans="2:7" s="3" customFormat="1" ht="19.5" customHeight="1" x14ac:dyDescent="0.3">
      <c r="B41" s="19" t="str">
        <f>IFERROR(tblOperatingExpenses[[#This Row],[REAL]]/tblOperatingExpenses[[#This Row],[ORÇAMENTO]],"")</f>
        <v/>
      </c>
      <c r="C41" s="16" t="s">
        <v>17</v>
      </c>
      <c r="D41" s="24"/>
      <c r="E41" s="24"/>
      <c r="F41" s="29">
        <f>tblOperatingExpenses[[#This Row],[ORÇAMENTO]]-tblOperatingExpenses[[#This Row],[REAL]]</f>
        <v>0</v>
      </c>
      <c r="G41" s="20" t="str">
        <f>IFERROR(tblOperatingExpenses[[#This Row],[DIFERENÇA (R$)]]/tblOperatingExpenses[[#This Row],[ORÇAMENTO]],"")</f>
        <v/>
      </c>
    </row>
    <row r="42" spans="2:7" s="3" customFormat="1" ht="19.5" customHeight="1" x14ac:dyDescent="0.3">
      <c r="B42" s="19" t="str">
        <f>IFERROR(tblOperatingExpenses[[#This Row],[REAL]]/tblOperatingExpenses[[#This Row],[ORÇAMENTO]],"")</f>
        <v/>
      </c>
      <c r="C42" s="16" t="s">
        <v>18</v>
      </c>
      <c r="D42" s="24"/>
      <c r="E42" s="24"/>
      <c r="F42" s="29">
        <f>tblOperatingExpenses[[#This Row],[ORÇAMENTO]]-tblOperatingExpenses[[#This Row],[REAL]]</f>
        <v>0</v>
      </c>
      <c r="G42" s="20" t="str">
        <f>IFERROR(tblOperatingExpenses[[#This Row],[DIFERENÇA (R$)]]/tblOperatingExpenses[[#This Row],[ORÇAMENTO]],"")</f>
        <v/>
      </c>
    </row>
    <row r="43" spans="2:7" s="3" customFormat="1" ht="19.5" customHeight="1" x14ac:dyDescent="0.3">
      <c r="B43" s="19" t="str">
        <f>IFERROR(tblOperatingExpenses[[#This Row],[REAL]]/tblOperatingExpenses[[#This Row],[ORÇAMENTO]],"")</f>
        <v/>
      </c>
      <c r="C43" s="16" t="s">
        <v>19</v>
      </c>
      <c r="D43" s="24"/>
      <c r="E43" s="24"/>
      <c r="F43" s="29">
        <f>tblOperatingExpenses[[#This Row],[ORÇAMENTO]]-tblOperatingExpenses[[#This Row],[REAL]]</f>
        <v>0</v>
      </c>
      <c r="G43" s="20" t="str">
        <f>IFERROR(tblOperatingExpenses[[#This Row],[DIFERENÇA (R$)]]/tblOperatingExpenses[[#This Row],[ORÇAMENTO]],"")</f>
        <v/>
      </c>
    </row>
    <row r="44" spans="2:7" s="3" customFormat="1" ht="19.5" customHeight="1" x14ac:dyDescent="0.3">
      <c r="B44" s="19" t="str">
        <f>IFERROR(tblOperatingExpenses[[#This Row],[REAL]]/tblOperatingExpenses[[#This Row],[ORÇAMENTO]],"")</f>
        <v/>
      </c>
      <c r="C44" s="16" t="s">
        <v>20</v>
      </c>
      <c r="D44" s="24"/>
      <c r="E44" s="24"/>
      <c r="F44" s="29">
        <f>tblOperatingExpenses[[#This Row],[ORÇAMENTO]]-tblOperatingExpenses[[#This Row],[REAL]]</f>
        <v>0</v>
      </c>
      <c r="G44" s="20" t="str">
        <f>IFERROR(tblOperatingExpenses[[#This Row],[DIFERENÇA (R$)]]/tblOperatingExpenses[[#This Row],[ORÇAMENTO]],"")</f>
        <v/>
      </c>
    </row>
    <row r="45" spans="2:7" s="3" customFormat="1" ht="19.5" customHeight="1" x14ac:dyDescent="0.3">
      <c r="B45" s="19" t="str">
        <f>IFERROR(tblOperatingExpenses[[#This Row],[REAL]]/tblOperatingExpenses[[#This Row],[ORÇAMENTO]],"")</f>
        <v/>
      </c>
      <c r="C45" s="16" t="s">
        <v>21</v>
      </c>
      <c r="D45" s="24"/>
      <c r="E45" s="24"/>
      <c r="F45" s="29">
        <f>tblOperatingExpenses[[#This Row],[ORÇAMENTO]]-tblOperatingExpenses[[#This Row],[REAL]]</f>
        <v>0</v>
      </c>
      <c r="G45" s="20" t="str">
        <f>IFERROR(tblOperatingExpenses[[#This Row],[DIFERENÇA (R$)]]/tblOperatingExpenses[[#This Row],[ORÇAMENTO]],"")</f>
        <v/>
      </c>
    </row>
    <row r="46" spans="2:7" s="3" customFormat="1" ht="19.5" customHeight="1" x14ac:dyDescent="0.3">
      <c r="B46" s="19" t="str">
        <f>IFERROR(tblOperatingExpenses[[#This Row],[REAL]]/tblOperatingExpenses[[#This Row],[ORÇAMENTO]],"")</f>
        <v/>
      </c>
      <c r="C46" s="16" t="s">
        <v>13</v>
      </c>
      <c r="D46" s="24"/>
      <c r="E46" s="24"/>
      <c r="F46" s="29">
        <f>tblOperatingExpenses[[#This Row],[ORÇAMENTO]]-tblOperatingExpenses[[#This Row],[REAL]]</f>
        <v>0</v>
      </c>
      <c r="G46" s="20" t="str">
        <f>IFERROR(tblOperatingExpenses[[#This Row],[DIFERENÇA (R$)]]/tblOperatingExpenses[[#This Row],[ORÇAMENTO]],"")</f>
        <v/>
      </c>
    </row>
    <row r="47" spans="2:7" s="3" customFormat="1" ht="19.5" customHeight="1" x14ac:dyDescent="0.3">
      <c r="B47" s="26"/>
      <c r="C47" s="27" t="s">
        <v>3</v>
      </c>
      <c r="D47" s="30">
        <f>SUBTOTAL(109,tblOperatingExpenses[ORÇAMENTO],tblPersonnelExpenses[ORÇAMENTO])</f>
        <v>1400</v>
      </c>
      <c r="E47" s="30">
        <f>SUBTOTAL(109,tblOperatingExpenses[REAL],tblPersonnelExpenses[REAL])</f>
        <v>1490</v>
      </c>
      <c r="F47" s="31">
        <f>SUBTOTAL(109,tblOperatingExpenses[DIFERENÇA (R$)],tblPersonnelExpenses[DIFERENÇA (R$)])</f>
        <v>-90</v>
      </c>
      <c r="G47" s="28">
        <f>IFERROR(SUM(tblOperatingExpenses[[#Totals],[DIFERENÇA (R$)]]/tblOperatingExpenses[[#Totals],[ORÇAMENTO]]),"")</f>
        <v>-6.4285714285714279E-2</v>
      </c>
    </row>
    <row r="48" spans="2:7" ht="19.5" customHeight="1" x14ac:dyDescent="0.3">
      <c r="B48" s="19"/>
      <c r="C48" s="16"/>
    </row>
    <row r="49" spans="2:7" ht="19.5" customHeight="1" x14ac:dyDescent="0.3">
      <c r="B49" s="34"/>
      <c r="C49" s="34"/>
      <c r="D49" s="34"/>
      <c r="E49" s="34"/>
      <c r="F49" s="34"/>
      <c r="G49" s="34"/>
    </row>
  </sheetData>
  <mergeCells count="4">
    <mergeCell ref="F1:G1"/>
    <mergeCell ref="B1:E1"/>
    <mergeCell ref="B49:G49"/>
    <mergeCell ref="B17:G17"/>
  </mergeCells>
  <conditionalFormatting sqref="G13:G16">
    <cfRule type="dataBar" priority="8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{639A99BA-8DC8-4765-8921-B6A5F1867B05}</x14:id>
        </ext>
      </extLst>
    </cfRule>
  </conditionalFormatting>
  <conditionalFormatting sqref="G28:G46">
    <cfRule type="dataBar" priority="14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{E383D9ED-DC00-4014-A3DF-283E00ACC6D3}</x14:id>
        </ext>
      </extLst>
    </cfRule>
  </conditionalFormatting>
  <printOptions horizontalCentered="1"/>
  <pageMargins left="0.6" right="0.6" top="0.75" bottom="0.75" header="0.25" footer="0.25"/>
  <pageSetup paperSize="9" fitToHeight="0" orientation="portrait" horizontalDpi="300" verticalDpi="300" r:id="rId1"/>
  <drawing r:id="rId2"/>
  <tableParts count="2"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39A99BA-8DC8-4765-8921-B6A5F1867B05}">
            <x14:dataBar minLength="0" maxLength="100" border="1" negativeBarBorderColorSameAsPositive="0" axisPosition="middle">
              <x14:cfvo type="min"/>
              <x14:cfvo type="max"/>
              <x14:borderColor theme="4"/>
              <x14:negativeFillColor theme="5"/>
              <x14:negativeBorderColor theme="5"/>
              <x14:axisColor theme="0" tint="-0.499984740745262"/>
            </x14:dataBar>
          </x14:cfRule>
          <xm:sqref>G13:G16</xm:sqref>
        </x14:conditionalFormatting>
        <x14:conditionalFormatting xmlns:xm="http://schemas.microsoft.com/office/excel/2006/main">
          <x14:cfRule type="dataBar" id="{E383D9ED-DC00-4014-A3DF-283E00ACC6D3}">
            <x14:dataBar minLength="0" maxLength="100" border="1" negativeBarBorderColorSameAsPositive="0" axisPosition="middle">
              <x14:cfvo type="min"/>
              <x14:cfvo type="max"/>
              <x14:borderColor theme="4"/>
              <x14:negativeFillColor theme="5"/>
              <x14:negativeBorderColor theme="5"/>
              <x14:axisColor theme="0" tint="-0.499984740745262"/>
            </x14:dataBar>
          </x14:cfRule>
          <xm:sqref>G28:G46</xm:sqref>
        </x14:conditionalFormatting>
        <x14:conditionalFormatting xmlns:xm="http://schemas.microsoft.com/office/excel/2006/main">
          <x14:cfRule type="iconSet" priority="9" id="{601750C9-486C-4423-9CC8-69839191D230}">
            <x14:iconSet iconSet="3Triangles" showValue="0" custom="1">
              <x14:cfvo type="percent">
                <xm:f>0</xm:f>
              </x14:cfvo>
              <x14:cfvo type="num">
                <xm:f>1</xm:f>
              </x14:cfvo>
              <x14:cfvo type="num" gte="0">
                <xm:f>1</xm:f>
              </x14:cfvo>
              <x14:cfIcon iconSet="3Triangles" iconId="2"/>
              <x14:cfIcon iconSet="3Triangles" iconId="1"/>
              <x14:cfIcon iconSet="3Triangles" iconId="0"/>
            </x14:iconSet>
          </x14:cfRule>
          <xm:sqref>B13:B16</xm:sqref>
        </x14:conditionalFormatting>
        <x14:conditionalFormatting xmlns:xm="http://schemas.microsoft.com/office/excel/2006/main">
          <x14:cfRule type="iconSet" priority="16" id="{901A322A-5740-4A32-9D86-388BF7A503BA}">
            <x14:iconSet iconSet="3Triangles" showValue="0" reverse="1">
              <x14:cfvo type="percent">
                <xm:f>0</xm:f>
              </x14:cfvo>
              <x14:cfvo type="num">
                <xm:f>1</xm:f>
              </x14:cfvo>
              <x14:cfvo type="num" gte="0">
                <xm:f>1</xm:f>
              </x14:cfvo>
            </x14:iconSet>
          </x14:cfRule>
          <xm:sqref>B28:B46 B48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2057737089D604C8995D725789FFFFD0400C05BDBFCDB0BE84BA6AEC1D1A4F5E4CE" ma:contentTypeVersion="56" ma:contentTypeDescription="Create a new document." ma:contentTypeScope="" ma:versionID="c5c786f17e9890b7d2875e0bb647f603">
  <xsd:schema xmlns:xsd="http://www.w3.org/2001/XMLSchema" xmlns:xs="http://www.w3.org/2001/XMLSchema" xmlns:p="http://schemas.microsoft.com/office/2006/metadata/properties" xmlns:ns2="e5d022ff-4ce9-4922-b5a4-f245e35e2aac" targetNamespace="http://schemas.microsoft.com/office/2006/metadata/properties" ma:root="true" ma:fieldsID="3dddc4782ba87b44f6678511fd2b89e9" ns2:_="">
    <xsd:import namespace="e5d022ff-4ce9-4922-b5a4-f245e35e2aac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d022ff-4ce9-4922-b5a4-f245e35e2aa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BlockPublish" ma:index="12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3" nillable="true" ma:displayName="Bug Number" ma:default="" ma:internalName="BugNumber" ma:readOnly="false">
      <xsd:simpleType>
        <xsd:restriction base="dms:Text"/>
      </xsd:simpleType>
    </xsd:element>
    <xsd:element name="CampaignTagsTaxHTField0" ma:index="15" nillable="true" ma:taxonomy="true" ma:internalName="CampaignTagsTaxHTField0" ma:taxonomyFieldName="CampaignTags" ma:displayName="Campaigns" ma:readOnly="false" ma:default="" ma:fieldId="{ae2f8e70-a23c-4d77-9ad6-ea38e2352880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6" nillable="true" ma:displayName="Client Viewer" ma:default="" ma:internalName="TPClientViewer">
      <xsd:simpleType>
        <xsd:restriction base="dms:Text"/>
      </xsd:simpleType>
    </xsd:element>
    <xsd:element name="ClipArtFilename" ma:index="17" nillable="true" ma:displayName="Clip Art Name" ma:default="" ma:internalName="ClipArtFilename" ma:readOnly="false">
      <xsd:simpleType>
        <xsd:restriction base="dms:Text"/>
      </xsd:simpleType>
    </xsd:element>
    <xsd:element name="TPCommandLine" ma:index="18" nillable="true" ma:displayName="Command Line" ma:default="" ma:internalName="TPCommandLine">
      <xsd:simpleType>
        <xsd:restriction base="dms:Text"/>
      </xsd:simpleType>
    </xsd:element>
    <xsd:element name="TPComponent" ma:index="19" nillable="true" ma:displayName="Component" ma:default="" ma:internalName="TPComponent">
      <xsd:simpleType>
        <xsd:restriction base="dms:Text"/>
      </xsd:simpleType>
    </xsd:element>
    <xsd:element name="ContentItem" ma:index="20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2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5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6" nillable="true" ma:displayName="CSX Submission Market" ma:default="" ma:list="{5E053CDA-25E6-45C3-8DB3-AEDB8C2D0B9A}" ma:internalName="CSXSubmissionMarket" ma:readOnly="false" ma:showField="MarketName" ma:web="e5d022ff-4ce9-4922-b5a4-f245e35e2aac">
      <xsd:simpleType>
        <xsd:restriction base="dms:Lookup"/>
      </xsd:simpleType>
    </xsd:element>
    <xsd:element name="CSXUpdate" ma:index="27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8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29" nillable="true" ma:displayName="Deleted?" ma:default="" ma:internalName="IsDeleted" ma:readOnly="false">
      <xsd:simpleType>
        <xsd:restriction base="dms:Boolean"/>
      </xsd:simpleType>
    </xsd:element>
    <xsd:element name="APDescription" ma:index="30" nillable="true" ma:displayName="Description" ma:default="" ma:internalName="APDescription" ma:readOnly="false">
      <xsd:simpleType>
        <xsd:restriction base="dms:Note"/>
      </xsd:simpleType>
    </xsd:element>
    <xsd:element name="DirectSourceMarket" ma:index="31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2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3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4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5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6" nillable="true" ma:displayName="Editorial Tags" ma:default="" ma:internalName="EditorialTags">
      <xsd:simpleType>
        <xsd:restriction base="dms:Unknown"/>
      </xsd:simpleType>
    </xsd:element>
    <xsd:element name="TPExecutable" ma:index="37" nillable="true" ma:displayName="Executable" ma:default="" ma:internalName="TPExecutable">
      <xsd:simpleType>
        <xsd:restriction base="dms:Text"/>
      </xsd:simpleType>
    </xsd:element>
    <xsd:element name="FeatureTagsTaxHTField0" ma:index="39" nillable="true" ma:taxonomy="true" ma:internalName="FeatureTagsTaxHTField0" ma:taxonomyFieldName="FeatureTags" ma:displayName="Features" ma:readOnly="false" ma:default="" ma:fieldId="{0e79027b-5c14-42ce-a448-02002c169e4a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0" nillable="true" ma:displayName="Friendly Name" ma:default="" ma:internalName="TPFriendlyName">
      <xsd:simpleType>
        <xsd:restriction base="dms:Text"/>
      </xsd:simpleType>
    </xsd:element>
    <xsd:element name="FriendlyTitle" ma:index="41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2" nillable="true" ma:displayName="Generate Images?" ma:default="true" ma:internalName="PrimaryImageGen">
      <xsd:simpleType>
        <xsd:restriction base="dms:Boolean"/>
      </xsd:simpleType>
    </xsd:element>
    <xsd:element name="HandoffToMSDN" ma:index="43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4" nillable="true" ma:displayName="InProjectListLookup" ma:list="{E1DF242F-2A85-4892-885C-E072ACF78A23}" ma:internalName="InProjectListLookup" ma:readOnly="true" ma:showField="InProjectLis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5" nillable="true" ma:displayName="Install Location" ma:default="" ma:internalName="TPInstallLocation">
      <xsd:simpleType>
        <xsd:restriction base="dms:Text"/>
      </xsd:simpleType>
    </xsd:element>
    <xsd:element name="InternalTagsTaxHTField0" ma:index="47" nillable="true" ma:taxonomy="true" ma:internalName="InternalTagsTaxHTField0" ma:taxonomyFieldName="InternalTags" ma:displayName="Internal Tags" ma:readOnly="false" ma:default="" ma:fieldId="{e822bdd4-da07-482e-8962-d405657c171a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8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49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0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1" nillable="true" ma:displayName="Last Complete Version Lookup" ma:default="" ma:list="{E1DF242F-2A85-4892-885C-E072ACF78A23}" ma:internalName="LastCompleteVersionLookup" ma:readOnly="true" ma:showField="LastComplete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2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3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4" nillable="true" ma:displayName="Last Preview Attempt Error" ma:default="" ma:list="{E1DF242F-2A85-4892-885C-E072ACF78A23}" ma:internalName="LastPreviewErrorLookup" ma:readOnly="true" ma:showField="LastPreviewError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5" nillable="true" ma:displayName="Last Preview Attempt Result" ma:default="" ma:list="{E1DF242F-2A85-4892-885C-E072ACF78A23}" ma:internalName="LastPreviewResultLookup" ma:readOnly="true" ma:showField="LastPreviewResul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6" nillable="true" ma:displayName="Last Preview Attempted On" ma:default="" ma:list="{E1DF242F-2A85-4892-885C-E072ACF78A23}" ma:internalName="LastPreviewAttemptDateLookup" ma:readOnly="true" ma:showField="LastPreviewAttemptDat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7" nillable="true" ma:displayName="Last Previewed By" ma:default="" ma:list="{E1DF242F-2A85-4892-885C-E072ACF78A23}" ma:internalName="LastPreviewedByLookup" ma:readOnly="true" ma:showField="LastPreviewedBy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8" nillable="true" ma:displayName="Last Previewed Date" ma:default="" ma:list="{E1DF242F-2A85-4892-885C-E072ACF78A23}" ma:internalName="LastPreviewTimeLookup" ma:readOnly="true" ma:showField="LastPreviewTi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59" nillable="true" ma:displayName="Last Previewed Version" ma:default="" ma:list="{E1DF242F-2A85-4892-885C-E072ACF78A23}" ma:internalName="LastPreviewVersionLookup" ma:readOnly="true" ma:showField="LastPreview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0" nillable="true" ma:displayName="Last Publish Attempt Error" ma:default="" ma:list="{E1DF242F-2A85-4892-885C-E072ACF78A23}" ma:internalName="LastPublishErrorLookup" ma:readOnly="true" ma:showField="LastPublishError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1" nillable="true" ma:displayName="Last Publish Attempt Result" ma:default="" ma:list="{E1DF242F-2A85-4892-885C-E072ACF78A23}" ma:internalName="LastPublishResultLookup" ma:readOnly="true" ma:showField="LastPublishResul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2" nillable="true" ma:displayName="Last Publish Attempted On" ma:default="" ma:list="{E1DF242F-2A85-4892-885C-E072ACF78A23}" ma:internalName="LastPublishAttemptDateLookup" ma:readOnly="true" ma:showField="LastPublishAttemptDat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3" nillable="true" ma:displayName="Last Published By" ma:default="" ma:list="{E1DF242F-2A85-4892-885C-E072ACF78A23}" ma:internalName="LastPublishedByLookup" ma:readOnly="true" ma:showField="LastPublishedBy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4" nillable="true" ma:displayName="Last Published Date" ma:default="" ma:list="{E1DF242F-2A85-4892-885C-E072ACF78A23}" ma:internalName="LastPublishTimeLookup" ma:readOnly="true" ma:showField="LastPublishTi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5" nillable="true" ma:displayName="Last Published Version" ma:default="" ma:list="{E1DF242F-2A85-4892-885C-E072ACF78A23}" ma:internalName="LastPublishVersionLookup" ma:readOnly="true" ma:showField="LastPublish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6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7" nillable="true" ma:displayName="Legacy Data" ma:default="" ma:internalName="LegacyData" ma:readOnly="false">
      <xsd:simpleType>
        <xsd:restriction base="dms:Note"/>
      </xsd:simpleType>
    </xsd:element>
    <xsd:element name="TPLaunchHelpLink" ma:index="68" nillable="true" ma:displayName="Link to Launch Help Topic" ma:default="" ma:internalName="TPLaunchHelpLink">
      <xsd:simpleType>
        <xsd:restriction base="dms:Text"/>
      </xsd:simpleType>
    </xsd:element>
    <xsd:element name="LocComments" ma:index="69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0" nillable="true" ma:displayName="Loc Last Loc Attempt Version" ma:default="" ma:list="{D8789D1B-66E7-4538-930C-3B8C6A9D68AA}" ma:internalName="LocLastLocAttemptVersionLookup" ma:readOnly="false" ma:showField="LastLocAttemptVersion" ma:web="e5d022ff-4ce9-4922-b5a4-f245e35e2aac">
      <xsd:simpleType>
        <xsd:restriction base="dms:Lookup"/>
      </xsd:simpleType>
    </xsd:element>
    <xsd:element name="LocLastLocAttemptVersionTypeLookup" ma:index="71" nillable="true" ma:displayName="Loc Last Loc Attempt Version Type" ma:default="" ma:list="{D8789D1B-66E7-4538-930C-3B8C6A9D68AA}" ma:internalName="LocLastLocAttemptVersionTypeLookup" ma:readOnly="true" ma:showField="LastLocAttemptVersionType" ma:web="e5d022ff-4ce9-4922-b5a4-f245e35e2aac">
      <xsd:simpleType>
        <xsd:restriction base="dms:Lookup"/>
      </xsd:simpleType>
    </xsd:element>
    <xsd:element name="LocManualTestRequired" ma:index="72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3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4" nillable="true" ma:displayName="Loc New Published Version Lookup" ma:default="" ma:list="{D8789D1B-66E7-4538-930C-3B8C6A9D68AA}" ma:internalName="LocNewPublishedVersionLookup" ma:readOnly="true" ma:showField="NewPublishedVersion" ma:web="e5d022ff-4ce9-4922-b5a4-f245e35e2aac">
      <xsd:simpleType>
        <xsd:restriction base="dms:Lookup"/>
      </xsd:simpleType>
    </xsd:element>
    <xsd:element name="LocOverallHandbackStatusLookup" ma:index="75" nillable="true" ma:displayName="Loc Overall Handback Status" ma:default="" ma:list="{D8789D1B-66E7-4538-930C-3B8C6A9D68AA}" ma:internalName="LocOverallHandbackStatusLookup" ma:readOnly="true" ma:showField="OverallHandbackStatus" ma:web="e5d022ff-4ce9-4922-b5a4-f245e35e2aac">
      <xsd:simpleType>
        <xsd:restriction base="dms:Lookup"/>
      </xsd:simpleType>
    </xsd:element>
    <xsd:element name="LocOverallLocStatusLookup" ma:index="76" nillable="true" ma:displayName="Loc Overall Localize Status" ma:default="" ma:list="{D8789D1B-66E7-4538-930C-3B8C6A9D68AA}" ma:internalName="LocOverallLocStatusLookup" ma:readOnly="true" ma:showField="OverallLocStatus" ma:web="e5d022ff-4ce9-4922-b5a4-f245e35e2aac">
      <xsd:simpleType>
        <xsd:restriction base="dms:Lookup"/>
      </xsd:simpleType>
    </xsd:element>
    <xsd:element name="LocOverallPreviewStatusLookup" ma:index="77" nillable="true" ma:displayName="Loc Overall Preview Status" ma:default="" ma:list="{D8789D1B-66E7-4538-930C-3B8C6A9D68AA}" ma:internalName="LocOverallPreviewStatusLookup" ma:readOnly="true" ma:showField="OverallPreviewStatus" ma:web="e5d022ff-4ce9-4922-b5a4-f245e35e2aac">
      <xsd:simpleType>
        <xsd:restriction base="dms:Lookup"/>
      </xsd:simpleType>
    </xsd:element>
    <xsd:element name="LocOverallPublishStatusLookup" ma:index="78" nillable="true" ma:displayName="Loc Overall Publish Status" ma:default="" ma:list="{D8789D1B-66E7-4538-930C-3B8C6A9D68AA}" ma:internalName="LocOverallPublishStatusLookup" ma:readOnly="true" ma:showField="OverallPublishStatus" ma:web="e5d022ff-4ce9-4922-b5a4-f245e35e2aac">
      <xsd:simpleType>
        <xsd:restriction base="dms:Lookup"/>
      </xsd:simpleType>
    </xsd:element>
    <xsd:element name="IntlLocPriority" ma:index="79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0" nillable="true" ma:displayName="Loc Processed For Handoffs" ma:default="" ma:list="{D8789D1B-66E7-4538-930C-3B8C6A9D68AA}" ma:internalName="LocProcessedForHandoffsLookup" ma:readOnly="true" ma:showField="ProcessedForHandoffs" ma:web="e5d022ff-4ce9-4922-b5a4-f245e35e2aac">
      <xsd:simpleType>
        <xsd:restriction base="dms:Lookup"/>
      </xsd:simpleType>
    </xsd:element>
    <xsd:element name="LocProcessedForMarketsLookup" ma:index="81" nillable="true" ma:displayName="Loc Processed For Markets" ma:default="" ma:list="{D8789D1B-66E7-4538-930C-3B8C6A9D68AA}" ma:internalName="LocProcessedForMarketsLookup" ma:readOnly="true" ma:showField="ProcessedForMarkets" ma:web="e5d022ff-4ce9-4922-b5a4-f245e35e2aac">
      <xsd:simpleType>
        <xsd:restriction base="dms:Lookup"/>
      </xsd:simpleType>
    </xsd:element>
    <xsd:element name="LocPublishedDependentAssetsLookup" ma:index="82" nillable="true" ma:displayName="Loc Published Dependent Assets" ma:default="" ma:list="{D8789D1B-66E7-4538-930C-3B8C6A9D68AA}" ma:internalName="LocPublishedDependentAssetsLookup" ma:readOnly="true" ma:showField="PublishedDependentAssets" ma:web="e5d022ff-4ce9-4922-b5a4-f245e35e2aac">
      <xsd:simpleType>
        <xsd:restriction base="dms:Lookup"/>
      </xsd:simpleType>
    </xsd:element>
    <xsd:element name="LocPublishedLinkedAssetsLookup" ma:index="83" nillable="true" ma:displayName="Loc Published Linked Assets" ma:default="" ma:list="{D8789D1B-66E7-4538-930C-3B8C6A9D68AA}" ma:internalName="LocPublishedLinkedAssetsLookup" ma:readOnly="true" ma:showField="PublishedLinkedAssets" ma:web="e5d022ff-4ce9-4922-b5a4-f245e35e2aac">
      <xsd:simpleType>
        <xsd:restriction base="dms:Lookup"/>
      </xsd:simpleType>
    </xsd:element>
    <xsd:element name="LocRecommendedHandoff" ma:index="84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6" nillable="true" ma:taxonomy="true" ma:internalName="LocalizationTagsTaxHTField0" ma:taxonomyFieldName="LocalizationTags" ma:displayName="Localization Tags" ma:readOnly="false" ma:default="" ma:fieldId="{63236a87-6c6d-4a5b-9fe1-c805ecae0bb8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7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8" nillable="true" ma:displayName="Manager" ma:hidden="true" ma:internalName="Manager" ma:readOnly="false">
      <xsd:simpleType>
        <xsd:restriction base="dms:Text"/>
      </xsd:simpleType>
    </xsd:element>
    <xsd:element name="Markets" ma:index="89" nillable="true" ma:displayName="Markets" ma:default="" ma:description="Leave blank to show in all markets" ma:list="{5E053CDA-25E6-45C3-8DB3-AEDB8C2D0B9A}" ma:internalName="Markets" ma:readOnly="false" ma:showField="MarketNa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0" nillable="true" ma:displayName="Milestone" ma:default="" ma:internalName="Milestone" ma:readOnly="false">
      <xsd:simpleType>
        <xsd:restriction base="dms:Unknown"/>
      </xsd:simpleType>
    </xsd:element>
    <xsd:element name="TPNamespace" ma:index="93" nillable="true" ma:displayName="Namespace" ma:default="" ma:internalName="TPNamespace">
      <xsd:simpleType>
        <xsd:restriction base="dms:Text"/>
      </xsd:simpleType>
    </xsd:element>
    <xsd:element name="NumericId" ma:index="94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5" nillable="true" ma:displayName="NumOfRatings" ma:default="" ma:list="{E1DF242F-2A85-4892-885C-E072ACF78A23}" ma:internalName="NumOfRatingsLookup" ma:readOnly="true" ma:showField="NumOfRatings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6" nillable="true" ma:displayName="OOCacheId" ma:internalName="OOCacheId" ma:readOnly="false">
      <xsd:simpleType>
        <xsd:restriction base="dms:Text"/>
      </xsd:simpleType>
    </xsd:element>
    <xsd:element name="OpenTemplate" ma:index="97" nillable="true" ma:displayName="Open Template" ma:default="true" ma:internalName="OpenTemplate">
      <xsd:simpleType>
        <xsd:restriction base="dms:Boolean"/>
      </xsd:simpleType>
    </xsd:element>
    <xsd:element name="OriginAsset" ma:index="98" nillable="true" ma:displayName="Origin Asset" ma:default="" ma:internalName="OriginAsset" ma:readOnly="false">
      <xsd:simpleType>
        <xsd:restriction base="dms:Text"/>
      </xsd:simpleType>
    </xsd:element>
    <xsd:element name="OriginalRelease" ma:index="99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0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1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2" nillable="true" ma:displayName="Parent Asset Id" ma:default="" ma:internalName="ParentAssetId" ma:readOnly="false">
      <xsd:simpleType>
        <xsd:restriction base="dms:Text"/>
      </xsd:simpleType>
    </xsd:element>
    <xsd:element name="PlannedPubDate" ma:index="103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4" nillable="true" ma:displayName="Policheck Words" ma:default="" ma:internalName="PolicheckWords" ma:readOnly="false">
      <xsd:simpleType>
        <xsd:restriction base="dms:Text"/>
      </xsd:simpleType>
    </xsd:element>
    <xsd:element name="BusinessGroup" ma:index="105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6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7" nillable="true" ma:displayName="Provider" ma:default="" ma:internalName="Provider" ma:readOnly="false">
      <xsd:simpleType>
        <xsd:restriction base="dms:Unknown"/>
      </xsd:simpleType>
    </xsd:element>
    <xsd:element name="Providers" ma:index="108" nillable="true" ma:displayName="Providers" ma:default="" ma:internalName="Providers">
      <xsd:simpleType>
        <xsd:restriction base="dms:Unknown"/>
      </xsd:simpleType>
    </xsd:element>
    <xsd:element name="PublishStatusLookup" ma:index="109" nillable="true" ma:displayName="Publish Status" ma:default="" ma:list="{E1DF242F-2A85-4892-885C-E072ACF78A23}" ma:internalName="PublishStatusLookup" ma:readOnly="false" ma:showField="PublishStatus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0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1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2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4" nillable="true" ma:taxonomy="true" ma:internalName="ScenarioTagsTaxHTField0" ma:taxonomyFieldName="ScenarioTags" ma:displayName="Scenarios" ma:readOnly="false" ma:default="" ma:fieldId="{67a15031-dfad-40a3-960d-7cc941d4a986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6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7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8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19" nillable="true" ma:displayName="Submitter ID" ma:default="" ma:internalName="SubmitterId" ma:readOnly="false">
      <xsd:simpleType>
        <xsd:restriction base="dms:Text"/>
      </xsd:simpleType>
    </xsd:element>
    <xsd:element name="TaxCatchAll" ma:index="120" nillable="true" ma:displayName="Taxonomy Catch All Column" ma:hidden="true" ma:list="{2f397b98-bdf6-47da-a1ac-484548f5e091}" ma:internalName="TaxCatchAll" ma:showField="CatchAllData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1" nillable="true" ma:displayName="Taxonomy Catch All Column1" ma:hidden="true" ma:list="{2f397b98-bdf6-47da-a1ac-484548f5e091}" ma:internalName="TaxCatchAllLabel" ma:readOnly="true" ma:showField="CatchAllDataLabel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2" nillable="true" ma:displayName="Template Status" ma:default="" ma:internalName="TemplateStatus">
      <xsd:simpleType>
        <xsd:restriction base="dms:Unknown"/>
      </xsd:simpleType>
    </xsd:element>
    <xsd:element name="TemplateTemplateType" ma:index="123" nillable="true" ma:displayName="Template Type" ma:default="" ma:internalName="TemplateTemplateType">
      <xsd:simpleType>
        <xsd:restriction base="dms:Unknown"/>
      </xsd:simpleType>
    </xsd:element>
    <xsd:element name="ThumbnailAssetId" ma:index="124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5" nillable="true" ma:displayName="Times Cloned" ma:default="" ma:internalName="TimesCloned" ma:readOnly="false">
      <xsd:simpleType>
        <xsd:restriction base="dms:Number"/>
      </xsd:simpleType>
    </xsd:element>
    <xsd:element name="TrustLevel" ma:index="127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8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29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0" nillable="true" ma:displayName="UA Notes" ma:default="" ma:internalName="UANotes" ma:readOnly="false">
      <xsd:simpleType>
        <xsd:restriction base="dms:Note"/>
      </xsd:simpleType>
    </xsd:element>
    <xsd:element name="TPAppVersion" ma:index="131" nillable="true" ma:displayName="Version" ma:default="" ma:internalName="TPAppVersion">
      <xsd:simpleType>
        <xsd:restriction base="dms:Text"/>
      </xsd:simpleType>
    </xsd:element>
    <xsd:element name="VoteCount" ma:index="132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1" ma:displayName="Content Type"/>
        <xsd:element ref="dc:title" minOccurs="0" maxOccurs="1" ma:index="126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irectSourceMarket xmlns="e5d022ff-4ce9-4922-b5a4-f245e35e2aac">english</DirectSourceMarket>
    <ApprovalStatus xmlns="e5d022ff-4ce9-4922-b5a4-f245e35e2aac">InProgress</ApprovalStatus>
    <MarketSpecific xmlns="e5d022ff-4ce9-4922-b5a4-f245e35e2aac">false</MarketSpecific>
    <LocComments xmlns="e5d022ff-4ce9-4922-b5a4-f245e35e2aac" xsi:nil="true"/>
    <ThumbnailAssetId xmlns="e5d022ff-4ce9-4922-b5a4-f245e35e2aac" xsi:nil="true"/>
    <PrimaryImageGen xmlns="e5d022ff-4ce9-4922-b5a4-f245e35e2aac">false</PrimaryImageGen>
    <LegacyData xmlns="e5d022ff-4ce9-4922-b5a4-f245e35e2aac" xsi:nil="true"/>
    <LocRecommendedHandoff xmlns="e5d022ff-4ce9-4922-b5a4-f245e35e2aac" xsi:nil="true"/>
    <BusinessGroup xmlns="e5d022ff-4ce9-4922-b5a4-f245e35e2aac" xsi:nil="true"/>
    <BlockPublish xmlns="e5d022ff-4ce9-4922-b5a4-f245e35e2aac">false</BlockPublish>
    <TPFriendlyName xmlns="e5d022ff-4ce9-4922-b5a4-f245e35e2aac" xsi:nil="true"/>
    <NumericId xmlns="e5d022ff-4ce9-4922-b5a4-f245e35e2aac" xsi:nil="true"/>
    <APEditor xmlns="e5d022ff-4ce9-4922-b5a4-f245e35e2aac">
      <UserInfo>
        <DisplayName/>
        <AccountId xsi:nil="true"/>
        <AccountType/>
      </UserInfo>
    </APEditor>
    <SourceTitle xmlns="e5d022ff-4ce9-4922-b5a4-f245e35e2aac" xsi:nil="true"/>
    <OpenTemplate xmlns="e5d022ff-4ce9-4922-b5a4-f245e35e2aac">true</OpenTemplate>
    <UALocComments xmlns="e5d022ff-4ce9-4922-b5a4-f245e35e2aac" xsi:nil="true"/>
    <ParentAssetId xmlns="e5d022ff-4ce9-4922-b5a4-f245e35e2aac" xsi:nil="true"/>
    <IntlLangReviewDate xmlns="e5d022ff-4ce9-4922-b5a4-f245e35e2aac" xsi:nil="true"/>
    <FeatureTagsTaxHTField0 xmlns="e5d022ff-4ce9-4922-b5a4-f245e35e2aac">
      <Terms xmlns="http://schemas.microsoft.com/office/infopath/2007/PartnerControls"/>
    </FeatureTagsTaxHTField0>
    <PublishStatusLookup xmlns="e5d022ff-4ce9-4922-b5a4-f245e35e2aac">
      <Value>462968</Value>
    </PublishStatusLookup>
    <Providers xmlns="e5d022ff-4ce9-4922-b5a4-f245e35e2aac" xsi:nil="true"/>
    <MachineTranslated xmlns="e5d022ff-4ce9-4922-b5a4-f245e35e2aac">false</MachineTranslated>
    <OriginalSourceMarket xmlns="e5d022ff-4ce9-4922-b5a4-f245e35e2aac">english</OriginalSourceMarket>
    <APDescription xmlns="e5d022ff-4ce9-4922-b5a4-f245e35e2aac" xsi:nil="true"/>
    <ClipArtFilename xmlns="e5d022ff-4ce9-4922-b5a4-f245e35e2aac" xsi:nil="true"/>
    <ContentItem xmlns="e5d022ff-4ce9-4922-b5a4-f245e35e2aac" xsi:nil="true"/>
    <TPInstallLocation xmlns="e5d022ff-4ce9-4922-b5a4-f245e35e2aac" xsi:nil="true"/>
    <PublishTargets xmlns="e5d022ff-4ce9-4922-b5a4-f245e35e2aac">OfficeOnlineVNext</PublishTargets>
    <TimesCloned xmlns="e5d022ff-4ce9-4922-b5a4-f245e35e2aac" xsi:nil="true"/>
    <AssetStart xmlns="e5d022ff-4ce9-4922-b5a4-f245e35e2aac">2012-08-31T01:16:00+00:00</AssetStart>
    <Provider xmlns="e5d022ff-4ce9-4922-b5a4-f245e35e2aac" xsi:nil="true"/>
    <AcquiredFrom xmlns="e5d022ff-4ce9-4922-b5a4-f245e35e2aac">Internal MS</AcquiredFrom>
    <FriendlyTitle xmlns="e5d022ff-4ce9-4922-b5a4-f245e35e2aac" xsi:nil="true"/>
    <LastHandOff xmlns="e5d022ff-4ce9-4922-b5a4-f245e35e2aac" xsi:nil="true"/>
    <TPClientViewer xmlns="e5d022ff-4ce9-4922-b5a4-f245e35e2aac" xsi:nil="true"/>
    <UACurrentWords xmlns="e5d022ff-4ce9-4922-b5a4-f245e35e2aac" xsi:nil="true"/>
    <ArtSampleDocs xmlns="e5d022ff-4ce9-4922-b5a4-f245e35e2aac" xsi:nil="true"/>
    <UALocRecommendation xmlns="e5d022ff-4ce9-4922-b5a4-f245e35e2aac">Localize</UALocRecommendation>
    <Manager xmlns="e5d022ff-4ce9-4922-b5a4-f245e35e2aac" xsi:nil="true"/>
    <ShowIn xmlns="e5d022ff-4ce9-4922-b5a4-f245e35e2aac">Show everywhere</ShowIn>
    <UANotes xmlns="e5d022ff-4ce9-4922-b5a4-f245e35e2aac" xsi:nil="true"/>
    <TemplateStatus xmlns="e5d022ff-4ce9-4922-b5a4-f245e35e2aac">Complete</TemplateStatus>
    <InternalTagsTaxHTField0 xmlns="e5d022ff-4ce9-4922-b5a4-f245e35e2aac">
      <Terms xmlns="http://schemas.microsoft.com/office/infopath/2007/PartnerControls"/>
    </InternalTagsTaxHTField0>
    <CSXHash xmlns="e5d022ff-4ce9-4922-b5a4-f245e35e2aac" xsi:nil="true"/>
    <Downloads xmlns="e5d022ff-4ce9-4922-b5a4-f245e35e2aac">0</Downloads>
    <VoteCount xmlns="e5d022ff-4ce9-4922-b5a4-f245e35e2aac" xsi:nil="true"/>
    <OOCacheId xmlns="e5d022ff-4ce9-4922-b5a4-f245e35e2aac" xsi:nil="true"/>
    <IsDeleted xmlns="e5d022ff-4ce9-4922-b5a4-f245e35e2aac">false</IsDeleted>
    <AssetExpire xmlns="e5d022ff-4ce9-4922-b5a4-f245e35e2aac">2029-01-01T08:00:00+00:00</AssetExpire>
    <DSATActionTaken xmlns="e5d022ff-4ce9-4922-b5a4-f245e35e2aac" xsi:nil="true"/>
    <CSXSubmissionMarket xmlns="e5d022ff-4ce9-4922-b5a4-f245e35e2aac" xsi:nil="true"/>
    <TPExecutable xmlns="e5d022ff-4ce9-4922-b5a4-f245e35e2aac" xsi:nil="true"/>
    <SubmitterId xmlns="e5d022ff-4ce9-4922-b5a4-f245e35e2aac" xsi:nil="true"/>
    <EditorialTags xmlns="e5d022ff-4ce9-4922-b5a4-f245e35e2aac" xsi:nil="true"/>
    <AssetType xmlns="e5d022ff-4ce9-4922-b5a4-f245e35e2aac">TP</AssetType>
    <BugNumber xmlns="e5d022ff-4ce9-4922-b5a4-f245e35e2aac" xsi:nil="true"/>
    <CSXSubmissionDate xmlns="e5d022ff-4ce9-4922-b5a4-f245e35e2aac" xsi:nil="true"/>
    <CSXUpdate xmlns="e5d022ff-4ce9-4922-b5a4-f245e35e2aac">false</CSXUpdate>
    <ApprovalLog xmlns="e5d022ff-4ce9-4922-b5a4-f245e35e2aac" xsi:nil="true"/>
    <Milestone xmlns="e5d022ff-4ce9-4922-b5a4-f245e35e2aac" xsi:nil="true"/>
    <RecommendationsModifier xmlns="e5d022ff-4ce9-4922-b5a4-f245e35e2aac" xsi:nil="true"/>
    <OriginAsset xmlns="e5d022ff-4ce9-4922-b5a4-f245e35e2aac" xsi:nil="true"/>
    <TPComponent xmlns="e5d022ff-4ce9-4922-b5a4-f245e35e2aac" xsi:nil="true"/>
    <AssetId xmlns="e5d022ff-4ce9-4922-b5a4-f245e35e2aac">TP103428874</AssetId>
    <IntlLocPriority xmlns="e5d022ff-4ce9-4922-b5a4-f245e35e2aac" xsi:nil="true"/>
    <PolicheckWords xmlns="e5d022ff-4ce9-4922-b5a4-f245e35e2aac" xsi:nil="true"/>
    <TPLaunchHelpLink xmlns="e5d022ff-4ce9-4922-b5a4-f245e35e2aac" xsi:nil="true"/>
    <TPApplication xmlns="e5d022ff-4ce9-4922-b5a4-f245e35e2aac" xsi:nil="true"/>
    <CrawlForDependencies xmlns="e5d022ff-4ce9-4922-b5a4-f245e35e2aac">false</CrawlForDependencies>
    <HandoffToMSDN xmlns="e5d022ff-4ce9-4922-b5a4-f245e35e2aac" xsi:nil="true"/>
    <PlannedPubDate xmlns="e5d022ff-4ce9-4922-b5a4-f245e35e2aac" xsi:nil="true"/>
    <IntlLangReviewer xmlns="e5d022ff-4ce9-4922-b5a4-f245e35e2aac" xsi:nil="true"/>
    <TrustLevel xmlns="e5d022ff-4ce9-4922-b5a4-f245e35e2aac">1 Microsoft Managed Content</TrustLevel>
    <LocLastLocAttemptVersionLookup xmlns="e5d022ff-4ce9-4922-b5a4-f245e35e2aac">854929</LocLastLocAttemptVersionLookup>
    <IsSearchable xmlns="e5d022ff-4ce9-4922-b5a4-f245e35e2aac">true</IsSearchable>
    <TemplateTemplateType xmlns="e5d022ff-4ce9-4922-b5a4-f245e35e2aac">Excel Spreadsheet Template</TemplateTemplateType>
    <CampaignTagsTaxHTField0 xmlns="e5d022ff-4ce9-4922-b5a4-f245e35e2aac">
      <Terms xmlns="http://schemas.microsoft.com/office/infopath/2007/PartnerControls"/>
    </CampaignTagsTaxHTField0>
    <TPNamespace xmlns="e5d022ff-4ce9-4922-b5a4-f245e35e2aac" xsi:nil="true"/>
    <TaxCatchAll xmlns="e5d022ff-4ce9-4922-b5a4-f245e35e2aac"/>
    <Markets xmlns="e5d022ff-4ce9-4922-b5a4-f245e35e2aac"/>
    <UAProjectedTotalWords xmlns="e5d022ff-4ce9-4922-b5a4-f245e35e2aac" xsi:nil="true"/>
    <LocMarketGroupTiers2 xmlns="e5d022ff-4ce9-4922-b5a4-f245e35e2aac" xsi:nil="true"/>
    <IntlLangReview xmlns="e5d022ff-4ce9-4922-b5a4-f245e35e2aac">false</IntlLangReview>
    <OutputCachingOn xmlns="e5d022ff-4ce9-4922-b5a4-f245e35e2aac">false</OutputCachingOn>
    <APAuthor xmlns="e5d022ff-4ce9-4922-b5a4-f245e35e2aac">
      <UserInfo>
        <DisplayName>REDMOND\matthos</DisplayName>
        <AccountId>59</AccountId>
        <AccountType/>
      </UserInfo>
    </APAuthor>
    <LocManualTestRequired xmlns="e5d022ff-4ce9-4922-b5a4-f245e35e2aac">false</LocManualTestRequired>
    <TPCommandLine xmlns="e5d022ff-4ce9-4922-b5a4-f245e35e2aac" xsi:nil="true"/>
    <TPAppVersion xmlns="e5d022ff-4ce9-4922-b5a4-f245e35e2aac" xsi:nil="true"/>
    <EditorialStatus xmlns="e5d022ff-4ce9-4922-b5a4-f245e35e2aac">Complete</EditorialStatus>
    <LastModifiedDateTime xmlns="e5d022ff-4ce9-4922-b5a4-f245e35e2aac" xsi:nil="true"/>
    <ScenarioTagsTaxHTField0 xmlns="e5d022ff-4ce9-4922-b5a4-f245e35e2aac">
      <Terms xmlns="http://schemas.microsoft.com/office/infopath/2007/PartnerControls"/>
    </ScenarioTagsTaxHTField0>
    <OriginalRelease xmlns="e5d022ff-4ce9-4922-b5a4-f245e35e2aac">15</OriginalRelease>
    <TPLaunchHelpLinkType xmlns="e5d022ff-4ce9-4922-b5a4-f245e35e2aac">Template</TPLaunchHelpLinkType>
    <LocalizationTagsTaxHTField0 xmlns="e5d022ff-4ce9-4922-b5a4-f245e35e2aac">
      <Terms xmlns="http://schemas.microsoft.com/office/infopath/2007/PartnerControls"/>
    </LocalizationTagsTaxHTField0>
  </documentManagement>
</p:properties>
</file>

<file path=customXml/item3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A954D314-8759-4FFF-883E-360994C8A775}"/>
</file>

<file path=customXml/itemProps2.xml><?xml version="1.0" encoding="utf-8"?>
<ds:datastoreItem xmlns:ds="http://schemas.openxmlformats.org/officeDocument/2006/customXml" ds:itemID="{255785D4-ED40-4725-BB58-C6664DAC676E}"/>
</file>

<file path=customXml/itemProps3.xml><?xml version="1.0" encoding="utf-8"?>
<ds:datastoreItem xmlns:ds="http://schemas.openxmlformats.org/officeDocument/2006/customXml" ds:itemID="{77598D4A-D0F0-4F55-AA5A-3887E8BF1D1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Orçamento de Despesas</vt:lpstr>
      <vt:lpstr>'Orçamento de Despesas'!Imprimir_Títulos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cp:lastModifiedBy>Jan Dolecek</cp:lastModifiedBy>
  <dcterms:created xsi:type="dcterms:W3CDTF">2012-08-27T22:22:27Z</dcterms:created>
  <dcterms:modified xsi:type="dcterms:W3CDTF">2013-08-06T07:47:39Z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ternalTags">
    <vt:lpwstr/>
  </property>
  <property fmtid="{D5CDD505-2E9C-101B-9397-08002B2CF9AE}" pid="3" name="ContentTypeId">
    <vt:lpwstr>0x01010062057737089D604C8995D725789FFFFD0400C05BDBFCDB0BE84BA6AEC1D1A4F5E4CE</vt:lpwstr>
  </property>
  <property fmtid="{D5CDD505-2E9C-101B-9397-08002B2CF9AE}" pid="4" name="FeatureTags">
    <vt:lpwstr/>
  </property>
  <property fmtid="{D5CDD505-2E9C-101B-9397-08002B2CF9AE}" pid="5" name="LocalizationTags">
    <vt:lpwstr/>
  </property>
  <property fmtid="{D5CDD505-2E9C-101B-9397-08002B2CF9AE}" pid="6" name="ScenarioTags">
    <vt:lpwstr/>
  </property>
  <property fmtid="{D5CDD505-2E9C-101B-9397-08002B2CF9AE}" pid="7" name="CampaignTags">
    <vt:lpwstr/>
  </property>
  <property fmtid="{D5CDD505-2E9C-101B-9397-08002B2CF9AE}" pid="8" name="HiddenCategoryTags">
    <vt:lpwstr/>
  </property>
  <property fmtid="{D5CDD505-2E9C-101B-9397-08002B2CF9AE}" pid="9" name="CategoryTags">
    <vt:lpwstr/>
  </property>
  <property fmtid="{D5CDD505-2E9C-101B-9397-08002B2CF9AE}" pid="10" name="CategoryTagsTaxHTField0">
    <vt:lpwstr/>
  </property>
  <property fmtid="{D5CDD505-2E9C-101B-9397-08002B2CF9AE}" pid="11" name="HiddenCategoryTagsTaxHTField0">
    <vt:lpwstr/>
  </property>
</Properties>
</file>