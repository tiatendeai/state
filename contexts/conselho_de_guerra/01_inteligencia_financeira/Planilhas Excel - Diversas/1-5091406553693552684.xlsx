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ate1904="1" filterPrivacy="1" defaultThemeVersion="124226"/>
  <bookViews>
    <workbookView xWindow="240" yWindow="885" windowWidth="14805" windowHeight="7230" tabRatio="630" activeTab="1"/>
  </bookViews>
  <sheets>
    <sheet name="CADASTRO" sheetId="16" r:id="rId1"/>
    <sheet name="JANEIRO" sheetId="13" r:id="rId2"/>
    <sheet name="FEVEREIRO" sheetId="14" r:id="rId3"/>
    <sheet name="MARÇO" sheetId="15" r:id="rId4"/>
    <sheet name="ABRIL" sheetId="4" r:id="rId5"/>
    <sheet name="MAIO" sheetId="5" r:id="rId6"/>
    <sheet name="JUNHO" sheetId="6" r:id="rId7"/>
    <sheet name="JULHO" sheetId="7" r:id="rId8"/>
    <sheet name="AGOSTO" sheetId="8" r:id="rId9"/>
    <sheet name="SETEMBRO" sheetId="9" r:id="rId10"/>
    <sheet name="OUTUBRO" sheetId="10" r:id="rId11"/>
    <sheet name="NOVEMBRO" sheetId="11" r:id="rId12"/>
    <sheet name="DEZEMBRO" sheetId="12" r:id="rId13"/>
    <sheet name="Plan1" sheetId="17" state="hidden" r:id="rId14"/>
  </sheets>
  <calcPr calcId="152511"/>
</workbook>
</file>

<file path=xl/calcChain.xml><?xml version="1.0" encoding="utf-8"?>
<calcChain xmlns="http://schemas.openxmlformats.org/spreadsheetml/2006/main">
  <c r="R4" i="13" l="1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" i="13"/>
  <c r="Q4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" i="13"/>
  <c r="N5" i="13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" i="13"/>
  <c r="J4" i="13"/>
  <c r="K6" i="8" l="1"/>
  <c r="K7" i="8" s="1"/>
  <c r="K8" i="8" s="1"/>
  <c r="K4" i="14"/>
  <c r="K5" i="14"/>
  <c r="K6" i="14" s="1"/>
  <c r="K7" i="14" s="1"/>
  <c r="K8" i="14" s="1"/>
  <c r="K9" i="14" s="1"/>
  <c r="K10" i="14" s="1"/>
  <c r="K11" i="14" s="1"/>
  <c r="K12" i="14" s="1"/>
  <c r="K13" i="14" s="1"/>
  <c r="K14" i="14" s="1"/>
  <c r="K15" i="14" s="1"/>
  <c r="K16" i="14" s="1"/>
  <c r="K17" i="14" s="1"/>
  <c r="K18" i="14" s="1"/>
  <c r="K19" i="14" s="1"/>
  <c r="K20" i="14" s="1"/>
  <c r="K21" i="14" s="1"/>
  <c r="K22" i="14" s="1"/>
  <c r="K23" i="14" s="1"/>
  <c r="K24" i="14" s="1"/>
  <c r="K25" i="14" s="1"/>
  <c r="K26" i="14" s="1"/>
  <c r="K27" i="14" s="1"/>
  <c r="K28" i="14" s="1"/>
  <c r="K29" i="14" s="1"/>
  <c r="K30" i="14" s="1"/>
  <c r="K3" i="14"/>
  <c r="K2" i="14"/>
  <c r="C3" i="13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M3" i="13"/>
  <c r="M4" i="13" s="1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I32" i="12"/>
  <c r="I31" i="12"/>
  <c r="I25" i="12"/>
  <c r="I24" i="12"/>
  <c r="I18" i="12"/>
  <c r="I17" i="12"/>
  <c r="I11" i="12"/>
  <c r="I10" i="12"/>
  <c r="I4" i="12"/>
  <c r="I3" i="12"/>
  <c r="I27" i="11"/>
  <c r="I26" i="11"/>
  <c r="I20" i="11"/>
  <c r="I19" i="11"/>
  <c r="I13" i="11"/>
  <c r="I12" i="11"/>
  <c r="I6" i="11"/>
  <c r="I5" i="11"/>
  <c r="I30" i="10"/>
  <c r="I29" i="10"/>
  <c r="I23" i="10"/>
  <c r="I22" i="10"/>
  <c r="I16" i="10"/>
  <c r="I15" i="10"/>
  <c r="I9" i="10"/>
  <c r="I8" i="10"/>
  <c r="I2" i="10"/>
  <c r="I31" i="9"/>
  <c r="I25" i="9"/>
  <c r="I24" i="9"/>
  <c r="I18" i="9"/>
  <c r="I17" i="9"/>
  <c r="I11" i="9"/>
  <c r="I10" i="9"/>
  <c r="I4" i="9"/>
  <c r="I3" i="9"/>
  <c r="I28" i="8"/>
  <c r="I27" i="8"/>
  <c r="I21" i="8"/>
  <c r="I20" i="8"/>
  <c r="I14" i="8"/>
  <c r="I13" i="8"/>
  <c r="I7" i="8"/>
  <c r="I6" i="8"/>
  <c r="I31" i="7"/>
  <c r="I30" i="7"/>
  <c r="I24" i="7"/>
  <c r="I23" i="7"/>
  <c r="I17" i="7"/>
  <c r="I16" i="7"/>
  <c r="I10" i="7"/>
  <c r="I9" i="7"/>
  <c r="I3" i="7"/>
  <c r="I2" i="7"/>
  <c r="I29" i="5"/>
  <c r="I22" i="5"/>
  <c r="I21" i="5"/>
  <c r="I15" i="5"/>
  <c r="I14" i="5"/>
  <c r="I8" i="5"/>
  <c r="I7" i="5"/>
  <c r="I31" i="4"/>
  <c r="I30" i="4"/>
  <c r="I24" i="4"/>
  <c r="I23" i="4"/>
  <c r="I17" i="4"/>
  <c r="I16" i="4"/>
  <c r="I10" i="4"/>
  <c r="I9" i="4"/>
  <c r="I3" i="4"/>
  <c r="I2" i="4"/>
  <c r="I27" i="15"/>
  <c r="I26" i="15"/>
  <c r="I20" i="15"/>
  <c r="I19" i="15"/>
  <c r="I13" i="15"/>
  <c r="I12" i="15"/>
  <c r="I6" i="15"/>
  <c r="I5" i="15"/>
  <c r="K9" i="8" l="1"/>
  <c r="I9" i="8" s="1"/>
  <c r="I8" i="8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Q1" i="4" l="1"/>
  <c r="Q1" i="12" l="1"/>
  <c r="O1" i="12"/>
  <c r="P1" i="12" s="1"/>
  <c r="Q1" i="11"/>
  <c r="O1" i="11"/>
  <c r="P1" i="11" s="1"/>
  <c r="Q1" i="10"/>
  <c r="O1" i="10"/>
  <c r="P1" i="10" s="1"/>
  <c r="Q1" i="9"/>
  <c r="O1" i="9"/>
  <c r="P1" i="9" s="1"/>
  <c r="Q1" i="8"/>
  <c r="O1" i="8"/>
  <c r="P1" i="8" s="1"/>
  <c r="Q1" i="7"/>
  <c r="O1" i="7"/>
  <c r="P1" i="7" s="1"/>
  <c r="Q1" i="6"/>
  <c r="O1" i="6"/>
  <c r="P1" i="6" s="1"/>
  <c r="R1" i="5"/>
  <c r="P1" i="5"/>
  <c r="Q1" i="15"/>
  <c r="O1" i="15"/>
  <c r="P1" i="15" s="1"/>
  <c r="Q1" i="14"/>
  <c r="O1" i="14"/>
  <c r="W2" i="13"/>
  <c r="U2" i="13"/>
  <c r="P1" i="14" l="1"/>
  <c r="V2" i="13"/>
  <c r="Q1" i="5"/>
  <c r="O1" i="4"/>
  <c r="P1" i="4" l="1"/>
  <c r="K2" i="15" l="1"/>
  <c r="B5" i="16"/>
  <c r="B7" i="16" s="1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C3" i="15"/>
  <c r="B3" i="15" s="1"/>
  <c r="H2" i="15"/>
  <c r="B2" i="15"/>
  <c r="B3" i="13"/>
  <c r="K3" i="13" s="1"/>
  <c r="H2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K3" i="15" l="1"/>
  <c r="I2" i="15"/>
  <c r="B4" i="13"/>
  <c r="J2" i="15"/>
  <c r="B9" i="16"/>
  <c r="K2" i="5" s="1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2" i="4"/>
  <c r="K3" i="4"/>
  <c r="K4" i="4" s="1"/>
  <c r="L3" i="13"/>
  <c r="C4" i="15"/>
  <c r="B5" i="13"/>
  <c r="H3" i="7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" i="4"/>
  <c r="H4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5" i="4"/>
  <c r="H6" i="4"/>
  <c r="H2" i="4"/>
  <c r="K4" i="13" l="1"/>
  <c r="L4" i="13" s="1"/>
  <c r="K5" i="4"/>
  <c r="I4" i="4"/>
  <c r="K4" i="15"/>
  <c r="I3" i="15"/>
  <c r="J3" i="15" s="1"/>
  <c r="K5" i="13"/>
  <c r="L5" i="13" s="1"/>
  <c r="B11" i="16"/>
  <c r="B4" i="15"/>
  <c r="C5" i="15"/>
  <c r="L2" i="15"/>
  <c r="O3" i="13"/>
  <c r="B6" i="13"/>
  <c r="O4" i="13" l="1"/>
  <c r="O5" i="13" s="1"/>
  <c r="L3" i="15"/>
  <c r="K6" i="13"/>
  <c r="L6" i="13" s="1"/>
  <c r="K5" i="15"/>
  <c r="K6" i="15" s="1"/>
  <c r="K7" i="15" s="1"/>
  <c r="I4" i="15"/>
  <c r="J4" i="15" s="1"/>
  <c r="K6" i="4"/>
  <c r="I5" i="4"/>
  <c r="B13" i="16"/>
  <c r="K2" i="6"/>
  <c r="B5" i="15"/>
  <c r="J5" i="15" s="1"/>
  <c r="C6" i="15"/>
  <c r="B7" i="13"/>
  <c r="O6" i="13" l="1"/>
  <c r="I6" i="4"/>
  <c r="K7" i="4"/>
  <c r="K8" i="15"/>
  <c r="I7" i="15"/>
  <c r="K7" i="13"/>
  <c r="L7" i="13" s="1"/>
  <c r="L4" i="15"/>
  <c r="L5" i="15" s="1"/>
  <c r="K3" i="6"/>
  <c r="B15" i="16"/>
  <c r="K2" i="7"/>
  <c r="B6" i="15"/>
  <c r="J6" i="15" s="1"/>
  <c r="C7" i="15"/>
  <c r="B8" i="13"/>
  <c r="O7" i="13" l="1"/>
  <c r="L6" i="15"/>
  <c r="K8" i="13"/>
  <c r="L8" i="13" s="1"/>
  <c r="O8" i="13" s="1"/>
  <c r="K9" i="15"/>
  <c r="I8" i="15"/>
  <c r="I7" i="4"/>
  <c r="K8" i="4"/>
  <c r="B17" i="16"/>
  <c r="K2" i="8"/>
  <c r="I2" i="8" s="1"/>
  <c r="K3" i="7"/>
  <c r="K4" i="7" s="1"/>
  <c r="I4" i="7" s="1"/>
  <c r="K4" i="6"/>
  <c r="B7" i="15"/>
  <c r="J7" i="15" s="1"/>
  <c r="L7" i="15" s="1"/>
  <c r="C8" i="15"/>
  <c r="B9" i="13"/>
  <c r="K9" i="13" l="1"/>
  <c r="L9" i="13" s="1"/>
  <c r="O9" i="13" s="1"/>
  <c r="K10" i="15"/>
  <c r="I9" i="15"/>
  <c r="I8" i="4"/>
  <c r="K9" i="4"/>
  <c r="K10" i="4" s="1"/>
  <c r="K11" i="4" s="1"/>
  <c r="K5" i="7"/>
  <c r="I5" i="7" s="1"/>
  <c r="K5" i="6"/>
  <c r="K6" i="6" s="1"/>
  <c r="K6" i="7"/>
  <c r="I6" i="7" s="1"/>
  <c r="K3" i="8"/>
  <c r="I3" i="8" s="1"/>
  <c r="B19" i="16"/>
  <c r="K2" i="9"/>
  <c r="I2" i="9" s="1"/>
  <c r="B8" i="15"/>
  <c r="J8" i="15" s="1"/>
  <c r="L8" i="15" s="1"/>
  <c r="C9" i="15"/>
  <c r="B10" i="13"/>
  <c r="K10" i="13" l="1"/>
  <c r="L10" i="13" s="1"/>
  <c r="O10" i="13" s="1"/>
  <c r="K12" i="4"/>
  <c r="I11" i="4"/>
  <c r="K11" i="15"/>
  <c r="I10" i="15"/>
  <c r="K7" i="6"/>
  <c r="K8" i="6" s="1"/>
  <c r="K3" i="9"/>
  <c r="K4" i="8"/>
  <c r="I4" i="8" s="1"/>
  <c r="B21" i="16"/>
  <c r="K2" i="10"/>
  <c r="K3" i="10" s="1"/>
  <c r="I3" i="10" s="1"/>
  <c r="K7" i="7"/>
  <c r="I7" i="7" s="1"/>
  <c r="B9" i="15"/>
  <c r="J9" i="15" s="1"/>
  <c r="L9" i="15" s="1"/>
  <c r="C10" i="15"/>
  <c r="B11" i="13"/>
  <c r="K11" i="13" l="1"/>
  <c r="L11" i="13" s="1"/>
  <c r="O11" i="13" s="1"/>
  <c r="K12" i="15"/>
  <c r="K13" i="15" s="1"/>
  <c r="K14" i="15" s="1"/>
  <c r="I11" i="15"/>
  <c r="I12" i="4"/>
  <c r="K13" i="4"/>
  <c r="K4" i="10"/>
  <c r="K9" i="6"/>
  <c r="K8" i="7"/>
  <c r="I8" i="7" s="1"/>
  <c r="K4" i="9"/>
  <c r="K5" i="9" s="1"/>
  <c r="I5" i="9" s="1"/>
  <c r="B23" i="16"/>
  <c r="K2" i="12" s="1"/>
  <c r="I2" i="12" s="1"/>
  <c r="K2" i="11"/>
  <c r="I2" i="11" s="1"/>
  <c r="K5" i="8"/>
  <c r="I5" i="8" s="1"/>
  <c r="B10" i="15"/>
  <c r="J10" i="15" s="1"/>
  <c r="L10" i="15" s="1"/>
  <c r="C11" i="15"/>
  <c r="B12" i="13"/>
  <c r="K12" i="13" l="1"/>
  <c r="L12" i="13" s="1"/>
  <c r="O12" i="13" s="1"/>
  <c r="K5" i="10"/>
  <c r="I5" i="10" s="1"/>
  <c r="I4" i="10"/>
  <c r="I13" i="4"/>
  <c r="K14" i="4"/>
  <c r="K15" i="15"/>
  <c r="I14" i="15"/>
  <c r="K6" i="9"/>
  <c r="K3" i="11"/>
  <c r="I3" i="11" s="1"/>
  <c r="K3" i="12"/>
  <c r="K6" i="10"/>
  <c r="I6" i="10" s="1"/>
  <c r="K9" i="7"/>
  <c r="K10" i="6"/>
  <c r="B11" i="15"/>
  <c r="J11" i="15" s="1"/>
  <c r="C12" i="15"/>
  <c r="L11" i="15"/>
  <c r="B13" i="13"/>
  <c r="K13" i="13" l="1"/>
  <c r="L13" i="13" s="1"/>
  <c r="O13" i="13" s="1"/>
  <c r="K7" i="9"/>
  <c r="I7" i="9" s="1"/>
  <c r="I6" i="9"/>
  <c r="I14" i="4"/>
  <c r="K15" i="4"/>
  <c r="K16" i="15"/>
  <c r="I15" i="15"/>
  <c r="K11" i="6"/>
  <c r="K10" i="7"/>
  <c r="K11" i="7" s="1"/>
  <c r="I11" i="7" s="1"/>
  <c r="K7" i="10"/>
  <c r="I7" i="10" s="1"/>
  <c r="K8" i="9"/>
  <c r="I8" i="9" s="1"/>
  <c r="K4" i="11"/>
  <c r="I4" i="11" s="1"/>
  <c r="K4" i="12"/>
  <c r="K5" i="12" s="1"/>
  <c r="I5" i="12" s="1"/>
  <c r="B12" i="15"/>
  <c r="J12" i="15" s="1"/>
  <c r="L12" i="15" s="1"/>
  <c r="C13" i="15"/>
  <c r="B14" i="13"/>
  <c r="K14" i="13" l="1"/>
  <c r="L14" i="13" s="1"/>
  <c r="O14" i="13" s="1"/>
  <c r="I15" i="4"/>
  <c r="K16" i="4"/>
  <c r="K17" i="4" s="1"/>
  <c r="K18" i="4" s="1"/>
  <c r="K17" i="15"/>
  <c r="I16" i="15"/>
  <c r="K6" i="12"/>
  <c r="I6" i="12" s="1"/>
  <c r="K12" i="7"/>
  <c r="K9" i="9"/>
  <c r="I9" i="9" s="1"/>
  <c r="K8" i="10"/>
  <c r="K12" i="6"/>
  <c r="K13" i="6" s="1"/>
  <c r="K10" i="8"/>
  <c r="I10" i="8" s="1"/>
  <c r="K7" i="12"/>
  <c r="I7" i="12" s="1"/>
  <c r="K5" i="11"/>
  <c r="B13" i="15"/>
  <c r="J13" i="15" s="1"/>
  <c r="L13" i="15" s="1"/>
  <c r="C14" i="15"/>
  <c r="B15" i="13"/>
  <c r="K15" i="13" l="1"/>
  <c r="L15" i="13" s="1"/>
  <c r="O15" i="13" s="1"/>
  <c r="K13" i="7"/>
  <c r="I13" i="7" s="1"/>
  <c r="I12" i="7"/>
  <c r="K19" i="4"/>
  <c r="I18" i="4"/>
  <c r="K18" i="15"/>
  <c r="I17" i="15"/>
  <c r="K14" i="6"/>
  <c r="K8" i="12"/>
  <c r="I8" i="12" s="1"/>
  <c r="K11" i="8"/>
  <c r="I11" i="8" s="1"/>
  <c r="K6" i="11"/>
  <c r="K7" i="11" s="1"/>
  <c r="I7" i="11" s="1"/>
  <c r="K15" i="6"/>
  <c r="K14" i="7"/>
  <c r="I14" i="7" s="1"/>
  <c r="K9" i="10"/>
  <c r="K10" i="10" s="1"/>
  <c r="I10" i="10" s="1"/>
  <c r="K10" i="9"/>
  <c r="B14" i="15"/>
  <c r="J14" i="15" s="1"/>
  <c r="L14" i="15" s="1"/>
  <c r="C15" i="15"/>
  <c r="B16" i="13"/>
  <c r="K16" i="13" l="1"/>
  <c r="L16" i="13" s="1"/>
  <c r="O16" i="13" s="1"/>
  <c r="K19" i="15"/>
  <c r="K20" i="15" s="1"/>
  <c r="K21" i="15" s="1"/>
  <c r="I18" i="15"/>
  <c r="I19" i="4"/>
  <c r="K20" i="4"/>
  <c r="K11" i="10"/>
  <c r="K8" i="11"/>
  <c r="K11" i="9"/>
  <c r="K12" i="9" s="1"/>
  <c r="I12" i="9" s="1"/>
  <c r="K15" i="7"/>
  <c r="I15" i="7" s="1"/>
  <c r="K16" i="6"/>
  <c r="K12" i="8"/>
  <c r="I12" i="8" s="1"/>
  <c r="K9" i="12"/>
  <c r="I9" i="12" s="1"/>
  <c r="B15" i="15"/>
  <c r="J15" i="15" s="1"/>
  <c r="L15" i="15" s="1"/>
  <c r="C16" i="15"/>
  <c r="B17" i="13"/>
  <c r="K17" i="13" l="1"/>
  <c r="L17" i="13" s="1"/>
  <c r="O17" i="13" s="1"/>
  <c r="K12" i="10"/>
  <c r="I12" i="10" s="1"/>
  <c r="I11" i="10"/>
  <c r="K9" i="11"/>
  <c r="I9" i="11" s="1"/>
  <c r="I8" i="11"/>
  <c r="I20" i="4"/>
  <c r="K21" i="4"/>
  <c r="K22" i="15"/>
  <c r="I21" i="15"/>
  <c r="K13" i="9"/>
  <c r="K10" i="12"/>
  <c r="K13" i="8"/>
  <c r="K10" i="11"/>
  <c r="I10" i="11" s="1"/>
  <c r="K17" i="6"/>
  <c r="K16" i="7"/>
  <c r="K13" i="10"/>
  <c r="I13" i="10" s="1"/>
  <c r="B16" i="15"/>
  <c r="J16" i="15" s="1"/>
  <c r="C17" i="15"/>
  <c r="L16" i="15"/>
  <c r="B18" i="13"/>
  <c r="K18" i="13" l="1"/>
  <c r="L18" i="13" s="1"/>
  <c r="O18" i="13" s="1"/>
  <c r="K14" i="9"/>
  <c r="I14" i="9" s="1"/>
  <c r="I13" i="9"/>
  <c r="I21" i="4"/>
  <c r="K22" i="4"/>
  <c r="K23" i="15"/>
  <c r="I22" i="15"/>
  <c r="K15" i="9"/>
  <c r="I15" i="9" s="1"/>
  <c r="K14" i="10"/>
  <c r="I14" i="10" s="1"/>
  <c r="K17" i="7"/>
  <c r="K18" i="7" s="1"/>
  <c r="K18" i="6"/>
  <c r="K11" i="11"/>
  <c r="I11" i="11" s="1"/>
  <c r="K14" i="8"/>
  <c r="K15" i="8" s="1"/>
  <c r="K11" i="12"/>
  <c r="K12" i="12" s="1"/>
  <c r="I12" i="12" s="1"/>
  <c r="B17" i="15"/>
  <c r="J17" i="15" s="1"/>
  <c r="C18" i="15"/>
  <c r="L17" i="15"/>
  <c r="B19" i="13"/>
  <c r="K16" i="8" l="1"/>
  <c r="I16" i="8" s="1"/>
  <c r="I15" i="8"/>
  <c r="K19" i="13"/>
  <c r="L19" i="13" s="1"/>
  <c r="O19" i="13" s="1"/>
  <c r="K19" i="7"/>
  <c r="I18" i="7"/>
  <c r="K23" i="4"/>
  <c r="K24" i="4" s="1"/>
  <c r="K25" i="4" s="1"/>
  <c r="I22" i="4"/>
  <c r="K24" i="15"/>
  <c r="I23" i="15"/>
  <c r="K13" i="12"/>
  <c r="K17" i="8"/>
  <c r="I17" i="8" s="1"/>
  <c r="K12" i="11"/>
  <c r="K19" i="6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15" i="10"/>
  <c r="K16" i="9"/>
  <c r="I16" i="9" s="1"/>
  <c r="B18" i="15"/>
  <c r="J18" i="15" s="1"/>
  <c r="C19" i="15"/>
  <c r="L18" i="15"/>
  <c r="B20" i="13"/>
  <c r="K20" i="13" l="1"/>
  <c r="L20" i="13" s="1"/>
  <c r="O20" i="13" s="1"/>
  <c r="K14" i="12"/>
  <c r="I14" i="12" s="1"/>
  <c r="I13" i="12"/>
  <c r="K20" i="7"/>
  <c r="I19" i="7"/>
  <c r="K25" i="15"/>
  <c r="I24" i="15"/>
  <c r="K26" i="4"/>
  <c r="I25" i="4"/>
  <c r="K17" i="9"/>
  <c r="K16" i="10"/>
  <c r="K17" i="10" s="1"/>
  <c r="I17" i="10" s="1"/>
  <c r="K13" i="11"/>
  <c r="K14" i="11" s="1"/>
  <c r="I14" i="11" s="1"/>
  <c r="K18" i="8"/>
  <c r="I18" i="8" s="1"/>
  <c r="K15" i="12"/>
  <c r="I15" i="12" s="1"/>
  <c r="B19" i="15"/>
  <c r="J19" i="15" s="1"/>
  <c r="C20" i="15"/>
  <c r="L19" i="15"/>
  <c r="B21" i="13"/>
  <c r="K21" i="13" l="1"/>
  <c r="L21" i="13" s="1"/>
  <c r="O21" i="13" s="1"/>
  <c r="K21" i="7"/>
  <c r="I20" i="7"/>
  <c r="I26" i="4"/>
  <c r="K27" i="4"/>
  <c r="K26" i="15"/>
  <c r="K27" i="15" s="1"/>
  <c r="K28" i="15" s="1"/>
  <c r="I25" i="15"/>
  <c r="K15" i="11"/>
  <c r="I15" i="11" s="1"/>
  <c r="K18" i="10"/>
  <c r="K16" i="12"/>
  <c r="I16" i="12" s="1"/>
  <c r="K19" i="8"/>
  <c r="I19" i="8" s="1"/>
  <c r="K16" i="11"/>
  <c r="I16" i="11" s="1"/>
  <c r="K18" i="9"/>
  <c r="K19" i="9" s="1"/>
  <c r="I19" i="9" s="1"/>
  <c r="B20" i="15"/>
  <c r="J20" i="15" s="1"/>
  <c r="C21" i="15"/>
  <c r="L20" i="15"/>
  <c r="B22" i="13"/>
  <c r="K22" i="13" l="1"/>
  <c r="L22" i="13" s="1"/>
  <c r="O22" i="13" s="1"/>
  <c r="K19" i="10"/>
  <c r="I18" i="10"/>
  <c r="K22" i="7"/>
  <c r="I21" i="7"/>
  <c r="I27" i="4"/>
  <c r="K28" i="4"/>
  <c r="K29" i="15"/>
  <c r="I28" i="15"/>
  <c r="K20" i="9"/>
  <c r="I20" i="9" s="1"/>
  <c r="K21" i="9"/>
  <c r="I21" i="9" s="1"/>
  <c r="K17" i="11"/>
  <c r="I17" i="11" s="1"/>
  <c r="K20" i="8"/>
  <c r="K17" i="12"/>
  <c r="B21" i="15"/>
  <c r="J21" i="15" s="1"/>
  <c r="C22" i="15"/>
  <c r="L21" i="15"/>
  <c r="B23" i="13"/>
  <c r="K23" i="13" l="1"/>
  <c r="L23" i="13" s="1"/>
  <c r="O23" i="13" s="1"/>
  <c r="K23" i="7"/>
  <c r="K24" i="7" s="1"/>
  <c r="K25" i="7" s="1"/>
  <c r="I22" i="7"/>
  <c r="K20" i="10"/>
  <c r="I19" i="10"/>
  <c r="I28" i="4"/>
  <c r="K29" i="4"/>
  <c r="K30" i="15"/>
  <c r="I29" i="15"/>
  <c r="K18" i="12"/>
  <c r="K19" i="12" s="1"/>
  <c r="I19" i="12" s="1"/>
  <c r="K21" i="8"/>
  <c r="K22" i="8" s="1"/>
  <c r="K18" i="11"/>
  <c r="I18" i="11" s="1"/>
  <c r="K22" i="9"/>
  <c r="I22" i="9" s="1"/>
  <c r="B22" i="15"/>
  <c r="J22" i="15" s="1"/>
  <c r="C23" i="15"/>
  <c r="L22" i="15"/>
  <c r="B24" i="13"/>
  <c r="K23" i="8" l="1"/>
  <c r="I22" i="8"/>
  <c r="K24" i="13"/>
  <c r="L24" i="13" s="1"/>
  <c r="O24" i="13" s="1"/>
  <c r="K21" i="10"/>
  <c r="I20" i="10"/>
  <c r="K26" i="7"/>
  <c r="I25" i="7"/>
  <c r="I29" i="4"/>
  <c r="K30" i="4"/>
  <c r="K31" i="4" s="1"/>
  <c r="K31" i="15"/>
  <c r="I30" i="15"/>
  <c r="K20" i="12"/>
  <c r="K23" i="9"/>
  <c r="I23" i="9" s="1"/>
  <c r="K19" i="11"/>
  <c r="B23" i="15"/>
  <c r="J23" i="15" s="1"/>
  <c r="C24" i="15"/>
  <c r="L23" i="15"/>
  <c r="B25" i="13"/>
  <c r="K24" i="8" l="1"/>
  <c r="I23" i="8"/>
  <c r="K25" i="13"/>
  <c r="L25" i="13" s="1"/>
  <c r="O25" i="13" s="1"/>
  <c r="K21" i="12"/>
  <c r="I21" i="12" s="1"/>
  <c r="I20" i="12"/>
  <c r="K27" i="7"/>
  <c r="I26" i="7"/>
  <c r="K22" i="10"/>
  <c r="K23" i="10" s="1"/>
  <c r="K24" i="10" s="1"/>
  <c r="I21" i="10"/>
  <c r="K32" i="15"/>
  <c r="I32" i="15" s="1"/>
  <c r="I31" i="15"/>
  <c r="K22" i="12"/>
  <c r="I22" i="12" s="1"/>
  <c r="K20" i="11"/>
  <c r="K21" i="11" s="1"/>
  <c r="I21" i="11" s="1"/>
  <c r="K24" i="9"/>
  <c r="B24" i="15"/>
  <c r="J24" i="15" s="1"/>
  <c r="C25" i="15"/>
  <c r="L24" i="15"/>
  <c r="B26" i="13"/>
  <c r="K25" i="8" l="1"/>
  <c r="I24" i="8"/>
  <c r="K26" i="13"/>
  <c r="L26" i="13" s="1"/>
  <c r="O26" i="13" s="1"/>
  <c r="K25" i="10"/>
  <c r="I24" i="10"/>
  <c r="K28" i="7"/>
  <c r="I27" i="7"/>
  <c r="K22" i="11"/>
  <c r="I22" i="11" s="1"/>
  <c r="K25" i="9"/>
  <c r="K26" i="9" s="1"/>
  <c r="I26" i="9" s="1"/>
  <c r="K23" i="11"/>
  <c r="I23" i="11" s="1"/>
  <c r="K23" i="12"/>
  <c r="I23" i="12" s="1"/>
  <c r="B25" i="15"/>
  <c r="J25" i="15" s="1"/>
  <c r="C26" i="15"/>
  <c r="L25" i="15"/>
  <c r="B27" i="13"/>
  <c r="K26" i="8" l="1"/>
  <c r="I25" i="8"/>
  <c r="K27" i="13"/>
  <c r="L27" i="13" s="1"/>
  <c r="O27" i="13" s="1"/>
  <c r="K29" i="7"/>
  <c r="I28" i="7"/>
  <c r="K26" i="10"/>
  <c r="I25" i="10"/>
  <c r="K27" i="9"/>
  <c r="K24" i="12"/>
  <c r="K24" i="11"/>
  <c r="I24" i="11" s="1"/>
  <c r="B26" i="15"/>
  <c r="J26" i="15" s="1"/>
  <c r="L26" i="15" s="1"/>
  <c r="C27" i="15"/>
  <c r="B28" i="13"/>
  <c r="K27" i="8" l="1"/>
  <c r="K28" i="8" s="1"/>
  <c r="K29" i="8" s="1"/>
  <c r="I26" i="8"/>
  <c r="K28" i="13"/>
  <c r="L28" i="13" s="1"/>
  <c r="O28" i="13" s="1"/>
  <c r="K28" i="9"/>
  <c r="I28" i="9" s="1"/>
  <c r="I27" i="9"/>
  <c r="K27" i="10"/>
  <c r="I26" i="10"/>
  <c r="K30" i="7"/>
  <c r="K31" i="7" s="1"/>
  <c r="K32" i="7" s="1"/>
  <c r="I32" i="7" s="1"/>
  <c r="I29" i="7"/>
  <c r="K29" i="9"/>
  <c r="I29" i="9" s="1"/>
  <c r="K25" i="11"/>
  <c r="I25" i="11" s="1"/>
  <c r="K25" i="12"/>
  <c r="K26" i="12" s="1"/>
  <c r="B27" i="15"/>
  <c r="J27" i="15" s="1"/>
  <c r="C28" i="15"/>
  <c r="L27" i="15"/>
  <c r="B29" i="13"/>
  <c r="K30" i="8" l="1"/>
  <c r="I29" i="8"/>
  <c r="K29" i="13"/>
  <c r="L29" i="13" s="1"/>
  <c r="O29" i="13" s="1"/>
  <c r="K27" i="12"/>
  <c r="I26" i="12"/>
  <c r="K28" i="10"/>
  <c r="I27" i="10"/>
  <c r="K26" i="11"/>
  <c r="K30" i="9"/>
  <c r="I30" i="9" s="1"/>
  <c r="B28" i="15"/>
  <c r="J28" i="15" s="1"/>
  <c r="C29" i="15"/>
  <c r="L28" i="15"/>
  <c r="B30" i="13"/>
  <c r="K31" i="8" l="1"/>
  <c r="I30" i="8"/>
  <c r="K30" i="13"/>
  <c r="L30" i="13" s="1"/>
  <c r="O30" i="13" s="1"/>
  <c r="K29" i="10"/>
  <c r="K30" i="10" s="1"/>
  <c r="K31" i="10" s="1"/>
  <c r="I28" i="10"/>
  <c r="K28" i="12"/>
  <c r="I27" i="12"/>
  <c r="K31" i="9"/>
  <c r="K27" i="11"/>
  <c r="K28" i="11" s="1"/>
  <c r="B29" i="15"/>
  <c r="J29" i="15" s="1"/>
  <c r="C30" i="15"/>
  <c r="L29" i="15"/>
  <c r="B31" i="13"/>
  <c r="K32" i="8" l="1"/>
  <c r="I32" i="8" s="1"/>
  <c r="I31" i="8"/>
  <c r="K31" i="13"/>
  <c r="L31" i="13" s="1"/>
  <c r="O31" i="13" s="1"/>
  <c r="K29" i="11"/>
  <c r="I28" i="11"/>
  <c r="K29" i="12"/>
  <c r="I28" i="12"/>
  <c r="K32" i="10"/>
  <c r="I32" i="10" s="1"/>
  <c r="I31" i="10"/>
  <c r="B30" i="15"/>
  <c r="J30" i="15" s="1"/>
  <c r="C31" i="15"/>
  <c r="L30" i="15"/>
  <c r="B32" i="13"/>
  <c r="K32" i="13" l="1"/>
  <c r="L32" i="13" s="1"/>
  <c r="O32" i="13" s="1"/>
  <c r="K30" i="12"/>
  <c r="I29" i="12"/>
  <c r="K30" i="11"/>
  <c r="I29" i="11"/>
  <c r="B33" i="13"/>
  <c r="C2" i="14"/>
  <c r="B31" i="15"/>
  <c r="J31" i="15" s="1"/>
  <c r="L31" i="15" s="1"/>
  <c r="C32" i="15"/>
  <c r="K33" i="13" l="1"/>
  <c r="L33" i="13" s="1"/>
  <c r="K31" i="11"/>
  <c r="I31" i="11" s="1"/>
  <c r="I30" i="11"/>
  <c r="K31" i="12"/>
  <c r="K32" i="12" s="1"/>
  <c r="I30" i="12"/>
  <c r="B32" i="15"/>
  <c r="J32" i="15" s="1"/>
  <c r="J33" i="15" s="1"/>
  <c r="C2" i="4"/>
  <c r="C3" i="14"/>
  <c r="B2" i="14"/>
  <c r="L32" i="15"/>
  <c r="L34" i="13" l="1"/>
  <c r="O33" i="13"/>
  <c r="I2" i="14"/>
  <c r="J2" i="14" s="1"/>
  <c r="L2" i="14" s="1"/>
  <c r="C3" i="4"/>
  <c r="B2" i="4"/>
  <c r="J2" i="4"/>
  <c r="B3" i="14"/>
  <c r="C4" i="14"/>
  <c r="I3" i="14" l="1"/>
  <c r="J3" i="14" s="1"/>
  <c r="L3" i="14" s="1"/>
  <c r="L2" i="4"/>
  <c r="B3" i="4"/>
  <c r="J3" i="4"/>
  <c r="C4" i="4"/>
  <c r="B4" i="14"/>
  <c r="C5" i="14"/>
  <c r="I4" i="14" l="1"/>
  <c r="J4" i="14" s="1"/>
  <c r="L4" i="14" s="1"/>
  <c r="B4" i="4"/>
  <c r="C5" i="4"/>
  <c r="J4" i="4"/>
  <c r="L3" i="4"/>
  <c r="B5" i="14"/>
  <c r="C6" i="14"/>
  <c r="I5" i="14" l="1"/>
  <c r="J5" i="14" s="1"/>
  <c r="L5" i="14" s="1"/>
  <c r="L4" i="4"/>
  <c r="J5" i="4"/>
  <c r="C6" i="4"/>
  <c r="B6" i="14"/>
  <c r="C7" i="14"/>
  <c r="I6" i="14" l="1"/>
  <c r="J6" i="14" s="1"/>
  <c r="L6" i="14" s="1"/>
  <c r="L5" i="4"/>
  <c r="C7" i="4"/>
  <c r="B6" i="4"/>
  <c r="J6" i="4" s="1"/>
  <c r="L6" i="4" s="1"/>
  <c r="C8" i="14"/>
  <c r="B7" i="14"/>
  <c r="I7" i="14" l="1"/>
  <c r="J7" i="14" s="1"/>
  <c r="L7" i="14" s="1"/>
  <c r="C8" i="4"/>
  <c r="B7" i="4"/>
  <c r="J7" i="4" s="1"/>
  <c r="L7" i="4" s="1"/>
  <c r="C9" i="14"/>
  <c r="B8" i="14"/>
  <c r="I8" i="14" l="1"/>
  <c r="J8" i="14" s="1"/>
  <c r="L8" i="14" s="1"/>
  <c r="C9" i="4"/>
  <c r="B8" i="4"/>
  <c r="J8" i="4" s="1"/>
  <c r="L8" i="4" s="1"/>
  <c r="C10" i="14"/>
  <c r="B9" i="14"/>
  <c r="I9" i="14" l="1"/>
  <c r="J9" i="14" s="1"/>
  <c r="L9" i="14" s="1"/>
  <c r="B9" i="4"/>
  <c r="J9" i="4" s="1"/>
  <c r="L9" i="4" s="1"/>
  <c r="C10" i="4"/>
  <c r="C11" i="14"/>
  <c r="B10" i="14"/>
  <c r="I10" i="14" l="1"/>
  <c r="J10" i="14" s="1"/>
  <c r="L10" i="14" s="1"/>
  <c r="C11" i="4"/>
  <c r="B10" i="4"/>
  <c r="J10" i="4" s="1"/>
  <c r="L10" i="4" s="1"/>
  <c r="B11" i="14"/>
  <c r="C12" i="14"/>
  <c r="I11" i="14" l="1"/>
  <c r="J11" i="14" s="1"/>
  <c r="L11" i="14" s="1"/>
  <c r="B11" i="4"/>
  <c r="J11" i="4" s="1"/>
  <c r="L11" i="4" s="1"/>
  <c r="C12" i="4"/>
  <c r="B12" i="14"/>
  <c r="C13" i="14"/>
  <c r="I12" i="14" l="1"/>
  <c r="J12" i="14" s="1"/>
  <c r="L12" i="14" s="1"/>
  <c r="C13" i="4"/>
  <c r="B12" i="4"/>
  <c r="J12" i="4" s="1"/>
  <c r="L12" i="4" s="1"/>
  <c r="C14" i="14"/>
  <c r="B13" i="14"/>
  <c r="I13" i="14" l="1"/>
  <c r="J13" i="14" s="1"/>
  <c r="L13" i="14" s="1"/>
  <c r="C14" i="4"/>
  <c r="B13" i="4"/>
  <c r="J13" i="4" s="1"/>
  <c r="L13" i="4" s="1"/>
  <c r="B14" i="14"/>
  <c r="C15" i="14"/>
  <c r="I14" i="14" l="1"/>
  <c r="J14" i="14" s="1"/>
  <c r="L14" i="14" s="1"/>
  <c r="C15" i="4"/>
  <c r="B14" i="4"/>
  <c r="J14" i="4" s="1"/>
  <c r="L14" i="4" s="1"/>
  <c r="B15" i="14"/>
  <c r="C16" i="14"/>
  <c r="I15" i="14" l="1"/>
  <c r="J15" i="14" s="1"/>
  <c r="L15" i="14" s="1"/>
  <c r="C16" i="4"/>
  <c r="B15" i="4"/>
  <c r="J15" i="4" s="1"/>
  <c r="L15" i="4" s="1"/>
  <c r="C17" i="14"/>
  <c r="B16" i="14"/>
  <c r="I16" i="14" l="1"/>
  <c r="J16" i="14" s="1"/>
  <c r="L16" i="14" s="1"/>
  <c r="C17" i="4"/>
  <c r="B16" i="4"/>
  <c r="J16" i="4" s="1"/>
  <c r="L16" i="4" s="1"/>
  <c r="B17" i="14"/>
  <c r="C18" i="14"/>
  <c r="I17" i="14" l="1"/>
  <c r="J17" i="14" s="1"/>
  <c r="L17" i="14" s="1"/>
  <c r="C18" i="4"/>
  <c r="B17" i="4"/>
  <c r="J17" i="4" s="1"/>
  <c r="L17" i="4" s="1"/>
  <c r="C19" i="14"/>
  <c r="B18" i="14"/>
  <c r="I18" i="14" l="1"/>
  <c r="J18" i="14" s="1"/>
  <c r="L18" i="14" s="1"/>
  <c r="C19" i="4"/>
  <c r="B18" i="4"/>
  <c r="J18" i="4" s="1"/>
  <c r="L18" i="4" s="1"/>
  <c r="B19" i="14"/>
  <c r="C20" i="14"/>
  <c r="I19" i="14" l="1"/>
  <c r="J19" i="14" s="1"/>
  <c r="L19" i="14" s="1"/>
  <c r="C20" i="4"/>
  <c r="B19" i="4"/>
  <c r="J19" i="4" s="1"/>
  <c r="L19" i="4" s="1"/>
  <c r="B20" i="14"/>
  <c r="C21" i="14"/>
  <c r="I20" i="14" l="1"/>
  <c r="J20" i="14" s="1"/>
  <c r="L20" i="14" s="1"/>
  <c r="B20" i="4"/>
  <c r="J20" i="4" s="1"/>
  <c r="L20" i="4" s="1"/>
  <c r="C21" i="4"/>
  <c r="C22" i="14"/>
  <c r="B21" i="14"/>
  <c r="I21" i="14" l="1"/>
  <c r="J21" i="14" s="1"/>
  <c r="L21" i="14" s="1"/>
  <c r="B21" i="4"/>
  <c r="J21" i="4" s="1"/>
  <c r="L21" i="4" s="1"/>
  <c r="C22" i="4"/>
  <c r="B22" i="14"/>
  <c r="C23" i="14"/>
  <c r="I22" i="14" l="1"/>
  <c r="J22" i="14" s="1"/>
  <c r="L22" i="14" s="1"/>
  <c r="J22" i="4"/>
  <c r="L22" i="4" s="1"/>
  <c r="C23" i="4"/>
  <c r="C24" i="14"/>
  <c r="B23" i="14"/>
  <c r="I23" i="14" l="1"/>
  <c r="J23" i="14" s="1"/>
  <c r="L23" i="14" s="1"/>
  <c r="B23" i="4"/>
  <c r="J23" i="4" s="1"/>
  <c r="L23" i="4" s="1"/>
  <c r="C24" i="4"/>
  <c r="C25" i="14"/>
  <c r="B24" i="14"/>
  <c r="I24" i="14" l="1"/>
  <c r="J24" i="14" s="1"/>
  <c r="L24" i="14" s="1"/>
  <c r="B24" i="4"/>
  <c r="J24" i="4" s="1"/>
  <c r="L24" i="4" s="1"/>
  <c r="C25" i="4"/>
  <c r="B25" i="14"/>
  <c r="C26" i="14"/>
  <c r="I25" i="14" l="1"/>
  <c r="J25" i="14" s="1"/>
  <c r="L25" i="14" s="1"/>
  <c r="C26" i="4"/>
  <c r="B25" i="4"/>
  <c r="J25" i="4" s="1"/>
  <c r="L25" i="4" s="1"/>
  <c r="C27" i="14"/>
  <c r="B26" i="14"/>
  <c r="I26" i="14" l="1"/>
  <c r="J26" i="14" s="1"/>
  <c r="L26" i="14" s="1"/>
  <c r="C27" i="4"/>
  <c r="B26" i="4"/>
  <c r="J26" i="4" s="1"/>
  <c r="L26" i="4" s="1"/>
  <c r="C28" i="14"/>
  <c r="B27" i="14"/>
  <c r="I27" i="14" l="1"/>
  <c r="J27" i="14" s="1"/>
  <c r="L27" i="14" s="1"/>
  <c r="C28" i="4"/>
  <c r="B27" i="4"/>
  <c r="J27" i="4" s="1"/>
  <c r="L27" i="4" s="1"/>
  <c r="C29" i="14"/>
  <c r="B28" i="14"/>
  <c r="I28" i="14" l="1"/>
  <c r="J28" i="14" s="1"/>
  <c r="L28" i="14" s="1"/>
  <c r="B28" i="4"/>
  <c r="J28" i="4" s="1"/>
  <c r="L28" i="4" s="1"/>
  <c r="C29" i="4"/>
  <c r="C30" i="14"/>
  <c r="B29" i="14"/>
  <c r="B30" i="14" l="1"/>
  <c r="I30" i="14" s="1"/>
  <c r="J30" i="14" s="1"/>
  <c r="I29" i="14"/>
  <c r="J29" i="14" s="1"/>
  <c r="L29" i="14" s="1"/>
  <c r="C30" i="4"/>
  <c r="B29" i="4"/>
  <c r="J29" i="4" s="1"/>
  <c r="L29" i="4" s="1"/>
  <c r="L30" i="14" l="1"/>
  <c r="J31" i="14"/>
  <c r="C31" i="4"/>
  <c r="B30" i="4"/>
  <c r="J30" i="4" s="1"/>
  <c r="L30" i="4" s="1"/>
  <c r="C2" i="5" l="1"/>
  <c r="B31" i="4"/>
  <c r="J31" i="4" s="1"/>
  <c r="L31" i="4" l="1"/>
  <c r="J32" i="4"/>
  <c r="B2" i="5"/>
  <c r="C3" i="5"/>
  <c r="I2" i="5"/>
  <c r="J2" i="5" s="1"/>
  <c r="B3" i="5" l="1"/>
  <c r="C4" i="5"/>
  <c r="L2" i="5"/>
  <c r="I3" i="5" l="1"/>
  <c r="J3" i="5" s="1"/>
  <c r="L3" i="5" s="1"/>
  <c r="B4" i="5"/>
  <c r="C5" i="5"/>
  <c r="I4" i="5" l="1"/>
  <c r="J4" i="5" s="1"/>
  <c r="L4" i="5" s="1"/>
  <c r="B5" i="5"/>
  <c r="C6" i="5"/>
  <c r="I5" i="5" l="1"/>
  <c r="J5" i="5" s="1"/>
  <c r="L5" i="5" s="1"/>
  <c r="B6" i="5"/>
  <c r="C7" i="5"/>
  <c r="I6" i="5" l="1"/>
  <c r="J6" i="5" s="1"/>
  <c r="L6" i="5" s="1"/>
  <c r="C8" i="5"/>
  <c r="B7" i="5"/>
  <c r="J7" i="5"/>
  <c r="L7" i="5" l="1"/>
  <c r="B8" i="5"/>
  <c r="J8" i="5" s="1"/>
  <c r="C9" i="5"/>
  <c r="L8" i="5" l="1"/>
  <c r="C10" i="5"/>
  <c r="B9" i="5"/>
  <c r="I9" i="5"/>
  <c r="J9" i="5" l="1"/>
  <c r="L9" i="5" s="1"/>
  <c r="C11" i="5"/>
  <c r="B10" i="5"/>
  <c r="I10" i="5" l="1"/>
  <c r="J10" i="5" s="1"/>
  <c r="L10" i="5" s="1"/>
  <c r="I11" i="5"/>
  <c r="J11" i="5" s="1"/>
  <c r="B11" i="5"/>
  <c r="C12" i="5"/>
  <c r="L11" i="5" l="1"/>
  <c r="I12" i="5"/>
  <c r="J12" i="5" s="1"/>
  <c r="C13" i="5"/>
  <c r="B12" i="5"/>
  <c r="L12" i="5" l="1"/>
  <c r="I13" i="5"/>
  <c r="J13" i="5" s="1"/>
  <c r="B13" i="5"/>
  <c r="C14" i="5"/>
  <c r="L13" i="5" l="1"/>
  <c r="B14" i="5"/>
  <c r="C15" i="5"/>
  <c r="J14" i="5"/>
  <c r="L14" i="5" s="1"/>
  <c r="C16" i="5" l="1"/>
  <c r="B15" i="5"/>
  <c r="J15" i="5" s="1"/>
  <c r="L15" i="5" s="1"/>
  <c r="B16" i="5" l="1"/>
  <c r="I16" i="5"/>
  <c r="J16" i="5" s="1"/>
  <c r="L16" i="5" s="1"/>
  <c r="C17" i="5"/>
  <c r="I17" i="5" l="1"/>
  <c r="J17" i="5" s="1"/>
  <c r="L17" i="5" s="1"/>
  <c r="C18" i="5"/>
  <c r="B17" i="5"/>
  <c r="I18" i="5" l="1"/>
  <c r="J18" i="5" s="1"/>
  <c r="L18" i="5" s="1"/>
  <c r="C19" i="5"/>
  <c r="B18" i="5"/>
  <c r="I19" i="5" l="1"/>
  <c r="J19" i="5" s="1"/>
  <c r="L19" i="5" s="1"/>
  <c r="B19" i="5"/>
  <c r="C20" i="5"/>
  <c r="I20" i="5" l="1"/>
  <c r="B20" i="5"/>
  <c r="C21" i="5"/>
  <c r="J20" i="5" l="1"/>
  <c r="L20" i="5" s="1"/>
  <c r="B21" i="5"/>
  <c r="C22" i="5"/>
  <c r="J21" i="5"/>
  <c r="L21" i="5" s="1"/>
  <c r="C23" i="5" l="1"/>
  <c r="B22" i="5"/>
  <c r="J22" i="5" s="1"/>
  <c r="L22" i="5" s="1"/>
  <c r="I23" i="5" l="1"/>
  <c r="J23" i="5" s="1"/>
  <c r="L23" i="5" s="1"/>
  <c r="C24" i="5"/>
  <c r="B23" i="5"/>
  <c r="B24" i="5" l="1"/>
  <c r="C25" i="5"/>
  <c r="I24" i="5" l="1"/>
  <c r="J24" i="5" s="1"/>
  <c r="L24" i="5" s="1"/>
  <c r="I25" i="5"/>
  <c r="J25" i="5" s="1"/>
  <c r="C26" i="5"/>
  <c r="B25" i="5"/>
  <c r="L25" i="5" l="1"/>
  <c r="I26" i="5"/>
  <c r="J26" i="5" s="1"/>
  <c r="B26" i="5"/>
  <c r="C27" i="5"/>
  <c r="L26" i="5" l="1"/>
  <c r="I27" i="5"/>
  <c r="J27" i="5" s="1"/>
  <c r="C28" i="5"/>
  <c r="L27" i="5" l="1"/>
  <c r="C29" i="5"/>
  <c r="I28" i="5" l="1"/>
  <c r="J28" i="5" s="1"/>
  <c r="L28" i="5" s="1"/>
  <c r="C30" i="5"/>
  <c r="B29" i="5"/>
  <c r="J29" i="5"/>
  <c r="L29" i="5" l="1"/>
  <c r="C31" i="5"/>
  <c r="I30" i="5"/>
  <c r="J30" i="5" s="1"/>
  <c r="L30" i="5" s="1"/>
  <c r="B30" i="5"/>
  <c r="I31" i="5" l="1"/>
  <c r="B31" i="5"/>
  <c r="C32" i="5"/>
  <c r="J31" i="5" l="1"/>
  <c r="L31" i="5" s="1"/>
  <c r="C2" i="6"/>
  <c r="I32" i="5"/>
  <c r="J32" i="5" s="1"/>
  <c r="B32" i="5"/>
  <c r="L32" i="5" l="1"/>
  <c r="J33" i="5"/>
  <c r="B2" i="6"/>
  <c r="C3" i="6"/>
  <c r="I2" i="6" l="1"/>
  <c r="J2" i="6" s="1"/>
  <c r="L2" i="6" s="1"/>
  <c r="C4" i="6"/>
  <c r="B3" i="6"/>
  <c r="I3" i="6" l="1"/>
  <c r="J3" i="6" s="1"/>
  <c r="L3" i="6" s="1"/>
  <c r="C5" i="6"/>
  <c r="B4" i="6"/>
  <c r="I4" i="6" l="1"/>
  <c r="J4" i="6" s="1"/>
  <c r="L4" i="6" s="1"/>
  <c r="C6" i="6"/>
  <c r="B5" i="6"/>
  <c r="I5" i="6" l="1"/>
  <c r="J5" i="6" s="1"/>
  <c r="L5" i="6" s="1"/>
  <c r="C7" i="6"/>
  <c r="B6" i="6"/>
  <c r="I6" i="6" l="1"/>
  <c r="J6" i="6" s="1"/>
  <c r="L6" i="6" s="1"/>
  <c r="C8" i="6"/>
  <c r="B7" i="6"/>
  <c r="I7" i="6" l="1"/>
  <c r="J7" i="6" s="1"/>
  <c r="L7" i="6" s="1"/>
  <c r="C9" i="6"/>
  <c r="B8" i="6"/>
  <c r="I8" i="6" l="1"/>
  <c r="J8" i="6" s="1"/>
  <c r="L8" i="6" s="1"/>
  <c r="C10" i="6"/>
  <c r="B9" i="6"/>
  <c r="I9" i="6" l="1"/>
  <c r="J9" i="6" s="1"/>
  <c r="L9" i="6" s="1"/>
  <c r="B10" i="6"/>
  <c r="C11" i="6"/>
  <c r="I10" i="6" l="1"/>
  <c r="J10" i="6" s="1"/>
  <c r="L10" i="6" s="1"/>
  <c r="B11" i="6"/>
  <c r="C12" i="6"/>
  <c r="I11" i="6" l="1"/>
  <c r="J11" i="6" s="1"/>
  <c r="L11" i="6" s="1"/>
  <c r="B12" i="6"/>
  <c r="C13" i="6"/>
  <c r="I12" i="6" l="1"/>
  <c r="J12" i="6" s="1"/>
  <c r="L12" i="6" s="1"/>
  <c r="C14" i="6"/>
  <c r="B13" i="6"/>
  <c r="I13" i="6" l="1"/>
  <c r="J13" i="6" s="1"/>
  <c r="L13" i="6" s="1"/>
  <c r="B14" i="6"/>
  <c r="C15" i="6"/>
  <c r="I14" i="6" l="1"/>
  <c r="J14" i="6" s="1"/>
  <c r="L14" i="6" s="1"/>
  <c r="B15" i="6"/>
  <c r="C16" i="6"/>
  <c r="I15" i="6" l="1"/>
  <c r="J15" i="6" s="1"/>
  <c r="L15" i="6" s="1"/>
  <c r="B16" i="6"/>
  <c r="C17" i="6"/>
  <c r="I16" i="6" l="1"/>
  <c r="J16" i="6" s="1"/>
  <c r="L16" i="6" s="1"/>
  <c r="B17" i="6"/>
  <c r="C18" i="6"/>
  <c r="I17" i="6" l="1"/>
  <c r="J17" i="6" s="1"/>
  <c r="L17" i="6" s="1"/>
  <c r="C19" i="6"/>
  <c r="B18" i="6"/>
  <c r="I18" i="6" l="1"/>
  <c r="J18" i="6" s="1"/>
  <c r="L18" i="6" s="1"/>
  <c r="B19" i="6"/>
  <c r="C20" i="6"/>
  <c r="I19" i="6" l="1"/>
  <c r="J19" i="6" s="1"/>
  <c r="L19" i="6" s="1"/>
  <c r="B20" i="6"/>
  <c r="C21" i="6"/>
  <c r="I20" i="6" l="1"/>
  <c r="J20" i="6" s="1"/>
  <c r="L20" i="6" s="1"/>
  <c r="C22" i="6"/>
  <c r="B21" i="6"/>
  <c r="I21" i="6" l="1"/>
  <c r="J21" i="6" s="1"/>
  <c r="L21" i="6" s="1"/>
  <c r="C23" i="6"/>
  <c r="B22" i="6"/>
  <c r="I22" i="6" l="1"/>
  <c r="J22" i="6" s="1"/>
  <c r="L22" i="6" s="1"/>
  <c r="B23" i="6"/>
  <c r="C24" i="6"/>
  <c r="I23" i="6" l="1"/>
  <c r="J23" i="6" s="1"/>
  <c r="L23" i="6" s="1"/>
  <c r="B24" i="6"/>
  <c r="C25" i="6"/>
  <c r="I24" i="6" l="1"/>
  <c r="J24" i="6" s="1"/>
  <c r="L24" i="6" s="1"/>
  <c r="B25" i="6"/>
  <c r="C26" i="6"/>
  <c r="I25" i="6" l="1"/>
  <c r="J25" i="6" s="1"/>
  <c r="L25" i="6" s="1"/>
  <c r="B26" i="6"/>
  <c r="C27" i="6"/>
  <c r="I26" i="6" l="1"/>
  <c r="J26" i="6" s="1"/>
  <c r="L26" i="6" s="1"/>
  <c r="C28" i="6"/>
  <c r="B27" i="6"/>
  <c r="I27" i="6" l="1"/>
  <c r="J27" i="6" s="1"/>
  <c r="L27" i="6" s="1"/>
  <c r="C29" i="6"/>
  <c r="B28" i="6"/>
  <c r="I28" i="6" l="1"/>
  <c r="J28" i="6" s="1"/>
  <c r="L28" i="6" s="1"/>
  <c r="C30" i="6"/>
  <c r="B29" i="6"/>
  <c r="I29" i="6" l="1"/>
  <c r="J29" i="6" s="1"/>
  <c r="L29" i="6" s="1"/>
  <c r="B30" i="6"/>
  <c r="C31" i="6"/>
  <c r="I30" i="6" l="1"/>
  <c r="J30" i="6" s="1"/>
  <c r="L30" i="6" s="1"/>
  <c r="B31" i="6"/>
  <c r="C2" i="7"/>
  <c r="I31" i="6" l="1"/>
  <c r="J31" i="6" s="1"/>
  <c r="C3" i="7"/>
  <c r="B2" i="7"/>
  <c r="J2" i="7" s="1"/>
  <c r="L31" i="6" l="1"/>
  <c r="J32" i="6"/>
  <c r="L2" i="7"/>
  <c r="C4" i="7"/>
  <c r="B3" i="7"/>
  <c r="J3" i="7" s="1"/>
  <c r="B4" i="7" l="1"/>
  <c r="J4" i="7" s="1"/>
  <c r="C5" i="7"/>
  <c r="L3" i="7"/>
  <c r="B5" i="7" l="1"/>
  <c r="J5" i="7" s="1"/>
  <c r="C6" i="7"/>
  <c r="L4" i="7"/>
  <c r="L5" i="7" l="1"/>
  <c r="C7" i="7"/>
  <c r="B6" i="7"/>
  <c r="J6" i="7" s="1"/>
  <c r="L6" i="7" s="1"/>
  <c r="C8" i="7" l="1"/>
  <c r="B7" i="7"/>
  <c r="J7" i="7" s="1"/>
  <c r="L7" i="7" s="1"/>
  <c r="C9" i="7" l="1"/>
  <c r="B8" i="7"/>
  <c r="J8" i="7" s="1"/>
  <c r="L8" i="7" s="1"/>
  <c r="B9" i="7" l="1"/>
  <c r="J9" i="7" s="1"/>
  <c r="L9" i="7" s="1"/>
  <c r="C10" i="7"/>
  <c r="B10" i="7" l="1"/>
  <c r="J10" i="7" s="1"/>
  <c r="L10" i="7" s="1"/>
  <c r="C11" i="7"/>
  <c r="B11" i="7" l="1"/>
  <c r="J11" i="7" s="1"/>
  <c r="L11" i="7" s="1"/>
  <c r="C12" i="7"/>
  <c r="C13" i="7" l="1"/>
  <c r="B12" i="7"/>
  <c r="J12" i="7" s="1"/>
  <c r="L12" i="7" s="1"/>
  <c r="B13" i="7" l="1"/>
  <c r="J13" i="7" s="1"/>
  <c r="L13" i="7" s="1"/>
  <c r="C14" i="7"/>
  <c r="B14" i="7" l="1"/>
  <c r="J14" i="7" s="1"/>
  <c r="L14" i="7" s="1"/>
  <c r="C15" i="7"/>
  <c r="B15" i="7" l="1"/>
  <c r="J15" i="7" s="1"/>
  <c r="L15" i="7" s="1"/>
  <c r="C16" i="7"/>
  <c r="B16" i="7" l="1"/>
  <c r="J16" i="7" s="1"/>
  <c r="L16" i="7" s="1"/>
  <c r="C17" i="7"/>
  <c r="C18" i="7" l="1"/>
  <c r="B17" i="7"/>
  <c r="J17" i="7" s="1"/>
  <c r="L17" i="7" s="1"/>
  <c r="B18" i="7" l="1"/>
  <c r="J18" i="7" s="1"/>
  <c r="L18" i="7" s="1"/>
  <c r="C19" i="7"/>
  <c r="B19" i="7" l="1"/>
  <c r="J19" i="7" s="1"/>
  <c r="L19" i="7" s="1"/>
  <c r="C20" i="7"/>
  <c r="C21" i="7" l="1"/>
  <c r="B20" i="7"/>
  <c r="J20" i="7" s="1"/>
  <c r="L20" i="7" s="1"/>
  <c r="B21" i="7" l="1"/>
  <c r="J21" i="7" s="1"/>
  <c r="L21" i="7" s="1"/>
  <c r="C22" i="7"/>
  <c r="C23" i="7" l="1"/>
  <c r="B22" i="7"/>
  <c r="J22" i="7" s="1"/>
  <c r="L22" i="7" s="1"/>
  <c r="C24" i="7" l="1"/>
  <c r="B23" i="7"/>
  <c r="J23" i="7" s="1"/>
  <c r="L23" i="7" s="1"/>
  <c r="C25" i="7" l="1"/>
  <c r="B24" i="7"/>
  <c r="J24" i="7" s="1"/>
  <c r="L24" i="7" s="1"/>
  <c r="C26" i="7" l="1"/>
  <c r="B25" i="7"/>
  <c r="J25" i="7" s="1"/>
  <c r="L25" i="7" s="1"/>
  <c r="B26" i="7" l="1"/>
  <c r="J26" i="7" s="1"/>
  <c r="L26" i="7" s="1"/>
  <c r="C27" i="7"/>
  <c r="B27" i="7" l="1"/>
  <c r="J27" i="7" s="1"/>
  <c r="L27" i="7" s="1"/>
  <c r="C28" i="7"/>
  <c r="B28" i="7" l="1"/>
  <c r="J28" i="7" s="1"/>
  <c r="L28" i="7" s="1"/>
  <c r="C29" i="7"/>
  <c r="C30" i="7" l="1"/>
  <c r="B29" i="7"/>
  <c r="J29" i="7" s="1"/>
  <c r="L29" i="7" s="1"/>
  <c r="B30" i="7" l="1"/>
  <c r="J30" i="7" s="1"/>
  <c r="L30" i="7" s="1"/>
  <c r="C31" i="7"/>
  <c r="C32" i="7" l="1"/>
  <c r="B31" i="7"/>
  <c r="J31" i="7" s="1"/>
  <c r="L31" i="7" s="1"/>
  <c r="B32" i="7" l="1"/>
  <c r="J32" i="7" s="1"/>
  <c r="C2" i="8"/>
  <c r="L32" i="7" l="1"/>
  <c r="J33" i="7"/>
  <c r="C3" i="8"/>
  <c r="B2" i="8"/>
  <c r="J2" i="8" s="1"/>
  <c r="L2" i="8" l="1"/>
  <c r="C4" i="8"/>
  <c r="B3" i="8"/>
  <c r="J3" i="8" s="1"/>
  <c r="L3" i="8" l="1"/>
  <c r="B4" i="8"/>
  <c r="J4" i="8" s="1"/>
  <c r="L4" i="8" s="1"/>
  <c r="C5" i="8"/>
  <c r="C6" i="8" l="1"/>
  <c r="B5" i="8"/>
  <c r="J5" i="8" s="1"/>
  <c r="L5" i="8" s="1"/>
  <c r="B6" i="8" l="1"/>
  <c r="J6" i="8" s="1"/>
  <c r="L6" i="8" s="1"/>
  <c r="C7" i="8"/>
  <c r="C8" i="8" l="1"/>
  <c r="B7" i="8"/>
  <c r="J7" i="8" s="1"/>
  <c r="L7" i="8" s="1"/>
  <c r="C9" i="8" l="1"/>
  <c r="B8" i="8"/>
  <c r="J8" i="8" s="1"/>
  <c r="L8" i="8" s="1"/>
  <c r="B9" i="8" l="1"/>
  <c r="J9" i="8" s="1"/>
  <c r="L9" i="8" s="1"/>
  <c r="C10" i="8"/>
  <c r="C11" i="8" l="1"/>
  <c r="B10" i="8"/>
  <c r="J10" i="8" s="1"/>
  <c r="L10" i="8" s="1"/>
  <c r="B11" i="8" l="1"/>
  <c r="J11" i="8" s="1"/>
  <c r="L11" i="8" s="1"/>
  <c r="C12" i="8"/>
  <c r="C13" i="8" l="1"/>
  <c r="B12" i="8"/>
  <c r="J12" i="8" s="1"/>
  <c r="L12" i="8" s="1"/>
  <c r="B13" i="8" l="1"/>
  <c r="J13" i="8" s="1"/>
  <c r="L13" i="8" s="1"/>
  <c r="C14" i="8"/>
  <c r="B14" i="8" l="1"/>
  <c r="J14" i="8" s="1"/>
  <c r="L14" i="8" s="1"/>
  <c r="C15" i="8"/>
  <c r="B15" i="8" l="1"/>
  <c r="J15" i="8" s="1"/>
  <c r="L15" i="8" s="1"/>
  <c r="C16" i="8"/>
  <c r="C17" i="8" l="1"/>
  <c r="B16" i="8"/>
  <c r="J16" i="8" s="1"/>
  <c r="L16" i="8" s="1"/>
  <c r="C18" i="8" l="1"/>
  <c r="B17" i="8"/>
  <c r="J17" i="8" s="1"/>
  <c r="L17" i="8" s="1"/>
  <c r="C19" i="8" l="1"/>
  <c r="B18" i="8"/>
  <c r="J18" i="8" s="1"/>
  <c r="L18" i="8" s="1"/>
  <c r="C20" i="8" l="1"/>
  <c r="B19" i="8"/>
  <c r="J19" i="8" s="1"/>
  <c r="L19" i="8" s="1"/>
  <c r="C21" i="8" l="1"/>
  <c r="B20" i="8"/>
  <c r="J20" i="8" s="1"/>
  <c r="L20" i="8" s="1"/>
  <c r="C22" i="8" l="1"/>
  <c r="B21" i="8"/>
  <c r="J21" i="8" s="1"/>
  <c r="L21" i="8" s="1"/>
  <c r="C23" i="8" l="1"/>
  <c r="B22" i="8"/>
  <c r="J22" i="8" s="1"/>
  <c r="L22" i="8" s="1"/>
  <c r="C24" i="8" l="1"/>
  <c r="B23" i="8"/>
  <c r="J23" i="8" s="1"/>
  <c r="L23" i="8" s="1"/>
  <c r="B24" i="8" l="1"/>
  <c r="J24" i="8" s="1"/>
  <c r="L24" i="8" s="1"/>
  <c r="C25" i="8"/>
  <c r="B25" i="8" l="1"/>
  <c r="J25" i="8" s="1"/>
  <c r="L25" i="8" s="1"/>
  <c r="C26" i="8"/>
  <c r="C27" i="8" l="1"/>
  <c r="B26" i="8"/>
  <c r="J26" i="8" s="1"/>
  <c r="L26" i="8" s="1"/>
  <c r="B27" i="8" l="1"/>
  <c r="J27" i="8" s="1"/>
  <c r="L27" i="8" s="1"/>
  <c r="C28" i="8"/>
  <c r="C29" i="8" l="1"/>
  <c r="B28" i="8"/>
  <c r="J28" i="8" s="1"/>
  <c r="L28" i="8" s="1"/>
  <c r="B29" i="8" l="1"/>
  <c r="J29" i="8" s="1"/>
  <c r="L29" i="8" s="1"/>
  <c r="C30" i="8"/>
  <c r="C31" i="8" l="1"/>
  <c r="B30" i="8"/>
  <c r="J30" i="8" s="1"/>
  <c r="L30" i="8" s="1"/>
  <c r="C32" i="8" l="1"/>
  <c r="B31" i="8"/>
  <c r="J31" i="8" s="1"/>
  <c r="L31" i="8" s="1"/>
  <c r="B32" i="8" l="1"/>
  <c r="J32" i="8" s="1"/>
  <c r="C2" i="9"/>
  <c r="L32" i="8" l="1"/>
  <c r="J33" i="8"/>
  <c r="C3" i="9"/>
  <c r="B2" i="9"/>
  <c r="J2" i="9" s="1"/>
  <c r="L2" i="9" l="1"/>
  <c r="C4" i="9"/>
  <c r="B3" i="9"/>
  <c r="J3" i="9" s="1"/>
  <c r="L3" i="9" l="1"/>
  <c r="C5" i="9"/>
  <c r="B4" i="9"/>
  <c r="J4" i="9" s="1"/>
  <c r="L4" i="9" s="1"/>
  <c r="C6" i="9" l="1"/>
  <c r="B5" i="9"/>
  <c r="J5" i="9" s="1"/>
  <c r="L5" i="9" s="1"/>
  <c r="C7" i="9" l="1"/>
  <c r="B6" i="9"/>
  <c r="J6" i="9" s="1"/>
  <c r="L6" i="9" s="1"/>
  <c r="C8" i="9" l="1"/>
  <c r="B7" i="9"/>
  <c r="J7" i="9" s="1"/>
  <c r="L7" i="9" s="1"/>
  <c r="C9" i="9" l="1"/>
  <c r="B8" i="9"/>
  <c r="J8" i="9" s="1"/>
  <c r="L8" i="9" s="1"/>
  <c r="C10" i="9" l="1"/>
  <c r="B9" i="9"/>
  <c r="J9" i="9" s="1"/>
  <c r="L9" i="9" s="1"/>
  <c r="C11" i="9" l="1"/>
  <c r="B10" i="9"/>
  <c r="J10" i="9" s="1"/>
  <c r="L10" i="9" s="1"/>
  <c r="C12" i="9" l="1"/>
  <c r="B11" i="9"/>
  <c r="J11" i="9" s="1"/>
  <c r="L11" i="9" s="1"/>
  <c r="C13" i="9" l="1"/>
  <c r="B12" i="9"/>
  <c r="J12" i="9" s="1"/>
  <c r="L12" i="9" s="1"/>
  <c r="C14" i="9" l="1"/>
  <c r="B13" i="9"/>
  <c r="J13" i="9" s="1"/>
  <c r="L13" i="9" s="1"/>
  <c r="B14" i="9" l="1"/>
  <c r="J14" i="9" s="1"/>
  <c r="L14" i="9" s="1"/>
  <c r="C15" i="9"/>
  <c r="B15" i="9" l="1"/>
  <c r="J15" i="9" s="1"/>
  <c r="L15" i="9" s="1"/>
  <c r="C16" i="9"/>
  <c r="C17" i="9" l="1"/>
  <c r="B16" i="9"/>
  <c r="J16" i="9" s="1"/>
  <c r="L16" i="9" s="1"/>
  <c r="B17" i="9" l="1"/>
  <c r="J17" i="9" s="1"/>
  <c r="L17" i="9" s="1"/>
  <c r="C18" i="9"/>
  <c r="B18" i="9" l="1"/>
  <c r="J18" i="9" s="1"/>
  <c r="L18" i="9" s="1"/>
  <c r="C19" i="9"/>
  <c r="C20" i="9" l="1"/>
  <c r="B19" i="9"/>
  <c r="J19" i="9" s="1"/>
  <c r="L19" i="9" s="1"/>
  <c r="B20" i="9" l="1"/>
  <c r="J20" i="9" s="1"/>
  <c r="L20" i="9" s="1"/>
  <c r="C21" i="9"/>
  <c r="C22" i="9" l="1"/>
  <c r="B21" i="9"/>
  <c r="J21" i="9" s="1"/>
  <c r="L21" i="9" s="1"/>
  <c r="C23" i="9" l="1"/>
  <c r="B22" i="9"/>
  <c r="J22" i="9" s="1"/>
  <c r="L22" i="9" s="1"/>
  <c r="B23" i="9" l="1"/>
  <c r="J23" i="9" s="1"/>
  <c r="L23" i="9" s="1"/>
  <c r="C24" i="9"/>
  <c r="B24" i="9" l="1"/>
  <c r="J24" i="9" s="1"/>
  <c r="L24" i="9" s="1"/>
  <c r="C25" i="9"/>
  <c r="B25" i="9" l="1"/>
  <c r="J25" i="9" s="1"/>
  <c r="L25" i="9" s="1"/>
  <c r="C26" i="9"/>
  <c r="C27" i="9" l="1"/>
  <c r="B26" i="9"/>
  <c r="J26" i="9" s="1"/>
  <c r="L26" i="9" s="1"/>
  <c r="C28" i="9" l="1"/>
  <c r="B27" i="9"/>
  <c r="J27" i="9" s="1"/>
  <c r="L27" i="9" s="1"/>
  <c r="C29" i="9" l="1"/>
  <c r="B28" i="9"/>
  <c r="J28" i="9" s="1"/>
  <c r="L28" i="9" s="1"/>
  <c r="C30" i="9" l="1"/>
  <c r="B29" i="9"/>
  <c r="J29" i="9" s="1"/>
  <c r="L29" i="9" s="1"/>
  <c r="C31" i="9" l="1"/>
  <c r="B30" i="9"/>
  <c r="J30" i="9" s="1"/>
  <c r="L30" i="9" s="1"/>
  <c r="B31" i="9" l="1"/>
  <c r="J31" i="9" s="1"/>
  <c r="C2" i="10"/>
  <c r="L31" i="9" l="1"/>
  <c r="J32" i="9"/>
  <c r="C3" i="10"/>
  <c r="B2" i="10"/>
  <c r="J2" i="10" s="1"/>
  <c r="L2" i="10" l="1"/>
  <c r="B3" i="10"/>
  <c r="J3" i="10" s="1"/>
  <c r="C4" i="10"/>
  <c r="L3" i="10" l="1"/>
  <c r="C5" i="10"/>
  <c r="B4" i="10"/>
  <c r="J4" i="10" s="1"/>
  <c r="L4" i="10" l="1"/>
  <c r="B5" i="10"/>
  <c r="J5" i="10" s="1"/>
  <c r="C6" i="10"/>
  <c r="L5" i="10" l="1"/>
  <c r="C7" i="10"/>
  <c r="B6" i="10"/>
  <c r="J6" i="10" s="1"/>
  <c r="L6" i="10" l="1"/>
  <c r="C8" i="10"/>
  <c r="B7" i="10"/>
  <c r="J7" i="10" s="1"/>
  <c r="L7" i="10" s="1"/>
  <c r="B8" i="10" l="1"/>
  <c r="J8" i="10" s="1"/>
  <c r="L8" i="10" s="1"/>
  <c r="C9" i="10"/>
  <c r="C10" i="10" l="1"/>
  <c r="B9" i="10"/>
  <c r="J9" i="10" s="1"/>
  <c r="L9" i="10" s="1"/>
  <c r="B10" i="10" l="1"/>
  <c r="J10" i="10" s="1"/>
  <c r="L10" i="10" s="1"/>
  <c r="C11" i="10"/>
  <c r="B11" i="10" l="1"/>
  <c r="J11" i="10" s="1"/>
  <c r="L11" i="10" s="1"/>
  <c r="C12" i="10"/>
  <c r="C13" i="10" l="1"/>
  <c r="B12" i="10"/>
  <c r="J12" i="10" s="1"/>
  <c r="L12" i="10" s="1"/>
  <c r="C14" i="10" l="1"/>
  <c r="B13" i="10"/>
  <c r="J13" i="10" s="1"/>
  <c r="L13" i="10" s="1"/>
  <c r="B14" i="10" l="1"/>
  <c r="J14" i="10" s="1"/>
  <c r="L14" i="10" s="1"/>
  <c r="C15" i="10"/>
  <c r="C16" i="10" l="1"/>
  <c r="B15" i="10"/>
  <c r="J15" i="10" s="1"/>
  <c r="L15" i="10" s="1"/>
  <c r="C17" i="10" l="1"/>
  <c r="B16" i="10"/>
  <c r="J16" i="10" s="1"/>
  <c r="L16" i="10" s="1"/>
  <c r="C18" i="10" l="1"/>
  <c r="B17" i="10"/>
  <c r="J17" i="10" s="1"/>
  <c r="L17" i="10" s="1"/>
  <c r="C19" i="10" l="1"/>
  <c r="B18" i="10"/>
  <c r="J18" i="10" s="1"/>
  <c r="L18" i="10" s="1"/>
  <c r="C20" i="10" l="1"/>
  <c r="B19" i="10"/>
  <c r="J19" i="10" s="1"/>
  <c r="L19" i="10" s="1"/>
  <c r="C21" i="10" l="1"/>
  <c r="B20" i="10"/>
  <c r="J20" i="10" s="1"/>
  <c r="L20" i="10" s="1"/>
  <c r="C22" i="10" l="1"/>
  <c r="B21" i="10"/>
  <c r="J21" i="10" s="1"/>
  <c r="L21" i="10" s="1"/>
  <c r="B22" i="10" l="1"/>
  <c r="J22" i="10" s="1"/>
  <c r="L22" i="10" s="1"/>
  <c r="C23" i="10"/>
  <c r="C24" i="10" l="1"/>
  <c r="B23" i="10"/>
  <c r="J23" i="10" s="1"/>
  <c r="L23" i="10" s="1"/>
  <c r="C25" i="10" l="1"/>
  <c r="B24" i="10"/>
  <c r="J24" i="10" s="1"/>
  <c r="L24" i="10" s="1"/>
  <c r="B25" i="10" l="1"/>
  <c r="J25" i="10" s="1"/>
  <c r="L25" i="10" s="1"/>
  <c r="C26" i="10"/>
  <c r="C27" i="10" l="1"/>
  <c r="B26" i="10"/>
  <c r="J26" i="10" s="1"/>
  <c r="L26" i="10" s="1"/>
  <c r="B27" i="10" l="1"/>
  <c r="J27" i="10" s="1"/>
  <c r="L27" i="10" s="1"/>
  <c r="C28" i="10"/>
  <c r="C29" i="10" l="1"/>
  <c r="B28" i="10"/>
  <c r="J28" i="10" s="1"/>
  <c r="L28" i="10" s="1"/>
  <c r="B29" i="10" l="1"/>
  <c r="J29" i="10" s="1"/>
  <c r="L29" i="10" s="1"/>
  <c r="C30" i="10"/>
  <c r="B30" i="10" l="1"/>
  <c r="J30" i="10" s="1"/>
  <c r="L30" i="10" s="1"/>
  <c r="C31" i="10"/>
  <c r="C32" i="10" l="1"/>
  <c r="B31" i="10"/>
  <c r="J31" i="10" s="1"/>
  <c r="L31" i="10" s="1"/>
  <c r="B32" i="10" l="1"/>
  <c r="J32" i="10" s="1"/>
  <c r="C2" i="11"/>
  <c r="L32" i="10" l="1"/>
  <c r="J33" i="10"/>
  <c r="B2" i="11"/>
  <c r="J2" i="11" s="1"/>
  <c r="C3" i="11"/>
  <c r="B3" i="11" l="1"/>
  <c r="J3" i="11" s="1"/>
  <c r="C4" i="11"/>
  <c r="L2" i="11"/>
  <c r="L3" i="11" l="1"/>
  <c r="B4" i="11"/>
  <c r="J4" i="11" s="1"/>
  <c r="C5" i="11"/>
  <c r="L4" i="11" l="1"/>
  <c r="C6" i="11"/>
  <c r="B5" i="11"/>
  <c r="J5" i="11" s="1"/>
  <c r="L5" i="11" s="1"/>
  <c r="B6" i="11" l="1"/>
  <c r="J6" i="11" s="1"/>
  <c r="L6" i="11" s="1"/>
  <c r="C7" i="11"/>
  <c r="B7" i="11" l="1"/>
  <c r="J7" i="11" s="1"/>
  <c r="L7" i="11" s="1"/>
  <c r="C8" i="11"/>
  <c r="C9" i="11" l="1"/>
  <c r="B8" i="11"/>
  <c r="J8" i="11" s="1"/>
  <c r="L8" i="11" s="1"/>
  <c r="B9" i="11" l="1"/>
  <c r="J9" i="11" s="1"/>
  <c r="L9" i="11" s="1"/>
  <c r="C10" i="11"/>
  <c r="C11" i="11" l="1"/>
  <c r="B10" i="11"/>
  <c r="J10" i="11" s="1"/>
  <c r="L10" i="11" s="1"/>
  <c r="C12" i="11" l="1"/>
  <c r="B11" i="11"/>
  <c r="J11" i="11" s="1"/>
  <c r="L11" i="11" s="1"/>
  <c r="B12" i="11" l="1"/>
  <c r="J12" i="11" s="1"/>
  <c r="L12" i="11" s="1"/>
  <c r="C13" i="11"/>
  <c r="B13" i="11" l="1"/>
  <c r="J13" i="11" s="1"/>
  <c r="L13" i="11" s="1"/>
  <c r="C14" i="11"/>
  <c r="B14" i="11" l="1"/>
  <c r="J14" i="11" s="1"/>
  <c r="L14" i="11" s="1"/>
  <c r="C15" i="11"/>
  <c r="C16" i="11" l="1"/>
  <c r="B15" i="11"/>
  <c r="J15" i="11" s="1"/>
  <c r="L15" i="11" s="1"/>
  <c r="C17" i="11" l="1"/>
  <c r="B16" i="11"/>
  <c r="J16" i="11" s="1"/>
  <c r="L16" i="11" s="1"/>
  <c r="C18" i="11" l="1"/>
  <c r="B17" i="11"/>
  <c r="J17" i="11" s="1"/>
  <c r="L17" i="11" s="1"/>
  <c r="C19" i="11" l="1"/>
  <c r="B18" i="11"/>
  <c r="J18" i="11" s="1"/>
  <c r="L18" i="11" s="1"/>
  <c r="C20" i="11" l="1"/>
  <c r="B19" i="11"/>
  <c r="J19" i="11" s="1"/>
  <c r="L19" i="11" s="1"/>
  <c r="C21" i="11" l="1"/>
  <c r="B20" i="11"/>
  <c r="J20" i="11" s="1"/>
  <c r="L20" i="11" s="1"/>
  <c r="C22" i="11" l="1"/>
  <c r="B21" i="11"/>
  <c r="J21" i="11" s="1"/>
  <c r="L21" i="11" s="1"/>
  <c r="C23" i="11" l="1"/>
  <c r="B22" i="11"/>
  <c r="J22" i="11" s="1"/>
  <c r="L22" i="11" s="1"/>
  <c r="B23" i="11" l="1"/>
  <c r="J23" i="11" s="1"/>
  <c r="L23" i="11" s="1"/>
  <c r="C24" i="11"/>
  <c r="B24" i="11" l="1"/>
  <c r="J24" i="11" s="1"/>
  <c r="L24" i="11" s="1"/>
  <c r="C25" i="11"/>
  <c r="C26" i="11" l="1"/>
  <c r="B25" i="11"/>
  <c r="J25" i="11" s="1"/>
  <c r="L25" i="11" s="1"/>
  <c r="B26" i="11" l="1"/>
  <c r="J26" i="11" s="1"/>
  <c r="L26" i="11" s="1"/>
  <c r="C27" i="11"/>
  <c r="C28" i="11" l="1"/>
  <c r="B27" i="11"/>
  <c r="J27" i="11" s="1"/>
  <c r="L27" i="11" s="1"/>
  <c r="C29" i="11" l="1"/>
  <c r="B28" i="11"/>
  <c r="J28" i="11" s="1"/>
  <c r="L28" i="11" s="1"/>
  <c r="C30" i="11" l="1"/>
  <c r="B29" i="11"/>
  <c r="J29" i="11" s="1"/>
  <c r="L29" i="11" s="1"/>
  <c r="B30" i="11" l="1"/>
  <c r="J30" i="11" s="1"/>
  <c r="L30" i="11" s="1"/>
  <c r="C31" i="11"/>
  <c r="B31" i="11" l="1"/>
  <c r="J31" i="11" s="1"/>
  <c r="C2" i="12"/>
  <c r="L31" i="11" l="1"/>
  <c r="J32" i="11"/>
  <c r="C3" i="12"/>
  <c r="B2" i="12"/>
  <c r="J2" i="12" s="1"/>
  <c r="L2" i="12" l="1"/>
  <c r="B3" i="12"/>
  <c r="J3" i="12" s="1"/>
  <c r="C4" i="12"/>
  <c r="L3" i="12" l="1"/>
  <c r="B4" i="12"/>
  <c r="J4" i="12" s="1"/>
  <c r="C5" i="12"/>
  <c r="L4" i="12" l="1"/>
  <c r="C6" i="12"/>
  <c r="B5" i="12"/>
  <c r="J5" i="12" s="1"/>
  <c r="L5" i="12" s="1"/>
  <c r="B6" i="12" l="1"/>
  <c r="J6" i="12" s="1"/>
  <c r="L6" i="12" s="1"/>
  <c r="C7" i="12"/>
  <c r="B7" i="12" l="1"/>
  <c r="J7" i="12" s="1"/>
  <c r="L7" i="12" s="1"/>
  <c r="C8" i="12"/>
  <c r="C9" i="12" l="1"/>
  <c r="B8" i="12"/>
  <c r="J8" i="12" s="1"/>
  <c r="L8" i="12" s="1"/>
  <c r="B9" i="12" l="1"/>
  <c r="J9" i="12" s="1"/>
  <c r="L9" i="12" s="1"/>
  <c r="C10" i="12"/>
  <c r="C11" i="12" l="1"/>
  <c r="B10" i="12"/>
  <c r="J10" i="12" s="1"/>
  <c r="L10" i="12" s="1"/>
  <c r="C12" i="12" l="1"/>
  <c r="B11" i="12"/>
  <c r="J11" i="12" s="1"/>
  <c r="L11" i="12" s="1"/>
  <c r="B12" i="12" l="1"/>
  <c r="J12" i="12" s="1"/>
  <c r="L12" i="12" s="1"/>
  <c r="C13" i="12"/>
  <c r="B13" i="12" l="1"/>
  <c r="J13" i="12" s="1"/>
  <c r="L13" i="12" s="1"/>
  <c r="C14" i="12"/>
  <c r="B14" i="12" l="1"/>
  <c r="J14" i="12" s="1"/>
  <c r="L14" i="12" s="1"/>
  <c r="C15" i="12"/>
  <c r="C16" i="12" l="1"/>
  <c r="B15" i="12"/>
  <c r="J15" i="12" s="1"/>
  <c r="L15" i="12" s="1"/>
  <c r="C17" i="12" l="1"/>
  <c r="B16" i="12"/>
  <c r="J16" i="12" s="1"/>
  <c r="L16" i="12" s="1"/>
  <c r="C18" i="12" l="1"/>
  <c r="B17" i="12"/>
  <c r="J17" i="12" s="1"/>
  <c r="L17" i="12" s="1"/>
  <c r="C19" i="12" l="1"/>
  <c r="B18" i="12"/>
  <c r="J18" i="12" s="1"/>
  <c r="L18" i="12" s="1"/>
  <c r="C20" i="12" l="1"/>
  <c r="B19" i="12"/>
  <c r="J19" i="12" s="1"/>
  <c r="L19" i="12" s="1"/>
  <c r="C21" i="12" l="1"/>
  <c r="B20" i="12"/>
  <c r="J20" i="12" s="1"/>
  <c r="L20" i="12" s="1"/>
  <c r="C22" i="12" l="1"/>
  <c r="B21" i="12"/>
  <c r="J21" i="12" s="1"/>
  <c r="L21" i="12" s="1"/>
  <c r="B22" i="12" l="1"/>
  <c r="J22" i="12" s="1"/>
  <c r="L22" i="12" s="1"/>
  <c r="C23" i="12"/>
  <c r="C24" i="12" l="1"/>
  <c r="B23" i="12"/>
  <c r="J23" i="12" s="1"/>
  <c r="L23" i="12" s="1"/>
  <c r="C25" i="12" l="1"/>
  <c r="B24" i="12"/>
  <c r="J24" i="12" s="1"/>
  <c r="L24" i="12" s="1"/>
  <c r="B25" i="12" l="1"/>
  <c r="J25" i="12" s="1"/>
  <c r="L25" i="12" s="1"/>
  <c r="C26" i="12"/>
  <c r="C27" i="12" l="1"/>
  <c r="B26" i="12"/>
  <c r="J26" i="12" s="1"/>
  <c r="L26" i="12" s="1"/>
  <c r="B27" i="12" l="1"/>
  <c r="J27" i="12" s="1"/>
  <c r="L27" i="12" s="1"/>
  <c r="C28" i="12"/>
  <c r="C29" i="12" l="1"/>
  <c r="B28" i="12"/>
  <c r="J28" i="12" s="1"/>
  <c r="L28" i="12" s="1"/>
  <c r="C30" i="12" l="1"/>
  <c r="B29" i="12"/>
  <c r="J29" i="12" s="1"/>
  <c r="L29" i="12" s="1"/>
  <c r="C31" i="12" l="1"/>
  <c r="B30" i="12"/>
  <c r="J30" i="12" s="1"/>
  <c r="L30" i="12" s="1"/>
  <c r="C32" i="12" l="1"/>
  <c r="B32" i="12" s="1"/>
  <c r="J32" i="12" s="1"/>
  <c r="B31" i="12"/>
  <c r="J31" i="12" s="1"/>
  <c r="L31" i="12" s="1"/>
  <c r="J33" i="12" l="1"/>
  <c r="L32" i="12"/>
</calcChain>
</file>

<file path=xl/comments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6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7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9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10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comments1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O DIA DA SEMANA MUDA AUTOMATICAMENTE DE ACORDO COM A DATA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ALTERE A PRIMEIRA DATA E AS DEMAIS MUDARAM AUTOMATICAMENTE.</t>
        </r>
      </text>
    </comment>
  </commentList>
</comments>
</file>

<file path=xl/sharedStrings.xml><?xml version="1.0" encoding="utf-8"?>
<sst xmlns="http://schemas.openxmlformats.org/spreadsheetml/2006/main" count="165" uniqueCount="36">
  <si>
    <t>ENTRADA</t>
  </si>
  <si>
    <t>SAÍDA</t>
  </si>
  <si>
    <t>TOTAL DE HORAS NO DIA</t>
  </si>
  <si>
    <t>EXTRA       X   ATRASO</t>
  </si>
  <si>
    <t>ACUMULADO DIÁRIO</t>
  </si>
  <si>
    <t>DIA DA SEMANA</t>
  </si>
  <si>
    <t>DIA DO MÊS</t>
  </si>
  <si>
    <t>INFORME AQUI A QUANTIDADE DE HORAS TRABALHADAS POR DIA EM JANEIRO</t>
  </si>
  <si>
    <t>INFORME AQUI A QUANTIDADE DE HORAS TRABALHADAS POR DIA EM FEVEREIRO</t>
  </si>
  <si>
    <t>INFORME AQUI A QUANTIDADE DE HORAS TRABALHADAS POR DIA EM MARÇO</t>
  </si>
  <si>
    <t>INFORME AQUI A QUANTIDADE DE HORAS TRABALHADAS POR DIA EM ABRIL</t>
  </si>
  <si>
    <t>INFORME AQUI A QUANTIDADE DE HORAS TRABALHADAS POR DIA EM MAIO</t>
  </si>
  <si>
    <t>INFORME AQUI A QUANTIDADE DE HORAS TRABALHADAS POR DIA EM JUNHO</t>
  </si>
  <si>
    <t>INFORME AQUI A QUANTIDADE DE HORAS TRABALHADAS POR DIA EM JULHO</t>
  </si>
  <si>
    <t>INFORME AQUI A QUANTIDADE DE HORAS TRABALHADAS POR DIA EM AGOSTO</t>
  </si>
  <si>
    <t>INFORME AQUI A QUANTIDADE DE HORAS TRABALHADAS POR DIA EM SETEMBRO</t>
  </si>
  <si>
    <t>INFORME AQUI A QUANTIDADE DE HORAS TRABALHADAS POR DIA EM OUTUBRO</t>
  </si>
  <si>
    <t>INFORME AQUI A QUANTIDADE DE HORAS TRABALHADAS POR DIA EM NOVEMBRO</t>
  </si>
  <si>
    <t>INFORME AQUI A QUANTIDADE DE HORAS TRABALHADAS POR DIA EM DEZEMBRO</t>
  </si>
  <si>
    <t>FERIADO</t>
  </si>
  <si>
    <t>DATA ATUAL</t>
  </si>
  <si>
    <t>INFORME O ANO CALENDÁRIO QUE DESEJA</t>
  </si>
  <si>
    <t>SIM</t>
  </si>
  <si>
    <t>NÃO</t>
  </si>
  <si>
    <t>01/01/2017</t>
  </si>
  <si>
    <t xml:space="preserve"> EM CASO DE ANO BISSEXTO CLIQUE NO [+]</t>
  </si>
  <si>
    <t>OBSERVAÇÃO</t>
  </si>
  <si>
    <t>ABONADO</t>
  </si>
  <si>
    <t>ATESTADO</t>
  </si>
  <si>
    <t>HORAS NORMAIS</t>
  </si>
  <si>
    <t>HORA EXTRA</t>
  </si>
  <si>
    <t>HORAS DIÁRIAS</t>
  </si>
  <si>
    <r>
      <t xml:space="preserve">HORA </t>
    </r>
    <r>
      <rPr>
        <b/>
        <sz val="8"/>
        <color theme="1"/>
        <rFont val="Calibri"/>
        <family val="2"/>
        <scheme val="minor"/>
      </rPr>
      <t>NOTURNA</t>
    </r>
  </si>
  <si>
    <t>ADICIONAL NOTURNO (EXTRA)</t>
  </si>
  <si>
    <t>ADICIONAL NOTURNO (NORMAL)</t>
  </si>
  <si>
    <t>TOTAL ADICIONAL 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</si>
</sst>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[$-F400]h:mm:ss\ AM/PM"/>
    <numFmt numFmtId="165" formatCode="[h]:mm:ss;@"/>
    <numFmt numFmtId="166" formatCode="h: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theme="3" tint="-0.499984740745262"/>
      </left>
      <right style="thick">
        <color theme="3" tint="-0.499984740745262"/>
      </right>
      <top style="thick">
        <color theme="3" tint="-0.499984740745262"/>
      </top>
      <bottom style="thick">
        <color theme="3" tint="-0.499984740745262"/>
      </bottom>
      <diagonal/>
    </border>
    <border>
      <left/>
      <right/>
      <top style="thick">
        <color theme="3" tint="-0.499984740745262"/>
      </top>
      <bottom style="thick">
        <color theme="3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1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3" xfId="0" applyFont="1" applyBorder="1"/>
    <xf numFmtId="14" fontId="0" fillId="0" borderId="3" xfId="0" applyNumberFormat="1" applyBorder="1"/>
    <xf numFmtId="164" fontId="0" fillId="0" borderId="3" xfId="0" applyNumberForma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" fillId="0" borderId="4" xfId="0" applyFont="1" applyBorder="1"/>
    <xf numFmtId="14" fontId="0" fillId="0" borderId="4" xfId="0" applyNumberFormat="1" applyBorder="1"/>
    <xf numFmtId="164" fontId="0" fillId="0" borderId="4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4" fontId="0" fillId="0" borderId="5" xfId="0" applyNumberFormat="1" applyBorder="1"/>
    <xf numFmtId="164" fontId="0" fillId="0" borderId="5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/>
    <xf numFmtId="14" fontId="0" fillId="0" borderId="2" xfId="0" applyNumberFormat="1" applyBorder="1"/>
    <xf numFmtId="164" fontId="0" fillId="0" borderId="2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20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14" fontId="4" fillId="4" borderId="11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21" fontId="4" fillId="4" borderId="10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20" fontId="4" fillId="4" borderId="10" xfId="0" applyNumberFormat="1" applyFont="1" applyFill="1" applyBorder="1" applyAlignment="1">
      <alignment horizontal="center" vertical="center"/>
    </xf>
    <xf numFmtId="44" fontId="0" fillId="0" borderId="0" xfId="0" applyNumberFormat="1"/>
    <xf numFmtId="20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116"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  <fill>
        <patternFill>
          <bgColor theme="9"/>
        </patternFill>
      </fill>
    </dxf>
    <dxf>
      <font>
        <b/>
        <i val="0"/>
        <color theme="3" tint="-0.499984740745262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theme="7" tint="-0.499984740745262"/>
      </font>
      <fill>
        <patternFill>
          <bgColor theme="7"/>
        </patternFill>
      </fill>
    </dxf>
    <dxf>
      <font>
        <b/>
        <i/>
        <color theme="9" tint="-0.499984740745262"/>
      </font>
      <fill>
        <patternFill>
          <bgColor theme="9"/>
        </patternFill>
      </fill>
    </dxf>
    <dxf>
      <font>
        <b/>
        <i/>
        <color theme="6" tint="-0.499984740745262"/>
      </font>
      <fill>
        <patternFill>
          <bgColor rgb="FF92D050"/>
        </patternFill>
      </fill>
    </dxf>
    <dxf>
      <font>
        <color theme="8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4" sqref="G4"/>
    </sheetView>
  </sheetViews>
  <sheetFormatPr defaultRowHeight="15" x14ac:dyDescent="0.25"/>
  <cols>
    <col min="1" max="1" width="39" bestFit="1" customWidth="1"/>
    <col min="4" max="4" width="39.42578125" bestFit="1" customWidth="1"/>
    <col min="5" max="6" width="10.7109375" bestFit="1" customWidth="1"/>
    <col min="7" max="7" width="10.28515625" customWidth="1"/>
  </cols>
  <sheetData>
    <row r="1" spans="1:7" ht="30.75" thickBot="1" x14ac:dyDescent="0.3">
      <c r="A1" s="34" t="s">
        <v>7</v>
      </c>
      <c r="B1" s="33">
        <v>0.33333333333333331</v>
      </c>
      <c r="C1" s="32"/>
      <c r="D1" s="41" t="s">
        <v>21</v>
      </c>
      <c r="E1" s="42" t="s">
        <v>24</v>
      </c>
      <c r="F1" s="47"/>
      <c r="G1" s="32" t="s">
        <v>19</v>
      </c>
    </row>
    <row r="2" spans="1:7" ht="15.75" thickBot="1" x14ac:dyDescent="0.3">
      <c r="G2" t="s">
        <v>27</v>
      </c>
    </row>
    <row r="3" spans="1:7" ht="30.75" thickBot="1" x14ac:dyDescent="0.3">
      <c r="A3" s="34" t="s">
        <v>8</v>
      </c>
      <c r="B3" s="33">
        <v>0.33333333333333331</v>
      </c>
      <c r="G3" t="s">
        <v>28</v>
      </c>
    </row>
    <row r="4" spans="1:7" ht="15.75" thickBot="1" x14ac:dyDescent="0.3"/>
    <row r="5" spans="1:7" ht="30.75" thickBot="1" x14ac:dyDescent="0.3">
      <c r="A5" s="34" t="s">
        <v>9</v>
      </c>
      <c r="B5" s="33">
        <f>B3</f>
        <v>0.33333333333333331</v>
      </c>
    </row>
    <row r="6" spans="1:7" ht="15.75" thickBot="1" x14ac:dyDescent="0.3"/>
    <row r="7" spans="1:7" ht="30.75" thickBot="1" x14ac:dyDescent="0.3">
      <c r="A7" s="34" t="s">
        <v>10</v>
      </c>
      <c r="B7" s="33">
        <f>B5</f>
        <v>0.33333333333333331</v>
      </c>
    </row>
    <row r="8" spans="1:7" ht="15.75" thickBot="1" x14ac:dyDescent="0.3"/>
    <row r="9" spans="1:7" ht="30.75" thickBot="1" x14ac:dyDescent="0.3">
      <c r="A9" s="34" t="s">
        <v>11</v>
      </c>
      <c r="B9" s="33">
        <f>B7</f>
        <v>0.33333333333333331</v>
      </c>
    </row>
    <row r="10" spans="1:7" ht="15.75" thickBot="1" x14ac:dyDescent="0.3"/>
    <row r="11" spans="1:7" ht="30.75" thickBot="1" x14ac:dyDescent="0.3">
      <c r="A11" s="34" t="s">
        <v>12</v>
      </c>
      <c r="B11" s="33">
        <f>B9</f>
        <v>0.33333333333333331</v>
      </c>
    </row>
    <row r="12" spans="1:7" ht="15.75" thickBot="1" x14ac:dyDescent="0.3"/>
    <row r="13" spans="1:7" ht="30.75" thickBot="1" x14ac:dyDescent="0.3">
      <c r="A13" s="34" t="s">
        <v>13</v>
      </c>
      <c r="B13" s="33">
        <f>B11</f>
        <v>0.33333333333333331</v>
      </c>
    </row>
    <row r="14" spans="1:7" ht="15.75" thickBot="1" x14ac:dyDescent="0.3"/>
    <row r="15" spans="1:7" ht="30.75" thickBot="1" x14ac:dyDescent="0.3">
      <c r="A15" s="34" t="s">
        <v>14</v>
      </c>
      <c r="B15" s="33">
        <f>B13</f>
        <v>0.33333333333333331</v>
      </c>
    </row>
    <row r="16" spans="1:7" ht="15.75" thickBot="1" x14ac:dyDescent="0.3"/>
    <row r="17" spans="1:2" ht="30.75" thickBot="1" x14ac:dyDescent="0.3">
      <c r="A17" s="34" t="s">
        <v>15</v>
      </c>
      <c r="B17" s="33">
        <f>B15</f>
        <v>0.33333333333333331</v>
      </c>
    </row>
    <row r="18" spans="1:2" ht="15.75" thickBot="1" x14ac:dyDescent="0.3"/>
    <row r="19" spans="1:2" ht="30.75" thickBot="1" x14ac:dyDescent="0.3">
      <c r="A19" s="34" t="s">
        <v>16</v>
      </c>
      <c r="B19" s="33">
        <f>B17</f>
        <v>0.33333333333333331</v>
      </c>
    </row>
    <row r="20" spans="1:2" ht="15.75" thickBot="1" x14ac:dyDescent="0.3"/>
    <row r="21" spans="1:2" ht="30.75" thickBot="1" x14ac:dyDescent="0.3">
      <c r="A21" s="34" t="s">
        <v>17</v>
      </c>
      <c r="B21" s="33">
        <f>B19</f>
        <v>0.33333333333333331</v>
      </c>
    </row>
    <row r="22" spans="1:2" ht="15.75" thickBot="1" x14ac:dyDescent="0.3"/>
    <row r="23" spans="1:2" ht="30.75" thickBot="1" x14ac:dyDescent="0.3">
      <c r="A23" s="34" t="s">
        <v>18</v>
      </c>
      <c r="B23" s="33">
        <f>B21</f>
        <v>0.33333333333333331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4"/>
  <sheetViews>
    <sheetView showGridLines="0" tabSelected="1" workbookViewId="0">
      <pane ySplit="2" topLeftCell="A9" activePane="bottomLeft" state="frozen"/>
      <selection pane="bottomLeft" activeCell="A13" sqref="A13"/>
    </sheetView>
  </sheetViews>
  <sheetFormatPr defaultRowHeight="15" outlineLevelCol="1" x14ac:dyDescent="0.25"/>
  <cols>
    <col min="1" max="1" width="13.28515625" style="3" bestFit="1" customWidth="1"/>
    <col min="2" max="2" width="13.42578125" bestFit="1" customWidth="1"/>
    <col min="3" max="3" width="10.7109375" style="3" bestFit="1" customWidth="1"/>
    <col min="4" max="9" width="9.7109375" style="3" customWidth="1"/>
    <col min="10" max="10" width="9.42578125" style="2" bestFit="1" customWidth="1"/>
    <col min="11" max="11" width="8.140625" style="2" hidden="1" customWidth="1"/>
    <col min="12" max="12" width="9.85546875" style="2" bestFit="1" customWidth="1"/>
    <col min="13" max="14" width="8.140625" style="2" hidden="1" customWidth="1" outlineLevel="1"/>
    <col min="15" max="15" width="13.140625" style="2" bestFit="1" customWidth="1" collapsed="1"/>
    <col min="16" max="17" width="13.140625" style="2" hidden="1" customWidth="1" outlineLevel="1"/>
    <col min="18" max="18" width="13.140625" style="2" customWidth="1" collapsed="1"/>
    <col min="19" max="19" width="8.5703125" style="1" bestFit="1" customWidth="1"/>
    <col min="20" max="20" width="12.140625" style="1" bestFit="1" customWidth="1"/>
    <col min="21" max="21" width="10.7109375" bestFit="1" customWidth="1"/>
    <col min="22" max="22" width="13.42578125" bestFit="1" customWidth="1"/>
  </cols>
  <sheetData>
    <row r="1" spans="1:23" ht="24.95" customHeight="1" thickBot="1" x14ac:dyDescent="0.3">
      <c r="A1" s="59" t="s">
        <v>26</v>
      </c>
      <c r="B1" s="59" t="s">
        <v>5</v>
      </c>
      <c r="C1" s="59" t="s">
        <v>6</v>
      </c>
      <c r="D1" s="61" t="s">
        <v>29</v>
      </c>
      <c r="E1" s="62"/>
      <c r="F1" s="62"/>
      <c r="G1" s="63"/>
      <c r="H1" s="61" t="s">
        <v>30</v>
      </c>
      <c r="I1" s="63"/>
      <c r="J1" s="57" t="s">
        <v>2</v>
      </c>
      <c r="K1" s="64"/>
      <c r="L1" s="57" t="s">
        <v>3</v>
      </c>
      <c r="M1" s="57" t="s">
        <v>31</v>
      </c>
      <c r="N1" s="57" t="s">
        <v>32</v>
      </c>
      <c r="O1" s="57" t="s">
        <v>4</v>
      </c>
      <c r="P1" s="57" t="s">
        <v>34</v>
      </c>
      <c r="Q1" s="57" t="s">
        <v>33</v>
      </c>
      <c r="R1" s="57" t="s">
        <v>35</v>
      </c>
    </row>
    <row r="2" spans="1:23" s="4" customFormat="1" ht="24.95" customHeight="1" thickTop="1" thickBot="1" x14ac:dyDescent="0.3">
      <c r="A2" s="60"/>
      <c r="B2" s="60"/>
      <c r="C2" s="60"/>
      <c r="D2" s="56" t="s">
        <v>0</v>
      </c>
      <c r="E2" s="22" t="s">
        <v>1</v>
      </c>
      <c r="F2" s="22" t="s">
        <v>0</v>
      </c>
      <c r="G2" s="22" t="s">
        <v>1</v>
      </c>
      <c r="H2" s="22" t="s">
        <v>0</v>
      </c>
      <c r="I2" s="22" t="s">
        <v>1</v>
      </c>
      <c r="J2" s="58"/>
      <c r="K2" s="65"/>
      <c r="L2" s="58"/>
      <c r="M2" s="58"/>
      <c r="N2" s="58"/>
      <c r="O2" s="58"/>
      <c r="P2" s="58"/>
      <c r="Q2" s="58"/>
      <c r="R2" s="58"/>
      <c r="S2" s="5"/>
      <c r="T2" s="36" t="s">
        <v>20</v>
      </c>
      <c r="U2" s="35">
        <f ca="1">TODAY()</f>
        <v>41466</v>
      </c>
      <c r="V2" s="38" t="str">
        <f ca="1">TEXT(U2,"DDDD")</f>
        <v>quarta-feira</v>
      </c>
      <c r="W2" s="37">
        <f ca="1">NOW()</f>
        <v>41466.536496990739</v>
      </c>
    </row>
    <row r="3" spans="1:23" x14ac:dyDescent="0.25">
      <c r="A3" s="52"/>
      <c r="B3" s="48" t="str">
        <f>TEXT(C3,"DDDD")</f>
        <v>domingo</v>
      </c>
      <c r="C3" s="44" t="str">
        <f>CADASTRO!$E$1</f>
        <v>01/01/2017</v>
      </c>
      <c r="D3" s="25"/>
      <c r="E3" s="25"/>
      <c r="F3" s="25"/>
      <c r="G3" s="25"/>
      <c r="H3" s="28"/>
      <c r="I3" s="28"/>
      <c r="J3" s="29">
        <f>E3-D3+G3-F3+I3-H3</f>
        <v>0</v>
      </c>
      <c r="K3" s="25">
        <f>IF(B3="SÁBADO",0,IF(B3="DOMINGO",0,IF(A3="FERIADO",0,IF(A3="ABONADO",0,IF(A3="ATESTADO",0,M3)))))</f>
        <v>0</v>
      </c>
      <c r="L3" s="25">
        <f t="shared" ref="L3:L33" si="0">J3-K3</f>
        <v>0</v>
      </c>
      <c r="M3" s="26">
        <f>CADASTRO!B1</f>
        <v>0.33333333333333331</v>
      </c>
      <c r="N3" s="26">
        <v>0.91666666666666663</v>
      </c>
      <c r="O3" s="27">
        <f>L3</f>
        <v>0</v>
      </c>
      <c r="P3" s="27">
        <f>IF(G3&gt;N3,G3-N3,0)</f>
        <v>0</v>
      </c>
      <c r="Q3" s="27">
        <f>IF(I3&gt;N3,I3-N3,0)</f>
        <v>0</v>
      </c>
      <c r="R3" s="27">
        <f>P3+Q3</f>
        <v>0</v>
      </c>
    </row>
    <row r="4" spans="1:23" x14ac:dyDescent="0.25">
      <c r="A4" s="53"/>
      <c r="B4" s="49" t="str">
        <f t="shared" ref="B4:B33" si="1">TEXT(C4,"DDDD")</f>
        <v>segunda-feira</v>
      </c>
      <c r="C4" s="45">
        <f>C3+1</f>
        <v>41275</v>
      </c>
      <c r="D4" s="8">
        <v>0.375</v>
      </c>
      <c r="E4" s="8">
        <v>0.5</v>
      </c>
      <c r="F4" s="8">
        <v>0.54166666666666663</v>
      </c>
      <c r="G4" s="8">
        <v>0.75</v>
      </c>
      <c r="H4" s="29">
        <v>0.75</v>
      </c>
      <c r="I4" s="29">
        <v>0.95833333333333337</v>
      </c>
      <c r="J4" s="29">
        <f>E4-D4+G4-F4+I4-H4</f>
        <v>0.54166666666666674</v>
      </c>
      <c r="K4" s="8">
        <f t="shared" ref="K4:K33" si="2">IF(B4="SÁBADO",0,IF(B4="DOMINGO",0,IF(A4="FERIADO",0,IF(A4="ABONADO",0,IF(A4="ATESTADO",0,M4)))))</f>
        <v>0.33333333333333331</v>
      </c>
      <c r="L4" s="8">
        <f t="shared" si="0"/>
        <v>0.20833333333333343</v>
      </c>
      <c r="M4" s="9">
        <f>M3</f>
        <v>0.33333333333333331</v>
      </c>
      <c r="N4" s="9">
        <f>N3</f>
        <v>0.91666666666666663</v>
      </c>
      <c r="O4" s="10">
        <f>O3+L4</f>
        <v>0.20833333333333343</v>
      </c>
      <c r="P4" s="10">
        <f t="shared" ref="P4:P33" si="3">IF(G4&gt;N4,G4-N4,0)</f>
        <v>0</v>
      </c>
      <c r="Q4" s="10">
        <f>IF(I4&gt;N4,I4-N4,0)</f>
        <v>4.1666666666666741E-2</v>
      </c>
      <c r="R4" s="10">
        <f t="shared" ref="R4:R33" si="4">P4+Q4</f>
        <v>4.1666666666666741E-2</v>
      </c>
    </row>
    <row r="5" spans="1:23" x14ac:dyDescent="0.25">
      <c r="A5" s="53"/>
      <c r="B5" s="49" t="str">
        <f t="shared" si="1"/>
        <v>terça-feira</v>
      </c>
      <c r="C5" s="45">
        <f t="shared" ref="C5:C33" si="5">C4+1</f>
        <v>41276</v>
      </c>
      <c r="D5" s="8">
        <v>0.375</v>
      </c>
      <c r="E5" s="8">
        <v>0.5</v>
      </c>
      <c r="F5" s="8">
        <v>0.54166666666666663</v>
      </c>
      <c r="G5" s="8">
        <v>0.9375</v>
      </c>
      <c r="H5" s="29">
        <v>0</v>
      </c>
      <c r="I5" s="29">
        <v>0</v>
      </c>
      <c r="J5" s="29">
        <f t="shared" ref="J5:J33" si="6">E5-D5+G5-F5+I5-H5</f>
        <v>0.52083333333333337</v>
      </c>
      <c r="K5" s="8">
        <f t="shared" si="2"/>
        <v>0.33333333333333331</v>
      </c>
      <c r="L5" s="8">
        <f t="shared" si="0"/>
        <v>0.18750000000000006</v>
      </c>
      <c r="M5" s="9">
        <f t="shared" ref="M5:N33" si="7">M4</f>
        <v>0.33333333333333331</v>
      </c>
      <c r="N5" s="9">
        <f t="shared" si="7"/>
        <v>0.91666666666666663</v>
      </c>
      <c r="O5" s="10">
        <f t="shared" ref="O5:O33" si="8">O4+L5</f>
        <v>0.39583333333333348</v>
      </c>
      <c r="P5" s="10">
        <f t="shared" si="3"/>
        <v>2.083333333333337E-2</v>
      </c>
      <c r="Q5" s="10">
        <f t="shared" ref="Q5:Q33" si="9">IF(I5&gt;N5,I5-N5,0)</f>
        <v>0</v>
      </c>
      <c r="R5" s="10">
        <f t="shared" si="4"/>
        <v>2.083333333333337E-2</v>
      </c>
    </row>
    <row r="6" spans="1:23" x14ac:dyDescent="0.25">
      <c r="A6" s="53"/>
      <c r="B6" s="49" t="str">
        <f t="shared" si="1"/>
        <v>quarta-feira</v>
      </c>
      <c r="C6" s="45">
        <f t="shared" si="5"/>
        <v>41277</v>
      </c>
      <c r="D6" s="8"/>
      <c r="E6" s="8"/>
      <c r="F6" s="8"/>
      <c r="G6" s="8"/>
      <c r="H6" s="29"/>
      <c r="I6" s="29"/>
      <c r="J6" s="29">
        <f t="shared" si="6"/>
        <v>0</v>
      </c>
      <c r="K6" s="8">
        <f t="shared" si="2"/>
        <v>0.33333333333333331</v>
      </c>
      <c r="L6" s="8">
        <f t="shared" si="0"/>
        <v>-0.33333333333333331</v>
      </c>
      <c r="M6" s="9">
        <f t="shared" si="7"/>
        <v>0.33333333333333331</v>
      </c>
      <c r="N6" s="9">
        <f t="shared" si="7"/>
        <v>0.91666666666666663</v>
      </c>
      <c r="O6" s="10">
        <f t="shared" si="8"/>
        <v>6.2500000000000167E-2</v>
      </c>
      <c r="P6" s="10">
        <f t="shared" si="3"/>
        <v>0</v>
      </c>
      <c r="Q6" s="10">
        <f t="shared" si="9"/>
        <v>0</v>
      </c>
      <c r="R6" s="10">
        <f t="shared" si="4"/>
        <v>0</v>
      </c>
    </row>
    <row r="7" spans="1:23" x14ac:dyDescent="0.25">
      <c r="A7" s="53"/>
      <c r="B7" s="49" t="str">
        <f t="shared" si="1"/>
        <v>quinta-feira</v>
      </c>
      <c r="C7" s="45">
        <f t="shared" si="5"/>
        <v>41278</v>
      </c>
      <c r="D7" s="8"/>
      <c r="E7" s="8"/>
      <c r="F7" s="8"/>
      <c r="G7" s="8"/>
      <c r="H7" s="29"/>
      <c r="I7" s="29"/>
      <c r="J7" s="29">
        <f t="shared" si="6"/>
        <v>0</v>
      </c>
      <c r="K7" s="8">
        <f t="shared" si="2"/>
        <v>0.33333333333333331</v>
      </c>
      <c r="L7" s="8">
        <f>J7-K7</f>
        <v>-0.33333333333333331</v>
      </c>
      <c r="M7" s="9">
        <f t="shared" si="7"/>
        <v>0.33333333333333331</v>
      </c>
      <c r="N7" s="9">
        <f t="shared" si="7"/>
        <v>0.91666666666666663</v>
      </c>
      <c r="O7" s="10">
        <f t="shared" si="8"/>
        <v>-0.27083333333333315</v>
      </c>
      <c r="P7" s="10">
        <f t="shared" si="3"/>
        <v>0</v>
      </c>
      <c r="Q7" s="10">
        <f t="shared" si="9"/>
        <v>0</v>
      </c>
      <c r="R7" s="10">
        <f t="shared" si="4"/>
        <v>0</v>
      </c>
    </row>
    <row r="8" spans="1:23" x14ac:dyDescent="0.25">
      <c r="A8" s="53"/>
      <c r="B8" s="49" t="str">
        <f t="shared" si="1"/>
        <v>sexta-feira</v>
      </c>
      <c r="C8" s="45">
        <f t="shared" si="5"/>
        <v>41279</v>
      </c>
      <c r="D8" s="8"/>
      <c r="E8" s="8"/>
      <c r="F8" s="8"/>
      <c r="G8" s="8"/>
      <c r="H8" s="29"/>
      <c r="I8" s="29"/>
      <c r="J8" s="29">
        <f t="shared" si="6"/>
        <v>0</v>
      </c>
      <c r="K8" s="8">
        <f t="shared" si="2"/>
        <v>0.33333333333333331</v>
      </c>
      <c r="L8" s="8">
        <f t="shared" si="0"/>
        <v>-0.33333333333333331</v>
      </c>
      <c r="M8" s="9">
        <f t="shared" si="7"/>
        <v>0.33333333333333331</v>
      </c>
      <c r="N8" s="9">
        <f t="shared" si="7"/>
        <v>0.91666666666666663</v>
      </c>
      <c r="O8" s="10">
        <f t="shared" si="8"/>
        <v>-0.60416666666666652</v>
      </c>
      <c r="P8" s="10">
        <f t="shared" si="3"/>
        <v>0</v>
      </c>
      <c r="Q8" s="10">
        <f t="shared" si="9"/>
        <v>0</v>
      </c>
      <c r="R8" s="10">
        <f t="shared" si="4"/>
        <v>0</v>
      </c>
    </row>
    <row r="9" spans="1:23" x14ac:dyDescent="0.25">
      <c r="A9" s="53"/>
      <c r="B9" s="49" t="str">
        <f t="shared" si="1"/>
        <v>sábado</v>
      </c>
      <c r="C9" s="45">
        <f t="shared" si="5"/>
        <v>41280</v>
      </c>
      <c r="D9" s="8"/>
      <c r="E9" s="8"/>
      <c r="F9" s="8"/>
      <c r="G9" s="8"/>
      <c r="H9" s="29"/>
      <c r="I9" s="29"/>
      <c r="J9" s="29">
        <f t="shared" si="6"/>
        <v>0</v>
      </c>
      <c r="K9" s="8">
        <f t="shared" si="2"/>
        <v>0</v>
      </c>
      <c r="L9" s="8">
        <f t="shared" si="0"/>
        <v>0</v>
      </c>
      <c r="M9" s="9">
        <f t="shared" si="7"/>
        <v>0.33333333333333331</v>
      </c>
      <c r="N9" s="9">
        <f t="shared" si="7"/>
        <v>0.91666666666666663</v>
      </c>
      <c r="O9" s="10">
        <f t="shared" si="8"/>
        <v>-0.60416666666666652</v>
      </c>
      <c r="P9" s="10">
        <f t="shared" si="3"/>
        <v>0</v>
      </c>
      <c r="Q9" s="10">
        <f t="shared" si="9"/>
        <v>0</v>
      </c>
      <c r="R9" s="10">
        <f t="shared" si="4"/>
        <v>0</v>
      </c>
    </row>
    <row r="10" spans="1:23" x14ac:dyDescent="0.25">
      <c r="A10" s="53"/>
      <c r="B10" s="49" t="str">
        <f t="shared" si="1"/>
        <v>domingo</v>
      </c>
      <c r="C10" s="45">
        <f t="shared" si="5"/>
        <v>41281</v>
      </c>
      <c r="D10" s="8"/>
      <c r="E10" s="8"/>
      <c r="F10" s="8"/>
      <c r="G10" s="8"/>
      <c r="H10" s="29"/>
      <c r="I10" s="29"/>
      <c r="J10" s="29">
        <f t="shared" si="6"/>
        <v>0</v>
      </c>
      <c r="K10" s="8">
        <f t="shared" si="2"/>
        <v>0</v>
      </c>
      <c r="L10" s="8">
        <f t="shared" si="0"/>
        <v>0</v>
      </c>
      <c r="M10" s="9">
        <f t="shared" si="7"/>
        <v>0.33333333333333331</v>
      </c>
      <c r="N10" s="9">
        <f t="shared" si="7"/>
        <v>0.91666666666666663</v>
      </c>
      <c r="O10" s="10">
        <f t="shared" si="8"/>
        <v>-0.60416666666666652</v>
      </c>
      <c r="P10" s="10">
        <f t="shared" si="3"/>
        <v>0</v>
      </c>
      <c r="Q10" s="10">
        <f t="shared" si="9"/>
        <v>0</v>
      </c>
      <c r="R10" s="10">
        <f t="shared" si="4"/>
        <v>0</v>
      </c>
    </row>
    <row r="11" spans="1:23" x14ac:dyDescent="0.25">
      <c r="A11" s="53"/>
      <c r="B11" s="49" t="str">
        <f t="shared" si="1"/>
        <v>segunda-feira</v>
      </c>
      <c r="C11" s="45">
        <f t="shared" si="5"/>
        <v>41282</v>
      </c>
      <c r="D11" s="8"/>
      <c r="E11" s="8"/>
      <c r="F11" s="8"/>
      <c r="G11" s="8"/>
      <c r="H11" s="29"/>
      <c r="I11" s="29"/>
      <c r="J11" s="29">
        <f t="shared" si="6"/>
        <v>0</v>
      </c>
      <c r="K11" s="8">
        <f t="shared" si="2"/>
        <v>0.33333333333333331</v>
      </c>
      <c r="L11" s="8">
        <f t="shared" si="0"/>
        <v>-0.33333333333333331</v>
      </c>
      <c r="M11" s="9">
        <f t="shared" si="7"/>
        <v>0.33333333333333331</v>
      </c>
      <c r="N11" s="9">
        <f t="shared" si="7"/>
        <v>0.91666666666666663</v>
      </c>
      <c r="O11" s="10">
        <f t="shared" si="8"/>
        <v>-0.93749999999999978</v>
      </c>
      <c r="P11" s="10">
        <f t="shared" si="3"/>
        <v>0</v>
      </c>
      <c r="Q11" s="10">
        <f t="shared" si="9"/>
        <v>0</v>
      </c>
      <c r="R11" s="10">
        <f t="shared" si="4"/>
        <v>0</v>
      </c>
    </row>
    <row r="12" spans="1:23" x14ac:dyDescent="0.25">
      <c r="A12" s="53"/>
      <c r="B12" s="49" t="str">
        <f t="shared" si="1"/>
        <v>terça-feira</v>
      </c>
      <c r="C12" s="45">
        <f t="shared" si="5"/>
        <v>41283</v>
      </c>
      <c r="D12" s="8"/>
      <c r="E12" s="8"/>
      <c r="F12" s="8"/>
      <c r="G12" s="8"/>
      <c r="H12" s="29"/>
      <c r="I12" s="29"/>
      <c r="J12" s="29">
        <f t="shared" si="6"/>
        <v>0</v>
      </c>
      <c r="K12" s="8">
        <f t="shared" si="2"/>
        <v>0.33333333333333331</v>
      </c>
      <c r="L12" s="8">
        <f t="shared" si="0"/>
        <v>-0.33333333333333331</v>
      </c>
      <c r="M12" s="9">
        <f t="shared" si="7"/>
        <v>0.33333333333333331</v>
      </c>
      <c r="N12" s="9">
        <f t="shared" si="7"/>
        <v>0.91666666666666663</v>
      </c>
      <c r="O12" s="10">
        <f t="shared" si="8"/>
        <v>-1.270833333333333</v>
      </c>
      <c r="P12" s="10">
        <f t="shared" si="3"/>
        <v>0</v>
      </c>
      <c r="Q12" s="10">
        <f t="shared" si="9"/>
        <v>0</v>
      </c>
      <c r="R12" s="10">
        <f t="shared" si="4"/>
        <v>0</v>
      </c>
    </row>
    <row r="13" spans="1:23" x14ac:dyDescent="0.25">
      <c r="A13" s="53"/>
      <c r="B13" s="49" t="str">
        <f t="shared" si="1"/>
        <v>quarta-feira</v>
      </c>
      <c r="C13" s="45">
        <f t="shared" si="5"/>
        <v>41284</v>
      </c>
      <c r="D13" s="8"/>
      <c r="E13" s="8"/>
      <c r="F13" s="8"/>
      <c r="G13" s="8"/>
      <c r="H13" s="29"/>
      <c r="I13" s="29"/>
      <c r="J13" s="29">
        <f t="shared" si="6"/>
        <v>0</v>
      </c>
      <c r="K13" s="8">
        <f t="shared" si="2"/>
        <v>0.33333333333333331</v>
      </c>
      <c r="L13" s="8">
        <f t="shared" si="0"/>
        <v>-0.33333333333333331</v>
      </c>
      <c r="M13" s="9">
        <f t="shared" si="7"/>
        <v>0.33333333333333331</v>
      </c>
      <c r="N13" s="9">
        <f t="shared" si="7"/>
        <v>0.91666666666666663</v>
      </c>
      <c r="O13" s="10">
        <f t="shared" si="8"/>
        <v>-1.6041666666666663</v>
      </c>
      <c r="P13" s="10">
        <f t="shared" si="3"/>
        <v>0</v>
      </c>
      <c r="Q13" s="10">
        <f t="shared" si="9"/>
        <v>0</v>
      </c>
      <c r="R13" s="10">
        <f t="shared" si="4"/>
        <v>0</v>
      </c>
    </row>
    <row r="14" spans="1:23" x14ac:dyDescent="0.25">
      <c r="A14" s="53"/>
      <c r="B14" s="49" t="str">
        <f t="shared" si="1"/>
        <v>quinta-feira</v>
      </c>
      <c r="C14" s="45">
        <f t="shared" si="5"/>
        <v>41285</v>
      </c>
      <c r="D14" s="8"/>
      <c r="E14" s="8"/>
      <c r="F14" s="8"/>
      <c r="G14" s="8"/>
      <c r="H14" s="29"/>
      <c r="I14" s="29"/>
      <c r="J14" s="29">
        <f t="shared" si="6"/>
        <v>0</v>
      </c>
      <c r="K14" s="8">
        <f t="shared" si="2"/>
        <v>0.33333333333333331</v>
      </c>
      <c r="L14" s="8">
        <f t="shared" si="0"/>
        <v>-0.33333333333333331</v>
      </c>
      <c r="M14" s="9">
        <f t="shared" si="7"/>
        <v>0.33333333333333331</v>
      </c>
      <c r="N14" s="9">
        <f t="shared" si="7"/>
        <v>0.91666666666666663</v>
      </c>
      <c r="O14" s="10">
        <f t="shared" si="8"/>
        <v>-1.9374999999999996</v>
      </c>
      <c r="P14" s="10">
        <f t="shared" si="3"/>
        <v>0</v>
      </c>
      <c r="Q14" s="10">
        <f t="shared" si="9"/>
        <v>0</v>
      </c>
      <c r="R14" s="10">
        <f t="shared" si="4"/>
        <v>0</v>
      </c>
    </row>
    <row r="15" spans="1:23" x14ac:dyDescent="0.25">
      <c r="A15" s="53"/>
      <c r="B15" s="49" t="str">
        <f t="shared" si="1"/>
        <v>sexta-feira</v>
      </c>
      <c r="C15" s="45">
        <f t="shared" si="5"/>
        <v>41286</v>
      </c>
      <c r="D15" s="8"/>
      <c r="E15" s="8"/>
      <c r="F15" s="8"/>
      <c r="G15" s="8"/>
      <c r="H15" s="29"/>
      <c r="I15" s="29"/>
      <c r="J15" s="29">
        <f t="shared" si="6"/>
        <v>0</v>
      </c>
      <c r="K15" s="8">
        <f t="shared" si="2"/>
        <v>0.33333333333333331</v>
      </c>
      <c r="L15" s="8">
        <f t="shared" si="0"/>
        <v>-0.33333333333333331</v>
      </c>
      <c r="M15" s="9">
        <f t="shared" si="7"/>
        <v>0.33333333333333331</v>
      </c>
      <c r="N15" s="9">
        <f t="shared" si="7"/>
        <v>0.91666666666666663</v>
      </c>
      <c r="O15" s="10">
        <f t="shared" si="8"/>
        <v>-2.270833333333333</v>
      </c>
      <c r="P15" s="10">
        <f t="shared" si="3"/>
        <v>0</v>
      </c>
      <c r="Q15" s="10">
        <f t="shared" si="9"/>
        <v>0</v>
      </c>
      <c r="R15" s="10">
        <f t="shared" si="4"/>
        <v>0</v>
      </c>
    </row>
    <row r="16" spans="1:23" x14ac:dyDescent="0.25">
      <c r="A16" s="53"/>
      <c r="B16" s="49" t="str">
        <f t="shared" si="1"/>
        <v>sábado</v>
      </c>
      <c r="C16" s="45">
        <f t="shared" si="5"/>
        <v>41287</v>
      </c>
      <c r="D16" s="8"/>
      <c r="E16" s="8"/>
      <c r="F16" s="8"/>
      <c r="G16" s="8"/>
      <c r="H16" s="29"/>
      <c r="I16" s="29"/>
      <c r="J16" s="29">
        <f t="shared" si="6"/>
        <v>0</v>
      </c>
      <c r="K16" s="8">
        <f t="shared" si="2"/>
        <v>0</v>
      </c>
      <c r="L16" s="8">
        <f t="shared" si="0"/>
        <v>0</v>
      </c>
      <c r="M16" s="9">
        <f t="shared" si="7"/>
        <v>0.33333333333333331</v>
      </c>
      <c r="N16" s="9">
        <f t="shared" si="7"/>
        <v>0.91666666666666663</v>
      </c>
      <c r="O16" s="10">
        <f t="shared" si="8"/>
        <v>-2.270833333333333</v>
      </c>
      <c r="P16" s="10">
        <f t="shared" si="3"/>
        <v>0</v>
      </c>
      <c r="Q16" s="10">
        <f t="shared" si="9"/>
        <v>0</v>
      </c>
      <c r="R16" s="10">
        <f t="shared" si="4"/>
        <v>0</v>
      </c>
    </row>
    <row r="17" spans="1:20" x14ac:dyDescent="0.25">
      <c r="A17" s="53"/>
      <c r="B17" s="49" t="str">
        <f t="shared" si="1"/>
        <v>domingo</v>
      </c>
      <c r="C17" s="45">
        <f t="shared" si="5"/>
        <v>41288</v>
      </c>
      <c r="D17" s="8"/>
      <c r="E17" s="8"/>
      <c r="F17" s="8"/>
      <c r="G17" s="8"/>
      <c r="H17" s="29"/>
      <c r="I17" s="29"/>
      <c r="J17" s="29">
        <f t="shared" si="6"/>
        <v>0</v>
      </c>
      <c r="K17" s="8">
        <f t="shared" si="2"/>
        <v>0</v>
      </c>
      <c r="L17" s="8">
        <f t="shared" si="0"/>
        <v>0</v>
      </c>
      <c r="M17" s="9">
        <f t="shared" si="7"/>
        <v>0.33333333333333331</v>
      </c>
      <c r="N17" s="9">
        <f t="shared" si="7"/>
        <v>0.91666666666666663</v>
      </c>
      <c r="O17" s="10">
        <f t="shared" si="8"/>
        <v>-2.270833333333333</v>
      </c>
      <c r="P17" s="10">
        <f t="shared" si="3"/>
        <v>0</v>
      </c>
      <c r="Q17" s="10">
        <f t="shared" si="9"/>
        <v>0</v>
      </c>
      <c r="R17" s="10">
        <f t="shared" si="4"/>
        <v>0</v>
      </c>
    </row>
    <row r="18" spans="1:20" x14ac:dyDescent="0.25">
      <c r="A18" s="53"/>
      <c r="B18" s="49" t="str">
        <f t="shared" si="1"/>
        <v>segunda-feira</v>
      </c>
      <c r="C18" s="45">
        <f t="shared" si="5"/>
        <v>41289</v>
      </c>
      <c r="D18" s="8"/>
      <c r="E18" s="8"/>
      <c r="F18" s="8"/>
      <c r="G18" s="8"/>
      <c r="H18" s="29"/>
      <c r="I18" s="29"/>
      <c r="J18" s="29">
        <f t="shared" si="6"/>
        <v>0</v>
      </c>
      <c r="K18" s="8">
        <f t="shared" si="2"/>
        <v>0.33333333333333331</v>
      </c>
      <c r="L18" s="8">
        <f t="shared" si="0"/>
        <v>-0.33333333333333331</v>
      </c>
      <c r="M18" s="9">
        <f t="shared" si="7"/>
        <v>0.33333333333333331</v>
      </c>
      <c r="N18" s="9">
        <f t="shared" si="7"/>
        <v>0.91666666666666663</v>
      </c>
      <c r="O18" s="10">
        <f t="shared" si="8"/>
        <v>-2.6041666666666665</v>
      </c>
      <c r="P18" s="10">
        <f t="shared" si="3"/>
        <v>0</v>
      </c>
      <c r="Q18" s="10">
        <f t="shared" si="9"/>
        <v>0</v>
      </c>
      <c r="R18" s="10">
        <f t="shared" si="4"/>
        <v>0</v>
      </c>
      <c r="S18"/>
      <c r="T18"/>
    </row>
    <row r="19" spans="1:20" x14ac:dyDescent="0.25">
      <c r="A19" s="53"/>
      <c r="B19" s="49" t="str">
        <f t="shared" si="1"/>
        <v>terça-feira</v>
      </c>
      <c r="C19" s="45">
        <f t="shared" si="5"/>
        <v>41290</v>
      </c>
      <c r="D19" s="8"/>
      <c r="E19" s="8"/>
      <c r="F19" s="8"/>
      <c r="G19" s="8"/>
      <c r="H19" s="29"/>
      <c r="I19" s="29"/>
      <c r="J19" s="29">
        <f t="shared" si="6"/>
        <v>0</v>
      </c>
      <c r="K19" s="8">
        <f t="shared" si="2"/>
        <v>0.33333333333333331</v>
      </c>
      <c r="L19" s="8">
        <f t="shared" si="0"/>
        <v>-0.33333333333333331</v>
      </c>
      <c r="M19" s="9">
        <f t="shared" si="7"/>
        <v>0.33333333333333331</v>
      </c>
      <c r="N19" s="9">
        <f t="shared" si="7"/>
        <v>0.91666666666666663</v>
      </c>
      <c r="O19" s="10">
        <f t="shared" si="8"/>
        <v>-2.9375</v>
      </c>
      <c r="P19" s="10">
        <f t="shared" si="3"/>
        <v>0</v>
      </c>
      <c r="Q19" s="10">
        <f t="shared" si="9"/>
        <v>0</v>
      </c>
      <c r="R19" s="10">
        <f t="shared" si="4"/>
        <v>0</v>
      </c>
      <c r="S19"/>
      <c r="T19"/>
    </row>
    <row r="20" spans="1:20" x14ac:dyDescent="0.25">
      <c r="A20" s="53"/>
      <c r="B20" s="49" t="str">
        <f t="shared" si="1"/>
        <v>quarta-feira</v>
      </c>
      <c r="C20" s="45">
        <f t="shared" si="5"/>
        <v>41291</v>
      </c>
      <c r="D20" s="8"/>
      <c r="E20" s="8"/>
      <c r="F20" s="8"/>
      <c r="G20" s="8"/>
      <c r="H20" s="29"/>
      <c r="I20" s="29"/>
      <c r="J20" s="29">
        <f t="shared" si="6"/>
        <v>0</v>
      </c>
      <c r="K20" s="8">
        <f t="shared" si="2"/>
        <v>0.33333333333333331</v>
      </c>
      <c r="L20" s="8">
        <f t="shared" si="0"/>
        <v>-0.33333333333333331</v>
      </c>
      <c r="M20" s="9">
        <f t="shared" si="7"/>
        <v>0.33333333333333331</v>
      </c>
      <c r="N20" s="9">
        <f t="shared" si="7"/>
        <v>0.91666666666666663</v>
      </c>
      <c r="O20" s="10">
        <f t="shared" si="8"/>
        <v>-3.2708333333333335</v>
      </c>
      <c r="P20" s="10">
        <f t="shared" si="3"/>
        <v>0</v>
      </c>
      <c r="Q20" s="10">
        <f t="shared" si="9"/>
        <v>0</v>
      </c>
      <c r="R20" s="10">
        <f t="shared" si="4"/>
        <v>0</v>
      </c>
      <c r="S20"/>
      <c r="T20"/>
    </row>
    <row r="21" spans="1:20" x14ac:dyDescent="0.25">
      <c r="A21" s="53"/>
      <c r="B21" s="49" t="str">
        <f t="shared" si="1"/>
        <v>quinta-feira</v>
      </c>
      <c r="C21" s="45">
        <f t="shared" si="5"/>
        <v>41292</v>
      </c>
      <c r="D21" s="8"/>
      <c r="E21" s="8"/>
      <c r="F21" s="8"/>
      <c r="G21" s="8"/>
      <c r="H21" s="29"/>
      <c r="I21" s="29"/>
      <c r="J21" s="29">
        <f t="shared" si="6"/>
        <v>0</v>
      </c>
      <c r="K21" s="8">
        <f t="shared" si="2"/>
        <v>0.33333333333333331</v>
      </c>
      <c r="L21" s="8">
        <f t="shared" si="0"/>
        <v>-0.33333333333333331</v>
      </c>
      <c r="M21" s="9">
        <f t="shared" si="7"/>
        <v>0.33333333333333331</v>
      </c>
      <c r="N21" s="9">
        <f t="shared" si="7"/>
        <v>0.91666666666666663</v>
      </c>
      <c r="O21" s="10">
        <f t="shared" si="8"/>
        <v>-3.604166666666667</v>
      </c>
      <c r="P21" s="10">
        <f t="shared" si="3"/>
        <v>0</v>
      </c>
      <c r="Q21" s="10">
        <f t="shared" si="9"/>
        <v>0</v>
      </c>
      <c r="R21" s="10">
        <f t="shared" si="4"/>
        <v>0</v>
      </c>
      <c r="S21"/>
      <c r="T21"/>
    </row>
    <row r="22" spans="1:20" x14ac:dyDescent="0.25">
      <c r="A22" s="53"/>
      <c r="B22" s="49" t="str">
        <f t="shared" si="1"/>
        <v>sexta-feira</v>
      </c>
      <c r="C22" s="45">
        <f t="shared" si="5"/>
        <v>41293</v>
      </c>
      <c r="D22" s="8"/>
      <c r="E22" s="8"/>
      <c r="F22" s="8"/>
      <c r="G22" s="8"/>
      <c r="H22" s="29"/>
      <c r="I22" s="29"/>
      <c r="J22" s="29">
        <f t="shared" si="6"/>
        <v>0</v>
      </c>
      <c r="K22" s="8">
        <f t="shared" si="2"/>
        <v>0.33333333333333331</v>
      </c>
      <c r="L22" s="8">
        <f t="shared" si="0"/>
        <v>-0.33333333333333331</v>
      </c>
      <c r="M22" s="9">
        <f t="shared" si="7"/>
        <v>0.33333333333333331</v>
      </c>
      <c r="N22" s="9">
        <f t="shared" si="7"/>
        <v>0.91666666666666663</v>
      </c>
      <c r="O22" s="10">
        <f t="shared" si="8"/>
        <v>-3.9375000000000004</v>
      </c>
      <c r="P22" s="10">
        <f t="shared" si="3"/>
        <v>0</v>
      </c>
      <c r="Q22" s="10">
        <f t="shared" si="9"/>
        <v>0</v>
      </c>
      <c r="R22" s="10">
        <f t="shared" si="4"/>
        <v>0</v>
      </c>
      <c r="S22"/>
      <c r="T22"/>
    </row>
    <row r="23" spans="1:20" x14ac:dyDescent="0.25">
      <c r="A23" s="53"/>
      <c r="B23" s="49" t="str">
        <f t="shared" si="1"/>
        <v>sábado</v>
      </c>
      <c r="C23" s="45">
        <f t="shared" si="5"/>
        <v>41294</v>
      </c>
      <c r="D23" s="8"/>
      <c r="E23" s="8"/>
      <c r="F23" s="8"/>
      <c r="G23" s="8"/>
      <c r="H23" s="29"/>
      <c r="I23" s="29"/>
      <c r="J23" s="29">
        <f t="shared" si="6"/>
        <v>0</v>
      </c>
      <c r="K23" s="8">
        <f t="shared" si="2"/>
        <v>0</v>
      </c>
      <c r="L23" s="8">
        <f t="shared" si="0"/>
        <v>0</v>
      </c>
      <c r="M23" s="9">
        <f t="shared" si="7"/>
        <v>0.33333333333333331</v>
      </c>
      <c r="N23" s="9">
        <f t="shared" si="7"/>
        <v>0.91666666666666663</v>
      </c>
      <c r="O23" s="10">
        <f t="shared" si="8"/>
        <v>-3.9375000000000004</v>
      </c>
      <c r="P23" s="10">
        <f t="shared" si="3"/>
        <v>0</v>
      </c>
      <c r="Q23" s="10">
        <f t="shared" si="9"/>
        <v>0</v>
      </c>
      <c r="R23" s="10">
        <f t="shared" si="4"/>
        <v>0</v>
      </c>
      <c r="S23"/>
      <c r="T23"/>
    </row>
    <row r="24" spans="1:20" x14ac:dyDescent="0.25">
      <c r="A24" s="53"/>
      <c r="B24" s="49" t="str">
        <f t="shared" si="1"/>
        <v>domingo</v>
      </c>
      <c r="C24" s="45">
        <f t="shared" si="5"/>
        <v>41295</v>
      </c>
      <c r="D24" s="8"/>
      <c r="E24" s="8"/>
      <c r="F24" s="8"/>
      <c r="G24" s="8"/>
      <c r="H24" s="29"/>
      <c r="I24" s="29"/>
      <c r="J24" s="29">
        <f t="shared" si="6"/>
        <v>0</v>
      </c>
      <c r="K24" s="8">
        <f t="shared" si="2"/>
        <v>0</v>
      </c>
      <c r="L24" s="8">
        <f t="shared" si="0"/>
        <v>0</v>
      </c>
      <c r="M24" s="9">
        <f t="shared" si="7"/>
        <v>0.33333333333333331</v>
      </c>
      <c r="N24" s="9">
        <f t="shared" si="7"/>
        <v>0.91666666666666663</v>
      </c>
      <c r="O24" s="10">
        <f t="shared" si="8"/>
        <v>-3.9375000000000004</v>
      </c>
      <c r="P24" s="10">
        <f t="shared" si="3"/>
        <v>0</v>
      </c>
      <c r="Q24" s="10">
        <f t="shared" si="9"/>
        <v>0</v>
      </c>
      <c r="R24" s="10">
        <f t="shared" si="4"/>
        <v>0</v>
      </c>
      <c r="S24"/>
      <c r="T24"/>
    </row>
    <row r="25" spans="1:20" x14ac:dyDescent="0.25">
      <c r="A25" s="53"/>
      <c r="B25" s="49" t="str">
        <f t="shared" si="1"/>
        <v>segunda-feira</v>
      </c>
      <c r="C25" s="45">
        <f t="shared" si="5"/>
        <v>41296</v>
      </c>
      <c r="D25" s="8"/>
      <c r="E25" s="8"/>
      <c r="F25" s="8"/>
      <c r="G25" s="8"/>
      <c r="H25" s="29"/>
      <c r="I25" s="29"/>
      <c r="J25" s="29">
        <f t="shared" si="6"/>
        <v>0</v>
      </c>
      <c r="K25" s="8">
        <f t="shared" si="2"/>
        <v>0.33333333333333331</v>
      </c>
      <c r="L25" s="8">
        <f t="shared" si="0"/>
        <v>-0.33333333333333331</v>
      </c>
      <c r="M25" s="9">
        <f t="shared" si="7"/>
        <v>0.33333333333333331</v>
      </c>
      <c r="N25" s="9">
        <f t="shared" si="7"/>
        <v>0.91666666666666663</v>
      </c>
      <c r="O25" s="10">
        <f t="shared" si="8"/>
        <v>-4.2708333333333339</v>
      </c>
      <c r="P25" s="10">
        <f t="shared" si="3"/>
        <v>0</v>
      </c>
      <c r="Q25" s="10">
        <f t="shared" si="9"/>
        <v>0</v>
      </c>
      <c r="R25" s="10">
        <f t="shared" si="4"/>
        <v>0</v>
      </c>
      <c r="S25"/>
      <c r="T25"/>
    </row>
    <row r="26" spans="1:20" x14ac:dyDescent="0.25">
      <c r="A26" s="53"/>
      <c r="B26" s="49" t="str">
        <f t="shared" si="1"/>
        <v>terça-feira</v>
      </c>
      <c r="C26" s="45">
        <f t="shared" si="5"/>
        <v>41297</v>
      </c>
      <c r="D26" s="8"/>
      <c r="E26" s="8"/>
      <c r="F26" s="8"/>
      <c r="G26" s="8"/>
      <c r="H26" s="29"/>
      <c r="I26" s="29"/>
      <c r="J26" s="29">
        <f t="shared" si="6"/>
        <v>0</v>
      </c>
      <c r="K26" s="8">
        <f t="shared" si="2"/>
        <v>0.33333333333333331</v>
      </c>
      <c r="L26" s="8">
        <f t="shared" si="0"/>
        <v>-0.33333333333333331</v>
      </c>
      <c r="M26" s="9">
        <f t="shared" si="7"/>
        <v>0.33333333333333331</v>
      </c>
      <c r="N26" s="9">
        <f t="shared" si="7"/>
        <v>0.91666666666666663</v>
      </c>
      <c r="O26" s="10">
        <f t="shared" si="8"/>
        <v>-4.604166666666667</v>
      </c>
      <c r="P26" s="10">
        <f t="shared" si="3"/>
        <v>0</v>
      </c>
      <c r="Q26" s="10">
        <f t="shared" si="9"/>
        <v>0</v>
      </c>
      <c r="R26" s="10">
        <f t="shared" si="4"/>
        <v>0</v>
      </c>
      <c r="S26"/>
      <c r="T26"/>
    </row>
    <row r="27" spans="1:20" x14ac:dyDescent="0.25">
      <c r="A27" s="53"/>
      <c r="B27" s="49" t="str">
        <f t="shared" si="1"/>
        <v>quarta-feira</v>
      </c>
      <c r="C27" s="45">
        <f t="shared" si="5"/>
        <v>41298</v>
      </c>
      <c r="D27" s="8"/>
      <c r="E27" s="8"/>
      <c r="F27" s="8"/>
      <c r="G27" s="8"/>
      <c r="H27" s="29"/>
      <c r="I27" s="29"/>
      <c r="J27" s="29">
        <f t="shared" si="6"/>
        <v>0</v>
      </c>
      <c r="K27" s="8">
        <f t="shared" si="2"/>
        <v>0.33333333333333331</v>
      </c>
      <c r="L27" s="8">
        <f t="shared" si="0"/>
        <v>-0.33333333333333331</v>
      </c>
      <c r="M27" s="9">
        <f t="shared" si="7"/>
        <v>0.33333333333333331</v>
      </c>
      <c r="N27" s="9">
        <f t="shared" si="7"/>
        <v>0.91666666666666663</v>
      </c>
      <c r="O27" s="10">
        <f t="shared" si="8"/>
        <v>-4.9375</v>
      </c>
      <c r="P27" s="10">
        <f t="shared" si="3"/>
        <v>0</v>
      </c>
      <c r="Q27" s="10">
        <f t="shared" si="9"/>
        <v>0</v>
      </c>
      <c r="R27" s="10">
        <f t="shared" si="4"/>
        <v>0</v>
      </c>
      <c r="S27"/>
      <c r="T27"/>
    </row>
    <row r="28" spans="1:20" x14ac:dyDescent="0.25">
      <c r="A28" s="53"/>
      <c r="B28" s="49" t="str">
        <f t="shared" si="1"/>
        <v>quinta-feira</v>
      </c>
      <c r="C28" s="45">
        <f t="shared" si="5"/>
        <v>41299</v>
      </c>
      <c r="D28" s="8"/>
      <c r="E28" s="8"/>
      <c r="F28" s="8"/>
      <c r="G28" s="8"/>
      <c r="H28" s="29"/>
      <c r="I28" s="29"/>
      <c r="J28" s="29">
        <f t="shared" si="6"/>
        <v>0</v>
      </c>
      <c r="K28" s="8">
        <f t="shared" si="2"/>
        <v>0.33333333333333331</v>
      </c>
      <c r="L28" s="8">
        <f t="shared" si="0"/>
        <v>-0.33333333333333331</v>
      </c>
      <c r="M28" s="9">
        <f t="shared" si="7"/>
        <v>0.33333333333333331</v>
      </c>
      <c r="N28" s="9">
        <f t="shared" si="7"/>
        <v>0.91666666666666663</v>
      </c>
      <c r="O28" s="10">
        <f t="shared" si="8"/>
        <v>-5.270833333333333</v>
      </c>
      <c r="P28" s="10">
        <f t="shared" si="3"/>
        <v>0</v>
      </c>
      <c r="Q28" s="10">
        <f t="shared" si="9"/>
        <v>0</v>
      </c>
      <c r="R28" s="10">
        <f t="shared" si="4"/>
        <v>0</v>
      </c>
      <c r="S28"/>
      <c r="T28"/>
    </row>
    <row r="29" spans="1:20" x14ac:dyDescent="0.25">
      <c r="A29" s="53"/>
      <c r="B29" s="49" t="str">
        <f t="shared" si="1"/>
        <v>sexta-feira</v>
      </c>
      <c r="C29" s="45">
        <f t="shared" si="5"/>
        <v>41300</v>
      </c>
      <c r="D29" s="8"/>
      <c r="E29" s="8"/>
      <c r="F29" s="8"/>
      <c r="G29" s="8"/>
      <c r="H29" s="29"/>
      <c r="I29" s="29"/>
      <c r="J29" s="29">
        <f t="shared" si="6"/>
        <v>0</v>
      </c>
      <c r="K29" s="8">
        <f t="shared" si="2"/>
        <v>0.33333333333333331</v>
      </c>
      <c r="L29" s="8">
        <f t="shared" si="0"/>
        <v>-0.33333333333333331</v>
      </c>
      <c r="M29" s="9">
        <f t="shared" si="7"/>
        <v>0.33333333333333331</v>
      </c>
      <c r="N29" s="9">
        <f t="shared" si="7"/>
        <v>0.91666666666666663</v>
      </c>
      <c r="O29" s="10">
        <f t="shared" si="8"/>
        <v>-5.6041666666666661</v>
      </c>
      <c r="P29" s="10">
        <f t="shared" si="3"/>
        <v>0</v>
      </c>
      <c r="Q29" s="10">
        <f t="shared" si="9"/>
        <v>0</v>
      </c>
      <c r="R29" s="10">
        <f t="shared" si="4"/>
        <v>0</v>
      </c>
      <c r="S29"/>
      <c r="T29"/>
    </row>
    <row r="30" spans="1:20" x14ac:dyDescent="0.25">
      <c r="A30" s="53"/>
      <c r="B30" s="49" t="str">
        <f t="shared" si="1"/>
        <v>sábado</v>
      </c>
      <c r="C30" s="45">
        <f t="shared" si="5"/>
        <v>41301</v>
      </c>
      <c r="D30" s="8"/>
      <c r="E30" s="8"/>
      <c r="F30" s="8"/>
      <c r="G30" s="8"/>
      <c r="H30" s="29"/>
      <c r="I30" s="29"/>
      <c r="J30" s="29">
        <f t="shared" si="6"/>
        <v>0</v>
      </c>
      <c r="K30" s="8">
        <f t="shared" si="2"/>
        <v>0</v>
      </c>
      <c r="L30" s="8">
        <f t="shared" si="0"/>
        <v>0</v>
      </c>
      <c r="M30" s="9">
        <f t="shared" si="7"/>
        <v>0.33333333333333331</v>
      </c>
      <c r="N30" s="9">
        <f t="shared" si="7"/>
        <v>0.91666666666666663</v>
      </c>
      <c r="O30" s="10">
        <f t="shared" si="8"/>
        <v>-5.6041666666666661</v>
      </c>
      <c r="P30" s="10">
        <f t="shared" si="3"/>
        <v>0</v>
      </c>
      <c r="Q30" s="10">
        <f t="shared" si="9"/>
        <v>0</v>
      </c>
      <c r="R30" s="10">
        <f t="shared" si="4"/>
        <v>0</v>
      </c>
      <c r="S30"/>
      <c r="T30"/>
    </row>
    <row r="31" spans="1:20" x14ac:dyDescent="0.25">
      <c r="A31" s="53"/>
      <c r="B31" s="49" t="str">
        <f t="shared" si="1"/>
        <v>domingo</v>
      </c>
      <c r="C31" s="45">
        <f t="shared" si="5"/>
        <v>41302</v>
      </c>
      <c r="D31" s="8"/>
      <c r="E31" s="8"/>
      <c r="F31" s="8"/>
      <c r="G31" s="8"/>
      <c r="H31" s="29"/>
      <c r="I31" s="29"/>
      <c r="J31" s="29">
        <f t="shared" si="6"/>
        <v>0</v>
      </c>
      <c r="K31" s="8">
        <f t="shared" si="2"/>
        <v>0</v>
      </c>
      <c r="L31" s="8">
        <f t="shared" si="0"/>
        <v>0</v>
      </c>
      <c r="M31" s="9">
        <f t="shared" si="7"/>
        <v>0.33333333333333331</v>
      </c>
      <c r="N31" s="9">
        <f t="shared" si="7"/>
        <v>0.91666666666666663</v>
      </c>
      <c r="O31" s="10">
        <f t="shared" si="8"/>
        <v>-5.6041666666666661</v>
      </c>
      <c r="P31" s="10">
        <f t="shared" si="3"/>
        <v>0</v>
      </c>
      <c r="Q31" s="10">
        <f t="shared" si="9"/>
        <v>0</v>
      </c>
      <c r="R31" s="10">
        <f t="shared" si="4"/>
        <v>0</v>
      </c>
      <c r="S31"/>
      <c r="T31"/>
    </row>
    <row r="32" spans="1:20" x14ac:dyDescent="0.25">
      <c r="A32" s="53"/>
      <c r="B32" s="49" t="str">
        <f t="shared" si="1"/>
        <v>segunda-feira</v>
      </c>
      <c r="C32" s="45">
        <f t="shared" si="5"/>
        <v>41303</v>
      </c>
      <c r="D32" s="8"/>
      <c r="E32" s="8"/>
      <c r="F32" s="8"/>
      <c r="G32" s="8"/>
      <c r="H32" s="29"/>
      <c r="I32" s="29"/>
      <c r="J32" s="29">
        <f t="shared" si="6"/>
        <v>0</v>
      </c>
      <c r="K32" s="8">
        <f t="shared" si="2"/>
        <v>0.33333333333333331</v>
      </c>
      <c r="L32" s="8">
        <f t="shared" si="0"/>
        <v>-0.33333333333333331</v>
      </c>
      <c r="M32" s="9">
        <f t="shared" si="7"/>
        <v>0.33333333333333331</v>
      </c>
      <c r="N32" s="9">
        <f t="shared" si="7"/>
        <v>0.91666666666666663</v>
      </c>
      <c r="O32" s="10">
        <f t="shared" si="8"/>
        <v>-5.9374999999999991</v>
      </c>
      <c r="P32" s="10">
        <f t="shared" si="3"/>
        <v>0</v>
      </c>
      <c r="Q32" s="10">
        <f t="shared" si="9"/>
        <v>0</v>
      </c>
      <c r="R32" s="10">
        <f t="shared" si="4"/>
        <v>0</v>
      </c>
      <c r="S32"/>
      <c r="T32"/>
    </row>
    <row r="33" spans="1:20" ht="15.75" thickBot="1" x14ac:dyDescent="0.3">
      <c r="A33" s="54"/>
      <c r="B33" s="50" t="str">
        <f t="shared" si="1"/>
        <v>terça-feira</v>
      </c>
      <c r="C33" s="46">
        <f t="shared" si="5"/>
        <v>41304</v>
      </c>
      <c r="D33" s="13"/>
      <c r="E33" s="13"/>
      <c r="F33" s="13"/>
      <c r="G33" s="13"/>
      <c r="H33" s="30"/>
      <c r="I33" s="30"/>
      <c r="J33" s="13">
        <f t="shared" si="6"/>
        <v>0</v>
      </c>
      <c r="K33" s="13">
        <f t="shared" si="2"/>
        <v>0.33333333333333331</v>
      </c>
      <c r="L33" s="13">
        <f t="shared" si="0"/>
        <v>-0.33333333333333331</v>
      </c>
      <c r="M33" s="14">
        <f t="shared" si="7"/>
        <v>0.33333333333333331</v>
      </c>
      <c r="N33" s="14">
        <f t="shared" si="7"/>
        <v>0.91666666666666663</v>
      </c>
      <c r="O33" s="15">
        <f t="shared" si="8"/>
        <v>-6.2708333333333321</v>
      </c>
      <c r="P33" s="15">
        <f t="shared" si="3"/>
        <v>0</v>
      </c>
      <c r="Q33" s="15">
        <f t="shared" si="9"/>
        <v>0</v>
      </c>
      <c r="R33" s="15">
        <f t="shared" si="4"/>
        <v>0</v>
      </c>
      <c r="S33"/>
      <c r="T33"/>
    </row>
    <row r="34" spans="1:20" ht="15.75" thickBot="1" x14ac:dyDescent="0.3">
      <c r="D34"/>
      <c r="E34"/>
      <c r="F34"/>
      <c r="G34"/>
      <c r="H34"/>
      <c r="I34"/>
      <c r="J34"/>
      <c r="K34"/>
      <c r="L34" s="20">
        <f>SUM(L3:L33)</f>
        <v>-6.2708333333333321</v>
      </c>
      <c r="M34"/>
      <c r="N34"/>
      <c r="O34"/>
      <c r="P34"/>
      <c r="Q34"/>
      <c r="R34"/>
      <c r="S34"/>
      <c r="T34"/>
    </row>
  </sheetData>
  <mergeCells count="14">
    <mergeCell ref="J1:J2"/>
    <mergeCell ref="R1:R2"/>
    <mergeCell ref="A1:A2"/>
    <mergeCell ref="B1:B2"/>
    <mergeCell ref="C1:C2"/>
    <mergeCell ref="D1:G1"/>
    <mergeCell ref="H1:I1"/>
    <mergeCell ref="K1:K2"/>
    <mergeCell ref="L1:L2"/>
    <mergeCell ref="M1:M2"/>
    <mergeCell ref="O1:O2"/>
    <mergeCell ref="Q1:Q2"/>
    <mergeCell ref="N1:N2"/>
    <mergeCell ref="P1:P2"/>
  </mergeCells>
  <conditionalFormatting sqref="L3:L33">
    <cfRule type="cellIs" dxfId="115" priority="11" operator="greaterThan">
      <formula>0</formula>
    </cfRule>
    <cfRule type="cellIs" dxfId="114" priority="12" operator="lessThan">
      <formula>0</formula>
    </cfRule>
  </conditionalFormatting>
  <conditionalFormatting sqref="B3:B33">
    <cfRule type="cellIs" dxfId="113" priority="9" operator="equal">
      <formula>"DOMINGO"</formula>
    </cfRule>
    <cfRule type="cellIs" dxfId="112" priority="10" operator="equal">
      <formula>"SÁBADO"</formula>
    </cfRule>
  </conditionalFormatting>
  <conditionalFormatting sqref="O3:R33">
    <cfRule type="cellIs" dxfId="111" priority="7" operator="greaterThan">
      <formula>0</formula>
    </cfRule>
    <cfRule type="cellIs" dxfId="110" priority="8" operator="lessThan">
      <formula>0</formula>
    </cfRule>
  </conditionalFormatting>
  <conditionalFormatting sqref="L34">
    <cfRule type="cellIs" dxfId="109" priority="5" operator="greaterThan">
      <formula>0</formula>
    </cfRule>
    <cfRule type="cellIs" dxfId="108" priority="6" operator="lessThan">
      <formula>0</formula>
    </cfRule>
  </conditionalFormatting>
  <conditionalFormatting sqref="C3:C1048576 C1">
    <cfRule type="cellIs" dxfId="107" priority="4" operator="equal">
      <formula>$U$2</formula>
    </cfRule>
  </conditionalFormatting>
  <conditionalFormatting sqref="A3:A33">
    <cfRule type="cellIs" dxfId="106" priority="3" operator="equal">
      <formula>"FERIADO"</formula>
    </cfRule>
    <cfRule type="cellIs" dxfId="105" priority="2" operator="equal">
      <formula>"ABONADO"</formula>
    </cfRule>
    <cfRule type="cellIs" dxfId="104" priority="1" operator="equal">
      <formula>"ATESTADO"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A3:A33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1"/>
  <sheetViews>
    <sheetView showGridLines="0" workbookViewId="0">
      <pane ySplit="1" topLeftCell="A2" activePane="bottomLeft" state="frozen"/>
      <selection pane="bottomLeft" activeCell="A5" sqref="A5"/>
    </sheetView>
  </sheetViews>
  <sheetFormatPr defaultRowHeight="15" outlineLevelRow="1" x14ac:dyDescent="0.25"/>
  <cols>
    <col min="1" max="1" width="13.28515625" style="3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  <col min="17" max="17" width="12" bestFit="1" customWidth="1"/>
  </cols>
  <sheetData>
    <row r="1" spans="1:17" s="4" customFormat="1" ht="46.5" thickTop="1" thickBot="1" x14ac:dyDescent="0.3">
      <c r="A1" s="51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quarta-feira</v>
      </c>
      <c r="C2" s="24">
        <f>JANEIRO!C33+1</f>
        <v>41305</v>
      </c>
      <c r="D2" s="25"/>
      <c r="E2" s="25"/>
      <c r="F2" s="25"/>
      <c r="G2" s="25"/>
      <c r="H2" s="25">
        <f t="shared" ref="H2:H30" si="0">E2-D2+G2-F2</f>
        <v>0</v>
      </c>
      <c r="I2" s="25">
        <f>IF(B2="SÁBADO",0,IF(B2="DOMINGO",0,IF(A2="FERIADO",0,IF(A2="ABONADO",0,IF(A2="ATESTADO",0,K2)))))</f>
        <v>0.33333333333333331</v>
      </c>
      <c r="J2" s="25">
        <f t="shared" ref="J2:J29" si="1">H2-I2</f>
        <v>-0.33333333333333331</v>
      </c>
      <c r="K2" s="9">
        <f>CADASTRO!B3</f>
        <v>0.33333333333333331</v>
      </c>
      <c r="L2" s="27">
        <f>J2</f>
        <v>-0.33333333333333331</v>
      </c>
    </row>
    <row r="3" spans="1:17" x14ac:dyDescent="0.25">
      <c r="A3" s="53"/>
      <c r="B3" s="6" t="str">
        <f t="shared" ref="B3:B30" si="2">TEXT(C3,"DDDD")</f>
        <v>quinta-feira</v>
      </c>
      <c r="C3" s="7">
        <f>C2+1</f>
        <v>41306</v>
      </c>
      <c r="D3" s="8"/>
      <c r="E3" s="8"/>
      <c r="F3" s="8"/>
      <c r="G3" s="8"/>
      <c r="H3" s="8">
        <f t="shared" si="0"/>
        <v>0</v>
      </c>
      <c r="I3" s="8">
        <f t="shared" ref="I3:I30" si="3">IF(B3="SÁBADO",0,IF(B3="DOMINGO",0,IF(A3="FERIADO",0,IF(A3="ABONADO",0,IF(A3="ATESTADO",0,K3)))))</f>
        <v>0.33333333333333331</v>
      </c>
      <c r="J3" s="8">
        <f t="shared" si="1"/>
        <v>-0.33333333333333331</v>
      </c>
      <c r="K3" s="9">
        <f>K2</f>
        <v>0.33333333333333331</v>
      </c>
      <c r="L3" s="10">
        <f>L2+J3</f>
        <v>-0.66666666666666663</v>
      </c>
    </row>
    <row r="4" spans="1:17" x14ac:dyDescent="0.25">
      <c r="A4" s="53"/>
      <c r="B4" s="6" t="str">
        <f t="shared" si="2"/>
        <v>sexta-feira</v>
      </c>
      <c r="C4" s="7">
        <f t="shared" ref="C4:C30" si="4">C3+1</f>
        <v>41307</v>
      </c>
      <c r="D4" s="8"/>
      <c r="E4" s="8"/>
      <c r="F4" s="8"/>
      <c r="G4" s="8"/>
      <c r="H4" s="8">
        <f t="shared" si="0"/>
        <v>0</v>
      </c>
      <c r="I4" s="8">
        <f t="shared" si="3"/>
        <v>0.33333333333333331</v>
      </c>
      <c r="J4" s="8">
        <f t="shared" si="1"/>
        <v>-0.33333333333333331</v>
      </c>
      <c r="K4" s="9">
        <f t="shared" ref="K4:K30" si="5">K3</f>
        <v>0.33333333333333331</v>
      </c>
      <c r="L4" s="10">
        <f t="shared" ref="L4:L30" si="6">L3+J4</f>
        <v>-1</v>
      </c>
    </row>
    <row r="5" spans="1:17" x14ac:dyDescent="0.25">
      <c r="A5" s="53"/>
      <c r="B5" s="6" t="str">
        <f t="shared" si="2"/>
        <v>sábado</v>
      </c>
      <c r="C5" s="7">
        <f t="shared" si="4"/>
        <v>41308</v>
      </c>
      <c r="D5" s="8"/>
      <c r="E5" s="8"/>
      <c r="F5" s="8"/>
      <c r="G5" s="8"/>
      <c r="H5" s="8">
        <f t="shared" si="0"/>
        <v>0</v>
      </c>
      <c r="I5" s="8">
        <f t="shared" si="3"/>
        <v>0</v>
      </c>
      <c r="J5" s="8">
        <f t="shared" si="1"/>
        <v>0</v>
      </c>
      <c r="K5" s="9">
        <f t="shared" si="5"/>
        <v>0.33333333333333331</v>
      </c>
      <c r="L5" s="10">
        <f t="shared" si="6"/>
        <v>-1</v>
      </c>
    </row>
    <row r="6" spans="1:17" x14ac:dyDescent="0.25">
      <c r="A6" s="53"/>
      <c r="B6" s="6" t="str">
        <f t="shared" si="2"/>
        <v>domingo</v>
      </c>
      <c r="C6" s="7">
        <f t="shared" si="4"/>
        <v>41309</v>
      </c>
      <c r="D6" s="8"/>
      <c r="E6" s="8"/>
      <c r="F6" s="8"/>
      <c r="G6" s="8"/>
      <c r="H6" s="8">
        <f t="shared" si="0"/>
        <v>0</v>
      </c>
      <c r="I6" s="8">
        <f t="shared" si="3"/>
        <v>0</v>
      </c>
      <c r="J6" s="8">
        <f>H6-I6</f>
        <v>0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2"/>
        <v>segunda-feira</v>
      </c>
      <c r="C7" s="7">
        <f t="shared" si="4"/>
        <v>41310</v>
      </c>
      <c r="D7" s="8"/>
      <c r="E7" s="8"/>
      <c r="F7" s="8"/>
      <c r="G7" s="8"/>
      <c r="H7" s="8">
        <f t="shared" si="0"/>
        <v>0</v>
      </c>
      <c r="I7" s="8">
        <f t="shared" si="3"/>
        <v>0.33333333333333331</v>
      </c>
      <c r="J7" s="8">
        <f t="shared" si="1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2"/>
        <v>terça-feira</v>
      </c>
      <c r="C8" s="7">
        <f t="shared" si="4"/>
        <v>41311</v>
      </c>
      <c r="D8" s="8"/>
      <c r="E8" s="8"/>
      <c r="F8" s="8"/>
      <c r="G8" s="8"/>
      <c r="H8" s="8">
        <f t="shared" si="0"/>
        <v>0</v>
      </c>
      <c r="I8" s="8">
        <f t="shared" si="3"/>
        <v>0.33333333333333331</v>
      </c>
      <c r="J8" s="8">
        <f t="shared" si="1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2"/>
        <v>quarta-feira</v>
      </c>
      <c r="C9" s="7">
        <f t="shared" si="4"/>
        <v>41312</v>
      </c>
      <c r="D9" s="8"/>
      <c r="E9" s="8"/>
      <c r="F9" s="8"/>
      <c r="G9" s="8"/>
      <c r="H9" s="8">
        <f t="shared" si="0"/>
        <v>0</v>
      </c>
      <c r="I9" s="8">
        <f t="shared" si="3"/>
        <v>0.33333333333333331</v>
      </c>
      <c r="J9" s="8">
        <f t="shared" si="1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2"/>
        <v>quinta-feira</v>
      </c>
      <c r="C10" s="7">
        <f t="shared" si="4"/>
        <v>41313</v>
      </c>
      <c r="D10" s="8"/>
      <c r="E10" s="8"/>
      <c r="F10" s="8"/>
      <c r="G10" s="8"/>
      <c r="H10" s="8">
        <f t="shared" si="0"/>
        <v>0</v>
      </c>
      <c r="I10" s="8">
        <f t="shared" si="3"/>
        <v>0.33333333333333331</v>
      </c>
      <c r="J10" s="8">
        <f t="shared" si="1"/>
        <v>-0.33333333333333331</v>
      </c>
      <c r="K10" s="9">
        <f t="shared" si="5"/>
        <v>0.33333333333333331</v>
      </c>
      <c r="L10" s="10">
        <f t="shared" si="6"/>
        <v>-2.333333333333333</v>
      </c>
    </row>
    <row r="11" spans="1:17" x14ac:dyDescent="0.25">
      <c r="A11" s="53"/>
      <c r="B11" s="6" t="str">
        <f t="shared" si="2"/>
        <v>sexta-feira</v>
      </c>
      <c r="C11" s="7">
        <f t="shared" si="4"/>
        <v>41314</v>
      </c>
      <c r="D11" s="8"/>
      <c r="E11" s="8"/>
      <c r="F11" s="8"/>
      <c r="G11" s="8"/>
      <c r="H11" s="8">
        <f t="shared" si="0"/>
        <v>0</v>
      </c>
      <c r="I11" s="8">
        <f t="shared" si="3"/>
        <v>0.33333333333333331</v>
      </c>
      <c r="J11" s="8">
        <f t="shared" si="1"/>
        <v>-0.33333333333333331</v>
      </c>
      <c r="K11" s="9">
        <f t="shared" si="5"/>
        <v>0.33333333333333331</v>
      </c>
      <c r="L11" s="10">
        <f t="shared" si="6"/>
        <v>-2.6666666666666665</v>
      </c>
    </row>
    <row r="12" spans="1:17" x14ac:dyDescent="0.25">
      <c r="A12" s="53"/>
      <c r="B12" s="6" t="str">
        <f t="shared" si="2"/>
        <v>sábado</v>
      </c>
      <c r="C12" s="7">
        <f t="shared" si="4"/>
        <v>41315</v>
      </c>
      <c r="D12" s="8"/>
      <c r="E12" s="8"/>
      <c r="F12" s="8"/>
      <c r="G12" s="8"/>
      <c r="H12" s="8">
        <f t="shared" si="0"/>
        <v>0</v>
      </c>
      <c r="I12" s="8">
        <f t="shared" si="3"/>
        <v>0</v>
      </c>
      <c r="J12" s="8">
        <f t="shared" si="1"/>
        <v>0</v>
      </c>
      <c r="K12" s="9">
        <f t="shared" si="5"/>
        <v>0.33333333333333331</v>
      </c>
      <c r="L12" s="10">
        <f t="shared" si="6"/>
        <v>-2.6666666666666665</v>
      </c>
    </row>
    <row r="13" spans="1:17" x14ac:dyDescent="0.25">
      <c r="A13" s="53"/>
      <c r="B13" s="6" t="str">
        <f t="shared" si="2"/>
        <v>domingo</v>
      </c>
      <c r="C13" s="7">
        <f t="shared" si="4"/>
        <v>41316</v>
      </c>
      <c r="D13" s="8"/>
      <c r="E13" s="8"/>
      <c r="F13" s="8"/>
      <c r="G13" s="8"/>
      <c r="H13" s="8">
        <f t="shared" si="0"/>
        <v>0</v>
      </c>
      <c r="I13" s="8">
        <f t="shared" si="3"/>
        <v>0</v>
      </c>
      <c r="J13" s="8">
        <f t="shared" si="1"/>
        <v>0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2"/>
        <v>segunda-feira</v>
      </c>
      <c r="C14" s="7">
        <f t="shared" si="4"/>
        <v>41317</v>
      </c>
      <c r="D14" s="8"/>
      <c r="E14" s="8"/>
      <c r="F14" s="8"/>
      <c r="G14" s="8"/>
      <c r="H14" s="8">
        <f t="shared" si="0"/>
        <v>0</v>
      </c>
      <c r="I14" s="8">
        <f t="shared" si="3"/>
        <v>0.33333333333333331</v>
      </c>
      <c r="J14" s="8">
        <f t="shared" si="1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2"/>
        <v>terça-feira</v>
      </c>
      <c r="C15" s="7">
        <f t="shared" si="4"/>
        <v>41318</v>
      </c>
      <c r="D15" s="8"/>
      <c r="E15" s="8"/>
      <c r="F15" s="8"/>
      <c r="G15" s="8"/>
      <c r="H15" s="8">
        <f t="shared" si="0"/>
        <v>0</v>
      </c>
      <c r="I15" s="8">
        <f t="shared" si="3"/>
        <v>0.33333333333333331</v>
      </c>
      <c r="J15" s="8">
        <f t="shared" si="1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2"/>
        <v>quarta-feira</v>
      </c>
      <c r="C16" s="7">
        <f t="shared" si="4"/>
        <v>41319</v>
      </c>
      <c r="D16" s="8"/>
      <c r="E16" s="8"/>
      <c r="F16" s="8"/>
      <c r="G16" s="8"/>
      <c r="H16" s="8">
        <f t="shared" si="0"/>
        <v>0</v>
      </c>
      <c r="I16" s="8">
        <f t="shared" si="3"/>
        <v>0.33333333333333331</v>
      </c>
      <c r="J16" s="8">
        <f t="shared" si="1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4" x14ac:dyDescent="0.25">
      <c r="A17" s="53"/>
      <c r="B17" s="6" t="str">
        <f t="shared" si="2"/>
        <v>quinta-feira</v>
      </c>
      <c r="C17" s="7">
        <f t="shared" si="4"/>
        <v>41320</v>
      </c>
      <c r="D17" s="8"/>
      <c r="E17" s="8"/>
      <c r="F17" s="8"/>
      <c r="G17" s="8"/>
      <c r="H17" s="8">
        <f t="shared" si="0"/>
        <v>0</v>
      </c>
      <c r="I17" s="8">
        <f t="shared" si="3"/>
        <v>0.33333333333333331</v>
      </c>
      <c r="J17" s="8">
        <f t="shared" si="1"/>
        <v>-0.33333333333333331</v>
      </c>
      <c r="K17" s="9">
        <f t="shared" si="5"/>
        <v>0.33333333333333331</v>
      </c>
      <c r="L17" s="10">
        <f t="shared" si="6"/>
        <v>-4</v>
      </c>
      <c r="M17"/>
      <c r="N17"/>
    </row>
    <row r="18" spans="1:14" x14ac:dyDescent="0.25">
      <c r="A18" s="53"/>
      <c r="B18" s="6" t="str">
        <f t="shared" si="2"/>
        <v>sexta-feira</v>
      </c>
      <c r="C18" s="7">
        <f t="shared" si="4"/>
        <v>41321</v>
      </c>
      <c r="D18" s="8"/>
      <c r="E18" s="8"/>
      <c r="F18" s="8"/>
      <c r="G18" s="8"/>
      <c r="H18" s="8">
        <f t="shared" si="0"/>
        <v>0</v>
      </c>
      <c r="I18" s="8">
        <f t="shared" si="3"/>
        <v>0.33333333333333331</v>
      </c>
      <c r="J18" s="8">
        <f t="shared" si="1"/>
        <v>-0.33333333333333331</v>
      </c>
      <c r="K18" s="9">
        <f t="shared" si="5"/>
        <v>0.33333333333333331</v>
      </c>
      <c r="L18" s="10">
        <f t="shared" si="6"/>
        <v>-4.333333333333333</v>
      </c>
      <c r="M18"/>
      <c r="N18"/>
    </row>
    <row r="19" spans="1:14" x14ac:dyDescent="0.25">
      <c r="A19" s="53"/>
      <c r="B19" s="6" t="str">
        <f t="shared" si="2"/>
        <v>sábado</v>
      </c>
      <c r="C19" s="7">
        <f t="shared" si="4"/>
        <v>41322</v>
      </c>
      <c r="D19" s="8"/>
      <c r="E19" s="8"/>
      <c r="F19" s="8"/>
      <c r="G19" s="8"/>
      <c r="H19" s="8">
        <f t="shared" si="0"/>
        <v>0</v>
      </c>
      <c r="I19" s="8">
        <f t="shared" si="3"/>
        <v>0</v>
      </c>
      <c r="J19" s="8">
        <f t="shared" si="1"/>
        <v>0</v>
      </c>
      <c r="K19" s="9">
        <f t="shared" si="5"/>
        <v>0.33333333333333331</v>
      </c>
      <c r="L19" s="10">
        <f t="shared" si="6"/>
        <v>-4.333333333333333</v>
      </c>
      <c r="M19"/>
      <c r="N19"/>
    </row>
    <row r="20" spans="1:14" x14ac:dyDescent="0.25">
      <c r="A20" s="53"/>
      <c r="B20" s="6" t="str">
        <f t="shared" si="2"/>
        <v>domingo</v>
      </c>
      <c r="C20" s="7">
        <f t="shared" si="4"/>
        <v>41323</v>
      </c>
      <c r="D20" s="8"/>
      <c r="E20" s="8"/>
      <c r="F20" s="8"/>
      <c r="G20" s="8"/>
      <c r="H20" s="8">
        <f t="shared" si="0"/>
        <v>0</v>
      </c>
      <c r="I20" s="8">
        <f t="shared" si="3"/>
        <v>0</v>
      </c>
      <c r="J20" s="8">
        <f t="shared" si="1"/>
        <v>0</v>
      </c>
      <c r="K20" s="9">
        <f t="shared" si="5"/>
        <v>0.33333333333333331</v>
      </c>
      <c r="L20" s="10">
        <f t="shared" si="6"/>
        <v>-4.333333333333333</v>
      </c>
      <c r="M20"/>
      <c r="N20"/>
    </row>
    <row r="21" spans="1:14" x14ac:dyDescent="0.25">
      <c r="A21" s="53"/>
      <c r="B21" s="6" t="str">
        <f t="shared" si="2"/>
        <v>segunda-feira</v>
      </c>
      <c r="C21" s="7">
        <f t="shared" si="4"/>
        <v>41324</v>
      </c>
      <c r="D21" s="8"/>
      <c r="E21" s="8"/>
      <c r="F21" s="8"/>
      <c r="G21" s="8"/>
      <c r="H21" s="8">
        <f t="shared" si="0"/>
        <v>0</v>
      </c>
      <c r="I21" s="8">
        <f t="shared" si="3"/>
        <v>0.33333333333333331</v>
      </c>
      <c r="J21" s="8">
        <f t="shared" si="1"/>
        <v>-0.33333333333333331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4" x14ac:dyDescent="0.25">
      <c r="A22" s="53"/>
      <c r="B22" s="6" t="str">
        <f t="shared" si="2"/>
        <v>terça-feira</v>
      </c>
      <c r="C22" s="7">
        <f t="shared" si="4"/>
        <v>41325</v>
      </c>
      <c r="D22" s="8"/>
      <c r="E22" s="8"/>
      <c r="F22" s="8"/>
      <c r="G22" s="8"/>
      <c r="H22" s="8">
        <f t="shared" si="0"/>
        <v>0</v>
      </c>
      <c r="I22" s="8">
        <f t="shared" si="3"/>
        <v>0.33333333333333331</v>
      </c>
      <c r="J22" s="8">
        <f t="shared" si="1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2"/>
        <v>quarta-feira</v>
      </c>
      <c r="C23" s="7">
        <f t="shared" si="4"/>
        <v>41326</v>
      </c>
      <c r="D23" s="8"/>
      <c r="E23" s="8"/>
      <c r="F23" s="8"/>
      <c r="G23" s="8"/>
      <c r="H23" s="8">
        <f t="shared" si="0"/>
        <v>0</v>
      </c>
      <c r="I23" s="8">
        <f t="shared" si="3"/>
        <v>0.33333333333333331</v>
      </c>
      <c r="J23" s="8">
        <f t="shared" si="1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</row>
    <row r="24" spans="1:14" x14ac:dyDescent="0.25">
      <c r="A24" s="53"/>
      <c r="B24" s="6" t="str">
        <f t="shared" si="2"/>
        <v>quinta-feira</v>
      </c>
      <c r="C24" s="7">
        <f t="shared" si="4"/>
        <v>41327</v>
      </c>
      <c r="D24" s="8"/>
      <c r="E24" s="8"/>
      <c r="F24" s="8"/>
      <c r="G24" s="8"/>
      <c r="H24" s="8">
        <f t="shared" si="0"/>
        <v>0</v>
      </c>
      <c r="I24" s="8">
        <f t="shared" si="3"/>
        <v>0.33333333333333331</v>
      </c>
      <c r="J24" s="8">
        <f t="shared" si="1"/>
        <v>-0.33333333333333331</v>
      </c>
      <c r="K24" s="9">
        <f t="shared" si="5"/>
        <v>0.33333333333333331</v>
      </c>
      <c r="L24" s="10">
        <f t="shared" si="6"/>
        <v>-5.6666666666666652</v>
      </c>
      <c r="M24"/>
      <c r="N24"/>
    </row>
    <row r="25" spans="1:14" x14ac:dyDescent="0.25">
      <c r="A25" s="53"/>
      <c r="B25" s="6" t="str">
        <f t="shared" si="2"/>
        <v>sexta-feira</v>
      </c>
      <c r="C25" s="7">
        <f t="shared" si="4"/>
        <v>41328</v>
      </c>
      <c r="D25" s="8"/>
      <c r="E25" s="8"/>
      <c r="F25" s="8"/>
      <c r="G25" s="8"/>
      <c r="H25" s="8">
        <f t="shared" si="0"/>
        <v>0</v>
      </c>
      <c r="I25" s="8">
        <f t="shared" si="3"/>
        <v>0.33333333333333331</v>
      </c>
      <c r="J25" s="8">
        <f t="shared" si="1"/>
        <v>-0.33333333333333331</v>
      </c>
      <c r="K25" s="9">
        <f t="shared" si="5"/>
        <v>0.33333333333333331</v>
      </c>
      <c r="L25" s="10">
        <f t="shared" si="6"/>
        <v>-5.9999999999999982</v>
      </c>
      <c r="M25"/>
      <c r="N25"/>
    </row>
    <row r="26" spans="1:14" x14ac:dyDescent="0.25">
      <c r="A26" s="53"/>
      <c r="B26" s="6" t="str">
        <f t="shared" si="2"/>
        <v>sábado</v>
      </c>
      <c r="C26" s="7">
        <f t="shared" si="4"/>
        <v>41329</v>
      </c>
      <c r="D26" s="8"/>
      <c r="E26" s="8"/>
      <c r="F26" s="8"/>
      <c r="G26" s="8"/>
      <c r="H26" s="8">
        <f t="shared" si="0"/>
        <v>0</v>
      </c>
      <c r="I26" s="8">
        <f t="shared" si="3"/>
        <v>0</v>
      </c>
      <c r="J26" s="8">
        <f t="shared" si="1"/>
        <v>0</v>
      </c>
      <c r="K26" s="9">
        <f t="shared" si="5"/>
        <v>0.33333333333333331</v>
      </c>
      <c r="L26" s="10">
        <f t="shared" si="6"/>
        <v>-5.9999999999999982</v>
      </c>
      <c r="M26"/>
      <c r="N26"/>
    </row>
    <row r="27" spans="1:14" x14ac:dyDescent="0.25">
      <c r="A27" s="53"/>
      <c r="B27" s="6" t="str">
        <f t="shared" si="2"/>
        <v>domingo</v>
      </c>
      <c r="C27" s="7">
        <f t="shared" si="4"/>
        <v>41330</v>
      </c>
      <c r="D27" s="8"/>
      <c r="E27" s="8"/>
      <c r="F27" s="8"/>
      <c r="G27" s="8"/>
      <c r="H27" s="8">
        <f t="shared" si="0"/>
        <v>0</v>
      </c>
      <c r="I27" s="8">
        <f t="shared" si="3"/>
        <v>0</v>
      </c>
      <c r="J27" s="8">
        <f t="shared" si="1"/>
        <v>0</v>
      </c>
      <c r="K27" s="9">
        <f t="shared" si="5"/>
        <v>0.33333333333333331</v>
      </c>
      <c r="L27" s="10">
        <f t="shared" si="6"/>
        <v>-5.9999999999999982</v>
      </c>
      <c r="M27"/>
      <c r="N27"/>
    </row>
    <row r="28" spans="1:14" x14ac:dyDescent="0.25">
      <c r="A28" s="53"/>
      <c r="B28" s="6" t="str">
        <f t="shared" si="2"/>
        <v>segunda-feira</v>
      </c>
      <c r="C28" s="7">
        <f t="shared" si="4"/>
        <v>41331</v>
      </c>
      <c r="D28" s="8"/>
      <c r="E28" s="8"/>
      <c r="F28" s="8"/>
      <c r="G28" s="8"/>
      <c r="H28" s="8">
        <f t="shared" si="0"/>
        <v>0</v>
      </c>
      <c r="I28" s="8">
        <f t="shared" si="3"/>
        <v>0.33333333333333331</v>
      </c>
      <c r="J28" s="8">
        <f t="shared" si="1"/>
        <v>-0.33333333333333331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4" x14ac:dyDescent="0.25">
      <c r="A29" s="53"/>
      <c r="B29" s="6" t="str">
        <f t="shared" si="2"/>
        <v>terça-feira</v>
      </c>
      <c r="C29" s="7">
        <f t="shared" si="4"/>
        <v>41332</v>
      </c>
      <c r="D29" s="8"/>
      <c r="E29" s="8"/>
      <c r="F29" s="8"/>
      <c r="G29" s="8"/>
      <c r="H29" s="8">
        <f t="shared" si="0"/>
        <v>0</v>
      </c>
      <c r="I29" s="8">
        <f t="shared" si="3"/>
        <v>0.33333333333333331</v>
      </c>
      <c r="J29" s="8">
        <f t="shared" si="1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ht="15.75" outlineLevel="1" thickBot="1" x14ac:dyDescent="0.3">
      <c r="A30" s="54"/>
      <c r="B30" s="11" t="str">
        <f t="shared" si="2"/>
        <v>quarta-feira</v>
      </c>
      <c r="C30" s="7">
        <f t="shared" si="4"/>
        <v>41333</v>
      </c>
      <c r="D30" s="13"/>
      <c r="E30" s="13"/>
      <c r="F30" s="13"/>
      <c r="G30" s="13"/>
      <c r="H30" s="13">
        <f t="shared" si="0"/>
        <v>0</v>
      </c>
      <c r="I30" s="13">
        <f t="shared" si="3"/>
        <v>0.33333333333333331</v>
      </c>
      <c r="J30" s="13">
        <f>IF(C30=MARÇO!C2,0,H30-I30)</f>
        <v>0</v>
      </c>
      <c r="K30" s="14">
        <f t="shared" si="5"/>
        <v>0.33333333333333331</v>
      </c>
      <c r="L30" s="15">
        <f t="shared" si="6"/>
        <v>-6.6666666666666643</v>
      </c>
      <c r="M30"/>
      <c r="N30"/>
    </row>
    <row r="31" spans="1:14" ht="15.75" thickBot="1" x14ac:dyDescent="0.3">
      <c r="B31" s="66" t="s">
        <v>25</v>
      </c>
      <c r="C31" s="67"/>
      <c r="D31" s="67"/>
      <c r="E31" s="67"/>
      <c r="F31" s="67"/>
      <c r="G31" s="67"/>
      <c r="H31" s="68"/>
      <c r="I31"/>
      <c r="J31" s="31">
        <f>SUM(J2:J30)</f>
        <v>-6.6666666666666643</v>
      </c>
      <c r="K31"/>
      <c r="L31"/>
      <c r="M31"/>
      <c r="N31"/>
    </row>
  </sheetData>
  <mergeCells count="1">
    <mergeCell ref="B31:H31"/>
  </mergeCells>
  <conditionalFormatting sqref="J2:J30">
    <cfRule type="cellIs" dxfId="103" priority="8" operator="greaterThan">
      <formula>0</formula>
    </cfRule>
    <cfRule type="cellIs" dxfId="102" priority="9" operator="lessThan">
      <formula>0</formula>
    </cfRule>
  </conditionalFormatting>
  <conditionalFormatting sqref="B2:B30">
    <cfRule type="cellIs" dxfId="101" priority="6" operator="equal">
      <formula>"DOMINGO"</formula>
    </cfRule>
    <cfRule type="cellIs" dxfId="100" priority="7" operator="equal">
      <formula>"SÁBADO"</formula>
    </cfRule>
  </conditionalFormatting>
  <conditionalFormatting sqref="L2:L30">
    <cfRule type="cellIs" dxfId="99" priority="4" operator="greaterThan">
      <formula>0</formula>
    </cfRule>
    <cfRule type="cellIs" dxfId="98" priority="5" operator="lessThan">
      <formula>0</formula>
    </cfRule>
  </conditionalFormatting>
  <conditionalFormatting sqref="J31">
    <cfRule type="cellIs" dxfId="97" priority="2" operator="greaterThan">
      <formula>0</formula>
    </cfRule>
    <cfRule type="cellIs" dxfId="96" priority="3" operator="lessThan">
      <formula>0</formula>
    </cfRule>
  </conditionalFormatting>
  <conditionalFormatting sqref="C1:C30 C32:C1048576">
    <cfRule type="cellIs" dxfId="95" priority="1" operator="equal">
      <formula>$O$1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style="3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1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quarta-feira</v>
      </c>
      <c r="C2" s="24">
        <v>41333</v>
      </c>
      <c r="D2" s="25"/>
      <c r="E2" s="25"/>
      <c r="F2" s="25"/>
      <c r="G2" s="25"/>
      <c r="H2" s="25">
        <f t="shared" ref="H2:H32" si="0">E2-D2+G2-F2</f>
        <v>0</v>
      </c>
      <c r="I2" s="25">
        <f t="shared" ref="I2:I32" si="1">IF(B2="SÁBADO",0,IF(B2="DOMINGO",0,IF(A2="FERIADO",0,IF(A2="ABONADO",0,IF(A2="ATESTADO",0,K2)))))</f>
        <v>0.33333333333333331</v>
      </c>
      <c r="J2" s="25">
        <f t="shared" ref="J2:J32" si="2">H2-I2</f>
        <v>-0.33333333333333331</v>
      </c>
      <c r="K2" s="26">
        <f>CADASTRO!B5</f>
        <v>0.33333333333333331</v>
      </c>
      <c r="L2" s="27">
        <f>J2</f>
        <v>-0.33333333333333331</v>
      </c>
    </row>
    <row r="3" spans="1:17" x14ac:dyDescent="0.25">
      <c r="A3" s="53"/>
      <c r="B3" s="6" t="str">
        <f t="shared" ref="B3:B32" si="3">TEXT(C3,"DDDD")</f>
        <v>quinta-feira</v>
      </c>
      <c r="C3" s="7">
        <f>C2+1</f>
        <v>41334</v>
      </c>
      <c r="D3" s="8"/>
      <c r="E3" s="8"/>
      <c r="F3" s="8"/>
      <c r="G3" s="8"/>
      <c r="H3" s="8">
        <f t="shared" si="0"/>
        <v>0</v>
      </c>
      <c r="I3" s="8">
        <f t="shared" si="1"/>
        <v>0.33333333333333331</v>
      </c>
      <c r="J3" s="8">
        <f t="shared" si="2"/>
        <v>-0.33333333333333331</v>
      </c>
      <c r="K3" s="9">
        <f>K2</f>
        <v>0.33333333333333331</v>
      </c>
      <c r="L3" s="10">
        <f>L2+J3</f>
        <v>-0.66666666666666663</v>
      </c>
    </row>
    <row r="4" spans="1:17" x14ac:dyDescent="0.25">
      <c r="A4" s="53"/>
      <c r="B4" s="6" t="str">
        <f t="shared" si="3"/>
        <v>sexta-feira</v>
      </c>
      <c r="C4" s="7">
        <f t="shared" ref="C4:C32" si="4">C3+1</f>
        <v>41335</v>
      </c>
      <c r="D4" s="8"/>
      <c r="E4" s="8"/>
      <c r="F4" s="8"/>
      <c r="G4" s="8"/>
      <c r="H4" s="8">
        <f t="shared" si="0"/>
        <v>0</v>
      </c>
      <c r="I4" s="8">
        <f t="shared" si="1"/>
        <v>0.33333333333333331</v>
      </c>
      <c r="J4" s="8">
        <f t="shared" si="2"/>
        <v>-0.33333333333333331</v>
      </c>
      <c r="K4" s="9">
        <f t="shared" ref="K4:K32" si="5">K3</f>
        <v>0.33333333333333331</v>
      </c>
      <c r="L4" s="10">
        <f t="shared" ref="L4:L32" si="6">L3+J4</f>
        <v>-1</v>
      </c>
    </row>
    <row r="5" spans="1:17" x14ac:dyDescent="0.25">
      <c r="A5" s="53"/>
      <c r="B5" s="6" t="str">
        <f t="shared" si="3"/>
        <v>sábado</v>
      </c>
      <c r="C5" s="7">
        <f t="shared" si="4"/>
        <v>41336</v>
      </c>
      <c r="D5" s="8"/>
      <c r="E5" s="8"/>
      <c r="F5" s="8"/>
      <c r="G5" s="8"/>
      <c r="H5" s="8">
        <f t="shared" si="0"/>
        <v>0</v>
      </c>
      <c r="I5" s="8">
        <f t="shared" si="1"/>
        <v>0</v>
      </c>
      <c r="J5" s="8">
        <f t="shared" si="2"/>
        <v>0</v>
      </c>
      <c r="K5" s="9">
        <f t="shared" si="5"/>
        <v>0.33333333333333331</v>
      </c>
      <c r="L5" s="10">
        <f t="shared" si="6"/>
        <v>-1</v>
      </c>
    </row>
    <row r="6" spans="1:17" x14ac:dyDescent="0.25">
      <c r="A6" s="53"/>
      <c r="B6" s="6" t="str">
        <f t="shared" si="3"/>
        <v>domingo</v>
      </c>
      <c r="C6" s="7">
        <f t="shared" si="4"/>
        <v>41337</v>
      </c>
      <c r="D6" s="8"/>
      <c r="E6" s="8"/>
      <c r="F6" s="8"/>
      <c r="G6" s="8"/>
      <c r="H6" s="8">
        <f t="shared" si="0"/>
        <v>0</v>
      </c>
      <c r="I6" s="8">
        <f t="shared" si="1"/>
        <v>0</v>
      </c>
      <c r="J6" s="8">
        <f>H6-I6</f>
        <v>0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segunda-feira</v>
      </c>
      <c r="C7" s="7">
        <f t="shared" si="4"/>
        <v>41338</v>
      </c>
      <c r="D7" s="8"/>
      <c r="E7" s="8"/>
      <c r="F7" s="8"/>
      <c r="G7" s="8"/>
      <c r="H7" s="8">
        <f t="shared" si="0"/>
        <v>0</v>
      </c>
      <c r="I7" s="8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terça-feira</v>
      </c>
      <c r="C8" s="7">
        <f t="shared" si="4"/>
        <v>41339</v>
      </c>
      <c r="D8" s="8"/>
      <c r="E8" s="8"/>
      <c r="F8" s="8"/>
      <c r="G8" s="8"/>
      <c r="H8" s="8">
        <f t="shared" si="0"/>
        <v>0</v>
      </c>
      <c r="I8" s="8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quarta-feira</v>
      </c>
      <c r="C9" s="7">
        <f t="shared" si="4"/>
        <v>41340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8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3"/>
        <v>quinta-feira</v>
      </c>
      <c r="C10" s="7">
        <f t="shared" si="4"/>
        <v>41341</v>
      </c>
      <c r="D10" s="8"/>
      <c r="E10" s="8"/>
      <c r="F10" s="8"/>
      <c r="G10" s="8"/>
      <c r="H10" s="8">
        <f t="shared" si="0"/>
        <v>0</v>
      </c>
      <c r="I10" s="8">
        <f t="shared" si="1"/>
        <v>0.33333333333333331</v>
      </c>
      <c r="J10" s="8">
        <f t="shared" si="2"/>
        <v>-0.33333333333333331</v>
      </c>
      <c r="K10" s="9">
        <f t="shared" si="5"/>
        <v>0.33333333333333331</v>
      </c>
      <c r="L10" s="10">
        <f t="shared" si="6"/>
        <v>-2.333333333333333</v>
      </c>
    </row>
    <row r="11" spans="1:17" x14ac:dyDescent="0.25">
      <c r="A11" s="53"/>
      <c r="B11" s="6" t="str">
        <f t="shared" si="3"/>
        <v>sexta-feira</v>
      </c>
      <c r="C11" s="7">
        <f t="shared" si="4"/>
        <v>41342</v>
      </c>
      <c r="D11" s="8"/>
      <c r="E11" s="8"/>
      <c r="F11" s="8"/>
      <c r="G11" s="8"/>
      <c r="H11" s="8">
        <f t="shared" si="0"/>
        <v>0</v>
      </c>
      <c r="I11" s="8">
        <f t="shared" si="1"/>
        <v>0.33333333333333331</v>
      </c>
      <c r="J11" s="8">
        <f t="shared" si="2"/>
        <v>-0.33333333333333331</v>
      </c>
      <c r="K11" s="9">
        <f t="shared" si="5"/>
        <v>0.33333333333333331</v>
      </c>
      <c r="L11" s="10">
        <f t="shared" si="6"/>
        <v>-2.6666666666666665</v>
      </c>
    </row>
    <row r="12" spans="1:17" x14ac:dyDescent="0.25">
      <c r="A12" s="53"/>
      <c r="B12" s="6" t="str">
        <f t="shared" si="3"/>
        <v>sábado</v>
      </c>
      <c r="C12" s="7">
        <f t="shared" si="4"/>
        <v>41343</v>
      </c>
      <c r="D12" s="8"/>
      <c r="E12" s="8"/>
      <c r="F12" s="8"/>
      <c r="G12" s="8"/>
      <c r="H12" s="8">
        <f t="shared" si="0"/>
        <v>0</v>
      </c>
      <c r="I12" s="8">
        <f t="shared" si="1"/>
        <v>0</v>
      </c>
      <c r="J12" s="8">
        <f t="shared" si="2"/>
        <v>0</v>
      </c>
      <c r="K12" s="9">
        <f t="shared" si="5"/>
        <v>0.33333333333333331</v>
      </c>
      <c r="L12" s="10">
        <f t="shared" si="6"/>
        <v>-2.6666666666666665</v>
      </c>
    </row>
    <row r="13" spans="1:17" x14ac:dyDescent="0.25">
      <c r="A13" s="53"/>
      <c r="B13" s="6" t="str">
        <f t="shared" si="3"/>
        <v>domingo</v>
      </c>
      <c r="C13" s="7">
        <f t="shared" si="4"/>
        <v>41344</v>
      </c>
      <c r="D13" s="8"/>
      <c r="E13" s="8"/>
      <c r="F13" s="8"/>
      <c r="G13" s="8"/>
      <c r="H13" s="8">
        <f t="shared" si="0"/>
        <v>0</v>
      </c>
      <c r="I13" s="8">
        <f t="shared" si="1"/>
        <v>0</v>
      </c>
      <c r="J13" s="8">
        <f t="shared" si="2"/>
        <v>0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segunda-feira</v>
      </c>
      <c r="C14" s="7">
        <f t="shared" si="4"/>
        <v>41345</v>
      </c>
      <c r="D14" s="8"/>
      <c r="E14" s="8"/>
      <c r="F14" s="8"/>
      <c r="G14" s="8"/>
      <c r="H14" s="8">
        <f t="shared" si="0"/>
        <v>0</v>
      </c>
      <c r="I14" s="8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terça-feira</v>
      </c>
      <c r="C15" s="7">
        <f t="shared" si="4"/>
        <v>41346</v>
      </c>
      <c r="D15" s="8"/>
      <c r="E15" s="8"/>
      <c r="F15" s="8"/>
      <c r="G15" s="8"/>
      <c r="H15" s="8">
        <f t="shared" si="0"/>
        <v>0</v>
      </c>
      <c r="I15" s="8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quarta-feira</v>
      </c>
      <c r="C16" s="7">
        <f t="shared" si="4"/>
        <v>41347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8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4" x14ac:dyDescent="0.25">
      <c r="A17" s="53"/>
      <c r="B17" s="6" t="str">
        <f t="shared" si="3"/>
        <v>quinta-feira</v>
      </c>
      <c r="C17" s="7">
        <f t="shared" si="4"/>
        <v>41348</v>
      </c>
      <c r="D17" s="8"/>
      <c r="E17" s="8"/>
      <c r="F17" s="8"/>
      <c r="G17" s="8"/>
      <c r="H17" s="8">
        <f t="shared" si="0"/>
        <v>0</v>
      </c>
      <c r="I17" s="8">
        <f t="shared" si="1"/>
        <v>0.33333333333333331</v>
      </c>
      <c r="J17" s="8">
        <f t="shared" si="2"/>
        <v>-0.33333333333333331</v>
      </c>
      <c r="K17" s="9">
        <f t="shared" si="5"/>
        <v>0.33333333333333331</v>
      </c>
      <c r="L17" s="10">
        <f t="shared" si="6"/>
        <v>-4</v>
      </c>
      <c r="M17"/>
      <c r="N17"/>
    </row>
    <row r="18" spans="1:14" x14ac:dyDescent="0.25">
      <c r="A18" s="53"/>
      <c r="B18" s="6" t="str">
        <f t="shared" si="3"/>
        <v>sexta-feira</v>
      </c>
      <c r="C18" s="7">
        <f t="shared" si="4"/>
        <v>41349</v>
      </c>
      <c r="D18" s="8"/>
      <c r="E18" s="8"/>
      <c r="F18" s="8"/>
      <c r="G18" s="8"/>
      <c r="H18" s="8">
        <f t="shared" si="0"/>
        <v>0</v>
      </c>
      <c r="I18" s="8">
        <f t="shared" si="1"/>
        <v>0.33333333333333331</v>
      </c>
      <c r="J18" s="8">
        <f t="shared" si="2"/>
        <v>-0.33333333333333331</v>
      </c>
      <c r="K18" s="9">
        <f t="shared" si="5"/>
        <v>0.33333333333333331</v>
      </c>
      <c r="L18" s="10">
        <f t="shared" si="6"/>
        <v>-4.333333333333333</v>
      </c>
      <c r="M18"/>
      <c r="N18"/>
    </row>
    <row r="19" spans="1:14" x14ac:dyDescent="0.25">
      <c r="A19" s="53"/>
      <c r="B19" s="6" t="str">
        <f t="shared" si="3"/>
        <v>sábado</v>
      </c>
      <c r="C19" s="7">
        <f t="shared" si="4"/>
        <v>41350</v>
      </c>
      <c r="D19" s="8"/>
      <c r="E19" s="8"/>
      <c r="F19" s="8"/>
      <c r="G19" s="8"/>
      <c r="H19" s="8">
        <f t="shared" si="0"/>
        <v>0</v>
      </c>
      <c r="I19" s="8">
        <f t="shared" si="1"/>
        <v>0</v>
      </c>
      <c r="J19" s="8">
        <f t="shared" si="2"/>
        <v>0</v>
      </c>
      <c r="K19" s="9">
        <f t="shared" si="5"/>
        <v>0.33333333333333331</v>
      </c>
      <c r="L19" s="10">
        <f t="shared" si="6"/>
        <v>-4.333333333333333</v>
      </c>
      <c r="M19"/>
      <c r="N19"/>
    </row>
    <row r="20" spans="1:14" x14ac:dyDescent="0.25">
      <c r="A20" s="53"/>
      <c r="B20" s="6" t="str">
        <f t="shared" si="3"/>
        <v>domingo</v>
      </c>
      <c r="C20" s="7">
        <f t="shared" si="4"/>
        <v>41351</v>
      </c>
      <c r="D20" s="8"/>
      <c r="E20" s="8"/>
      <c r="F20" s="8"/>
      <c r="G20" s="8"/>
      <c r="H20" s="8">
        <f t="shared" si="0"/>
        <v>0</v>
      </c>
      <c r="I20" s="8">
        <f t="shared" si="1"/>
        <v>0</v>
      </c>
      <c r="J20" s="8">
        <f t="shared" si="2"/>
        <v>0</v>
      </c>
      <c r="K20" s="9">
        <f t="shared" si="5"/>
        <v>0.33333333333333331</v>
      </c>
      <c r="L20" s="10">
        <f t="shared" si="6"/>
        <v>-4.333333333333333</v>
      </c>
      <c r="M20"/>
      <c r="N20"/>
    </row>
    <row r="21" spans="1:14" x14ac:dyDescent="0.25">
      <c r="A21" s="53"/>
      <c r="B21" s="6" t="str">
        <f t="shared" si="3"/>
        <v>segunda-feira</v>
      </c>
      <c r="C21" s="7">
        <f t="shared" si="4"/>
        <v>41352</v>
      </c>
      <c r="D21" s="8"/>
      <c r="E21" s="8"/>
      <c r="F21" s="8"/>
      <c r="G21" s="8"/>
      <c r="H21" s="8">
        <f t="shared" si="0"/>
        <v>0</v>
      </c>
      <c r="I21" s="8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4" x14ac:dyDescent="0.25">
      <c r="A22" s="53"/>
      <c r="B22" s="6" t="str">
        <f t="shared" si="3"/>
        <v>terça-feira</v>
      </c>
      <c r="C22" s="7">
        <f t="shared" si="4"/>
        <v>41353</v>
      </c>
      <c r="D22" s="8"/>
      <c r="E22" s="8"/>
      <c r="F22" s="8"/>
      <c r="G22" s="8"/>
      <c r="H22" s="8">
        <f t="shared" si="0"/>
        <v>0</v>
      </c>
      <c r="I22" s="8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3"/>
        <v>quarta-feira</v>
      </c>
      <c r="C23" s="7">
        <f t="shared" si="4"/>
        <v>41354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8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</row>
    <row r="24" spans="1:14" x14ac:dyDescent="0.25">
      <c r="A24" s="53"/>
      <c r="B24" s="6" t="str">
        <f t="shared" si="3"/>
        <v>quinta-feira</v>
      </c>
      <c r="C24" s="7">
        <f t="shared" si="4"/>
        <v>41355</v>
      </c>
      <c r="D24" s="8"/>
      <c r="E24" s="8"/>
      <c r="F24" s="8"/>
      <c r="G24" s="8"/>
      <c r="H24" s="8">
        <f t="shared" si="0"/>
        <v>0</v>
      </c>
      <c r="I24" s="8">
        <f t="shared" si="1"/>
        <v>0.33333333333333331</v>
      </c>
      <c r="J24" s="8">
        <f t="shared" si="2"/>
        <v>-0.33333333333333331</v>
      </c>
      <c r="K24" s="9">
        <f t="shared" si="5"/>
        <v>0.33333333333333331</v>
      </c>
      <c r="L24" s="10">
        <f t="shared" si="6"/>
        <v>-5.6666666666666652</v>
      </c>
      <c r="M24"/>
      <c r="N24"/>
    </row>
    <row r="25" spans="1:14" x14ac:dyDescent="0.25">
      <c r="A25" s="53"/>
      <c r="B25" s="6" t="str">
        <f t="shared" si="3"/>
        <v>sexta-feira</v>
      </c>
      <c r="C25" s="7">
        <f t="shared" si="4"/>
        <v>41356</v>
      </c>
      <c r="D25" s="8"/>
      <c r="E25" s="8"/>
      <c r="F25" s="8"/>
      <c r="G25" s="8"/>
      <c r="H25" s="8">
        <f t="shared" si="0"/>
        <v>0</v>
      </c>
      <c r="I25" s="8">
        <f t="shared" si="1"/>
        <v>0.33333333333333331</v>
      </c>
      <c r="J25" s="8">
        <f t="shared" si="2"/>
        <v>-0.33333333333333331</v>
      </c>
      <c r="K25" s="9">
        <f t="shared" si="5"/>
        <v>0.33333333333333331</v>
      </c>
      <c r="L25" s="10">
        <f t="shared" si="6"/>
        <v>-5.9999999999999982</v>
      </c>
      <c r="M25"/>
      <c r="N25"/>
    </row>
    <row r="26" spans="1:14" x14ac:dyDescent="0.25">
      <c r="A26" s="53"/>
      <c r="B26" s="6" t="str">
        <f t="shared" si="3"/>
        <v>sábado</v>
      </c>
      <c r="C26" s="7">
        <f t="shared" si="4"/>
        <v>41357</v>
      </c>
      <c r="D26" s="8"/>
      <c r="E26" s="8"/>
      <c r="F26" s="8"/>
      <c r="G26" s="8"/>
      <c r="H26" s="8">
        <f t="shared" si="0"/>
        <v>0</v>
      </c>
      <c r="I26" s="8">
        <f t="shared" si="1"/>
        <v>0</v>
      </c>
      <c r="J26" s="8">
        <f t="shared" si="2"/>
        <v>0</v>
      </c>
      <c r="K26" s="9">
        <f t="shared" si="5"/>
        <v>0.33333333333333331</v>
      </c>
      <c r="L26" s="10">
        <f t="shared" si="6"/>
        <v>-5.9999999999999982</v>
      </c>
      <c r="M26"/>
      <c r="N26"/>
    </row>
    <row r="27" spans="1:14" x14ac:dyDescent="0.25">
      <c r="A27" s="53"/>
      <c r="B27" s="6" t="str">
        <f t="shared" si="3"/>
        <v>domingo</v>
      </c>
      <c r="C27" s="7">
        <f t="shared" si="4"/>
        <v>41358</v>
      </c>
      <c r="D27" s="8"/>
      <c r="E27" s="8"/>
      <c r="F27" s="8"/>
      <c r="G27" s="8"/>
      <c r="H27" s="8">
        <f t="shared" si="0"/>
        <v>0</v>
      </c>
      <c r="I27" s="8">
        <f t="shared" si="1"/>
        <v>0</v>
      </c>
      <c r="J27" s="8">
        <f t="shared" si="2"/>
        <v>0</v>
      </c>
      <c r="K27" s="9">
        <f t="shared" si="5"/>
        <v>0.33333333333333331</v>
      </c>
      <c r="L27" s="10">
        <f t="shared" si="6"/>
        <v>-5.9999999999999982</v>
      </c>
      <c r="M27"/>
      <c r="N27"/>
    </row>
    <row r="28" spans="1:14" x14ac:dyDescent="0.25">
      <c r="A28" s="53"/>
      <c r="B28" s="6" t="str">
        <f t="shared" si="3"/>
        <v>segunda-feira</v>
      </c>
      <c r="C28" s="7">
        <f t="shared" si="4"/>
        <v>41359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4" x14ac:dyDescent="0.25">
      <c r="A29" s="53"/>
      <c r="B29" s="6" t="str">
        <f t="shared" si="3"/>
        <v>terça-feira</v>
      </c>
      <c r="C29" s="7">
        <f t="shared" si="4"/>
        <v>41360</v>
      </c>
      <c r="D29" s="8"/>
      <c r="E29" s="8"/>
      <c r="F29" s="8"/>
      <c r="G29" s="8"/>
      <c r="H29" s="8">
        <f t="shared" si="0"/>
        <v>0</v>
      </c>
      <c r="I29" s="8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x14ac:dyDescent="0.25">
      <c r="A30" s="53"/>
      <c r="B30" s="6" t="str">
        <f t="shared" si="3"/>
        <v>quarta-feira</v>
      </c>
      <c r="C30" s="7">
        <f t="shared" si="4"/>
        <v>41361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8">
        <f t="shared" si="2"/>
        <v>-0.33333333333333331</v>
      </c>
      <c r="K30" s="9">
        <f t="shared" si="5"/>
        <v>0.33333333333333331</v>
      </c>
      <c r="L30" s="10">
        <f t="shared" si="6"/>
        <v>-6.9999999999999973</v>
      </c>
      <c r="M30"/>
      <c r="N30"/>
    </row>
    <row r="31" spans="1:14" x14ac:dyDescent="0.25">
      <c r="A31" s="53"/>
      <c r="B31" s="6" t="str">
        <f t="shared" si="3"/>
        <v>quinta-feira</v>
      </c>
      <c r="C31" s="7">
        <f t="shared" si="4"/>
        <v>41362</v>
      </c>
      <c r="D31" s="8"/>
      <c r="E31" s="8"/>
      <c r="F31" s="8"/>
      <c r="G31" s="8"/>
      <c r="H31" s="8">
        <f t="shared" si="0"/>
        <v>0</v>
      </c>
      <c r="I31" s="8">
        <f t="shared" si="1"/>
        <v>0.33333333333333331</v>
      </c>
      <c r="J31" s="8">
        <f t="shared" si="2"/>
        <v>-0.33333333333333331</v>
      </c>
      <c r="K31" s="9">
        <f t="shared" si="5"/>
        <v>0.33333333333333331</v>
      </c>
      <c r="L31" s="10">
        <f t="shared" si="6"/>
        <v>-7.3333333333333304</v>
      </c>
      <c r="M31"/>
      <c r="N31"/>
    </row>
    <row r="32" spans="1:14" ht="15.75" thickBot="1" x14ac:dyDescent="0.3">
      <c r="A32" s="54"/>
      <c r="B32" s="11" t="str">
        <f t="shared" si="3"/>
        <v>sexta-feira</v>
      </c>
      <c r="C32" s="12">
        <f t="shared" si="4"/>
        <v>41363</v>
      </c>
      <c r="D32" s="13"/>
      <c r="E32" s="13"/>
      <c r="F32" s="13"/>
      <c r="G32" s="13"/>
      <c r="H32" s="13">
        <f t="shared" si="0"/>
        <v>0</v>
      </c>
      <c r="I32" s="13">
        <f t="shared" si="1"/>
        <v>0.33333333333333331</v>
      </c>
      <c r="J32" s="13">
        <f t="shared" si="2"/>
        <v>-0.33333333333333331</v>
      </c>
      <c r="K32" s="14">
        <f t="shared" si="5"/>
        <v>0.33333333333333331</v>
      </c>
      <c r="L32" s="15">
        <f t="shared" si="6"/>
        <v>-7.6666666666666634</v>
      </c>
      <c r="M32"/>
      <c r="N32"/>
    </row>
    <row r="33" spans="4:14" ht="15.75" thickBot="1" x14ac:dyDescent="0.3">
      <c r="D33"/>
      <c r="E33"/>
      <c r="F33"/>
      <c r="G33"/>
      <c r="H33"/>
      <c r="I33"/>
      <c r="J33" s="20">
        <f>SUM(J2:J32)</f>
        <v>-7.6666666666666634</v>
      </c>
      <c r="K33"/>
      <c r="L33"/>
      <c r="M33"/>
      <c r="N33"/>
    </row>
  </sheetData>
  <conditionalFormatting sqref="J2:J32">
    <cfRule type="cellIs" dxfId="94" priority="8" operator="greaterThan">
      <formula>0</formula>
    </cfRule>
    <cfRule type="cellIs" dxfId="93" priority="9" operator="lessThan">
      <formula>0</formula>
    </cfRule>
  </conditionalFormatting>
  <conditionalFormatting sqref="B2:B32">
    <cfRule type="cellIs" dxfId="92" priority="6" operator="equal">
      <formula>"DOMINGO"</formula>
    </cfRule>
    <cfRule type="cellIs" dxfId="91" priority="7" operator="equal">
      <formula>"SÁBADO"</formula>
    </cfRule>
  </conditionalFormatting>
  <conditionalFormatting sqref="L2:L32">
    <cfRule type="cellIs" dxfId="90" priority="4" operator="greaterThan">
      <formula>0</formula>
    </cfRule>
    <cfRule type="cellIs" dxfId="89" priority="5" operator="lessThan">
      <formula>0</formula>
    </cfRule>
  </conditionalFormatting>
  <conditionalFormatting sqref="J33">
    <cfRule type="cellIs" dxfId="88" priority="2" operator="greaterThan">
      <formula>0</formula>
    </cfRule>
    <cfRule type="cellIs" dxfId="87" priority="3" operator="lessThan">
      <formula>0</formula>
    </cfRule>
  </conditionalFormatting>
  <conditionalFormatting sqref="C1:C1048576">
    <cfRule type="cellIs" dxfId="86" priority="1" operator="equal">
      <formula>$O$1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style="3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" style="1" bestFit="1" customWidth="1"/>
    <col min="15" max="15" width="10.7109375" bestFit="1" customWidth="1"/>
    <col min="16" max="16" width="13.42578125" bestFit="1" customWidth="1"/>
    <col min="17" max="17" width="5.5703125" bestFit="1" customWidth="1"/>
  </cols>
  <sheetData>
    <row r="1" spans="1:17" s="4" customFormat="1" ht="46.5" thickTop="1" thickBot="1" x14ac:dyDescent="0.3">
      <c r="A1" s="51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9">
        <f ca="1">NOW()</f>
        <v>41466.536496990739</v>
      </c>
    </row>
    <row r="2" spans="1:17" x14ac:dyDescent="0.25">
      <c r="A2" s="52"/>
      <c r="B2" s="23" t="str">
        <f>TEXT(C2,"DDDD")</f>
        <v>sábado</v>
      </c>
      <c r="C2" s="16">
        <f>MARÇO!C32+1</f>
        <v>41364</v>
      </c>
      <c r="D2" s="17"/>
      <c r="E2" s="17"/>
      <c r="F2" s="17"/>
      <c r="G2" s="17"/>
      <c r="H2" s="17">
        <f t="shared" ref="H2:H31" si="0">E2-D2+G2-F2</f>
        <v>0</v>
      </c>
      <c r="I2" s="17">
        <f t="shared" ref="I2:I31" si="1">IF(B2="SÁBADO",0,IF(B2="DOMINGO",0,IF(A2="FERIADO",0,IF(A2="ABONADO",0,IF(A2="ATESTADO",0,K2)))))</f>
        <v>0</v>
      </c>
      <c r="J2" s="17">
        <f t="shared" ref="J2:J31" si="2">H2-I2</f>
        <v>0</v>
      </c>
      <c r="K2" s="26">
        <f>CADASTRO!B7</f>
        <v>0.33333333333333331</v>
      </c>
      <c r="L2" s="19">
        <f>J2</f>
        <v>0</v>
      </c>
    </row>
    <row r="3" spans="1:17" x14ac:dyDescent="0.25">
      <c r="A3" s="53"/>
      <c r="B3" s="6" t="str">
        <f t="shared" ref="B3:B31" si="3">TEXT(C3,"DDDD")</f>
        <v>domingo</v>
      </c>
      <c r="C3" s="7">
        <f>C2+1</f>
        <v>41365</v>
      </c>
      <c r="D3" s="8"/>
      <c r="E3" s="8"/>
      <c r="F3" s="8"/>
      <c r="G3" s="8"/>
      <c r="H3" s="8">
        <f t="shared" si="0"/>
        <v>0</v>
      </c>
      <c r="I3" s="17">
        <f t="shared" si="1"/>
        <v>0</v>
      </c>
      <c r="J3" s="8">
        <f t="shared" si="2"/>
        <v>0</v>
      </c>
      <c r="K3" s="9">
        <f>K2</f>
        <v>0.33333333333333331</v>
      </c>
      <c r="L3" s="10">
        <f>L2+J3</f>
        <v>0</v>
      </c>
    </row>
    <row r="4" spans="1:17" x14ac:dyDescent="0.25">
      <c r="A4" s="53"/>
      <c r="B4" s="6" t="str">
        <f t="shared" si="3"/>
        <v>segunda-feira</v>
      </c>
      <c r="C4" s="7">
        <f t="shared" ref="C4:C31" si="4">C3+1</f>
        <v>41366</v>
      </c>
      <c r="D4" s="8"/>
      <c r="E4" s="8"/>
      <c r="F4" s="8"/>
      <c r="G4" s="8"/>
      <c r="H4" s="8">
        <f t="shared" si="0"/>
        <v>0</v>
      </c>
      <c r="I4" s="17">
        <f t="shared" si="1"/>
        <v>0.33333333333333331</v>
      </c>
      <c r="J4" s="8">
        <f t="shared" si="2"/>
        <v>-0.33333333333333331</v>
      </c>
      <c r="K4" s="9">
        <f t="shared" ref="K4:K31" si="5">K3</f>
        <v>0.33333333333333331</v>
      </c>
      <c r="L4" s="10">
        <f t="shared" ref="L4:L31" si="6">L3+J4</f>
        <v>-0.33333333333333331</v>
      </c>
    </row>
    <row r="5" spans="1:17" x14ac:dyDescent="0.25">
      <c r="A5" s="53"/>
      <c r="B5" s="6" t="s">
        <v>19</v>
      </c>
      <c r="C5" s="7">
        <f t="shared" si="4"/>
        <v>41367</v>
      </c>
      <c r="D5" s="8"/>
      <c r="E5" s="8"/>
      <c r="F5" s="8"/>
      <c r="G5" s="8"/>
      <c r="H5" s="8">
        <f t="shared" si="0"/>
        <v>0</v>
      </c>
      <c r="I5" s="17">
        <f t="shared" si="1"/>
        <v>0.33333333333333331</v>
      </c>
      <c r="J5" s="8">
        <f t="shared" si="2"/>
        <v>-0.33333333333333331</v>
      </c>
      <c r="K5" s="9">
        <f t="shared" si="5"/>
        <v>0.33333333333333331</v>
      </c>
      <c r="L5" s="10">
        <f t="shared" si="6"/>
        <v>-0.66666666666666663</v>
      </c>
    </row>
    <row r="6" spans="1:17" x14ac:dyDescent="0.25">
      <c r="A6" s="53"/>
      <c r="B6" s="6" t="str">
        <f t="shared" si="3"/>
        <v>quarta-feira</v>
      </c>
      <c r="C6" s="7">
        <f t="shared" si="4"/>
        <v>41368</v>
      </c>
      <c r="D6" s="8"/>
      <c r="E6" s="8"/>
      <c r="F6" s="8"/>
      <c r="G6" s="8"/>
      <c r="H6" s="8">
        <f t="shared" si="0"/>
        <v>0</v>
      </c>
      <c r="I6" s="17">
        <f t="shared" si="1"/>
        <v>0.33333333333333331</v>
      </c>
      <c r="J6" s="8">
        <f t="shared" si="2"/>
        <v>-0.33333333333333331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quinta-feira</v>
      </c>
      <c r="C7" s="7">
        <f t="shared" si="4"/>
        <v>41369</v>
      </c>
      <c r="D7" s="8"/>
      <c r="E7" s="8"/>
      <c r="F7" s="8"/>
      <c r="G7" s="8"/>
      <c r="H7" s="8">
        <f t="shared" si="0"/>
        <v>0</v>
      </c>
      <c r="I7" s="17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sexta-feira</v>
      </c>
      <c r="C8" s="7">
        <f t="shared" si="4"/>
        <v>41370</v>
      </c>
      <c r="D8" s="8"/>
      <c r="E8" s="8"/>
      <c r="F8" s="8"/>
      <c r="G8" s="8"/>
      <c r="H8" s="8">
        <f t="shared" si="0"/>
        <v>0</v>
      </c>
      <c r="I8" s="17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sábado</v>
      </c>
      <c r="C9" s="7">
        <f t="shared" si="4"/>
        <v>41371</v>
      </c>
      <c r="D9" s="8"/>
      <c r="E9" s="8"/>
      <c r="F9" s="8"/>
      <c r="G9" s="8"/>
      <c r="H9" s="8">
        <f t="shared" si="0"/>
        <v>0</v>
      </c>
      <c r="I9" s="17">
        <f t="shared" si="1"/>
        <v>0</v>
      </c>
      <c r="J9" s="8">
        <f t="shared" si="2"/>
        <v>0</v>
      </c>
      <c r="K9" s="9">
        <f t="shared" si="5"/>
        <v>0.33333333333333331</v>
      </c>
      <c r="L9" s="10">
        <f t="shared" si="6"/>
        <v>-1.6666666666666665</v>
      </c>
    </row>
    <row r="10" spans="1:17" x14ac:dyDescent="0.25">
      <c r="A10" s="53"/>
      <c r="B10" s="6" t="str">
        <f t="shared" si="3"/>
        <v>domingo</v>
      </c>
      <c r="C10" s="7">
        <f t="shared" si="4"/>
        <v>41372</v>
      </c>
      <c r="D10" s="8"/>
      <c r="E10" s="8"/>
      <c r="F10" s="8"/>
      <c r="G10" s="8"/>
      <c r="H10" s="8">
        <f t="shared" si="0"/>
        <v>0</v>
      </c>
      <c r="I10" s="17">
        <f t="shared" si="1"/>
        <v>0</v>
      </c>
      <c r="J10" s="8">
        <f t="shared" si="2"/>
        <v>0</v>
      </c>
      <c r="K10" s="9">
        <f t="shared" si="5"/>
        <v>0.33333333333333331</v>
      </c>
      <c r="L10" s="10">
        <f t="shared" si="6"/>
        <v>-1.6666666666666665</v>
      </c>
    </row>
    <row r="11" spans="1:17" x14ac:dyDescent="0.25">
      <c r="A11" s="53"/>
      <c r="B11" s="6" t="str">
        <f t="shared" si="3"/>
        <v>segunda-feira</v>
      </c>
      <c r="C11" s="7">
        <f t="shared" si="4"/>
        <v>41373</v>
      </c>
      <c r="D11" s="8"/>
      <c r="E11" s="8"/>
      <c r="F11" s="8"/>
      <c r="G11" s="8"/>
      <c r="H11" s="8">
        <f t="shared" si="0"/>
        <v>0</v>
      </c>
      <c r="I11" s="17">
        <f t="shared" si="1"/>
        <v>0.33333333333333331</v>
      </c>
      <c r="J11" s="8">
        <f t="shared" si="2"/>
        <v>-0.33333333333333331</v>
      </c>
      <c r="K11" s="9">
        <f t="shared" si="5"/>
        <v>0.33333333333333331</v>
      </c>
      <c r="L11" s="10">
        <f t="shared" si="6"/>
        <v>-1.9999999999999998</v>
      </c>
    </row>
    <row r="12" spans="1:17" x14ac:dyDescent="0.25">
      <c r="A12" s="53"/>
      <c r="B12" s="6" t="str">
        <f t="shared" si="3"/>
        <v>terça-feira</v>
      </c>
      <c r="C12" s="7">
        <f t="shared" si="4"/>
        <v>41374</v>
      </c>
      <c r="D12" s="8"/>
      <c r="E12" s="8"/>
      <c r="F12" s="8"/>
      <c r="G12" s="8"/>
      <c r="H12" s="8">
        <f t="shared" si="0"/>
        <v>0</v>
      </c>
      <c r="I12" s="17">
        <f t="shared" si="1"/>
        <v>0.33333333333333331</v>
      </c>
      <c r="J12" s="8">
        <f t="shared" si="2"/>
        <v>-0.33333333333333331</v>
      </c>
      <c r="K12" s="9">
        <f t="shared" si="5"/>
        <v>0.33333333333333331</v>
      </c>
      <c r="L12" s="10">
        <f t="shared" si="6"/>
        <v>-2.333333333333333</v>
      </c>
    </row>
    <row r="13" spans="1:17" x14ac:dyDescent="0.25">
      <c r="A13" s="53"/>
      <c r="B13" s="6" t="str">
        <f t="shared" si="3"/>
        <v>quarta-feira</v>
      </c>
      <c r="C13" s="7">
        <f t="shared" si="4"/>
        <v>41375</v>
      </c>
      <c r="D13" s="8"/>
      <c r="E13" s="8"/>
      <c r="F13" s="8"/>
      <c r="G13" s="8"/>
      <c r="H13" s="8">
        <f t="shared" si="0"/>
        <v>0</v>
      </c>
      <c r="I13" s="17">
        <f t="shared" si="1"/>
        <v>0.33333333333333331</v>
      </c>
      <c r="J13" s="8">
        <f t="shared" si="2"/>
        <v>-0.33333333333333331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quinta-feira</v>
      </c>
      <c r="C14" s="7">
        <f t="shared" si="4"/>
        <v>41376</v>
      </c>
      <c r="D14" s="8"/>
      <c r="E14" s="8"/>
      <c r="F14" s="8"/>
      <c r="G14" s="8"/>
      <c r="H14" s="8">
        <f t="shared" si="0"/>
        <v>0</v>
      </c>
      <c r="I14" s="17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sexta-feira</v>
      </c>
      <c r="C15" s="7">
        <f t="shared" si="4"/>
        <v>41377</v>
      </c>
      <c r="D15" s="8"/>
      <c r="E15" s="8"/>
      <c r="F15" s="8"/>
      <c r="G15" s="8"/>
      <c r="H15" s="8">
        <f t="shared" si="0"/>
        <v>0</v>
      </c>
      <c r="I15" s="17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sábado</v>
      </c>
      <c r="C16" s="7">
        <f t="shared" si="4"/>
        <v>41378</v>
      </c>
      <c r="D16" s="8"/>
      <c r="E16" s="8"/>
      <c r="F16" s="8"/>
      <c r="G16" s="8"/>
      <c r="H16" s="8">
        <f t="shared" si="0"/>
        <v>0</v>
      </c>
      <c r="I16" s="17">
        <f t="shared" si="1"/>
        <v>0</v>
      </c>
      <c r="J16" s="8">
        <f t="shared" si="2"/>
        <v>0</v>
      </c>
      <c r="K16" s="9">
        <f t="shared" si="5"/>
        <v>0.33333333333333331</v>
      </c>
      <c r="L16" s="10">
        <f t="shared" si="6"/>
        <v>-3.3333333333333335</v>
      </c>
    </row>
    <row r="17" spans="1:18" x14ac:dyDescent="0.25">
      <c r="A17" s="53"/>
      <c r="B17" s="6" t="str">
        <f t="shared" si="3"/>
        <v>domingo</v>
      </c>
      <c r="C17" s="7">
        <f t="shared" si="4"/>
        <v>41379</v>
      </c>
      <c r="D17" s="8"/>
      <c r="E17" s="8"/>
      <c r="F17" s="8"/>
      <c r="G17" s="8"/>
      <c r="H17" s="8">
        <f t="shared" si="0"/>
        <v>0</v>
      </c>
      <c r="I17" s="17">
        <f t="shared" si="1"/>
        <v>0</v>
      </c>
      <c r="J17" s="8">
        <f t="shared" si="2"/>
        <v>0</v>
      </c>
      <c r="K17" s="9">
        <f t="shared" si="5"/>
        <v>0.33333333333333331</v>
      </c>
      <c r="L17" s="10">
        <f t="shared" si="6"/>
        <v>-3.3333333333333335</v>
      </c>
      <c r="M17"/>
      <c r="N17"/>
      <c r="P17" s="40"/>
      <c r="Q17" s="69"/>
      <c r="R17" s="69"/>
    </row>
    <row r="18" spans="1:18" x14ac:dyDescent="0.25">
      <c r="A18" s="53"/>
      <c r="B18" s="6" t="str">
        <f t="shared" si="3"/>
        <v>segunda-feira</v>
      </c>
      <c r="C18" s="7">
        <f t="shared" si="4"/>
        <v>41380</v>
      </c>
      <c r="D18" s="8"/>
      <c r="E18" s="8"/>
      <c r="F18" s="8"/>
      <c r="G18" s="8"/>
      <c r="H18" s="8">
        <f t="shared" si="0"/>
        <v>0</v>
      </c>
      <c r="I18" s="17">
        <f t="shared" si="1"/>
        <v>0.33333333333333331</v>
      </c>
      <c r="J18" s="8">
        <f t="shared" si="2"/>
        <v>-0.33333333333333331</v>
      </c>
      <c r="K18" s="9">
        <f t="shared" si="5"/>
        <v>0.33333333333333331</v>
      </c>
      <c r="L18" s="10">
        <f t="shared" si="6"/>
        <v>-3.666666666666667</v>
      </c>
      <c r="M18"/>
      <c r="N18"/>
      <c r="P18" s="40"/>
      <c r="Q18" s="70"/>
      <c r="R18" s="70"/>
    </row>
    <row r="19" spans="1:18" x14ac:dyDescent="0.25">
      <c r="A19" s="53"/>
      <c r="B19" s="6" t="str">
        <f t="shared" si="3"/>
        <v>terça-feira</v>
      </c>
      <c r="C19" s="7">
        <f t="shared" si="4"/>
        <v>41381</v>
      </c>
      <c r="D19" s="8"/>
      <c r="E19" s="8"/>
      <c r="F19" s="8"/>
      <c r="G19" s="8"/>
      <c r="H19" s="8">
        <f t="shared" si="0"/>
        <v>0</v>
      </c>
      <c r="I19" s="17">
        <f t="shared" si="1"/>
        <v>0.33333333333333331</v>
      </c>
      <c r="J19" s="8">
        <f t="shared" si="2"/>
        <v>-0.33333333333333331</v>
      </c>
      <c r="K19" s="9">
        <f t="shared" si="5"/>
        <v>0.33333333333333331</v>
      </c>
      <c r="L19" s="10">
        <f t="shared" si="6"/>
        <v>-4</v>
      </c>
      <c r="M19"/>
      <c r="N19"/>
      <c r="P19" s="40"/>
      <c r="Q19" s="70"/>
      <c r="R19" s="70"/>
    </row>
    <row r="20" spans="1:18" x14ac:dyDescent="0.25">
      <c r="A20" s="53"/>
      <c r="B20" s="6" t="str">
        <f t="shared" si="3"/>
        <v>quarta-feira</v>
      </c>
      <c r="C20" s="7">
        <f t="shared" si="4"/>
        <v>41382</v>
      </c>
      <c r="D20" s="8"/>
      <c r="E20" s="8"/>
      <c r="F20" s="8"/>
      <c r="G20" s="8"/>
      <c r="H20" s="8">
        <f t="shared" si="0"/>
        <v>0</v>
      </c>
      <c r="I20" s="17">
        <f t="shared" si="1"/>
        <v>0.33333333333333331</v>
      </c>
      <c r="J20" s="8">
        <f t="shared" si="2"/>
        <v>-0.33333333333333331</v>
      </c>
      <c r="K20" s="9">
        <f t="shared" si="5"/>
        <v>0.33333333333333331</v>
      </c>
      <c r="L20" s="10">
        <f t="shared" si="6"/>
        <v>-4.333333333333333</v>
      </c>
      <c r="M20"/>
      <c r="N20"/>
    </row>
    <row r="21" spans="1:18" x14ac:dyDescent="0.25">
      <c r="A21" s="53"/>
      <c r="B21" s="6" t="str">
        <f t="shared" si="3"/>
        <v>quinta-feira</v>
      </c>
      <c r="C21" s="7">
        <f t="shared" si="4"/>
        <v>41383</v>
      </c>
      <c r="D21" s="8"/>
      <c r="E21" s="8"/>
      <c r="F21" s="8"/>
      <c r="G21" s="8"/>
      <c r="H21" s="8">
        <f t="shared" si="0"/>
        <v>0</v>
      </c>
      <c r="I21" s="17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8" x14ac:dyDescent="0.25">
      <c r="A22" s="53"/>
      <c r="B22" s="6" t="s">
        <v>19</v>
      </c>
      <c r="C22" s="7">
        <f t="shared" si="4"/>
        <v>41384</v>
      </c>
      <c r="D22" s="8"/>
      <c r="E22" s="8"/>
      <c r="F22" s="8"/>
      <c r="G22" s="8"/>
      <c r="H22" s="8">
        <f t="shared" si="0"/>
        <v>0</v>
      </c>
      <c r="I22" s="17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8" x14ac:dyDescent="0.25">
      <c r="A23" s="53"/>
      <c r="B23" s="6" t="str">
        <f t="shared" si="3"/>
        <v>sábado</v>
      </c>
      <c r="C23" s="7">
        <f t="shared" si="4"/>
        <v>41385</v>
      </c>
      <c r="D23" s="8"/>
      <c r="E23" s="8"/>
      <c r="F23" s="8"/>
      <c r="G23" s="8"/>
      <c r="H23" s="8">
        <f t="shared" si="0"/>
        <v>0</v>
      </c>
      <c r="I23" s="17">
        <f t="shared" si="1"/>
        <v>0</v>
      </c>
      <c r="J23" s="8">
        <f t="shared" si="2"/>
        <v>0</v>
      </c>
      <c r="K23" s="9">
        <f t="shared" si="5"/>
        <v>0.33333333333333331</v>
      </c>
      <c r="L23" s="10">
        <f t="shared" si="6"/>
        <v>-4.9999999999999991</v>
      </c>
      <c r="M23"/>
      <c r="N23"/>
    </row>
    <row r="24" spans="1:18" x14ac:dyDescent="0.25">
      <c r="A24" s="53"/>
      <c r="B24" s="6" t="str">
        <f t="shared" si="3"/>
        <v>domingo</v>
      </c>
      <c r="C24" s="7">
        <f t="shared" si="4"/>
        <v>41386</v>
      </c>
      <c r="D24" s="8"/>
      <c r="E24" s="8"/>
      <c r="F24" s="8"/>
      <c r="G24" s="8"/>
      <c r="H24" s="8">
        <f t="shared" si="0"/>
        <v>0</v>
      </c>
      <c r="I24" s="17">
        <f t="shared" si="1"/>
        <v>0</v>
      </c>
      <c r="J24" s="8">
        <f t="shared" si="2"/>
        <v>0</v>
      </c>
      <c r="K24" s="9">
        <f t="shared" si="5"/>
        <v>0.33333333333333331</v>
      </c>
      <c r="L24" s="10">
        <f t="shared" si="6"/>
        <v>-4.9999999999999991</v>
      </c>
      <c r="M24"/>
      <c r="N24"/>
    </row>
    <row r="25" spans="1:18" x14ac:dyDescent="0.25">
      <c r="A25" s="53"/>
      <c r="B25" s="6" t="str">
        <f t="shared" si="3"/>
        <v>segunda-feira</v>
      </c>
      <c r="C25" s="7">
        <f t="shared" si="4"/>
        <v>41387</v>
      </c>
      <c r="D25" s="8"/>
      <c r="E25" s="8"/>
      <c r="F25" s="8"/>
      <c r="G25" s="8"/>
      <c r="H25" s="8">
        <f t="shared" si="0"/>
        <v>0</v>
      </c>
      <c r="I25" s="17">
        <f t="shared" si="1"/>
        <v>0.33333333333333331</v>
      </c>
      <c r="J25" s="8">
        <f t="shared" si="2"/>
        <v>-0.33333333333333331</v>
      </c>
      <c r="K25" s="9">
        <f t="shared" si="5"/>
        <v>0.33333333333333331</v>
      </c>
      <c r="L25" s="10">
        <f t="shared" si="6"/>
        <v>-5.3333333333333321</v>
      </c>
      <c r="M25"/>
      <c r="N25"/>
    </row>
    <row r="26" spans="1:18" x14ac:dyDescent="0.25">
      <c r="A26" s="53"/>
      <c r="B26" s="6" t="str">
        <f t="shared" si="3"/>
        <v>terça-feira</v>
      </c>
      <c r="C26" s="7">
        <f t="shared" si="4"/>
        <v>41388</v>
      </c>
      <c r="D26" s="8"/>
      <c r="E26" s="8"/>
      <c r="F26" s="8"/>
      <c r="G26" s="8"/>
      <c r="H26" s="8">
        <f t="shared" si="0"/>
        <v>0</v>
      </c>
      <c r="I26" s="17">
        <f t="shared" si="1"/>
        <v>0.33333333333333331</v>
      </c>
      <c r="J26" s="8">
        <f t="shared" si="2"/>
        <v>-0.33333333333333331</v>
      </c>
      <c r="K26" s="9">
        <f t="shared" si="5"/>
        <v>0.33333333333333331</v>
      </c>
      <c r="L26" s="10">
        <f t="shared" si="6"/>
        <v>-5.6666666666666652</v>
      </c>
      <c r="M26"/>
      <c r="N26"/>
    </row>
    <row r="27" spans="1:18" x14ac:dyDescent="0.25">
      <c r="A27" s="53"/>
      <c r="B27" s="6" t="str">
        <f t="shared" si="3"/>
        <v>quarta-feira</v>
      </c>
      <c r="C27" s="7">
        <f t="shared" si="4"/>
        <v>41389</v>
      </c>
      <c r="D27" s="8"/>
      <c r="E27" s="8"/>
      <c r="F27" s="8"/>
      <c r="G27" s="8"/>
      <c r="H27" s="8">
        <f t="shared" si="0"/>
        <v>0</v>
      </c>
      <c r="I27" s="17">
        <f t="shared" si="1"/>
        <v>0.33333333333333331</v>
      </c>
      <c r="J27" s="8">
        <f t="shared" si="2"/>
        <v>-0.33333333333333331</v>
      </c>
      <c r="K27" s="9">
        <f t="shared" si="5"/>
        <v>0.33333333333333331</v>
      </c>
      <c r="L27" s="10">
        <f t="shared" si="6"/>
        <v>-5.9999999999999982</v>
      </c>
      <c r="M27"/>
      <c r="N27"/>
    </row>
    <row r="28" spans="1:18" x14ac:dyDescent="0.25">
      <c r="A28" s="53"/>
      <c r="B28" s="6" t="str">
        <f t="shared" si="3"/>
        <v>quinta-feira</v>
      </c>
      <c r="C28" s="7">
        <f t="shared" si="4"/>
        <v>41390</v>
      </c>
      <c r="D28" s="8"/>
      <c r="E28" s="8"/>
      <c r="F28" s="8"/>
      <c r="G28" s="8"/>
      <c r="H28" s="8">
        <f t="shared" si="0"/>
        <v>0</v>
      </c>
      <c r="I28" s="17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8" x14ac:dyDescent="0.25">
      <c r="A29" s="53"/>
      <c r="B29" s="6" t="str">
        <f t="shared" si="3"/>
        <v>sexta-feira</v>
      </c>
      <c r="C29" s="7">
        <f t="shared" si="4"/>
        <v>41391</v>
      </c>
      <c r="D29" s="8"/>
      <c r="E29" s="8"/>
      <c r="F29" s="8"/>
      <c r="G29" s="8"/>
      <c r="H29" s="8">
        <f t="shared" si="0"/>
        <v>0</v>
      </c>
      <c r="I29" s="17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8" x14ac:dyDescent="0.25">
      <c r="A30" s="53"/>
      <c r="B30" s="6" t="str">
        <f t="shared" si="3"/>
        <v>sábado</v>
      </c>
      <c r="C30" s="7">
        <f t="shared" si="4"/>
        <v>41392</v>
      </c>
      <c r="D30" s="8"/>
      <c r="E30" s="8"/>
      <c r="F30" s="8"/>
      <c r="G30" s="8"/>
      <c r="H30" s="8">
        <f t="shared" si="0"/>
        <v>0</v>
      </c>
      <c r="I30" s="17">
        <f t="shared" si="1"/>
        <v>0</v>
      </c>
      <c r="J30" s="8">
        <f t="shared" si="2"/>
        <v>0</v>
      </c>
      <c r="K30" s="9">
        <f t="shared" si="5"/>
        <v>0.33333333333333331</v>
      </c>
      <c r="L30" s="10">
        <f t="shared" si="6"/>
        <v>-6.6666666666666643</v>
      </c>
      <c r="M30"/>
      <c r="N30"/>
    </row>
    <row r="31" spans="1:18" ht="15.75" thickBot="1" x14ac:dyDescent="0.3">
      <c r="A31" s="54"/>
      <c r="B31" s="11" t="str">
        <f t="shared" si="3"/>
        <v>domingo</v>
      </c>
      <c r="C31" s="12">
        <f t="shared" si="4"/>
        <v>41393</v>
      </c>
      <c r="D31" s="13"/>
      <c r="E31" s="13"/>
      <c r="F31" s="13"/>
      <c r="G31" s="13"/>
      <c r="H31" s="13">
        <f t="shared" si="0"/>
        <v>0</v>
      </c>
      <c r="I31" s="13">
        <f t="shared" si="1"/>
        <v>0</v>
      </c>
      <c r="J31" s="13">
        <f t="shared" si="2"/>
        <v>0</v>
      </c>
      <c r="K31" s="14">
        <f t="shared" si="5"/>
        <v>0.33333333333333331</v>
      </c>
      <c r="L31" s="15">
        <f t="shared" si="6"/>
        <v>-6.6666666666666643</v>
      </c>
      <c r="M31"/>
      <c r="N31"/>
    </row>
    <row r="32" spans="1:18" ht="15.75" thickBot="1" x14ac:dyDescent="0.3">
      <c r="J32" s="20">
        <f>SUM(J2:J31)</f>
        <v>-6.6666666666666643</v>
      </c>
      <c r="K32" s="43"/>
      <c r="M32"/>
      <c r="N32"/>
    </row>
  </sheetData>
  <mergeCells count="3">
    <mergeCell ref="Q17:R17"/>
    <mergeCell ref="Q18:R18"/>
    <mergeCell ref="Q19:R19"/>
  </mergeCells>
  <conditionalFormatting sqref="J2:J31">
    <cfRule type="cellIs" dxfId="85" priority="18" operator="greaterThan">
      <formula>0</formula>
    </cfRule>
    <cfRule type="cellIs" dxfId="84" priority="19" operator="lessThan">
      <formula>0</formula>
    </cfRule>
  </conditionalFormatting>
  <conditionalFormatting sqref="L2:L31">
    <cfRule type="cellIs" dxfId="83" priority="1" operator="lessThan">
      <formula>0</formula>
    </cfRule>
    <cfRule type="cellIs" dxfId="82" priority="2" operator="greaterThan">
      <formula>0</formula>
    </cfRule>
    <cfRule type="cellIs" dxfId="81" priority="14" operator="equal">
      <formula>"SIM"</formula>
    </cfRule>
    <cfRule type="cellIs" dxfId="80" priority="15" operator="equal">
      <formula>"NÃO"</formula>
    </cfRule>
  </conditionalFormatting>
  <conditionalFormatting sqref="J32">
    <cfRule type="cellIs" dxfId="79" priority="12" operator="greaterThan">
      <formula>0</formula>
    </cfRule>
    <cfRule type="cellIs" dxfId="78" priority="13" operator="lessThan">
      <formula>0</formula>
    </cfRule>
  </conditionalFormatting>
  <conditionalFormatting sqref="B2:B31">
    <cfRule type="cellIs" dxfId="77" priority="10" operator="equal">
      <formula>"DOMINGO"</formula>
    </cfRule>
    <cfRule type="cellIs" dxfId="76" priority="11" operator="equal">
      <formula>"SÁBADO"</formula>
    </cfRule>
  </conditionalFormatting>
  <conditionalFormatting sqref="B1:B1048576">
    <cfRule type="cellIs" dxfId="75" priority="9" operator="equal">
      <formula>"FERIADO"</formula>
    </cfRule>
  </conditionalFormatting>
  <conditionalFormatting sqref="C1:C1048576">
    <cfRule type="timePeriod" dxfId="74" priority="8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A2:A30 A31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8.5703125" style="1" customWidth="1"/>
    <col min="15" max="15" width="12.140625" style="1" bestFit="1" customWidth="1"/>
    <col min="16" max="16" width="10.7109375" bestFit="1" customWidth="1"/>
    <col min="17" max="17" width="13.42578125" bestFit="1" customWidth="1"/>
  </cols>
  <sheetData>
    <row r="1" spans="1:18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5"/>
      <c r="O1" s="36" t="s">
        <v>20</v>
      </c>
      <c r="P1" s="35">
        <f ca="1">TODAY()</f>
        <v>41466</v>
      </c>
      <c r="Q1" s="38" t="str">
        <f ca="1">TEXT(P1,"DDDD")</f>
        <v>quarta-feira</v>
      </c>
      <c r="R1" s="37">
        <f ca="1">NOW()</f>
        <v>41466.536496990739</v>
      </c>
    </row>
    <row r="2" spans="1:18" x14ac:dyDescent="0.25">
      <c r="A2" s="52"/>
      <c r="B2" s="23" t="str">
        <f>TEXT(C2,"DDDD")</f>
        <v>segunda-feira</v>
      </c>
      <c r="C2" s="24">
        <f>ABRIL!C31+1</f>
        <v>41394</v>
      </c>
      <c r="D2" s="25"/>
      <c r="E2" s="25"/>
      <c r="F2" s="25"/>
      <c r="G2" s="25"/>
      <c r="H2" s="25">
        <f t="shared" ref="H2:H32" si="0">E2-D2+G2-F2</f>
        <v>0</v>
      </c>
      <c r="I2" s="8">
        <f t="shared" ref="I2:I32" si="1">IF(B2="SÁBADO",0,IF(B2="DOMINGO",0,IF(A2="FERIADO",0,IF(A2="ABONADO",0,IF(A2="ATESTADO",0,K2)))))</f>
        <v>0.33333333333333331</v>
      </c>
      <c r="J2" s="28">
        <f t="shared" ref="J2:J31" si="2">H2-I2</f>
        <v>-0.33333333333333331</v>
      </c>
      <c r="K2" s="26">
        <f>CADASTRO!B9</f>
        <v>0.33333333333333331</v>
      </c>
      <c r="L2" s="27">
        <f>J2</f>
        <v>-0.33333333333333331</v>
      </c>
    </row>
    <row r="3" spans="1:18" x14ac:dyDescent="0.25">
      <c r="A3" s="53"/>
      <c r="B3" s="6" t="str">
        <f t="shared" ref="B3:B32" si="3">TEXT(C3,"DDDD")</f>
        <v>terça-feira</v>
      </c>
      <c r="C3" s="7">
        <f>C2+1</f>
        <v>41395</v>
      </c>
      <c r="D3" s="8"/>
      <c r="E3" s="8"/>
      <c r="F3" s="8"/>
      <c r="G3" s="8"/>
      <c r="H3" s="8">
        <f t="shared" si="0"/>
        <v>0</v>
      </c>
      <c r="I3" s="8">
        <f t="shared" si="1"/>
        <v>0.33333333333333331</v>
      </c>
      <c r="J3" s="29">
        <f t="shared" si="2"/>
        <v>-0.33333333333333331</v>
      </c>
      <c r="K3" s="9">
        <f>K2</f>
        <v>0.33333333333333331</v>
      </c>
      <c r="L3" s="10">
        <f>L2+J3</f>
        <v>-0.66666666666666663</v>
      </c>
    </row>
    <row r="4" spans="1:18" x14ac:dyDescent="0.25">
      <c r="A4" s="53"/>
      <c r="B4" s="6" t="str">
        <f t="shared" si="3"/>
        <v>quarta-feira</v>
      </c>
      <c r="C4" s="7">
        <f t="shared" ref="C4:C32" si="4">C3+1</f>
        <v>41396</v>
      </c>
      <c r="D4" s="8"/>
      <c r="E4" s="8"/>
      <c r="F4" s="8"/>
      <c r="G4" s="8"/>
      <c r="H4" s="8">
        <f t="shared" si="0"/>
        <v>0</v>
      </c>
      <c r="I4" s="8">
        <f t="shared" si="1"/>
        <v>0.33333333333333331</v>
      </c>
      <c r="J4" s="29">
        <f t="shared" si="2"/>
        <v>-0.33333333333333331</v>
      </c>
      <c r="K4" s="9">
        <f t="shared" ref="K4:K32" si="5">K3</f>
        <v>0.33333333333333331</v>
      </c>
      <c r="L4" s="10">
        <f t="shared" ref="L4:L31" si="6">L3+J4</f>
        <v>-1</v>
      </c>
    </row>
    <row r="5" spans="1:18" x14ac:dyDescent="0.25">
      <c r="A5" s="53"/>
      <c r="B5" s="6" t="str">
        <f t="shared" si="3"/>
        <v>quinta-feira</v>
      </c>
      <c r="C5" s="7">
        <f t="shared" si="4"/>
        <v>41397</v>
      </c>
      <c r="D5" s="8"/>
      <c r="E5" s="8"/>
      <c r="F5" s="8"/>
      <c r="G5" s="8"/>
      <c r="H5" s="8">
        <f t="shared" si="0"/>
        <v>0</v>
      </c>
      <c r="I5" s="8">
        <f t="shared" si="1"/>
        <v>0.33333333333333331</v>
      </c>
      <c r="J5" s="29">
        <f t="shared" si="2"/>
        <v>-0.33333333333333331</v>
      </c>
      <c r="K5" s="9">
        <f t="shared" si="5"/>
        <v>0.33333333333333331</v>
      </c>
      <c r="L5" s="10">
        <f t="shared" si="6"/>
        <v>-1.3333333333333333</v>
      </c>
    </row>
    <row r="6" spans="1:18" x14ac:dyDescent="0.25">
      <c r="A6" s="53"/>
      <c r="B6" s="6" t="str">
        <f t="shared" si="3"/>
        <v>sexta-feira</v>
      </c>
      <c r="C6" s="7">
        <f t="shared" si="4"/>
        <v>41398</v>
      </c>
      <c r="D6" s="8"/>
      <c r="E6" s="8"/>
      <c r="F6" s="8"/>
      <c r="G6" s="8"/>
      <c r="H6" s="8">
        <f t="shared" si="0"/>
        <v>0</v>
      </c>
      <c r="I6" s="8">
        <f t="shared" si="1"/>
        <v>0.33333333333333331</v>
      </c>
      <c r="J6" s="29">
        <f>H6-I6</f>
        <v>-0.33333333333333331</v>
      </c>
      <c r="K6" s="9">
        <f t="shared" si="5"/>
        <v>0.33333333333333331</v>
      </c>
      <c r="L6" s="10">
        <f t="shared" si="6"/>
        <v>-1.6666666666666665</v>
      </c>
    </row>
    <row r="7" spans="1:18" x14ac:dyDescent="0.25">
      <c r="A7" s="53"/>
      <c r="B7" s="6" t="str">
        <f t="shared" si="3"/>
        <v>sábado</v>
      </c>
      <c r="C7" s="7">
        <f t="shared" si="4"/>
        <v>41399</v>
      </c>
      <c r="D7" s="8"/>
      <c r="E7" s="8"/>
      <c r="F7" s="8"/>
      <c r="G7" s="8"/>
      <c r="H7" s="8">
        <f t="shared" si="0"/>
        <v>0</v>
      </c>
      <c r="I7" s="8">
        <f t="shared" si="1"/>
        <v>0</v>
      </c>
      <c r="J7" s="29">
        <f t="shared" si="2"/>
        <v>0</v>
      </c>
      <c r="K7" s="9">
        <f t="shared" si="5"/>
        <v>0.33333333333333331</v>
      </c>
      <c r="L7" s="10">
        <f t="shared" si="6"/>
        <v>-1.6666666666666665</v>
      </c>
    </row>
    <row r="8" spans="1:18" x14ac:dyDescent="0.25">
      <c r="A8" s="53"/>
      <c r="B8" s="6" t="str">
        <f t="shared" si="3"/>
        <v>domingo</v>
      </c>
      <c r="C8" s="7">
        <f t="shared" si="4"/>
        <v>41400</v>
      </c>
      <c r="D8" s="8"/>
      <c r="E8" s="8"/>
      <c r="F8" s="8"/>
      <c r="G8" s="8"/>
      <c r="H8" s="8">
        <f t="shared" si="0"/>
        <v>0</v>
      </c>
      <c r="I8" s="8">
        <f t="shared" si="1"/>
        <v>0</v>
      </c>
      <c r="J8" s="29">
        <f t="shared" si="2"/>
        <v>0</v>
      </c>
      <c r="K8" s="9">
        <f t="shared" si="5"/>
        <v>0.33333333333333331</v>
      </c>
      <c r="L8" s="10">
        <f t="shared" si="6"/>
        <v>-1.6666666666666665</v>
      </c>
    </row>
    <row r="9" spans="1:18" x14ac:dyDescent="0.25">
      <c r="A9" s="53"/>
      <c r="B9" s="6" t="str">
        <f t="shared" si="3"/>
        <v>segunda-feira</v>
      </c>
      <c r="C9" s="7">
        <f t="shared" si="4"/>
        <v>41401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29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8" x14ac:dyDescent="0.25">
      <c r="A10" s="53"/>
      <c r="B10" s="6" t="str">
        <f t="shared" si="3"/>
        <v>terça-feira</v>
      </c>
      <c r="C10" s="7">
        <f t="shared" si="4"/>
        <v>41402</v>
      </c>
      <c r="D10" s="8"/>
      <c r="E10" s="8"/>
      <c r="F10" s="8"/>
      <c r="G10" s="8"/>
      <c r="H10" s="8">
        <f t="shared" si="0"/>
        <v>0</v>
      </c>
      <c r="I10" s="8">
        <f t="shared" si="1"/>
        <v>0.33333333333333331</v>
      </c>
      <c r="J10" s="29">
        <f t="shared" si="2"/>
        <v>-0.33333333333333331</v>
      </c>
      <c r="K10" s="9">
        <f t="shared" si="5"/>
        <v>0.33333333333333331</v>
      </c>
      <c r="L10" s="10">
        <f t="shared" si="6"/>
        <v>-2.333333333333333</v>
      </c>
    </row>
    <row r="11" spans="1:18" x14ac:dyDescent="0.25">
      <c r="A11" s="53"/>
      <c r="B11" s="6" t="str">
        <f t="shared" si="3"/>
        <v>quarta-feira</v>
      </c>
      <c r="C11" s="7">
        <f t="shared" si="4"/>
        <v>41403</v>
      </c>
      <c r="D11" s="8"/>
      <c r="E11" s="8"/>
      <c r="F11" s="8"/>
      <c r="G11" s="8"/>
      <c r="H11" s="8">
        <f t="shared" si="0"/>
        <v>0</v>
      </c>
      <c r="I11" s="8">
        <f t="shared" si="1"/>
        <v>0.33333333333333331</v>
      </c>
      <c r="J11" s="29">
        <f t="shared" si="2"/>
        <v>-0.33333333333333331</v>
      </c>
      <c r="K11" s="9">
        <f t="shared" si="5"/>
        <v>0.33333333333333331</v>
      </c>
      <c r="L11" s="10">
        <f t="shared" si="6"/>
        <v>-2.6666666666666665</v>
      </c>
    </row>
    <row r="12" spans="1:18" x14ac:dyDescent="0.25">
      <c r="A12" s="53"/>
      <c r="B12" s="6" t="str">
        <f t="shared" si="3"/>
        <v>quinta-feira</v>
      </c>
      <c r="C12" s="7">
        <f t="shared" si="4"/>
        <v>41404</v>
      </c>
      <c r="D12" s="8"/>
      <c r="E12" s="8"/>
      <c r="F12" s="8"/>
      <c r="G12" s="8"/>
      <c r="H12" s="8">
        <f t="shared" si="0"/>
        <v>0</v>
      </c>
      <c r="I12" s="8">
        <f t="shared" si="1"/>
        <v>0.33333333333333331</v>
      </c>
      <c r="J12" s="29">
        <f t="shared" si="2"/>
        <v>-0.33333333333333331</v>
      </c>
      <c r="K12" s="9">
        <f t="shared" si="5"/>
        <v>0.33333333333333331</v>
      </c>
      <c r="L12" s="10">
        <f t="shared" si="6"/>
        <v>-3</v>
      </c>
    </row>
    <row r="13" spans="1:18" x14ac:dyDescent="0.25">
      <c r="A13" s="53"/>
      <c r="B13" s="6" t="str">
        <f t="shared" si="3"/>
        <v>sexta-feira</v>
      </c>
      <c r="C13" s="7">
        <f t="shared" si="4"/>
        <v>41405</v>
      </c>
      <c r="D13" s="8"/>
      <c r="E13" s="8"/>
      <c r="F13" s="8"/>
      <c r="G13" s="8"/>
      <c r="H13" s="8">
        <f t="shared" si="0"/>
        <v>0</v>
      </c>
      <c r="I13" s="8">
        <f t="shared" si="1"/>
        <v>0.33333333333333331</v>
      </c>
      <c r="J13" s="29">
        <f t="shared" si="2"/>
        <v>-0.33333333333333331</v>
      </c>
      <c r="K13" s="9">
        <f t="shared" si="5"/>
        <v>0.33333333333333331</v>
      </c>
      <c r="L13" s="10">
        <f t="shared" si="6"/>
        <v>-3.3333333333333335</v>
      </c>
    </row>
    <row r="14" spans="1:18" x14ac:dyDescent="0.25">
      <c r="A14" s="53"/>
      <c r="B14" s="6" t="str">
        <f t="shared" si="3"/>
        <v>sábado</v>
      </c>
      <c r="C14" s="7">
        <f t="shared" si="4"/>
        <v>41406</v>
      </c>
      <c r="D14" s="8"/>
      <c r="E14" s="8"/>
      <c r="F14" s="8"/>
      <c r="G14" s="8"/>
      <c r="H14" s="8">
        <f t="shared" si="0"/>
        <v>0</v>
      </c>
      <c r="I14" s="8">
        <f t="shared" si="1"/>
        <v>0</v>
      </c>
      <c r="J14" s="29">
        <f t="shared" si="2"/>
        <v>0</v>
      </c>
      <c r="K14" s="9">
        <f t="shared" si="5"/>
        <v>0.33333333333333331</v>
      </c>
      <c r="L14" s="10">
        <f t="shared" si="6"/>
        <v>-3.3333333333333335</v>
      </c>
    </row>
    <row r="15" spans="1:18" x14ac:dyDescent="0.25">
      <c r="A15" s="53"/>
      <c r="B15" s="6" t="str">
        <f t="shared" si="3"/>
        <v>domingo</v>
      </c>
      <c r="C15" s="7">
        <f t="shared" si="4"/>
        <v>41407</v>
      </c>
      <c r="D15" s="8"/>
      <c r="E15" s="8"/>
      <c r="F15" s="8"/>
      <c r="G15" s="8"/>
      <c r="H15" s="8">
        <f t="shared" si="0"/>
        <v>0</v>
      </c>
      <c r="I15" s="8">
        <f t="shared" si="1"/>
        <v>0</v>
      </c>
      <c r="J15" s="29">
        <f t="shared" si="2"/>
        <v>0</v>
      </c>
      <c r="K15" s="9">
        <f t="shared" si="5"/>
        <v>0.33333333333333331</v>
      </c>
      <c r="L15" s="10">
        <f t="shared" si="6"/>
        <v>-3.3333333333333335</v>
      </c>
    </row>
    <row r="16" spans="1:18" x14ac:dyDescent="0.25">
      <c r="A16" s="53"/>
      <c r="B16" s="6" t="str">
        <f t="shared" si="3"/>
        <v>segunda-feira</v>
      </c>
      <c r="C16" s="7">
        <f t="shared" si="4"/>
        <v>41408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29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5" x14ac:dyDescent="0.25">
      <c r="A17" s="53"/>
      <c r="B17" s="6" t="str">
        <f t="shared" si="3"/>
        <v>terça-feira</v>
      </c>
      <c r="C17" s="7">
        <f t="shared" si="4"/>
        <v>41409</v>
      </c>
      <c r="D17" s="8"/>
      <c r="E17" s="8"/>
      <c r="F17" s="8"/>
      <c r="G17" s="8"/>
      <c r="H17" s="8">
        <f t="shared" si="0"/>
        <v>0</v>
      </c>
      <c r="I17" s="8">
        <f t="shared" si="1"/>
        <v>0.33333333333333331</v>
      </c>
      <c r="J17" s="29">
        <f t="shared" si="2"/>
        <v>-0.33333333333333331</v>
      </c>
      <c r="K17" s="9">
        <f t="shared" si="5"/>
        <v>0.33333333333333331</v>
      </c>
      <c r="L17" s="10">
        <f t="shared" si="6"/>
        <v>-4</v>
      </c>
      <c r="M17"/>
      <c r="N17"/>
      <c r="O17"/>
    </row>
    <row r="18" spans="1:15" x14ac:dyDescent="0.25">
      <c r="A18" s="53"/>
      <c r="B18" s="6" t="str">
        <f t="shared" si="3"/>
        <v>quarta-feira</v>
      </c>
      <c r="C18" s="7">
        <f t="shared" si="4"/>
        <v>41410</v>
      </c>
      <c r="D18" s="8"/>
      <c r="E18" s="8"/>
      <c r="F18" s="8"/>
      <c r="G18" s="8"/>
      <c r="H18" s="8">
        <f t="shared" si="0"/>
        <v>0</v>
      </c>
      <c r="I18" s="8">
        <f t="shared" si="1"/>
        <v>0.33333333333333331</v>
      </c>
      <c r="J18" s="29">
        <f t="shared" si="2"/>
        <v>-0.33333333333333331</v>
      </c>
      <c r="K18" s="9">
        <f t="shared" si="5"/>
        <v>0.33333333333333331</v>
      </c>
      <c r="L18" s="10">
        <f t="shared" si="6"/>
        <v>-4.333333333333333</v>
      </c>
      <c r="M18"/>
      <c r="N18"/>
      <c r="O18"/>
    </row>
    <row r="19" spans="1:15" x14ac:dyDescent="0.25">
      <c r="A19" s="53"/>
      <c r="B19" s="6" t="str">
        <f t="shared" si="3"/>
        <v>quinta-feira</v>
      </c>
      <c r="C19" s="7">
        <f t="shared" si="4"/>
        <v>41411</v>
      </c>
      <c r="D19" s="8"/>
      <c r="E19" s="8"/>
      <c r="F19" s="8"/>
      <c r="G19" s="8"/>
      <c r="H19" s="8">
        <f t="shared" si="0"/>
        <v>0</v>
      </c>
      <c r="I19" s="8">
        <f t="shared" si="1"/>
        <v>0.33333333333333331</v>
      </c>
      <c r="J19" s="29">
        <f t="shared" si="2"/>
        <v>-0.33333333333333331</v>
      </c>
      <c r="K19" s="9">
        <f t="shared" si="5"/>
        <v>0.33333333333333331</v>
      </c>
      <c r="L19" s="10">
        <f t="shared" si="6"/>
        <v>-4.6666666666666661</v>
      </c>
      <c r="M19"/>
      <c r="N19"/>
      <c r="O19"/>
    </row>
    <row r="20" spans="1:15" x14ac:dyDescent="0.25">
      <c r="A20" s="53"/>
      <c r="B20" s="6" t="str">
        <f t="shared" si="3"/>
        <v>sexta-feira</v>
      </c>
      <c r="C20" s="7">
        <f t="shared" si="4"/>
        <v>41412</v>
      </c>
      <c r="D20" s="8"/>
      <c r="E20" s="8"/>
      <c r="F20" s="8"/>
      <c r="G20" s="8"/>
      <c r="H20" s="8">
        <f t="shared" si="0"/>
        <v>0</v>
      </c>
      <c r="I20" s="8">
        <f t="shared" si="1"/>
        <v>0.33333333333333331</v>
      </c>
      <c r="J20" s="29">
        <f t="shared" si="2"/>
        <v>-0.33333333333333331</v>
      </c>
      <c r="K20" s="9">
        <f t="shared" si="5"/>
        <v>0.33333333333333331</v>
      </c>
      <c r="L20" s="10">
        <f t="shared" si="6"/>
        <v>-4.9999999999999991</v>
      </c>
      <c r="M20"/>
      <c r="N20"/>
      <c r="O20"/>
    </row>
    <row r="21" spans="1:15" x14ac:dyDescent="0.25">
      <c r="A21" s="53"/>
      <c r="B21" s="6" t="str">
        <f t="shared" si="3"/>
        <v>sábado</v>
      </c>
      <c r="C21" s="7">
        <f t="shared" si="4"/>
        <v>41413</v>
      </c>
      <c r="D21" s="8"/>
      <c r="E21" s="8"/>
      <c r="F21" s="8"/>
      <c r="G21" s="8"/>
      <c r="H21" s="8">
        <f t="shared" si="0"/>
        <v>0</v>
      </c>
      <c r="I21" s="8">
        <f t="shared" si="1"/>
        <v>0</v>
      </c>
      <c r="J21" s="29">
        <f t="shared" si="2"/>
        <v>0</v>
      </c>
      <c r="K21" s="9">
        <f t="shared" si="5"/>
        <v>0.33333333333333331</v>
      </c>
      <c r="L21" s="10">
        <f t="shared" si="6"/>
        <v>-4.9999999999999991</v>
      </c>
      <c r="M21"/>
      <c r="N21"/>
      <c r="O21"/>
    </row>
    <row r="22" spans="1:15" x14ac:dyDescent="0.25">
      <c r="A22" s="53"/>
      <c r="B22" s="6" t="str">
        <f t="shared" si="3"/>
        <v>domingo</v>
      </c>
      <c r="C22" s="7">
        <f t="shared" si="4"/>
        <v>41414</v>
      </c>
      <c r="D22" s="8"/>
      <c r="E22" s="8"/>
      <c r="F22" s="8"/>
      <c r="G22" s="8"/>
      <c r="H22" s="8">
        <f t="shared" si="0"/>
        <v>0</v>
      </c>
      <c r="I22" s="8">
        <f t="shared" si="1"/>
        <v>0</v>
      </c>
      <c r="J22" s="29">
        <f t="shared" si="2"/>
        <v>0</v>
      </c>
      <c r="K22" s="9">
        <f t="shared" si="5"/>
        <v>0.33333333333333331</v>
      </c>
      <c r="L22" s="10">
        <f t="shared" si="6"/>
        <v>-4.9999999999999991</v>
      </c>
      <c r="M22"/>
      <c r="N22"/>
      <c r="O22"/>
    </row>
    <row r="23" spans="1:15" x14ac:dyDescent="0.25">
      <c r="A23" s="53"/>
      <c r="B23" s="6" t="str">
        <f t="shared" si="3"/>
        <v>segunda-feira</v>
      </c>
      <c r="C23" s="7">
        <f t="shared" si="4"/>
        <v>41415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29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  <c r="O23"/>
    </row>
    <row r="24" spans="1:15" x14ac:dyDescent="0.25">
      <c r="A24" s="53"/>
      <c r="B24" s="6" t="str">
        <f t="shared" si="3"/>
        <v>terça-feira</v>
      </c>
      <c r="C24" s="7">
        <f t="shared" si="4"/>
        <v>41416</v>
      </c>
      <c r="D24" s="8"/>
      <c r="E24" s="8"/>
      <c r="F24" s="8"/>
      <c r="G24" s="8"/>
      <c r="H24" s="8">
        <f t="shared" si="0"/>
        <v>0</v>
      </c>
      <c r="I24" s="8">
        <f t="shared" si="1"/>
        <v>0.33333333333333331</v>
      </c>
      <c r="J24" s="29">
        <f t="shared" si="2"/>
        <v>-0.33333333333333331</v>
      </c>
      <c r="K24" s="9">
        <f t="shared" si="5"/>
        <v>0.33333333333333331</v>
      </c>
      <c r="L24" s="10">
        <f t="shared" si="6"/>
        <v>-5.6666666666666652</v>
      </c>
      <c r="M24"/>
      <c r="N24"/>
      <c r="O24"/>
    </row>
    <row r="25" spans="1:15" x14ac:dyDescent="0.25">
      <c r="A25" s="53"/>
      <c r="B25" s="6" t="str">
        <f t="shared" si="3"/>
        <v>quarta-feira</v>
      </c>
      <c r="C25" s="7">
        <f t="shared" si="4"/>
        <v>41417</v>
      </c>
      <c r="D25" s="8"/>
      <c r="E25" s="8"/>
      <c r="F25" s="8"/>
      <c r="G25" s="8"/>
      <c r="H25" s="8">
        <f t="shared" si="0"/>
        <v>0</v>
      </c>
      <c r="I25" s="8">
        <f t="shared" si="1"/>
        <v>0.33333333333333331</v>
      </c>
      <c r="J25" s="29">
        <f t="shared" si="2"/>
        <v>-0.33333333333333331</v>
      </c>
      <c r="K25" s="9">
        <f t="shared" si="5"/>
        <v>0.33333333333333331</v>
      </c>
      <c r="L25" s="10">
        <f t="shared" si="6"/>
        <v>-5.9999999999999982</v>
      </c>
      <c r="M25"/>
      <c r="N25"/>
      <c r="O25"/>
    </row>
    <row r="26" spans="1:15" x14ac:dyDescent="0.25">
      <c r="A26" s="53"/>
      <c r="B26" s="6" t="str">
        <f t="shared" si="3"/>
        <v>quinta-feira</v>
      </c>
      <c r="C26" s="7">
        <f t="shared" si="4"/>
        <v>41418</v>
      </c>
      <c r="D26" s="8"/>
      <c r="E26" s="8"/>
      <c r="F26" s="8"/>
      <c r="G26" s="8"/>
      <c r="H26" s="8">
        <f t="shared" si="0"/>
        <v>0</v>
      </c>
      <c r="I26" s="8">
        <f t="shared" si="1"/>
        <v>0.33333333333333331</v>
      </c>
      <c r="J26" s="29">
        <f t="shared" si="2"/>
        <v>-0.33333333333333331</v>
      </c>
      <c r="K26" s="9">
        <f t="shared" si="5"/>
        <v>0.33333333333333331</v>
      </c>
      <c r="L26" s="10">
        <f t="shared" si="6"/>
        <v>-6.3333333333333313</v>
      </c>
      <c r="M26"/>
      <c r="N26"/>
      <c r="O26"/>
    </row>
    <row r="27" spans="1:15" x14ac:dyDescent="0.25">
      <c r="A27" s="53"/>
      <c r="B27" s="6" t="s">
        <v>19</v>
      </c>
      <c r="C27" s="7">
        <f t="shared" si="4"/>
        <v>41419</v>
      </c>
      <c r="D27" s="8"/>
      <c r="E27" s="8"/>
      <c r="F27" s="8"/>
      <c r="G27" s="8"/>
      <c r="H27" s="8">
        <f t="shared" si="0"/>
        <v>0</v>
      </c>
      <c r="I27" s="8">
        <f t="shared" si="1"/>
        <v>0.33333333333333331</v>
      </c>
      <c r="J27" s="29">
        <f t="shared" si="2"/>
        <v>-0.33333333333333331</v>
      </c>
      <c r="K27" s="9">
        <f t="shared" si="5"/>
        <v>0.33333333333333331</v>
      </c>
      <c r="L27" s="10">
        <f t="shared" si="6"/>
        <v>-6.6666666666666643</v>
      </c>
      <c r="M27"/>
      <c r="N27"/>
      <c r="O27"/>
    </row>
    <row r="28" spans="1:15" x14ac:dyDescent="0.25">
      <c r="A28" s="53"/>
      <c r="B28" s="6" t="s">
        <v>19</v>
      </c>
      <c r="C28" s="7">
        <f t="shared" si="4"/>
        <v>41420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29">
        <f t="shared" si="2"/>
        <v>-0.33333333333333331</v>
      </c>
      <c r="K28" s="9">
        <f t="shared" si="5"/>
        <v>0.33333333333333331</v>
      </c>
      <c r="L28" s="10">
        <f t="shared" si="6"/>
        <v>-6.9999999999999973</v>
      </c>
      <c r="M28"/>
      <c r="N28"/>
      <c r="O28"/>
    </row>
    <row r="29" spans="1:15" x14ac:dyDescent="0.25">
      <c r="A29" s="53"/>
      <c r="B29" s="6" t="str">
        <f t="shared" si="3"/>
        <v>domingo</v>
      </c>
      <c r="C29" s="7">
        <f t="shared" si="4"/>
        <v>41421</v>
      </c>
      <c r="D29" s="8"/>
      <c r="E29" s="8"/>
      <c r="F29" s="8"/>
      <c r="G29" s="8"/>
      <c r="H29" s="8">
        <f t="shared" si="0"/>
        <v>0</v>
      </c>
      <c r="I29" s="8">
        <f t="shared" si="1"/>
        <v>0</v>
      </c>
      <c r="J29" s="29">
        <f t="shared" si="2"/>
        <v>0</v>
      </c>
      <c r="K29" s="9">
        <f t="shared" si="5"/>
        <v>0.33333333333333331</v>
      </c>
      <c r="L29" s="10">
        <f t="shared" si="6"/>
        <v>-6.9999999999999973</v>
      </c>
      <c r="M29"/>
      <c r="N29"/>
      <c r="O29"/>
    </row>
    <row r="30" spans="1:15" x14ac:dyDescent="0.25">
      <c r="A30" s="53"/>
      <c r="B30" s="6" t="str">
        <f t="shared" si="3"/>
        <v>segunda-feira</v>
      </c>
      <c r="C30" s="7">
        <f t="shared" si="4"/>
        <v>41422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29">
        <f t="shared" si="2"/>
        <v>-0.33333333333333331</v>
      </c>
      <c r="K30" s="9">
        <f t="shared" si="5"/>
        <v>0.33333333333333331</v>
      </c>
      <c r="L30" s="10">
        <f t="shared" si="6"/>
        <v>-7.3333333333333304</v>
      </c>
      <c r="M30"/>
      <c r="N30"/>
      <c r="O30"/>
    </row>
    <row r="31" spans="1:15" x14ac:dyDescent="0.25">
      <c r="A31" s="53"/>
      <c r="B31" s="6" t="str">
        <f t="shared" si="3"/>
        <v>terça-feira</v>
      </c>
      <c r="C31" s="7">
        <f t="shared" si="4"/>
        <v>41423</v>
      </c>
      <c r="D31" s="8"/>
      <c r="E31" s="8"/>
      <c r="F31" s="8"/>
      <c r="G31" s="8"/>
      <c r="H31" s="8">
        <f t="shared" si="0"/>
        <v>0</v>
      </c>
      <c r="I31" s="8">
        <f t="shared" si="1"/>
        <v>0.33333333333333331</v>
      </c>
      <c r="J31" s="29">
        <f t="shared" si="2"/>
        <v>-0.33333333333333331</v>
      </c>
      <c r="K31" s="9">
        <f t="shared" si="5"/>
        <v>0.33333333333333331</v>
      </c>
      <c r="L31" s="10">
        <f t="shared" si="6"/>
        <v>-7.6666666666666634</v>
      </c>
      <c r="M31"/>
      <c r="N31"/>
      <c r="O31"/>
    </row>
    <row r="32" spans="1:15" ht="15.75" thickBot="1" x14ac:dyDescent="0.3">
      <c r="A32" s="54"/>
      <c r="B32" s="11" t="str">
        <f t="shared" si="3"/>
        <v>quarta-feira</v>
      </c>
      <c r="C32" s="12">
        <f t="shared" si="4"/>
        <v>41424</v>
      </c>
      <c r="D32" s="13"/>
      <c r="E32" s="13"/>
      <c r="F32" s="13"/>
      <c r="G32" s="13"/>
      <c r="H32" s="13">
        <f t="shared" si="0"/>
        <v>0</v>
      </c>
      <c r="I32" s="13">
        <f t="shared" si="1"/>
        <v>0.33333333333333331</v>
      </c>
      <c r="J32" s="30">
        <f t="shared" ref="J32" si="7">H32-I32</f>
        <v>-0.33333333333333331</v>
      </c>
      <c r="K32" s="14">
        <f t="shared" si="5"/>
        <v>0.33333333333333331</v>
      </c>
      <c r="L32" s="15">
        <f t="shared" ref="L32" si="8">L31+J32</f>
        <v>-7.9999999999999964</v>
      </c>
      <c r="M32"/>
      <c r="N32"/>
      <c r="O32"/>
    </row>
    <row r="33" spans="4:15" ht="15.75" thickBot="1" x14ac:dyDescent="0.3">
      <c r="D33"/>
      <c r="E33"/>
      <c r="F33"/>
      <c r="G33"/>
      <c r="H33"/>
      <c r="I33"/>
      <c r="J33" s="20">
        <f>SUM(J2:J32)</f>
        <v>-7.9999999999999964</v>
      </c>
      <c r="K33"/>
      <c r="L33"/>
      <c r="M33"/>
      <c r="N33"/>
      <c r="O33"/>
    </row>
  </sheetData>
  <conditionalFormatting sqref="J2:J32">
    <cfRule type="cellIs" dxfId="73" priority="11" operator="greaterThan">
      <formula>0</formula>
    </cfRule>
    <cfRule type="cellIs" dxfId="72" priority="12" operator="lessThan">
      <formula>0</formula>
    </cfRule>
  </conditionalFormatting>
  <conditionalFormatting sqref="B2:B32">
    <cfRule type="cellIs" dxfId="71" priority="3" operator="equal">
      <formula>"FERIADO"</formula>
    </cfRule>
    <cfRule type="cellIs" dxfId="70" priority="9" operator="equal">
      <formula>"DOMINGO"</formula>
    </cfRule>
    <cfRule type="cellIs" dxfId="69" priority="10" operator="equal">
      <formula>"SÁBADO"</formula>
    </cfRule>
  </conditionalFormatting>
  <conditionalFormatting sqref="L2:L32">
    <cfRule type="cellIs" dxfId="68" priority="7" operator="greaterThan">
      <formula>0</formula>
    </cfRule>
    <cfRule type="cellIs" dxfId="67" priority="8" operator="lessThan">
      <formula>0</formula>
    </cfRule>
  </conditionalFormatting>
  <conditionalFormatting sqref="J33">
    <cfRule type="cellIs" dxfId="66" priority="5" operator="greaterThan">
      <formula>0</formula>
    </cfRule>
    <cfRule type="cellIs" dxfId="65" priority="6" operator="lessThan">
      <formula>0</formula>
    </cfRule>
  </conditionalFormatting>
  <conditionalFormatting sqref="P7">
    <cfRule type="cellIs" dxfId="64" priority="4" operator="equal">
      <formula>$P$1</formula>
    </cfRule>
  </conditionalFormatting>
  <conditionalFormatting sqref="C2:C32">
    <cfRule type="timePeriod" dxfId="63" priority="2" timePeriod="today">
      <formula>FLOOR(C2,1)=TODAY()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quinta-feira</v>
      </c>
      <c r="C2" s="24">
        <f>MAIO!C32+1</f>
        <v>41425</v>
      </c>
      <c r="D2" s="25"/>
      <c r="E2" s="25"/>
      <c r="F2" s="25"/>
      <c r="G2" s="25"/>
      <c r="H2" s="25">
        <f t="shared" ref="H2:H31" si="0">E2-D2+G2-F2</f>
        <v>0</v>
      </c>
      <c r="I2" s="25">
        <f t="shared" ref="I2:I31" si="1">IF(B2="SÁBADO",0,IF(B2="DOMINGO",0,IF(A2="FERIADO",0,IF(A2="ABONADO",0,IF(A2="ATESTADO",0,K2)))))</f>
        <v>0.33333333333333331</v>
      </c>
      <c r="J2" s="25">
        <f t="shared" ref="J2:J31" si="2">H2-I2</f>
        <v>-0.33333333333333331</v>
      </c>
      <c r="K2" s="26">
        <f>CADASTRO!B11</f>
        <v>0.33333333333333331</v>
      </c>
      <c r="L2" s="27">
        <f>J2</f>
        <v>-0.33333333333333331</v>
      </c>
    </row>
    <row r="3" spans="1:17" x14ac:dyDescent="0.25">
      <c r="A3" s="53"/>
      <c r="B3" s="6" t="str">
        <f t="shared" ref="B3:B31" si="3">TEXT(C3,"DDDD")</f>
        <v>sexta-feira</v>
      </c>
      <c r="C3" s="7">
        <f>C2+1</f>
        <v>41426</v>
      </c>
      <c r="D3" s="8"/>
      <c r="E3" s="8"/>
      <c r="F3" s="8"/>
      <c r="G3" s="8"/>
      <c r="H3" s="8">
        <f t="shared" si="0"/>
        <v>0</v>
      </c>
      <c r="I3" s="8">
        <f t="shared" si="1"/>
        <v>0.33333333333333331</v>
      </c>
      <c r="J3" s="8">
        <f t="shared" si="2"/>
        <v>-0.33333333333333331</v>
      </c>
      <c r="K3" s="9">
        <f>K2</f>
        <v>0.33333333333333331</v>
      </c>
      <c r="L3" s="10">
        <f>L2+J3</f>
        <v>-0.66666666666666663</v>
      </c>
    </row>
    <row r="4" spans="1:17" x14ac:dyDescent="0.25">
      <c r="A4" s="53"/>
      <c r="B4" s="6" t="str">
        <f t="shared" si="3"/>
        <v>sábado</v>
      </c>
      <c r="C4" s="7">
        <f t="shared" ref="C4:C31" si="4">C3+1</f>
        <v>41427</v>
      </c>
      <c r="D4" s="8"/>
      <c r="E4" s="8"/>
      <c r="F4" s="8"/>
      <c r="G4" s="8"/>
      <c r="H4" s="8">
        <f t="shared" si="0"/>
        <v>0</v>
      </c>
      <c r="I4" s="8">
        <f t="shared" si="1"/>
        <v>0</v>
      </c>
      <c r="J4" s="8">
        <f t="shared" si="2"/>
        <v>0</v>
      </c>
      <c r="K4" s="9">
        <f t="shared" ref="K4:K31" si="5">K3</f>
        <v>0.33333333333333331</v>
      </c>
      <c r="L4" s="10">
        <f t="shared" ref="L4:L31" si="6">L3+J4</f>
        <v>-0.66666666666666663</v>
      </c>
    </row>
    <row r="5" spans="1:17" x14ac:dyDescent="0.25">
      <c r="A5" s="53"/>
      <c r="B5" s="6" t="str">
        <f t="shared" si="3"/>
        <v>domingo</v>
      </c>
      <c r="C5" s="7">
        <f t="shared" si="4"/>
        <v>41428</v>
      </c>
      <c r="D5" s="8"/>
      <c r="E5" s="8"/>
      <c r="F5" s="8"/>
      <c r="G5" s="8"/>
      <c r="H5" s="8">
        <f t="shared" si="0"/>
        <v>0</v>
      </c>
      <c r="I5" s="8">
        <f t="shared" si="1"/>
        <v>0</v>
      </c>
      <c r="J5" s="8">
        <f t="shared" si="2"/>
        <v>0</v>
      </c>
      <c r="K5" s="9">
        <f t="shared" si="5"/>
        <v>0.33333333333333331</v>
      </c>
      <c r="L5" s="10">
        <f t="shared" si="6"/>
        <v>-0.66666666666666663</v>
      </c>
    </row>
    <row r="6" spans="1:17" x14ac:dyDescent="0.25">
      <c r="A6" s="53"/>
      <c r="B6" s="6" t="str">
        <f t="shared" si="3"/>
        <v>segunda-feira</v>
      </c>
      <c r="C6" s="7">
        <f t="shared" si="4"/>
        <v>41429</v>
      </c>
      <c r="D6" s="8"/>
      <c r="E6" s="8"/>
      <c r="F6" s="8"/>
      <c r="G6" s="8"/>
      <c r="H6" s="8">
        <f t="shared" si="0"/>
        <v>0</v>
      </c>
      <c r="I6" s="8">
        <f t="shared" si="1"/>
        <v>0.33333333333333331</v>
      </c>
      <c r="J6" s="8">
        <f>H6-I6</f>
        <v>-0.33333333333333331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terça-feira</v>
      </c>
      <c r="C7" s="7">
        <f t="shared" si="4"/>
        <v>41430</v>
      </c>
      <c r="D7" s="8"/>
      <c r="E7" s="8"/>
      <c r="F7" s="8"/>
      <c r="G7" s="8"/>
      <c r="H7" s="8">
        <f t="shared" si="0"/>
        <v>0</v>
      </c>
      <c r="I7" s="8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quarta-feira</v>
      </c>
      <c r="C8" s="7">
        <f t="shared" si="4"/>
        <v>41431</v>
      </c>
      <c r="D8" s="8"/>
      <c r="E8" s="8"/>
      <c r="F8" s="8"/>
      <c r="G8" s="8"/>
      <c r="H8" s="8">
        <f t="shared" si="0"/>
        <v>0</v>
      </c>
      <c r="I8" s="8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quinta-feira</v>
      </c>
      <c r="C9" s="7">
        <f t="shared" si="4"/>
        <v>41432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8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3"/>
        <v>sexta-feira</v>
      </c>
      <c r="C10" s="7">
        <f t="shared" si="4"/>
        <v>41433</v>
      </c>
      <c r="D10" s="8"/>
      <c r="E10" s="8"/>
      <c r="F10" s="8"/>
      <c r="G10" s="8"/>
      <c r="H10" s="8">
        <f t="shared" si="0"/>
        <v>0</v>
      </c>
      <c r="I10" s="8">
        <f t="shared" si="1"/>
        <v>0.33333333333333331</v>
      </c>
      <c r="J10" s="8">
        <f t="shared" si="2"/>
        <v>-0.33333333333333331</v>
      </c>
      <c r="K10" s="9">
        <f t="shared" si="5"/>
        <v>0.33333333333333331</v>
      </c>
      <c r="L10" s="10">
        <f t="shared" si="6"/>
        <v>-2.333333333333333</v>
      </c>
    </row>
    <row r="11" spans="1:17" x14ac:dyDescent="0.25">
      <c r="A11" s="53"/>
      <c r="B11" s="6" t="str">
        <f t="shared" si="3"/>
        <v>sábado</v>
      </c>
      <c r="C11" s="7">
        <f t="shared" si="4"/>
        <v>41434</v>
      </c>
      <c r="D11" s="8"/>
      <c r="E11" s="8"/>
      <c r="F11" s="8"/>
      <c r="G11" s="8"/>
      <c r="H11" s="8">
        <f t="shared" si="0"/>
        <v>0</v>
      </c>
      <c r="I11" s="8">
        <f t="shared" si="1"/>
        <v>0</v>
      </c>
      <c r="J11" s="8">
        <f t="shared" si="2"/>
        <v>0</v>
      </c>
      <c r="K11" s="9">
        <f t="shared" si="5"/>
        <v>0.33333333333333331</v>
      </c>
      <c r="L11" s="10">
        <f t="shared" si="6"/>
        <v>-2.333333333333333</v>
      </c>
    </row>
    <row r="12" spans="1:17" x14ac:dyDescent="0.25">
      <c r="A12" s="53"/>
      <c r="B12" s="6" t="str">
        <f t="shared" si="3"/>
        <v>domingo</v>
      </c>
      <c r="C12" s="7">
        <f t="shared" si="4"/>
        <v>41435</v>
      </c>
      <c r="D12" s="8"/>
      <c r="E12" s="8"/>
      <c r="F12" s="8"/>
      <c r="G12" s="8"/>
      <c r="H12" s="8">
        <f t="shared" si="0"/>
        <v>0</v>
      </c>
      <c r="I12" s="8">
        <f t="shared" si="1"/>
        <v>0</v>
      </c>
      <c r="J12" s="8">
        <f t="shared" si="2"/>
        <v>0</v>
      </c>
      <c r="K12" s="9">
        <f t="shared" si="5"/>
        <v>0.33333333333333331</v>
      </c>
      <c r="L12" s="10">
        <f t="shared" si="6"/>
        <v>-2.333333333333333</v>
      </c>
    </row>
    <row r="13" spans="1:17" x14ac:dyDescent="0.25">
      <c r="A13" s="53"/>
      <c r="B13" s="6" t="str">
        <f t="shared" si="3"/>
        <v>segunda-feira</v>
      </c>
      <c r="C13" s="7">
        <f t="shared" si="4"/>
        <v>41436</v>
      </c>
      <c r="D13" s="8"/>
      <c r="E13" s="8"/>
      <c r="F13" s="8"/>
      <c r="G13" s="8"/>
      <c r="H13" s="8">
        <f t="shared" si="0"/>
        <v>0</v>
      </c>
      <c r="I13" s="8">
        <f t="shared" si="1"/>
        <v>0.33333333333333331</v>
      </c>
      <c r="J13" s="8">
        <f t="shared" si="2"/>
        <v>-0.33333333333333331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terça-feira</v>
      </c>
      <c r="C14" s="7">
        <f t="shared" si="4"/>
        <v>41437</v>
      </c>
      <c r="D14" s="8"/>
      <c r="E14" s="8"/>
      <c r="F14" s="8"/>
      <c r="G14" s="8"/>
      <c r="H14" s="8">
        <f t="shared" si="0"/>
        <v>0</v>
      </c>
      <c r="I14" s="8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quarta-feira</v>
      </c>
      <c r="C15" s="7">
        <f t="shared" si="4"/>
        <v>41438</v>
      </c>
      <c r="D15" s="8"/>
      <c r="E15" s="8"/>
      <c r="F15" s="8"/>
      <c r="G15" s="8"/>
      <c r="H15" s="8">
        <f t="shared" si="0"/>
        <v>0</v>
      </c>
      <c r="I15" s="8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quinta-feira</v>
      </c>
      <c r="C16" s="7">
        <f t="shared" si="4"/>
        <v>41439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8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2" x14ac:dyDescent="0.25">
      <c r="A17" s="53"/>
      <c r="B17" s="6" t="str">
        <f t="shared" si="3"/>
        <v>sexta-feira</v>
      </c>
      <c r="C17" s="7">
        <f t="shared" si="4"/>
        <v>41440</v>
      </c>
      <c r="D17" s="8"/>
      <c r="E17" s="8"/>
      <c r="F17" s="8"/>
      <c r="G17" s="8"/>
      <c r="H17" s="8">
        <f t="shared" si="0"/>
        <v>0</v>
      </c>
      <c r="I17" s="8">
        <f t="shared" si="1"/>
        <v>0.33333333333333331</v>
      </c>
      <c r="J17" s="8">
        <f t="shared" si="2"/>
        <v>-0.33333333333333331</v>
      </c>
      <c r="K17" s="9">
        <f t="shared" si="5"/>
        <v>0.33333333333333331</v>
      </c>
      <c r="L17" s="10">
        <f t="shared" si="6"/>
        <v>-4</v>
      </c>
    </row>
    <row r="18" spans="1:12" x14ac:dyDescent="0.25">
      <c r="A18" s="53"/>
      <c r="B18" s="6" t="str">
        <f t="shared" si="3"/>
        <v>sábado</v>
      </c>
      <c r="C18" s="7">
        <f t="shared" si="4"/>
        <v>41441</v>
      </c>
      <c r="D18" s="8"/>
      <c r="E18" s="8"/>
      <c r="F18" s="8"/>
      <c r="G18" s="8"/>
      <c r="H18" s="8">
        <f t="shared" si="0"/>
        <v>0</v>
      </c>
      <c r="I18" s="8">
        <f t="shared" si="1"/>
        <v>0</v>
      </c>
      <c r="J18" s="8">
        <f t="shared" si="2"/>
        <v>0</v>
      </c>
      <c r="K18" s="9">
        <f t="shared" si="5"/>
        <v>0.33333333333333331</v>
      </c>
      <c r="L18" s="10">
        <f t="shared" si="6"/>
        <v>-4</v>
      </c>
    </row>
    <row r="19" spans="1:12" x14ac:dyDescent="0.25">
      <c r="A19" s="53"/>
      <c r="B19" s="6" t="str">
        <f t="shared" si="3"/>
        <v>domingo</v>
      </c>
      <c r="C19" s="7">
        <f t="shared" si="4"/>
        <v>41442</v>
      </c>
      <c r="D19" s="8"/>
      <c r="E19" s="8"/>
      <c r="F19" s="8"/>
      <c r="G19" s="8"/>
      <c r="H19" s="8">
        <f t="shared" si="0"/>
        <v>0</v>
      </c>
      <c r="I19" s="8">
        <f t="shared" si="1"/>
        <v>0</v>
      </c>
      <c r="J19" s="8">
        <f t="shared" si="2"/>
        <v>0</v>
      </c>
      <c r="K19" s="9">
        <f t="shared" si="5"/>
        <v>0.33333333333333331</v>
      </c>
      <c r="L19" s="10">
        <f t="shared" si="6"/>
        <v>-4</v>
      </c>
    </row>
    <row r="20" spans="1:12" x14ac:dyDescent="0.25">
      <c r="A20" s="53"/>
      <c r="B20" s="6" t="str">
        <f t="shared" si="3"/>
        <v>segunda-feira</v>
      </c>
      <c r="C20" s="7">
        <f t="shared" si="4"/>
        <v>41443</v>
      </c>
      <c r="D20" s="8"/>
      <c r="E20" s="8"/>
      <c r="F20" s="8"/>
      <c r="G20" s="8"/>
      <c r="H20" s="8">
        <f t="shared" si="0"/>
        <v>0</v>
      </c>
      <c r="I20" s="8">
        <f t="shared" si="1"/>
        <v>0.33333333333333331</v>
      </c>
      <c r="J20" s="8">
        <f t="shared" si="2"/>
        <v>-0.33333333333333331</v>
      </c>
      <c r="K20" s="9">
        <f t="shared" si="5"/>
        <v>0.33333333333333331</v>
      </c>
      <c r="L20" s="10">
        <f t="shared" si="6"/>
        <v>-4.333333333333333</v>
      </c>
    </row>
    <row r="21" spans="1:12" x14ac:dyDescent="0.25">
      <c r="A21" s="53"/>
      <c r="B21" s="6" t="str">
        <f t="shared" si="3"/>
        <v>terça-feira</v>
      </c>
      <c r="C21" s="7">
        <f t="shared" si="4"/>
        <v>41444</v>
      </c>
      <c r="D21" s="8"/>
      <c r="E21" s="8"/>
      <c r="F21" s="8"/>
      <c r="G21" s="8"/>
      <c r="H21" s="8">
        <f t="shared" si="0"/>
        <v>0</v>
      </c>
      <c r="I21" s="8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</row>
    <row r="22" spans="1:12" x14ac:dyDescent="0.25">
      <c r="A22" s="53"/>
      <c r="B22" s="6" t="str">
        <f t="shared" si="3"/>
        <v>quarta-feira</v>
      </c>
      <c r="C22" s="7">
        <f t="shared" si="4"/>
        <v>41445</v>
      </c>
      <c r="D22" s="8"/>
      <c r="E22" s="8"/>
      <c r="F22" s="8"/>
      <c r="G22" s="8"/>
      <c r="H22" s="8">
        <f t="shared" si="0"/>
        <v>0</v>
      </c>
      <c r="I22" s="8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</row>
    <row r="23" spans="1:12" x14ac:dyDescent="0.25">
      <c r="A23" s="53"/>
      <c r="B23" s="6" t="str">
        <f t="shared" si="3"/>
        <v>quinta-feira</v>
      </c>
      <c r="C23" s="7">
        <f t="shared" si="4"/>
        <v>41446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8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</row>
    <row r="24" spans="1:12" x14ac:dyDescent="0.25">
      <c r="A24" s="53"/>
      <c r="B24" s="6" t="str">
        <f t="shared" si="3"/>
        <v>sexta-feira</v>
      </c>
      <c r="C24" s="7">
        <f t="shared" si="4"/>
        <v>41447</v>
      </c>
      <c r="D24" s="8"/>
      <c r="E24" s="8"/>
      <c r="F24" s="8"/>
      <c r="G24" s="8"/>
      <c r="H24" s="8">
        <f t="shared" si="0"/>
        <v>0</v>
      </c>
      <c r="I24" s="8">
        <f t="shared" si="1"/>
        <v>0.33333333333333331</v>
      </c>
      <c r="J24" s="8">
        <f t="shared" si="2"/>
        <v>-0.33333333333333331</v>
      </c>
      <c r="K24" s="9">
        <f t="shared" si="5"/>
        <v>0.33333333333333331</v>
      </c>
      <c r="L24" s="10">
        <f t="shared" si="6"/>
        <v>-5.6666666666666652</v>
      </c>
    </row>
    <row r="25" spans="1:12" x14ac:dyDescent="0.25">
      <c r="A25" s="53"/>
      <c r="B25" s="6" t="str">
        <f t="shared" si="3"/>
        <v>sábado</v>
      </c>
      <c r="C25" s="7">
        <f t="shared" si="4"/>
        <v>41448</v>
      </c>
      <c r="D25" s="8"/>
      <c r="E25" s="8"/>
      <c r="F25" s="8"/>
      <c r="G25" s="8"/>
      <c r="H25" s="8">
        <f t="shared" si="0"/>
        <v>0</v>
      </c>
      <c r="I25" s="8">
        <f t="shared" si="1"/>
        <v>0</v>
      </c>
      <c r="J25" s="8">
        <f t="shared" si="2"/>
        <v>0</v>
      </c>
      <c r="K25" s="9">
        <f t="shared" si="5"/>
        <v>0.33333333333333331</v>
      </c>
      <c r="L25" s="10">
        <f t="shared" si="6"/>
        <v>-5.6666666666666652</v>
      </c>
    </row>
    <row r="26" spans="1:12" x14ac:dyDescent="0.25">
      <c r="A26" s="53"/>
      <c r="B26" s="6" t="str">
        <f t="shared" si="3"/>
        <v>domingo</v>
      </c>
      <c r="C26" s="7">
        <f t="shared" si="4"/>
        <v>41449</v>
      </c>
      <c r="D26" s="8"/>
      <c r="E26" s="8"/>
      <c r="F26" s="8"/>
      <c r="G26" s="8"/>
      <c r="H26" s="8">
        <f t="shared" si="0"/>
        <v>0</v>
      </c>
      <c r="I26" s="8">
        <f t="shared" si="1"/>
        <v>0</v>
      </c>
      <c r="J26" s="8">
        <f t="shared" si="2"/>
        <v>0</v>
      </c>
      <c r="K26" s="9">
        <f t="shared" si="5"/>
        <v>0.33333333333333331</v>
      </c>
      <c r="L26" s="10">
        <f t="shared" si="6"/>
        <v>-5.6666666666666652</v>
      </c>
    </row>
    <row r="27" spans="1:12" x14ac:dyDescent="0.25">
      <c r="A27" s="53"/>
      <c r="B27" s="6" t="str">
        <f t="shared" si="3"/>
        <v>segunda-feira</v>
      </c>
      <c r="C27" s="7">
        <f t="shared" si="4"/>
        <v>41450</v>
      </c>
      <c r="D27" s="8"/>
      <c r="E27" s="8"/>
      <c r="F27" s="8"/>
      <c r="G27" s="8"/>
      <c r="H27" s="8">
        <f t="shared" si="0"/>
        <v>0</v>
      </c>
      <c r="I27" s="8">
        <f t="shared" si="1"/>
        <v>0.33333333333333331</v>
      </c>
      <c r="J27" s="8">
        <f t="shared" si="2"/>
        <v>-0.33333333333333331</v>
      </c>
      <c r="K27" s="9">
        <f t="shared" si="5"/>
        <v>0.33333333333333331</v>
      </c>
      <c r="L27" s="10">
        <f t="shared" si="6"/>
        <v>-5.9999999999999982</v>
      </c>
    </row>
    <row r="28" spans="1:12" x14ac:dyDescent="0.25">
      <c r="A28" s="53"/>
      <c r="B28" s="6" t="str">
        <f t="shared" si="3"/>
        <v>terça-feira</v>
      </c>
      <c r="C28" s="7">
        <f t="shared" si="4"/>
        <v>41451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</row>
    <row r="29" spans="1:12" x14ac:dyDescent="0.25">
      <c r="A29" s="53"/>
      <c r="B29" s="6" t="str">
        <f t="shared" si="3"/>
        <v>quarta-feira</v>
      </c>
      <c r="C29" s="7">
        <f t="shared" si="4"/>
        <v>41452</v>
      </c>
      <c r="D29" s="8"/>
      <c r="E29" s="8"/>
      <c r="F29" s="8"/>
      <c r="G29" s="8"/>
      <c r="H29" s="8">
        <f t="shared" si="0"/>
        <v>0</v>
      </c>
      <c r="I29" s="8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</row>
    <row r="30" spans="1:12" x14ac:dyDescent="0.25">
      <c r="A30" s="53"/>
      <c r="B30" s="6" t="str">
        <f t="shared" si="3"/>
        <v>quinta-feira</v>
      </c>
      <c r="C30" s="7">
        <f t="shared" si="4"/>
        <v>41453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8">
        <f t="shared" si="2"/>
        <v>-0.33333333333333331</v>
      </c>
      <c r="K30" s="9">
        <f t="shared" si="5"/>
        <v>0.33333333333333331</v>
      </c>
      <c r="L30" s="10">
        <f t="shared" si="6"/>
        <v>-6.9999999999999973</v>
      </c>
    </row>
    <row r="31" spans="1:12" ht="15.75" thickBot="1" x14ac:dyDescent="0.3">
      <c r="A31" s="54"/>
      <c r="B31" s="11" t="str">
        <f t="shared" si="3"/>
        <v>sexta-feira</v>
      </c>
      <c r="C31" s="12">
        <f t="shared" si="4"/>
        <v>41454</v>
      </c>
      <c r="D31" s="13"/>
      <c r="E31" s="13"/>
      <c r="F31" s="13"/>
      <c r="G31" s="13"/>
      <c r="H31" s="13">
        <f t="shared" si="0"/>
        <v>0</v>
      </c>
      <c r="I31" s="13">
        <f t="shared" si="1"/>
        <v>0.33333333333333331</v>
      </c>
      <c r="J31" s="13">
        <f t="shared" si="2"/>
        <v>-0.33333333333333331</v>
      </c>
      <c r="K31" s="14">
        <f t="shared" si="5"/>
        <v>0.33333333333333331</v>
      </c>
      <c r="L31" s="15">
        <f t="shared" si="6"/>
        <v>-7.3333333333333304</v>
      </c>
    </row>
    <row r="32" spans="1:12" ht="15.75" thickBot="1" x14ac:dyDescent="0.3">
      <c r="J32" s="20">
        <f>SUM(J2:J31)</f>
        <v>-7.3333333333333304</v>
      </c>
    </row>
  </sheetData>
  <conditionalFormatting sqref="J2:J31">
    <cfRule type="cellIs" dxfId="62" priority="8" operator="greaterThan">
      <formula>0</formula>
    </cfRule>
    <cfRule type="cellIs" dxfId="61" priority="9" operator="lessThan">
      <formula>0</formula>
    </cfRule>
  </conditionalFormatting>
  <conditionalFormatting sqref="B2:B31">
    <cfRule type="cellIs" dxfId="60" priority="6" operator="equal">
      <formula>"DOMINGO"</formula>
    </cfRule>
    <cfRule type="cellIs" dxfId="59" priority="7" operator="equal">
      <formula>"SÁBADO"</formula>
    </cfRule>
  </conditionalFormatting>
  <conditionalFormatting sqref="L2:L31">
    <cfRule type="cellIs" dxfId="58" priority="4" operator="greaterThan">
      <formula>0</formula>
    </cfRule>
    <cfRule type="cellIs" dxfId="57" priority="5" operator="lessThan">
      <formula>0</formula>
    </cfRule>
  </conditionalFormatting>
  <conditionalFormatting sqref="J32">
    <cfRule type="cellIs" dxfId="56" priority="2" operator="greaterThan">
      <formula>0</formula>
    </cfRule>
    <cfRule type="cellIs" dxfId="55" priority="3" operator="lessThan">
      <formula>0</formula>
    </cfRule>
  </conditionalFormatting>
  <conditionalFormatting sqref="C1:C1048576">
    <cfRule type="timePeriod" dxfId="54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sábado</v>
      </c>
      <c r="C2" s="24">
        <f>JUNHO!C31+1</f>
        <v>41455</v>
      </c>
      <c r="D2" s="25"/>
      <c r="E2" s="25"/>
      <c r="F2" s="25"/>
      <c r="G2" s="25"/>
      <c r="H2" s="25">
        <f t="shared" ref="H2:H32" si="0">E2-D2+G2-F2</f>
        <v>0</v>
      </c>
      <c r="I2" s="28">
        <f t="shared" ref="I2:I32" si="1">IF(B2="SÁBADO",0,IF(B2="DOMINGO",0,IF(A2="FERIADO",0,IF(A2="ABONADO",0,IF(A2="ATESTADO",0,K2)))))</f>
        <v>0</v>
      </c>
      <c r="J2" s="25">
        <f t="shared" ref="J2:J32" si="2">H2-I2</f>
        <v>0</v>
      </c>
      <c r="K2" s="26">
        <f>CADASTRO!B13</f>
        <v>0.33333333333333331</v>
      </c>
      <c r="L2" s="27">
        <f>J2</f>
        <v>0</v>
      </c>
    </row>
    <row r="3" spans="1:17" x14ac:dyDescent="0.25">
      <c r="A3" s="53"/>
      <c r="B3" s="6" t="str">
        <f t="shared" ref="B3:B32" si="3">TEXT(C3,"DDDD")</f>
        <v>domingo</v>
      </c>
      <c r="C3" s="7">
        <f>C2+1</f>
        <v>41456</v>
      </c>
      <c r="D3" s="8"/>
      <c r="E3" s="8"/>
      <c r="F3" s="8"/>
      <c r="G3" s="8"/>
      <c r="H3" s="8">
        <f t="shared" si="0"/>
        <v>0</v>
      </c>
      <c r="I3" s="29">
        <f t="shared" si="1"/>
        <v>0</v>
      </c>
      <c r="J3" s="8">
        <f t="shared" si="2"/>
        <v>0</v>
      </c>
      <c r="K3" s="9">
        <f>K2</f>
        <v>0.33333333333333331</v>
      </c>
      <c r="L3" s="10">
        <f>L2+J3</f>
        <v>0</v>
      </c>
    </row>
    <row r="4" spans="1:17" x14ac:dyDescent="0.25">
      <c r="A4" s="53"/>
      <c r="B4" s="6" t="str">
        <f t="shared" si="3"/>
        <v>segunda-feira</v>
      </c>
      <c r="C4" s="7">
        <f t="shared" ref="C4:C32" si="4">C3+1</f>
        <v>41457</v>
      </c>
      <c r="D4" s="8"/>
      <c r="E4" s="8"/>
      <c r="F4" s="8"/>
      <c r="G4" s="8"/>
      <c r="H4" s="8">
        <f t="shared" si="0"/>
        <v>0</v>
      </c>
      <c r="I4" s="29">
        <f t="shared" si="1"/>
        <v>0.33333333333333331</v>
      </c>
      <c r="J4" s="8">
        <f t="shared" si="2"/>
        <v>-0.33333333333333331</v>
      </c>
      <c r="K4" s="9">
        <f t="shared" ref="K4:K32" si="5">K3</f>
        <v>0.33333333333333331</v>
      </c>
      <c r="L4" s="10">
        <f t="shared" ref="L4:L32" si="6">L3+J4</f>
        <v>-0.33333333333333331</v>
      </c>
    </row>
    <row r="5" spans="1:17" x14ac:dyDescent="0.25">
      <c r="A5" s="53"/>
      <c r="B5" s="6" t="str">
        <f t="shared" si="3"/>
        <v>terça-feira</v>
      </c>
      <c r="C5" s="7">
        <f t="shared" si="4"/>
        <v>41458</v>
      </c>
      <c r="D5" s="8"/>
      <c r="E5" s="8"/>
      <c r="F5" s="8"/>
      <c r="G5" s="8"/>
      <c r="H5" s="8">
        <f t="shared" si="0"/>
        <v>0</v>
      </c>
      <c r="I5" s="29">
        <f t="shared" si="1"/>
        <v>0.33333333333333331</v>
      </c>
      <c r="J5" s="8">
        <f t="shared" si="2"/>
        <v>-0.33333333333333331</v>
      </c>
      <c r="K5" s="9">
        <f t="shared" si="5"/>
        <v>0.33333333333333331</v>
      </c>
      <c r="L5" s="10">
        <f t="shared" si="6"/>
        <v>-0.66666666666666663</v>
      </c>
    </row>
    <row r="6" spans="1:17" x14ac:dyDescent="0.25">
      <c r="A6" s="53"/>
      <c r="B6" s="6" t="str">
        <f t="shared" si="3"/>
        <v>quarta-feira</v>
      </c>
      <c r="C6" s="7">
        <f t="shared" si="4"/>
        <v>41459</v>
      </c>
      <c r="D6" s="8"/>
      <c r="E6" s="8"/>
      <c r="F6" s="8"/>
      <c r="G6" s="8"/>
      <c r="H6" s="8">
        <f t="shared" si="0"/>
        <v>0</v>
      </c>
      <c r="I6" s="29">
        <f t="shared" si="1"/>
        <v>0.33333333333333331</v>
      </c>
      <c r="J6" s="8">
        <f>H6-I6</f>
        <v>-0.33333333333333331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quinta-feira</v>
      </c>
      <c r="C7" s="7">
        <f t="shared" si="4"/>
        <v>41460</v>
      </c>
      <c r="D7" s="8"/>
      <c r="E7" s="8"/>
      <c r="F7" s="8"/>
      <c r="G7" s="8"/>
      <c r="H7" s="8">
        <f t="shared" si="0"/>
        <v>0</v>
      </c>
      <c r="I7" s="29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sexta-feira</v>
      </c>
      <c r="C8" s="7">
        <f t="shared" si="4"/>
        <v>41461</v>
      </c>
      <c r="D8" s="8"/>
      <c r="E8" s="8"/>
      <c r="F8" s="8"/>
      <c r="G8" s="8"/>
      <c r="H8" s="8">
        <f t="shared" si="0"/>
        <v>0</v>
      </c>
      <c r="I8" s="29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sábado</v>
      </c>
      <c r="C9" s="7">
        <f t="shared" si="4"/>
        <v>41462</v>
      </c>
      <c r="D9" s="8"/>
      <c r="E9" s="8"/>
      <c r="F9" s="8"/>
      <c r="G9" s="8"/>
      <c r="H9" s="8">
        <f t="shared" si="0"/>
        <v>0</v>
      </c>
      <c r="I9" s="29">
        <f t="shared" si="1"/>
        <v>0</v>
      </c>
      <c r="J9" s="8">
        <f t="shared" si="2"/>
        <v>0</v>
      </c>
      <c r="K9" s="9">
        <f t="shared" si="5"/>
        <v>0.33333333333333331</v>
      </c>
      <c r="L9" s="10">
        <f t="shared" si="6"/>
        <v>-1.6666666666666665</v>
      </c>
    </row>
    <row r="10" spans="1:17" x14ac:dyDescent="0.25">
      <c r="A10" s="53"/>
      <c r="B10" s="6" t="str">
        <f t="shared" si="3"/>
        <v>domingo</v>
      </c>
      <c r="C10" s="7">
        <f t="shared" si="4"/>
        <v>41463</v>
      </c>
      <c r="D10" s="8"/>
      <c r="E10" s="8"/>
      <c r="F10" s="8"/>
      <c r="G10" s="8"/>
      <c r="H10" s="8">
        <f t="shared" si="0"/>
        <v>0</v>
      </c>
      <c r="I10" s="29">
        <f t="shared" si="1"/>
        <v>0</v>
      </c>
      <c r="J10" s="8">
        <f t="shared" si="2"/>
        <v>0</v>
      </c>
      <c r="K10" s="9">
        <f t="shared" si="5"/>
        <v>0.33333333333333331</v>
      </c>
      <c r="L10" s="10">
        <f t="shared" si="6"/>
        <v>-1.6666666666666665</v>
      </c>
    </row>
    <row r="11" spans="1:17" x14ac:dyDescent="0.25">
      <c r="A11" s="53"/>
      <c r="B11" s="6" t="str">
        <f t="shared" si="3"/>
        <v>segunda-feira</v>
      </c>
      <c r="C11" s="7">
        <f t="shared" si="4"/>
        <v>41464</v>
      </c>
      <c r="D11" s="8"/>
      <c r="E11" s="8"/>
      <c r="F11" s="8"/>
      <c r="G11" s="8"/>
      <c r="H11" s="8">
        <f t="shared" si="0"/>
        <v>0</v>
      </c>
      <c r="I11" s="29">
        <f t="shared" si="1"/>
        <v>0.33333333333333331</v>
      </c>
      <c r="J11" s="8">
        <f t="shared" si="2"/>
        <v>-0.33333333333333331</v>
      </c>
      <c r="K11" s="9">
        <f t="shared" si="5"/>
        <v>0.33333333333333331</v>
      </c>
      <c r="L11" s="10">
        <f t="shared" si="6"/>
        <v>-1.9999999999999998</v>
      </c>
    </row>
    <row r="12" spans="1:17" x14ac:dyDescent="0.25">
      <c r="A12" s="53"/>
      <c r="B12" s="6" t="str">
        <f t="shared" si="3"/>
        <v>terça-feira</v>
      </c>
      <c r="C12" s="7">
        <f t="shared" si="4"/>
        <v>41465</v>
      </c>
      <c r="D12" s="8"/>
      <c r="E12" s="8"/>
      <c r="F12" s="8"/>
      <c r="G12" s="8"/>
      <c r="H12" s="8">
        <f t="shared" si="0"/>
        <v>0</v>
      </c>
      <c r="I12" s="29">
        <f t="shared" si="1"/>
        <v>0.33333333333333331</v>
      </c>
      <c r="J12" s="8">
        <f t="shared" si="2"/>
        <v>-0.33333333333333331</v>
      </c>
      <c r="K12" s="9">
        <f t="shared" si="5"/>
        <v>0.33333333333333331</v>
      </c>
      <c r="L12" s="10">
        <f t="shared" si="6"/>
        <v>-2.333333333333333</v>
      </c>
    </row>
    <row r="13" spans="1:17" x14ac:dyDescent="0.25">
      <c r="A13" s="53"/>
      <c r="B13" s="6" t="str">
        <f t="shared" si="3"/>
        <v>quarta-feira</v>
      </c>
      <c r="C13" s="7">
        <f t="shared" si="4"/>
        <v>41466</v>
      </c>
      <c r="D13" s="8"/>
      <c r="E13" s="8"/>
      <c r="F13" s="8"/>
      <c r="G13" s="8"/>
      <c r="H13" s="8">
        <f t="shared" si="0"/>
        <v>0</v>
      </c>
      <c r="I13" s="29">
        <f t="shared" si="1"/>
        <v>0.33333333333333331</v>
      </c>
      <c r="J13" s="8">
        <f t="shared" si="2"/>
        <v>-0.33333333333333331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quinta-feira</v>
      </c>
      <c r="C14" s="7">
        <f t="shared" si="4"/>
        <v>41467</v>
      </c>
      <c r="D14" s="8"/>
      <c r="E14" s="8"/>
      <c r="F14" s="8"/>
      <c r="G14" s="8"/>
      <c r="H14" s="8">
        <f t="shared" si="0"/>
        <v>0</v>
      </c>
      <c r="I14" s="29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sexta-feira</v>
      </c>
      <c r="C15" s="7">
        <f t="shared" si="4"/>
        <v>41468</v>
      </c>
      <c r="D15" s="8"/>
      <c r="E15" s="8"/>
      <c r="F15" s="8"/>
      <c r="G15" s="8"/>
      <c r="H15" s="8">
        <f t="shared" si="0"/>
        <v>0</v>
      </c>
      <c r="I15" s="29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sábado</v>
      </c>
      <c r="C16" s="7">
        <f t="shared" si="4"/>
        <v>41469</v>
      </c>
      <c r="D16" s="8"/>
      <c r="E16" s="8"/>
      <c r="F16" s="8"/>
      <c r="G16" s="8"/>
      <c r="H16" s="8">
        <f t="shared" si="0"/>
        <v>0</v>
      </c>
      <c r="I16" s="29">
        <f t="shared" si="1"/>
        <v>0</v>
      </c>
      <c r="J16" s="8">
        <f t="shared" si="2"/>
        <v>0</v>
      </c>
      <c r="K16" s="9">
        <f t="shared" si="5"/>
        <v>0.33333333333333331</v>
      </c>
      <c r="L16" s="10">
        <f t="shared" si="6"/>
        <v>-3.3333333333333335</v>
      </c>
    </row>
    <row r="17" spans="1:12" x14ac:dyDescent="0.25">
      <c r="A17" s="53"/>
      <c r="B17" s="6" t="str">
        <f t="shared" si="3"/>
        <v>domingo</v>
      </c>
      <c r="C17" s="7">
        <f t="shared" si="4"/>
        <v>41470</v>
      </c>
      <c r="D17" s="8"/>
      <c r="E17" s="8"/>
      <c r="F17" s="8"/>
      <c r="G17" s="8"/>
      <c r="H17" s="8">
        <f t="shared" si="0"/>
        <v>0</v>
      </c>
      <c r="I17" s="29">
        <f t="shared" si="1"/>
        <v>0</v>
      </c>
      <c r="J17" s="8">
        <f t="shared" si="2"/>
        <v>0</v>
      </c>
      <c r="K17" s="9">
        <f t="shared" si="5"/>
        <v>0.33333333333333331</v>
      </c>
      <c r="L17" s="10">
        <f t="shared" si="6"/>
        <v>-3.3333333333333335</v>
      </c>
    </row>
    <row r="18" spans="1:12" x14ac:dyDescent="0.25">
      <c r="A18" s="53"/>
      <c r="B18" s="6" t="str">
        <f t="shared" si="3"/>
        <v>segunda-feira</v>
      </c>
      <c r="C18" s="7">
        <f t="shared" si="4"/>
        <v>41471</v>
      </c>
      <c r="D18" s="8"/>
      <c r="E18" s="8"/>
      <c r="F18" s="8"/>
      <c r="G18" s="8"/>
      <c r="H18" s="8">
        <f t="shared" si="0"/>
        <v>0</v>
      </c>
      <c r="I18" s="29">
        <f t="shared" si="1"/>
        <v>0.33333333333333331</v>
      </c>
      <c r="J18" s="8">
        <f t="shared" si="2"/>
        <v>-0.33333333333333331</v>
      </c>
      <c r="K18" s="9">
        <f t="shared" si="5"/>
        <v>0.33333333333333331</v>
      </c>
      <c r="L18" s="10">
        <f t="shared" si="6"/>
        <v>-3.666666666666667</v>
      </c>
    </row>
    <row r="19" spans="1:12" x14ac:dyDescent="0.25">
      <c r="A19" s="53"/>
      <c r="B19" s="6" t="str">
        <f t="shared" si="3"/>
        <v>terça-feira</v>
      </c>
      <c r="C19" s="7">
        <f t="shared" si="4"/>
        <v>41472</v>
      </c>
      <c r="D19" s="8"/>
      <c r="E19" s="8"/>
      <c r="F19" s="8"/>
      <c r="G19" s="8"/>
      <c r="H19" s="8">
        <f t="shared" si="0"/>
        <v>0</v>
      </c>
      <c r="I19" s="29">
        <f t="shared" si="1"/>
        <v>0.33333333333333331</v>
      </c>
      <c r="J19" s="8">
        <f t="shared" si="2"/>
        <v>-0.33333333333333331</v>
      </c>
      <c r="K19" s="9">
        <f t="shared" si="5"/>
        <v>0.33333333333333331</v>
      </c>
      <c r="L19" s="10">
        <f t="shared" si="6"/>
        <v>-4</v>
      </c>
    </row>
    <row r="20" spans="1:12" x14ac:dyDescent="0.25">
      <c r="A20" s="53"/>
      <c r="B20" s="6" t="str">
        <f t="shared" si="3"/>
        <v>quarta-feira</v>
      </c>
      <c r="C20" s="7">
        <f t="shared" si="4"/>
        <v>41473</v>
      </c>
      <c r="D20" s="8"/>
      <c r="E20" s="8"/>
      <c r="F20" s="8"/>
      <c r="G20" s="8"/>
      <c r="H20" s="8">
        <f t="shared" si="0"/>
        <v>0</v>
      </c>
      <c r="I20" s="29">
        <f t="shared" si="1"/>
        <v>0.33333333333333331</v>
      </c>
      <c r="J20" s="8">
        <f t="shared" si="2"/>
        <v>-0.33333333333333331</v>
      </c>
      <c r="K20" s="9">
        <f t="shared" si="5"/>
        <v>0.33333333333333331</v>
      </c>
      <c r="L20" s="10">
        <f t="shared" si="6"/>
        <v>-4.333333333333333</v>
      </c>
    </row>
    <row r="21" spans="1:12" x14ac:dyDescent="0.25">
      <c r="A21" s="53"/>
      <c r="B21" s="6" t="str">
        <f t="shared" si="3"/>
        <v>quinta-feira</v>
      </c>
      <c r="C21" s="7">
        <f t="shared" si="4"/>
        <v>41474</v>
      </c>
      <c r="D21" s="8"/>
      <c r="E21" s="8"/>
      <c r="F21" s="8"/>
      <c r="G21" s="8"/>
      <c r="H21" s="8">
        <f t="shared" si="0"/>
        <v>0</v>
      </c>
      <c r="I21" s="29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</row>
    <row r="22" spans="1:12" x14ac:dyDescent="0.25">
      <c r="A22" s="53"/>
      <c r="B22" s="6" t="str">
        <f t="shared" si="3"/>
        <v>sexta-feira</v>
      </c>
      <c r="C22" s="7">
        <f t="shared" si="4"/>
        <v>41475</v>
      </c>
      <c r="D22" s="8"/>
      <c r="E22" s="8"/>
      <c r="F22" s="8"/>
      <c r="G22" s="8"/>
      <c r="H22" s="8">
        <f t="shared" si="0"/>
        <v>0</v>
      </c>
      <c r="I22" s="29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</row>
    <row r="23" spans="1:12" x14ac:dyDescent="0.25">
      <c r="A23" s="53"/>
      <c r="B23" s="6" t="str">
        <f t="shared" si="3"/>
        <v>sábado</v>
      </c>
      <c r="C23" s="7">
        <f t="shared" si="4"/>
        <v>41476</v>
      </c>
      <c r="D23" s="8"/>
      <c r="E23" s="8"/>
      <c r="F23" s="8"/>
      <c r="G23" s="8"/>
      <c r="H23" s="8">
        <f t="shared" si="0"/>
        <v>0</v>
      </c>
      <c r="I23" s="29">
        <f t="shared" si="1"/>
        <v>0</v>
      </c>
      <c r="J23" s="8">
        <f t="shared" si="2"/>
        <v>0</v>
      </c>
      <c r="K23" s="9">
        <f t="shared" si="5"/>
        <v>0.33333333333333331</v>
      </c>
      <c r="L23" s="10">
        <f t="shared" si="6"/>
        <v>-4.9999999999999991</v>
      </c>
    </row>
    <row r="24" spans="1:12" x14ac:dyDescent="0.25">
      <c r="A24" s="53"/>
      <c r="B24" s="6" t="str">
        <f t="shared" si="3"/>
        <v>domingo</v>
      </c>
      <c r="C24" s="7">
        <f t="shared" si="4"/>
        <v>41477</v>
      </c>
      <c r="D24" s="8"/>
      <c r="E24" s="8"/>
      <c r="F24" s="8"/>
      <c r="G24" s="8"/>
      <c r="H24" s="8">
        <f t="shared" si="0"/>
        <v>0</v>
      </c>
      <c r="I24" s="29">
        <f t="shared" si="1"/>
        <v>0</v>
      </c>
      <c r="J24" s="8">
        <f t="shared" si="2"/>
        <v>0</v>
      </c>
      <c r="K24" s="9">
        <f t="shared" si="5"/>
        <v>0.33333333333333331</v>
      </c>
      <c r="L24" s="10">
        <f t="shared" si="6"/>
        <v>-4.9999999999999991</v>
      </c>
    </row>
    <row r="25" spans="1:12" x14ac:dyDescent="0.25">
      <c r="A25" s="53"/>
      <c r="B25" s="6" t="str">
        <f t="shared" si="3"/>
        <v>segunda-feira</v>
      </c>
      <c r="C25" s="7">
        <f t="shared" si="4"/>
        <v>41478</v>
      </c>
      <c r="D25" s="8"/>
      <c r="E25" s="8"/>
      <c r="F25" s="8"/>
      <c r="G25" s="8"/>
      <c r="H25" s="8">
        <f t="shared" si="0"/>
        <v>0</v>
      </c>
      <c r="I25" s="29">
        <f t="shared" si="1"/>
        <v>0.33333333333333331</v>
      </c>
      <c r="J25" s="8">
        <f t="shared" si="2"/>
        <v>-0.33333333333333331</v>
      </c>
      <c r="K25" s="9">
        <f t="shared" si="5"/>
        <v>0.33333333333333331</v>
      </c>
      <c r="L25" s="10">
        <f t="shared" si="6"/>
        <v>-5.3333333333333321</v>
      </c>
    </row>
    <row r="26" spans="1:12" x14ac:dyDescent="0.25">
      <c r="A26" s="53"/>
      <c r="B26" s="6" t="str">
        <f t="shared" si="3"/>
        <v>terça-feira</v>
      </c>
      <c r="C26" s="7">
        <f t="shared" si="4"/>
        <v>41479</v>
      </c>
      <c r="D26" s="8"/>
      <c r="E26" s="8"/>
      <c r="F26" s="8"/>
      <c r="G26" s="8"/>
      <c r="H26" s="8">
        <f t="shared" si="0"/>
        <v>0</v>
      </c>
      <c r="I26" s="29">
        <f t="shared" si="1"/>
        <v>0.33333333333333331</v>
      </c>
      <c r="J26" s="8">
        <f t="shared" si="2"/>
        <v>-0.33333333333333331</v>
      </c>
      <c r="K26" s="9">
        <f t="shared" si="5"/>
        <v>0.33333333333333331</v>
      </c>
      <c r="L26" s="10">
        <f t="shared" si="6"/>
        <v>-5.6666666666666652</v>
      </c>
    </row>
    <row r="27" spans="1:12" x14ac:dyDescent="0.25">
      <c r="A27" s="53"/>
      <c r="B27" s="6" t="str">
        <f t="shared" si="3"/>
        <v>quarta-feira</v>
      </c>
      <c r="C27" s="7">
        <f t="shared" si="4"/>
        <v>41480</v>
      </c>
      <c r="D27" s="8"/>
      <c r="E27" s="8"/>
      <c r="F27" s="8"/>
      <c r="G27" s="8"/>
      <c r="H27" s="8">
        <f t="shared" si="0"/>
        <v>0</v>
      </c>
      <c r="I27" s="29">
        <f t="shared" si="1"/>
        <v>0.33333333333333331</v>
      </c>
      <c r="J27" s="8">
        <f t="shared" si="2"/>
        <v>-0.33333333333333331</v>
      </c>
      <c r="K27" s="9">
        <f t="shared" si="5"/>
        <v>0.33333333333333331</v>
      </c>
      <c r="L27" s="10">
        <f t="shared" si="6"/>
        <v>-5.9999999999999982</v>
      </c>
    </row>
    <row r="28" spans="1:12" x14ac:dyDescent="0.25">
      <c r="A28" s="53"/>
      <c r="B28" s="6" t="str">
        <f t="shared" si="3"/>
        <v>quinta-feira</v>
      </c>
      <c r="C28" s="7">
        <f t="shared" si="4"/>
        <v>41481</v>
      </c>
      <c r="D28" s="8"/>
      <c r="E28" s="8"/>
      <c r="F28" s="8"/>
      <c r="G28" s="8"/>
      <c r="H28" s="8">
        <f t="shared" si="0"/>
        <v>0</v>
      </c>
      <c r="I28" s="29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</row>
    <row r="29" spans="1:12" x14ac:dyDescent="0.25">
      <c r="A29" s="53"/>
      <c r="B29" s="6" t="str">
        <f t="shared" si="3"/>
        <v>sexta-feira</v>
      </c>
      <c r="C29" s="7">
        <f t="shared" si="4"/>
        <v>41482</v>
      </c>
      <c r="D29" s="8"/>
      <c r="E29" s="8"/>
      <c r="F29" s="8"/>
      <c r="G29" s="8"/>
      <c r="H29" s="8">
        <f t="shared" si="0"/>
        <v>0</v>
      </c>
      <c r="I29" s="29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</row>
    <row r="30" spans="1:12" x14ac:dyDescent="0.25">
      <c r="A30" s="53"/>
      <c r="B30" s="6" t="str">
        <f t="shared" si="3"/>
        <v>sábado</v>
      </c>
      <c r="C30" s="7">
        <f t="shared" si="4"/>
        <v>41483</v>
      </c>
      <c r="D30" s="8"/>
      <c r="E30" s="8"/>
      <c r="F30" s="8"/>
      <c r="G30" s="8"/>
      <c r="H30" s="8">
        <f t="shared" si="0"/>
        <v>0</v>
      </c>
      <c r="I30" s="29">
        <f t="shared" si="1"/>
        <v>0</v>
      </c>
      <c r="J30" s="8">
        <f t="shared" si="2"/>
        <v>0</v>
      </c>
      <c r="K30" s="9">
        <f t="shared" si="5"/>
        <v>0.33333333333333331</v>
      </c>
      <c r="L30" s="10">
        <f t="shared" si="6"/>
        <v>-6.6666666666666643</v>
      </c>
    </row>
    <row r="31" spans="1:12" x14ac:dyDescent="0.25">
      <c r="A31" s="53"/>
      <c r="B31" s="6" t="str">
        <f t="shared" si="3"/>
        <v>domingo</v>
      </c>
      <c r="C31" s="7">
        <f t="shared" si="4"/>
        <v>41484</v>
      </c>
      <c r="D31" s="8"/>
      <c r="E31" s="8"/>
      <c r="F31" s="8"/>
      <c r="G31" s="8"/>
      <c r="H31" s="8">
        <f t="shared" si="0"/>
        <v>0</v>
      </c>
      <c r="I31" s="29">
        <f t="shared" si="1"/>
        <v>0</v>
      </c>
      <c r="J31" s="8">
        <f t="shared" si="2"/>
        <v>0</v>
      </c>
      <c r="K31" s="9">
        <f t="shared" si="5"/>
        <v>0.33333333333333331</v>
      </c>
      <c r="L31" s="10">
        <f t="shared" si="6"/>
        <v>-6.6666666666666643</v>
      </c>
    </row>
    <row r="32" spans="1:12" ht="15.75" thickBot="1" x14ac:dyDescent="0.3">
      <c r="A32" s="54"/>
      <c r="B32" s="11" t="str">
        <f t="shared" si="3"/>
        <v>segunda-feira</v>
      </c>
      <c r="C32" s="12">
        <f t="shared" si="4"/>
        <v>41485</v>
      </c>
      <c r="D32" s="13"/>
      <c r="E32" s="13"/>
      <c r="F32" s="13"/>
      <c r="G32" s="13"/>
      <c r="H32" s="13">
        <f t="shared" si="0"/>
        <v>0</v>
      </c>
      <c r="I32" s="30">
        <f t="shared" si="1"/>
        <v>0.33333333333333331</v>
      </c>
      <c r="J32" s="13">
        <f t="shared" si="2"/>
        <v>-0.33333333333333331</v>
      </c>
      <c r="K32" s="14">
        <f t="shared" si="5"/>
        <v>0.33333333333333331</v>
      </c>
      <c r="L32" s="15">
        <f t="shared" si="6"/>
        <v>-6.9999999999999973</v>
      </c>
    </row>
    <row r="33" spans="10:10" ht="15.75" thickBot="1" x14ac:dyDescent="0.3">
      <c r="J33" s="31">
        <f>SUM(J2:J32)</f>
        <v>-6.9999999999999973</v>
      </c>
    </row>
  </sheetData>
  <conditionalFormatting sqref="J2:J32">
    <cfRule type="cellIs" dxfId="53" priority="8" operator="greaterThan">
      <formula>0</formula>
    </cfRule>
    <cfRule type="cellIs" dxfId="52" priority="9" operator="lessThan">
      <formula>0</formula>
    </cfRule>
  </conditionalFormatting>
  <conditionalFormatting sqref="B2:B32">
    <cfRule type="cellIs" dxfId="51" priority="6" operator="equal">
      <formula>"DOMINGO"</formula>
    </cfRule>
    <cfRule type="cellIs" dxfId="50" priority="7" operator="equal">
      <formula>"SÁBADO"</formula>
    </cfRule>
  </conditionalFormatting>
  <conditionalFormatting sqref="L2:L32">
    <cfRule type="cellIs" dxfId="49" priority="4" operator="greaterThan">
      <formula>0</formula>
    </cfRule>
    <cfRule type="cellIs" dxfId="48" priority="5" operator="lessThan">
      <formula>0</formula>
    </cfRule>
  </conditionalFormatting>
  <conditionalFormatting sqref="J33">
    <cfRule type="cellIs" dxfId="47" priority="2" operator="greaterThan">
      <formula>0</formula>
    </cfRule>
    <cfRule type="cellIs" dxfId="46" priority="3" operator="lessThan">
      <formula>0</formula>
    </cfRule>
  </conditionalFormatting>
  <conditionalFormatting sqref="C1:C1048576">
    <cfRule type="timePeriod" dxfId="45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terça-feira</v>
      </c>
      <c r="C2" s="24">
        <f>JULHO!C32+1</f>
        <v>41486</v>
      </c>
      <c r="D2" s="25"/>
      <c r="E2" s="25"/>
      <c r="F2" s="25"/>
      <c r="G2" s="25"/>
      <c r="H2" s="25">
        <f t="shared" ref="H2:H32" si="0">E2-D2+G2-F2</f>
        <v>0</v>
      </c>
      <c r="I2" s="25">
        <f t="shared" ref="I2:I32" si="1">IF(B2="SÁBADO",0,IF(B2="DOMINGO",0,IF(A2="FERIADO",0,IF(A2="ABONADO",0,IF(A2="ATESTADO",0,K2)))))</f>
        <v>0.33333333333333331</v>
      </c>
      <c r="J2" s="25">
        <f t="shared" ref="J2:J32" si="2">H2-I2</f>
        <v>-0.33333333333333331</v>
      </c>
      <c r="K2" s="26">
        <f>CADASTRO!B15</f>
        <v>0.33333333333333331</v>
      </c>
      <c r="L2" s="27">
        <f>J2</f>
        <v>-0.33333333333333331</v>
      </c>
    </row>
    <row r="3" spans="1:17" x14ac:dyDescent="0.25">
      <c r="A3" s="53"/>
      <c r="B3" s="6" t="str">
        <f t="shared" ref="B3:B32" si="3">TEXT(C3,"DDDD")</f>
        <v>quarta-feira</v>
      </c>
      <c r="C3" s="7">
        <f>C2+1</f>
        <v>41487</v>
      </c>
      <c r="D3" s="8"/>
      <c r="E3" s="8"/>
      <c r="F3" s="8"/>
      <c r="G3" s="8"/>
      <c r="H3" s="8">
        <f t="shared" si="0"/>
        <v>0</v>
      </c>
      <c r="I3" s="8">
        <f t="shared" si="1"/>
        <v>0.33333333333333331</v>
      </c>
      <c r="J3" s="8">
        <f t="shared" si="2"/>
        <v>-0.33333333333333331</v>
      </c>
      <c r="K3" s="9">
        <f>K2</f>
        <v>0.33333333333333331</v>
      </c>
      <c r="L3" s="10">
        <f>L2+J3</f>
        <v>-0.66666666666666663</v>
      </c>
    </row>
    <row r="4" spans="1:17" x14ac:dyDescent="0.25">
      <c r="A4" s="53"/>
      <c r="B4" s="6" t="str">
        <f t="shared" si="3"/>
        <v>quinta-feira</v>
      </c>
      <c r="C4" s="7">
        <f t="shared" ref="C4:C32" si="4">C3+1</f>
        <v>41488</v>
      </c>
      <c r="D4" s="8"/>
      <c r="E4" s="8"/>
      <c r="F4" s="8"/>
      <c r="G4" s="8"/>
      <c r="H4" s="8">
        <f t="shared" si="0"/>
        <v>0</v>
      </c>
      <c r="I4" s="8">
        <f t="shared" si="1"/>
        <v>0.33333333333333331</v>
      </c>
      <c r="J4" s="8">
        <f t="shared" si="2"/>
        <v>-0.33333333333333331</v>
      </c>
      <c r="K4" s="9">
        <f t="shared" ref="K4:K32" si="5">K3</f>
        <v>0.33333333333333331</v>
      </c>
      <c r="L4" s="10">
        <f t="shared" ref="L4:L32" si="6">L3+J4</f>
        <v>-1</v>
      </c>
    </row>
    <row r="5" spans="1:17" x14ac:dyDescent="0.25">
      <c r="A5" s="53"/>
      <c r="B5" s="6" t="str">
        <f t="shared" si="3"/>
        <v>sexta-feira</v>
      </c>
      <c r="C5" s="7">
        <f t="shared" si="4"/>
        <v>41489</v>
      </c>
      <c r="D5" s="8"/>
      <c r="E5" s="8"/>
      <c r="F5" s="8"/>
      <c r="G5" s="8"/>
      <c r="H5" s="8">
        <f t="shared" si="0"/>
        <v>0</v>
      </c>
      <c r="I5" s="8">
        <f t="shared" si="1"/>
        <v>0.33333333333333331</v>
      </c>
      <c r="J5" s="8">
        <f t="shared" si="2"/>
        <v>-0.33333333333333331</v>
      </c>
      <c r="K5" s="9">
        <f t="shared" si="5"/>
        <v>0.33333333333333331</v>
      </c>
      <c r="L5" s="10">
        <f t="shared" si="6"/>
        <v>-1.3333333333333333</v>
      </c>
    </row>
    <row r="6" spans="1:17" x14ac:dyDescent="0.25">
      <c r="A6" s="53"/>
      <c r="B6" s="6" t="str">
        <f t="shared" si="3"/>
        <v>sábado</v>
      </c>
      <c r="C6" s="7">
        <f t="shared" si="4"/>
        <v>41490</v>
      </c>
      <c r="D6" s="8"/>
      <c r="E6" s="8"/>
      <c r="F6" s="8"/>
      <c r="G6" s="8"/>
      <c r="H6" s="8">
        <f t="shared" si="0"/>
        <v>0</v>
      </c>
      <c r="I6" s="8">
        <f t="shared" si="1"/>
        <v>0</v>
      </c>
      <c r="J6" s="8">
        <f>H6-I6</f>
        <v>0</v>
      </c>
      <c r="K6" s="9">
        <f t="shared" si="5"/>
        <v>0.33333333333333331</v>
      </c>
      <c r="L6" s="10">
        <f t="shared" si="6"/>
        <v>-1.3333333333333333</v>
      </c>
    </row>
    <row r="7" spans="1:17" x14ac:dyDescent="0.25">
      <c r="A7" s="53"/>
      <c r="B7" s="6" t="str">
        <f t="shared" si="3"/>
        <v>domingo</v>
      </c>
      <c r="C7" s="7">
        <f t="shared" si="4"/>
        <v>41491</v>
      </c>
      <c r="D7" s="8"/>
      <c r="E7" s="8"/>
      <c r="F7" s="8"/>
      <c r="G7" s="8"/>
      <c r="H7" s="8">
        <f t="shared" si="0"/>
        <v>0</v>
      </c>
      <c r="I7" s="8">
        <f t="shared" si="1"/>
        <v>0</v>
      </c>
      <c r="J7" s="8">
        <f t="shared" si="2"/>
        <v>0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segunda-feira</v>
      </c>
      <c r="C8" s="7">
        <f t="shared" si="4"/>
        <v>41492</v>
      </c>
      <c r="D8" s="8"/>
      <c r="E8" s="8"/>
      <c r="F8" s="8"/>
      <c r="G8" s="8"/>
      <c r="H8" s="8">
        <f t="shared" si="0"/>
        <v>0</v>
      </c>
      <c r="I8" s="8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terça-feira</v>
      </c>
      <c r="C9" s="7">
        <f t="shared" si="4"/>
        <v>41493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8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3"/>
        <v>quarta-feira</v>
      </c>
      <c r="C10" s="7">
        <f t="shared" si="4"/>
        <v>41494</v>
      </c>
      <c r="D10" s="8"/>
      <c r="E10" s="8"/>
      <c r="F10" s="8"/>
      <c r="G10" s="8"/>
      <c r="H10" s="8">
        <f t="shared" si="0"/>
        <v>0</v>
      </c>
      <c r="I10" s="8">
        <f t="shared" si="1"/>
        <v>0.33333333333333331</v>
      </c>
      <c r="J10" s="8">
        <f t="shared" si="2"/>
        <v>-0.33333333333333331</v>
      </c>
      <c r="K10" s="9">
        <f t="shared" si="5"/>
        <v>0.33333333333333331</v>
      </c>
      <c r="L10" s="10">
        <f t="shared" si="6"/>
        <v>-2.333333333333333</v>
      </c>
    </row>
    <row r="11" spans="1:17" x14ac:dyDescent="0.25">
      <c r="A11" s="53"/>
      <c r="B11" s="6" t="str">
        <f t="shared" si="3"/>
        <v>quinta-feira</v>
      </c>
      <c r="C11" s="7">
        <f t="shared" si="4"/>
        <v>41495</v>
      </c>
      <c r="D11" s="8"/>
      <c r="E11" s="8"/>
      <c r="F11" s="8"/>
      <c r="G11" s="8"/>
      <c r="H11" s="8">
        <f t="shared" si="0"/>
        <v>0</v>
      </c>
      <c r="I11" s="8">
        <f t="shared" si="1"/>
        <v>0.33333333333333331</v>
      </c>
      <c r="J11" s="8">
        <f t="shared" si="2"/>
        <v>-0.33333333333333331</v>
      </c>
      <c r="K11" s="9">
        <f t="shared" si="5"/>
        <v>0.33333333333333331</v>
      </c>
      <c r="L11" s="10">
        <f t="shared" si="6"/>
        <v>-2.6666666666666665</v>
      </c>
    </row>
    <row r="12" spans="1:17" x14ac:dyDescent="0.25">
      <c r="A12" s="53"/>
      <c r="B12" s="6" t="str">
        <f t="shared" si="3"/>
        <v>sexta-feira</v>
      </c>
      <c r="C12" s="7">
        <f t="shared" si="4"/>
        <v>41496</v>
      </c>
      <c r="D12" s="8"/>
      <c r="E12" s="8"/>
      <c r="F12" s="8"/>
      <c r="G12" s="8"/>
      <c r="H12" s="8">
        <f t="shared" si="0"/>
        <v>0</v>
      </c>
      <c r="I12" s="8">
        <f t="shared" si="1"/>
        <v>0.33333333333333331</v>
      </c>
      <c r="J12" s="8">
        <f t="shared" si="2"/>
        <v>-0.33333333333333331</v>
      </c>
      <c r="K12" s="9">
        <f t="shared" si="5"/>
        <v>0.33333333333333331</v>
      </c>
      <c r="L12" s="10">
        <f t="shared" si="6"/>
        <v>-3</v>
      </c>
    </row>
    <row r="13" spans="1:17" x14ac:dyDescent="0.25">
      <c r="A13" s="53"/>
      <c r="B13" s="6" t="str">
        <f t="shared" si="3"/>
        <v>sábado</v>
      </c>
      <c r="C13" s="7">
        <f t="shared" si="4"/>
        <v>41497</v>
      </c>
      <c r="D13" s="8"/>
      <c r="E13" s="8"/>
      <c r="F13" s="8"/>
      <c r="G13" s="8"/>
      <c r="H13" s="8">
        <f t="shared" si="0"/>
        <v>0</v>
      </c>
      <c r="I13" s="8">
        <f t="shared" si="1"/>
        <v>0</v>
      </c>
      <c r="J13" s="8">
        <f t="shared" si="2"/>
        <v>0</v>
      </c>
      <c r="K13" s="9">
        <f t="shared" si="5"/>
        <v>0.33333333333333331</v>
      </c>
      <c r="L13" s="10">
        <f t="shared" si="6"/>
        <v>-3</v>
      </c>
    </row>
    <row r="14" spans="1:17" x14ac:dyDescent="0.25">
      <c r="A14" s="53"/>
      <c r="B14" s="6" t="str">
        <f t="shared" si="3"/>
        <v>domingo</v>
      </c>
      <c r="C14" s="7">
        <f t="shared" si="4"/>
        <v>41498</v>
      </c>
      <c r="D14" s="8"/>
      <c r="E14" s="8"/>
      <c r="F14" s="8"/>
      <c r="G14" s="8"/>
      <c r="H14" s="8">
        <f t="shared" si="0"/>
        <v>0</v>
      </c>
      <c r="I14" s="8">
        <f t="shared" si="1"/>
        <v>0</v>
      </c>
      <c r="J14" s="8">
        <f t="shared" si="2"/>
        <v>0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segunda-feira</v>
      </c>
      <c r="C15" s="7">
        <f t="shared" si="4"/>
        <v>41499</v>
      </c>
      <c r="D15" s="8"/>
      <c r="E15" s="8"/>
      <c r="F15" s="8"/>
      <c r="G15" s="8"/>
      <c r="H15" s="8">
        <f t="shared" si="0"/>
        <v>0</v>
      </c>
      <c r="I15" s="8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terça-feira</v>
      </c>
      <c r="C16" s="7">
        <f t="shared" si="4"/>
        <v>41500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8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4" x14ac:dyDescent="0.25">
      <c r="A17" s="53"/>
      <c r="B17" s="6" t="str">
        <f t="shared" si="3"/>
        <v>quarta-feira</v>
      </c>
      <c r="C17" s="7">
        <f t="shared" si="4"/>
        <v>41501</v>
      </c>
      <c r="D17" s="8"/>
      <c r="E17" s="8"/>
      <c r="F17" s="8"/>
      <c r="G17" s="8"/>
      <c r="H17" s="8">
        <f t="shared" si="0"/>
        <v>0</v>
      </c>
      <c r="I17" s="8">
        <f t="shared" si="1"/>
        <v>0.33333333333333331</v>
      </c>
      <c r="J17" s="8">
        <f t="shared" si="2"/>
        <v>-0.33333333333333331</v>
      </c>
      <c r="K17" s="9">
        <f t="shared" si="5"/>
        <v>0.33333333333333331</v>
      </c>
      <c r="L17" s="10">
        <f t="shared" si="6"/>
        <v>-4</v>
      </c>
      <c r="M17"/>
      <c r="N17"/>
    </row>
    <row r="18" spans="1:14" x14ac:dyDescent="0.25">
      <c r="A18" s="53"/>
      <c r="B18" s="6" t="str">
        <f t="shared" si="3"/>
        <v>quinta-feira</v>
      </c>
      <c r="C18" s="7">
        <f t="shared" si="4"/>
        <v>41502</v>
      </c>
      <c r="D18" s="8"/>
      <c r="E18" s="8"/>
      <c r="F18" s="8"/>
      <c r="G18" s="8"/>
      <c r="H18" s="8">
        <f t="shared" si="0"/>
        <v>0</v>
      </c>
      <c r="I18" s="8">
        <f t="shared" si="1"/>
        <v>0.33333333333333331</v>
      </c>
      <c r="J18" s="8">
        <f t="shared" si="2"/>
        <v>-0.33333333333333331</v>
      </c>
      <c r="K18" s="9">
        <f t="shared" si="5"/>
        <v>0.33333333333333331</v>
      </c>
      <c r="L18" s="10">
        <f t="shared" si="6"/>
        <v>-4.333333333333333</v>
      </c>
      <c r="M18"/>
      <c r="N18"/>
    </row>
    <row r="19" spans="1:14" x14ac:dyDescent="0.25">
      <c r="A19" s="53"/>
      <c r="B19" s="6" t="str">
        <f t="shared" si="3"/>
        <v>sexta-feira</v>
      </c>
      <c r="C19" s="7">
        <f t="shared" si="4"/>
        <v>41503</v>
      </c>
      <c r="D19" s="8"/>
      <c r="E19" s="8"/>
      <c r="F19" s="8"/>
      <c r="G19" s="8"/>
      <c r="H19" s="8">
        <f t="shared" si="0"/>
        <v>0</v>
      </c>
      <c r="I19" s="8">
        <f t="shared" si="1"/>
        <v>0.33333333333333331</v>
      </c>
      <c r="J19" s="8">
        <f t="shared" si="2"/>
        <v>-0.33333333333333331</v>
      </c>
      <c r="K19" s="9">
        <f t="shared" si="5"/>
        <v>0.33333333333333331</v>
      </c>
      <c r="L19" s="10">
        <f t="shared" si="6"/>
        <v>-4.6666666666666661</v>
      </c>
      <c r="M19"/>
      <c r="N19"/>
    </row>
    <row r="20" spans="1:14" x14ac:dyDescent="0.25">
      <c r="A20" s="53"/>
      <c r="B20" s="6" t="str">
        <f t="shared" si="3"/>
        <v>sábado</v>
      </c>
      <c r="C20" s="7">
        <f t="shared" si="4"/>
        <v>41504</v>
      </c>
      <c r="D20" s="8"/>
      <c r="E20" s="8"/>
      <c r="F20" s="8"/>
      <c r="G20" s="8"/>
      <c r="H20" s="8">
        <f t="shared" si="0"/>
        <v>0</v>
      </c>
      <c r="I20" s="8">
        <f t="shared" si="1"/>
        <v>0</v>
      </c>
      <c r="J20" s="8">
        <f t="shared" si="2"/>
        <v>0</v>
      </c>
      <c r="K20" s="9">
        <f t="shared" si="5"/>
        <v>0.33333333333333331</v>
      </c>
      <c r="L20" s="10">
        <f t="shared" si="6"/>
        <v>-4.6666666666666661</v>
      </c>
      <c r="M20"/>
      <c r="N20"/>
    </row>
    <row r="21" spans="1:14" x14ac:dyDescent="0.25">
      <c r="A21" s="53"/>
      <c r="B21" s="6" t="str">
        <f t="shared" si="3"/>
        <v>domingo</v>
      </c>
      <c r="C21" s="7">
        <f t="shared" si="4"/>
        <v>41505</v>
      </c>
      <c r="D21" s="8"/>
      <c r="E21" s="8"/>
      <c r="F21" s="8"/>
      <c r="G21" s="8"/>
      <c r="H21" s="8">
        <f t="shared" si="0"/>
        <v>0</v>
      </c>
      <c r="I21" s="8">
        <f t="shared" si="1"/>
        <v>0</v>
      </c>
      <c r="J21" s="8">
        <f t="shared" si="2"/>
        <v>0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4" x14ac:dyDescent="0.25">
      <c r="A22" s="53"/>
      <c r="B22" s="6" t="str">
        <f t="shared" si="3"/>
        <v>segunda-feira</v>
      </c>
      <c r="C22" s="7">
        <f t="shared" si="4"/>
        <v>41506</v>
      </c>
      <c r="D22" s="8"/>
      <c r="E22" s="8"/>
      <c r="F22" s="8"/>
      <c r="G22" s="8"/>
      <c r="H22" s="8">
        <f t="shared" si="0"/>
        <v>0</v>
      </c>
      <c r="I22" s="8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3"/>
        <v>terça-feira</v>
      </c>
      <c r="C23" s="7">
        <f t="shared" si="4"/>
        <v>41507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8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</row>
    <row r="24" spans="1:14" x14ac:dyDescent="0.25">
      <c r="A24" s="53"/>
      <c r="B24" s="6" t="str">
        <f t="shared" si="3"/>
        <v>quarta-feira</v>
      </c>
      <c r="C24" s="7">
        <f t="shared" si="4"/>
        <v>41508</v>
      </c>
      <c r="D24" s="8"/>
      <c r="E24" s="8"/>
      <c r="F24" s="8"/>
      <c r="G24" s="8"/>
      <c r="H24" s="8">
        <f t="shared" si="0"/>
        <v>0</v>
      </c>
      <c r="I24" s="8">
        <f t="shared" si="1"/>
        <v>0.33333333333333331</v>
      </c>
      <c r="J24" s="8">
        <f t="shared" si="2"/>
        <v>-0.33333333333333331</v>
      </c>
      <c r="K24" s="9">
        <f t="shared" si="5"/>
        <v>0.33333333333333331</v>
      </c>
      <c r="L24" s="10">
        <f t="shared" si="6"/>
        <v>-5.6666666666666652</v>
      </c>
      <c r="M24"/>
      <c r="N24"/>
    </row>
    <row r="25" spans="1:14" x14ac:dyDescent="0.25">
      <c r="A25" s="53"/>
      <c r="B25" s="6" t="str">
        <f t="shared" si="3"/>
        <v>quinta-feira</v>
      </c>
      <c r="C25" s="7">
        <f t="shared" si="4"/>
        <v>41509</v>
      </c>
      <c r="D25" s="8"/>
      <c r="E25" s="8"/>
      <c r="F25" s="8"/>
      <c r="G25" s="8"/>
      <c r="H25" s="8">
        <f t="shared" si="0"/>
        <v>0</v>
      </c>
      <c r="I25" s="8">
        <f t="shared" si="1"/>
        <v>0.33333333333333331</v>
      </c>
      <c r="J25" s="8">
        <f t="shared" si="2"/>
        <v>-0.33333333333333331</v>
      </c>
      <c r="K25" s="9">
        <f t="shared" si="5"/>
        <v>0.33333333333333331</v>
      </c>
      <c r="L25" s="10">
        <f t="shared" si="6"/>
        <v>-5.9999999999999982</v>
      </c>
      <c r="M25"/>
      <c r="N25"/>
    </row>
    <row r="26" spans="1:14" x14ac:dyDescent="0.25">
      <c r="A26" s="53"/>
      <c r="B26" s="6" t="str">
        <f t="shared" si="3"/>
        <v>sexta-feira</v>
      </c>
      <c r="C26" s="7">
        <f t="shared" si="4"/>
        <v>41510</v>
      </c>
      <c r="D26" s="8"/>
      <c r="E26" s="8"/>
      <c r="F26" s="8"/>
      <c r="G26" s="8"/>
      <c r="H26" s="8">
        <f t="shared" si="0"/>
        <v>0</v>
      </c>
      <c r="I26" s="8">
        <f t="shared" si="1"/>
        <v>0.33333333333333331</v>
      </c>
      <c r="J26" s="8">
        <f t="shared" si="2"/>
        <v>-0.33333333333333331</v>
      </c>
      <c r="K26" s="9">
        <f t="shared" si="5"/>
        <v>0.33333333333333331</v>
      </c>
      <c r="L26" s="10">
        <f t="shared" si="6"/>
        <v>-6.3333333333333313</v>
      </c>
      <c r="M26"/>
      <c r="N26"/>
    </row>
    <row r="27" spans="1:14" x14ac:dyDescent="0.25">
      <c r="A27" s="53"/>
      <c r="B27" s="6" t="str">
        <f t="shared" si="3"/>
        <v>sábado</v>
      </c>
      <c r="C27" s="7">
        <f t="shared" si="4"/>
        <v>41511</v>
      </c>
      <c r="D27" s="8"/>
      <c r="E27" s="8"/>
      <c r="F27" s="8"/>
      <c r="G27" s="8"/>
      <c r="H27" s="8">
        <f t="shared" si="0"/>
        <v>0</v>
      </c>
      <c r="I27" s="8">
        <f t="shared" si="1"/>
        <v>0</v>
      </c>
      <c r="J27" s="8">
        <f t="shared" si="2"/>
        <v>0</v>
      </c>
      <c r="K27" s="9">
        <f t="shared" si="5"/>
        <v>0.33333333333333331</v>
      </c>
      <c r="L27" s="10">
        <f t="shared" si="6"/>
        <v>-6.3333333333333313</v>
      </c>
      <c r="M27"/>
      <c r="N27"/>
    </row>
    <row r="28" spans="1:14" x14ac:dyDescent="0.25">
      <c r="A28" s="53"/>
      <c r="B28" s="6" t="str">
        <f t="shared" si="3"/>
        <v>domingo</v>
      </c>
      <c r="C28" s="7">
        <f t="shared" si="4"/>
        <v>41512</v>
      </c>
      <c r="D28" s="8"/>
      <c r="E28" s="8"/>
      <c r="F28" s="8"/>
      <c r="G28" s="8"/>
      <c r="H28" s="8">
        <f t="shared" si="0"/>
        <v>0</v>
      </c>
      <c r="I28" s="8">
        <f t="shared" si="1"/>
        <v>0</v>
      </c>
      <c r="J28" s="8">
        <f t="shared" si="2"/>
        <v>0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4" x14ac:dyDescent="0.25">
      <c r="A29" s="53"/>
      <c r="B29" s="6" t="str">
        <f t="shared" si="3"/>
        <v>segunda-feira</v>
      </c>
      <c r="C29" s="7">
        <f t="shared" si="4"/>
        <v>41513</v>
      </c>
      <c r="D29" s="8"/>
      <c r="E29" s="8"/>
      <c r="F29" s="8"/>
      <c r="G29" s="8"/>
      <c r="H29" s="8">
        <f t="shared" si="0"/>
        <v>0</v>
      </c>
      <c r="I29" s="8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x14ac:dyDescent="0.25">
      <c r="A30" s="53"/>
      <c r="B30" s="6" t="str">
        <f t="shared" si="3"/>
        <v>terça-feira</v>
      </c>
      <c r="C30" s="7">
        <f t="shared" si="4"/>
        <v>41514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8">
        <f t="shared" si="2"/>
        <v>-0.33333333333333331</v>
      </c>
      <c r="K30" s="9">
        <f t="shared" si="5"/>
        <v>0.33333333333333331</v>
      </c>
      <c r="L30" s="10">
        <f t="shared" si="6"/>
        <v>-6.9999999999999973</v>
      </c>
      <c r="M30"/>
      <c r="N30"/>
    </row>
    <row r="31" spans="1:14" x14ac:dyDescent="0.25">
      <c r="A31" s="53"/>
      <c r="B31" s="6" t="str">
        <f t="shared" si="3"/>
        <v>quarta-feira</v>
      </c>
      <c r="C31" s="7">
        <f t="shared" si="4"/>
        <v>41515</v>
      </c>
      <c r="D31" s="8"/>
      <c r="E31" s="8"/>
      <c r="F31" s="8"/>
      <c r="G31" s="8"/>
      <c r="H31" s="8">
        <f t="shared" si="0"/>
        <v>0</v>
      </c>
      <c r="I31" s="8">
        <f t="shared" si="1"/>
        <v>0.33333333333333331</v>
      </c>
      <c r="J31" s="8">
        <f t="shared" si="2"/>
        <v>-0.33333333333333331</v>
      </c>
      <c r="K31" s="9">
        <f t="shared" si="5"/>
        <v>0.33333333333333331</v>
      </c>
      <c r="L31" s="10">
        <f t="shared" si="6"/>
        <v>-7.3333333333333304</v>
      </c>
      <c r="M31"/>
      <c r="N31"/>
    </row>
    <row r="32" spans="1:14" ht="15.75" thickBot="1" x14ac:dyDescent="0.3">
      <c r="A32" s="54"/>
      <c r="B32" s="11" t="str">
        <f t="shared" si="3"/>
        <v>quinta-feira</v>
      </c>
      <c r="C32" s="12">
        <f t="shared" si="4"/>
        <v>41516</v>
      </c>
      <c r="D32" s="13"/>
      <c r="E32" s="13"/>
      <c r="F32" s="13"/>
      <c r="G32" s="13"/>
      <c r="H32" s="13">
        <f t="shared" si="0"/>
        <v>0</v>
      </c>
      <c r="I32" s="13">
        <f t="shared" si="1"/>
        <v>0.33333333333333331</v>
      </c>
      <c r="J32" s="13">
        <f t="shared" si="2"/>
        <v>-0.33333333333333331</v>
      </c>
      <c r="K32" s="14">
        <f t="shared" si="5"/>
        <v>0.33333333333333331</v>
      </c>
      <c r="L32" s="15">
        <f t="shared" si="6"/>
        <v>-7.6666666666666634</v>
      </c>
      <c r="M32"/>
      <c r="N32"/>
    </row>
    <row r="33" spans="4:14" ht="15.75" thickBot="1" x14ac:dyDescent="0.3">
      <c r="D33"/>
      <c r="E33"/>
      <c r="F33"/>
      <c r="G33"/>
      <c r="H33"/>
      <c r="I33"/>
      <c r="J33" s="20">
        <f>SUM(J2:J32)</f>
        <v>-7.6666666666666634</v>
      </c>
      <c r="K33"/>
      <c r="L33"/>
      <c r="M33"/>
      <c r="N33"/>
    </row>
  </sheetData>
  <conditionalFormatting sqref="J2:J32">
    <cfRule type="cellIs" dxfId="44" priority="8" operator="greaterThan">
      <formula>0</formula>
    </cfRule>
    <cfRule type="cellIs" dxfId="43" priority="9" operator="lessThan">
      <formula>0</formula>
    </cfRule>
  </conditionalFormatting>
  <conditionalFormatting sqref="B2:B32">
    <cfRule type="cellIs" dxfId="42" priority="6" operator="equal">
      <formula>"DOMINGO"</formula>
    </cfRule>
    <cfRule type="cellIs" dxfId="41" priority="7" operator="equal">
      <formula>"SÁBADO"</formula>
    </cfRule>
  </conditionalFormatting>
  <conditionalFormatting sqref="L2:L32">
    <cfRule type="cellIs" dxfId="40" priority="4" operator="greaterThan">
      <formula>0</formula>
    </cfRule>
    <cfRule type="cellIs" dxfId="39" priority="5" operator="lessThan">
      <formula>0</formula>
    </cfRule>
  </conditionalFormatting>
  <conditionalFormatting sqref="J33">
    <cfRule type="cellIs" dxfId="38" priority="2" operator="greaterThan">
      <formula>0</formula>
    </cfRule>
    <cfRule type="cellIs" dxfId="37" priority="3" operator="lessThan">
      <formula>0</formula>
    </cfRule>
  </conditionalFormatting>
  <conditionalFormatting sqref="C1:C1048576">
    <cfRule type="timePeriod" dxfId="36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sexta-feira</v>
      </c>
      <c r="C2" s="16">
        <f>AGOSTO!C32+1</f>
        <v>41517</v>
      </c>
      <c r="D2" s="17"/>
      <c r="E2" s="17"/>
      <c r="F2" s="17"/>
      <c r="G2" s="17"/>
      <c r="H2" s="17">
        <f t="shared" ref="H2:H31" si="0">E2-D2+G2-F2</f>
        <v>0</v>
      </c>
      <c r="I2" s="17">
        <f t="shared" ref="I2:I31" si="1">IF(B2="SÁBADO",0,IF(B2="DOMINGO",0,IF(A2="FERIADO",0,IF(A2="ABONADO",0,IF(A2="ATESTADO",0,K2)))))</f>
        <v>0.33333333333333331</v>
      </c>
      <c r="J2" s="17">
        <f t="shared" ref="J2:J31" si="2">H2-I2</f>
        <v>-0.33333333333333331</v>
      </c>
      <c r="K2" s="18">
        <f>CADASTRO!B17</f>
        <v>0.33333333333333331</v>
      </c>
      <c r="L2" s="19">
        <f>J2</f>
        <v>-0.33333333333333331</v>
      </c>
    </row>
    <row r="3" spans="1:17" x14ac:dyDescent="0.25">
      <c r="A3" s="53"/>
      <c r="B3" s="6" t="str">
        <f t="shared" ref="B3:B31" si="3">TEXT(C3,"DDDD")</f>
        <v>sábado</v>
      </c>
      <c r="C3" s="7">
        <f>C2+1</f>
        <v>41518</v>
      </c>
      <c r="D3" s="8"/>
      <c r="E3" s="8"/>
      <c r="F3" s="8"/>
      <c r="G3" s="8"/>
      <c r="H3" s="8">
        <f t="shared" si="0"/>
        <v>0</v>
      </c>
      <c r="I3" s="8">
        <f t="shared" si="1"/>
        <v>0</v>
      </c>
      <c r="J3" s="8">
        <f t="shared" si="2"/>
        <v>0</v>
      </c>
      <c r="K3" s="9">
        <f>K2</f>
        <v>0.33333333333333331</v>
      </c>
      <c r="L3" s="10">
        <f>L2+J3</f>
        <v>-0.33333333333333331</v>
      </c>
    </row>
    <row r="4" spans="1:17" x14ac:dyDescent="0.25">
      <c r="A4" s="53"/>
      <c r="B4" s="6" t="str">
        <f t="shared" si="3"/>
        <v>domingo</v>
      </c>
      <c r="C4" s="7">
        <f t="shared" ref="C4:C31" si="4">C3+1</f>
        <v>41519</v>
      </c>
      <c r="D4" s="8"/>
      <c r="E4" s="8"/>
      <c r="F4" s="8"/>
      <c r="G4" s="8"/>
      <c r="H4" s="8">
        <f t="shared" si="0"/>
        <v>0</v>
      </c>
      <c r="I4" s="8">
        <f t="shared" si="1"/>
        <v>0</v>
      </c>
      <c r="J4" s="8">
        <f t="shared" si="2"/>
        <v>0</v>
      </c>
      <c r="K4" s="9">
        <f t="shared" ref="K4:K31" si="5">K3</f>
        <v>0.33333333333333331</v>
      </c>
      <c r="L4" s="10">
        <f t="shared" ref="L4:L31" si="6">L3+J4</f>
        <v>-0.33333333333333331</v>
      </c>
    </row>
    <row r="5" spans="1:17" x14ac:dyDescent="0.25">
      <c r="A5" s="53"/>
      <c r="B5" s="6" t="str">
        <f t="shared" si="3"/>
        <v>segunda-feira</v>
      </c>
      <c r="C5" s="7">
        <f t="shared" si="4"/>
        <v>41520</v>
      </c>
      <c r="D5" s="8"/>
      <c r="E5" s="8"/>
      <c r="F5" s="8"/>
      <c r="G5" s="8"/>
      <c r="H5" s="8">
        <f t="shared" si="0"/>
        <v>0</v>
      </c>
      <c r="I5" s="8">
        <f t="shared" si="1"/>
        <v>0.33333333333333331</v>
      </c>
      <c r="J5" s="8">
        <f t="shared" si="2"/>
        <v>-0.33333333333333331</v>
      </c>
      <c r="K5" s="9">
        <f t="shared" si="5"/>
        <v>0.33333333333333331</v>
      </c>
      <c r="L5" s="10">
        <f t="shared" si="6"/>
        <v>-0.66666666666666663</v>
      </c>
    </row>
    <row r="6" spans="1:17" x14ac:dyDescent="0.25">
      <c r="A6" s="53"/>
      <c r="B6" s="6" t="str">
        <f t="shared" si="3"/>
        <v>terça-feira</v>
      </c>
      <c r="C6" s="7">
        <f t="shared" si="4"/>
        <v>41521</v>
      </c>
      <c r="D6" s="8"/>
      <c r="E6" s="8"/>
      <c r="F6" s="8"/>
      <c r="G6" s="8"/>
      <c r="H6" s="8">
        <f t="shared" si="0"/>
        <v>0</v>
      </c>
      <c r="I6" s="8">
        <f t="shared" si="1"/>
        <v>0.33333333333333331</v>
      </c>
      <c r="J6" s="8">
        <f>H6-I6</f>
        <v>-0.33333333333333331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quarta-feira</v>
      </c>
      <c r="C7" s="7">
        <f t="shared" si="4"/>
        <v>41522</v>
      </c>
      <c r="D7" s="8"/>
      <c r="E7" s="8"/>
      <c r="F7" s="8"/>
      <c r="G7" s="8"/>
      <c r="H7" s="8">
        <f t="shared" si="0"/>
        <v>0</v>
      </c>
      <c r="I7" s="8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quinta-feira</v>
      </c>
      <c r="C8" s="7">
        <f t="shared" si="4"/>
        <v>41523</v>
      </c>
      <c r="D8" s="8"/>
      <c r="E8" s="8"/>
      <c r="F8" s="8"/>
      <c r="G8" s="8"/>
      <c r="H8" s="8">
        <f t="shared" si="0"/>
        <v>0</v>
      </c>
      <c r="I8" s="8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sexta-feira</v>
      </c>
      <c r="C9" s="7">
        <f t="shared" si="4"/>
        <v>41524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8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3"/>
        <v>sábado</v>
      </c>
      <c r="C10" s="7">
        <f t="shared" si="4"/>
        <v>41525</v>
      </c>
      <c r="D10" s="8"/>
      <c r="E10" s="8"/>
      <c r="F10" s="8"/>
      <c r="G10" s="8"/>
      <c r="H10" s="8">
        <f t="shared" si="0"/>
        <v>0</v>
      </c>
      <c r="I10" s="8">
        <f t="shared" si="1"/>
        <v>0</v>
      </c>
      <c r="J10" s="8">
        <f t="shared" si="2"/>
        <v>0</v>
      </c>
      <c r="K10" s="9">
        <f t="shared" si="5"/>
        <v>0.33333333333333331</v>
      </c>
      <c r="L10" s="10">
        <f t="shared" si="6"/>
        <v>-1.9999999999999998</v>
      </c>
    </row>
    <row r="11" spans="1:17" x14ac:dyDescent="0.25">
      <c r="A11" s="53"/>
      <c r="B11" s="6" t="str">
        <f t="shared" si="3"/>
        <v>domingo</v>
      </c>
      <c r="C11" s="7">
        <f t="shared" si="4"/>
        <v>41526</v>
      </c>
      <c r="D11" s="8"/>
      <c r="E11" s="8"/>
      <c r="F11" s="8"/>
      <c r="G11" s="8"/>
      <c r="H11" s="8">
        <f t="shared" si="0"/>
        <v>0</v>
      </c>
      <c r="I11" s="8">
        <f t="shared" si="1"/>
        <v>0</v>
      </c>
      <c r="J11" s="8">
        <f t="shared" si="2"/>
        <v>0</v>
      </c>
      <c r="K11" s="9">
        <f t="shared" si="5"/>
        <v>0.33333333333333331</v>
      </c>
      <c r="L11" s="10">
        <f t="shared" si="6"/>
        <v>-1.9999999999999998</v>
      </c>
    </row>
    <row r="12" spans="1:17" x14ac:dyDescent="0.25">
      <c r="A12" s="53"/>
      <c r="B12" s="6" t="str">
        <f t="shared" si="3"/>
        <v>segunda-feira</v>
      </c>
      <c r="C12" s="7">
        <f t="shared" si="4"/>
        <v>41527</v>
      </c>
      <c r="D12" s="8"/>
      <c r="E12" s="8"/>
      <c r="F12" s="8"/>
      <c r="G12" s="8"/>
      <c r="H12" s="8">
        <f t="shared" si="0"/>
        <v>0</v>
      </c>
      <c r="I12" s="8">
        <f t="shared" si="1"/>
        <v>0.33333333333333331</v>
      </c>
      <c r="J12" s="8">
        <f t="shared" si="2"/>
        <v>-0.33333333333333331</v>
      </c>
      <c r="K12" s="9">
        <f t="shared" si="5"/>
        <v>0.33333333333333331</v>
      </c>
      <c r="L12" s="10">
        <f t="shared" si="6"/>
        <v>-2.333333333333333</v>
      </c>
    </row>
    <row r="13" spans="1:17" x14ac:dyDescent="0.25">
      <c r="A13" s="53"/>
      <c r="B13" s="6" t="str">
        <f t="shared" si="3"/>
        <v>terça-feira</v>
      </c>
      <c r="C13" s="7">
        <f t="shared" si="4"/>
        <v>41528</v>
      </c>
      <c r="D13" s="8"/>
      <c r="E13" s="8"/>
      <c r="F13" s="8"/>
      <c r="G13" s="8"/>
      <c r="H13" s="8">
        <f t="shared" si="0"/>
        <v>0</v>
      </c>
      <c r="I13" s="8">
        <f t="shared" si="1"/>
        <v>0.33333333333333331</v>
      </c>
      <c r="J13" s="8">
        <f t="shared" si="2"/>
        <v>-0.33333333333333331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quarta-feira</v>
      </c>
      <c r="C14" s="7">
        <f t="shared" si="4"/>
        <v>41529</v>
      </c>
      <c r="D14" s="8"/>
      <c r="E14" s="8"/>
      <c r="F14" s="8"/>
      <c r="G14" s="8"/>
      <c r="H14" s="8">
        <f t="shared" si="0"/>
        <v>0</v>
      </c>
      <c r="I14" s="8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quinta-feira</v>
      </c>
      <c r="C15" s="7">
        <f t="shared" si="4"/>
        <v>41530</v>
      </c>
      <c r="D15" s="8"/>
      <c r="E15" s="8"/>
      <c r="F15" s="8"/>
      <c r="G15" s="8"/>
      <c r="H15" s="8">
        <f t="shared" si="0"/>
        <v>0</v>
      </c>
      <c r="I15" s="8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sexta-feira</v>
      </c>
      <c r="C16" s="7">
        <f t="shared" si="4"/>
        <v>41531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8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4" x14ac:dyDescent="0.25">
      <c r="A17" s="53"/>
      <c r="B17" s="6" t="str">
        <f t="shared" si="3"/>
        <v>sábado</v>
      </c>
      <c r="C17" s="7">
        <f t="shared" si="4"/>
        <v>41532</v>
      </c>
      <c r="D17" s="8"/>
      <c r="E17" s="8"/>
      <c r="F17" s="8"/>
      <c r="G17" s="8"/>
      <c r="H17" s="8">
        <f t="shared" si="0"/>
        <v>0</v>
      </c>
      <c r="I17" s="8">
        <f t="shared" si="1"/>
        <v>0</v>
      </c>
      <c r="J17" s="8">
        <f t="shared" si="2"/>
        <v>0</v>
      </c>
      <c r="K17" s="9">
        <f t="shared" si="5"/>
        <v>0.33333333333333331</v>
      </c>
      <c r="L17" s="10">
        <f t="shared" si="6"/>
        <v>-3.666666666666667</v>
      </c>
      <c r="M17"/>
      <c r="N17"/>
    </row>
    <row r="18" spans="1:14" x14ac:dyDescent="0.25">
      <c r="A18" s="53"/>
      <c r="B18" s="6" t="str">
        <f t="shared" si="3"/>
        <v>domingo</v>
      </c>
      <c r="C18" s="7">
        <f t="shared" si="4"/>
        <v>41533</v>
      </c>
      <c r="D18" s="8"/>
      <c r="E18" s="8"/>
      <c r="F18" s="8"/>
      <c r="G18" s="8"/>
      <c r="H18" s="8">
        <f t="shared" si="0"/>
        <v>0</v>
      </c>
      <c r="I18" s="8">
        <f t="shared" si="1"/>
        <v>0</v>
      </c>
      <c r="J18" s="8">
        <f t="shared" si="2"/>
        <v>0</v>
      </c>
      <c r="K18" s="9">
        <f t="shared" si="5"/>
        <v>0.33333333333333331</v>
      </c>
      <c r="L18" s="10">
        <f t="shared" si="6"/>
        <v>-3.666666666666667</v>
      </c>
      <c r="M18"/>
      <c r="N18"/>
    </row>
    <row r="19" spans="1:14" x14ac:dyDescent="0.25">
      <c r="A19" s="53"/>
      <c r="B19" s="6" t="str">
        <f t="shared" si="3"/>
        <v>segunda-feira</v>
      </c>
      <c r="C19" s="7">
        <f t="shared" si="4"/>
        <v>41534</v>
      </c>
      <c r="D19" s="8"/>
      <c r="E19" s="8"/>
      <c r="F19" s="8"/>
      <c r="G19" s="8"/>
      <c r="H19" s="8">
        <f t="shared" si="0"/>
        <v>0</v>
      </c>
      <c r="I19" s="8">
        <f t="shared" si="1"/>
        <v>0.33333333333333331</v>
      </c>
      <c r="J19" s="8">
        <f t="shared" si="2"/>
        <v>-0.33333333333333331</v>
      </c>
      <c r="K19" s="9">
        <f t="shared" si="5"/>
        <v>0.33333333333333331</v>
      </c>
      <c r="L19" s="10">
        <f t="shared" si="6"/>
        <v>-4</v>
      </c>
      <c r="M19"/>
      <c r="N19"/>
    </row>
    <row r="20" spans="1:14" x14ac:dyDescent="0.25">
      <c r="A20" s="53"/>
      <c r="B20" s="6" t="str">
        <f t="shared" si="3"/>
        <v>terça-feira</v>
      </c>
      <c r="C20" s="7">
        <f t="shared" si="4"/>
        <v>41535</v>
      </c>
      <c r="D20" s="8"/>
      <c r="E20" s="8"/>
      <c r="F20" s="8"/>
      <c r="G20" s="8"/>
      <c r="H20" s="8">
        <f t="shared" si="0"/>
        <v>0</v>
      </c>
      <c r="I20" s="8">
        <f t="shared" si="1"/>
        <v>0.33333333333333331</v>
      </c>
      <c r="J20" s="8">
        <f t="shared" si="2"/>
        <v>-0.33333333333333331</v>
      </c>
      <c r="K20" s="9">
        <f t="shared" si="5"/>
        <v>0.33333333333333331</v>
      </c>
      <c r="L20" s="10">
        <f t="shared" si="6"/>
        <v>-4.333333333333333</v>
      </c>
      <c r="M20"/>
      <c r="N20"/>
    </row>
    <row r="21" spans="1:14" x14ac:dyDescent="0.25">
      <c r="A21" s="53"/>
      <c r="B21" s="6" t="str">
        <f t="shared" si="3"/>
        <v>quarta-feira</v>
      </c>
      <c r="C21" s="7">
        <f t="shared" si="4"/>
        <v>41536</v>
      </c>
      <c r="D21" s="8"/>
      <c r="E21" s="8"/>
      <c r="F21" s="8"/>
      <c r="G21" s="8"/>
      <c r="H21" s="8">
        <f t="shared" si="0"/>
        <v>0</v>
      </c>
      <c r="I21" s="8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4" x14ac:dyDescent="0.25">
      <c r="A22" s="53"/>
      <c r="B22" s="6" t="str">
        <f t="shared" si="3"/>
        <v>quinta-feira</v>
      </c>
      <c r="C22" s="7">
        <f t="shared" si="4"/>
        <v>41537</v>
      </c>
      <c r="D22" s="8"/>
      <c r="E22" s="8"/>
      <c r="F22" s="8"/>
      <c r="G22" s="8"/>
      <c r="H22" s="8">
        <f t="shared" si="0"/>
        <v>0</v>
      </c>
      <c r="I22" s="8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3"/>
        <v>sexta-feira</v>
      </c>
      <c r="C23" s="7">
        <f t="shared" si="4"/>
        <v>41538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8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</row>
    <row r="24" spans="1:14" x14ac:dyDescent="0.25">
      <c r="A24" s="53"/>
      <c r="B24" s="6" t="str">
        <f t="shared" si="3"/>
        <v>sábado</v>
      </c>
      <c r="C24" s="7">
        <f t="shared" si="4"/>
        <v>41539</v>
      </c>
      <c r="D24" s="8"/>
      <c r="E24" s="8"/>
      <c r="F24" s="8"/>
      <c r="G24" s="8"/>
      <c r="H24" s="8">
        <f t="shared" si="0"/>
        <v>0</v>
      </c>
      <c r="I24" s="8">
        <f t="shared" si="1"/>
        <v>0</v>
      </c>
      <c r="J24" s="8">
        <f t="shared" si="2"/>
        <v>0</v>
      </c>
      <c r="K24" s="9">
        <f t="shared" si="5"/>
        <v>0.33333333333333331</v>
      </c>
      <c r="L24" s="10">
        <f t="shared" si="6"/>
        <v>-5.3333333333333321</v>
      </c>
      <c r="M24"/>
      <c r="N24"/>
    </row>
    <row r="25" spans="1:14" x14ac:dyDescent="0.25">
      <c r="A25" s="53"/>
      <c r="B25" s="6" t="str">
        <f t="shared" si="3"/>
        <v>domingo</v>
      </c>
      <c r="C25" s="7">
        <f t="shared" si="4"/>
        <v>41540</v>
      </c>
      <c r="D25" s="8"/>
      <c r="E25" s="8"/>
      <c r="F25" s="8"/>
      <c r="G25" s="8"/>
      <c r="H25" s="8">
        <f t="shared" si="0"/>
        <v>0</v>
      </c>
      <c r="I25" s="8">
        <f t="shared" si="1"/>
        <v>0</v>
      </c>
      <c r="J25" s="8">
        <f t="shared" si="2"/>
        <v>0</v>
      </c>
      <c r="K25" s="9">
        <f t="shared" si="5"/>
        <v>0.33333333333333331</v>
      </c>
      <c r="L25" s="10">
        <f t="shared" si="6"/>
        <v>-5.3333333333333321</v>
      </c>
      <c r="M25"/>
      <c r="N25"/>
    </row>
    <row r="26" spans="1:14" x14ac:dyDescent="0.25">
      <c r="A26" s="53"/>
      <c r="B26" s="6" t="str">
        <f t="shared" si="3"/>
        <v>segunda-feira</v>
      </c>
      <c r="C26" s="7">
        <f t="shared" si="4"/>
        <v>41541</v>
      </c>
      <c r="D26" s="8"/>
      <c r="E26" s="8"/>
      <c r="F26" s="8"/>
      <c r="G26" s="8"/>
      <c r="H26" s="8">
        <f t="shared" si="0"/>
        <v>0</v>
      </c>
      <c r="I26" s="8">
        <f t="shared" si="1"/>
        <v>0.33333333333333331</v>
      </c>
      <c r="J26" s="8">
        <f t="shared" si="2"/>
        <v>-0.33333333333333331</v>
      </c>
      <c r="K26" s="9">
        <f t="shared" si="5"/>
        <v>0.33333333333333331</v>
      </c>
      <c r="L26" s="10">
        <f t="shared" si="6"/>
        <v>-5.6666666666666652</v>
      </c>
      <c r="M26"/>
      <c r="N26"/>
    </row>
    <row r="27" spans="1:14" x14ac:dyDescent="0.25">
      <c r="A27" s="53"/>
      <c r="B27" s="6" t="str">
        <f t="shared" si="3"/>
        <v>terça-feira</v>
      </c>
      <c r="C27" s="7">
        <f t="shared" si="4"/>
        <v>41542</v>
      </c>
      <c r="D27" s="8"/>
      <c r="E27" s="8"/>
      <c r="F27" s="8"/>
      <c r="G27" s="8"/>
      <c r="H27" s="8">
        <f t="shared" si="0"/>
        <v>0</v>
      </c>
      <c r="I27" s="8">
        <f t="shared" si="1"/>
        <v>0.33333333333333331</v>
      </c>
      <c r="J27" s="8">
        <f t="shared" si="2"/>
        <v>-0.33333333333333331</v>
      </c>
      <c r="K27" s="9">
        <f t="shared" si="5"/>
        <v>0.33333333333333331</v>
      </c>
      <c r="L27" s="10">
        <f t="shared" si="6"/>
        <v>-5.9999999999999982</v>
      </c>
      <c r="M27"/>
      <c r="N27"/>
    </row>
    <row r="28" spans="1:14" x14ac:dyDescent="0.25">
      <c r="A28" s="53"/>
      <c r="B28" s="6" t="str">
        <f t="shared" si="3"/>
        <v>quarta-feira</v>
      </c>
      <c r="C28" s="7">
        <f t="shared" si="4"/>
        <v>41543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4" x14ac:dyDescent="0.25">
      <c r="A29" s="53"/>
      <c r="B29" s="6" t="str">
        <f t="shared" si="3"/>
        <v>quinta-feira</v>
      </c>
      <c r="C29" s="7">
        <f t="shared" si="4"/>
        <v>41544</v>
      </c>
      <c r="D29" s="8"/>
      <c r="E29" s="8"/>
      <c r="F29" s="8"/>
      <c r="G29" s="8"/>
      <c r="H29" s="8">
        <f t="shared" si="0"/>
        <v>0</v>
      </c>
      <c r="I29" s="8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x14ac:dyDescent="0.25">
      <c r="A30" s="53"/>
      <c r="B30" s="6" t="str">
        <f t="shared" si="3"/>
        <v>sexta-feira</v>
      </c>
      <c r="C30" s="7">
        <f t="shared" si="4"/>
        <v>41545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8">
        <f t="shared" si="2"/>
        <v>-0.33333333333333331</v>
      </c>
      <c r="K30" s="9">
        <f t="shared" si="5"/>
        <v>0.33333333333333331</v>
      </c>
      <c r="L30" s="10">
        <f t="shared" si="6"/>
        <v>-6.9999999999999973</v>
      </c>
      <c r="M30"/>
      <c r="N30"/>
    </row>
    <row r="31" spans="1:14" ht="15.75" thickBot="1" x14ac:dyDescent="0.3">
      <c r="A31" s="54"/>
      <c r="B31" s="11" t="str">
        <f t="shared" si="3"/>
        <v>sábado</v>
      </c>
      <c r="C31" s="7">
        <f t="shared" si="4"/>
        <v>41546</v>
      </c>
      <c r="D31" s="13"/>
      <c r="E31" s="13"/>
      <c r="F31" s="13"/>
      <c r="G31" s="13"/>
      <c r="H31" s="13">
        <f t="shared" si="0"/>
        <v>0</v>
      </c>
      <c r="I31" s="13">
        <f t="shared" si="1"/>
        <v>0</v>
      </c>
      <c r="J31" s="13">
        <f t="shared" si="2"/>
        <v>0</v>
      </c>
      <c r="K31" s="14">
        <f t="shared" si="5"/>
        <v>0.33333333333333331</v>
      </c>
      <c r="L31" s="15">
        <f t="shared" si="6"/>
        <v>-6.9999999999999973</v>
      </c>
      <c r="M31"/>
      <c r="N31"/>
    </row>
    <row r="32" spans="1:14" ht="15.75" thickBot="1" x14ac:dyDescent="0.3">
      <c r="J32" s="20">
        <f>SUM(J2:J31)</f>
        <v>-6.9999999999999973</v>
      </c>
      <c r="M32"/>
      <c r="N32"/>
    </row>
  </sheetData>
  <conditionalFormatting sqref="J2:J31">
    <cfRule type="cellIs" dxfId="35" priority="8" operator="greaterThan">
      <formula>0</formula>
    </cfRule>
    <cfRule type="cellIs" dxfId="34" priority="9" operator="lessThan">
      <formula>0</formula>
    </cfRule>
  </conditionalFormatting>
  <conditionalFormatting sqref="L2:L31">
    <cfRule type="cellIs" dxfId="33" priority="6" operator="greaterThan">
      <formula>0</formula>
    </cfRule>
    <cfRule type="cellIs" dxfId="32" priority="7" operator="lessThan">
      <formula>0</formula>
    </cfRule>
  </conditionalFormatting>
  <conditionalFormatting sqref="J32">
    <cfRule type="cellIs" dxfId="31" priority="4" operator="greaterThan">
      <formula>0</formula>
    </cfRule>
    <cfRule type="cellIs" dxfId="30" priority="5" operator="lessThan">
      <formula>0</formula>
    </cfRule>
  </conditionalFormatting>
  <conditionalFormatting sqref="B2:B31">
    <cfRule type="cellIs" dxfId="29" priority="2" operator="equal">
      <formula>"DOMINGO"</formula>
    </cfRule>
    <cfRule type="cellIs" dxfId="28" priority="3" operator="equal">
      <formula>"SÁBADO"</formula>
    </cfRule>
  </conditionalFormatting>
  <conditionalFormatting sqref="C1:C1048576">
    <cfRule type="timePeriod" dxfId="27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A2:A30 A31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domingo</v>
      </c>
      <c r="C2" s="24">
        <f>SETEMBRO!C31+1</f>
        <v>41547</v>
      </c>
      <c r="D2" s="25"/>
      <c r="E2" s="25"/>
      <c r="F2" s="25"/>
      <c r="G2" s="25"/>
      <c r="H2" s="25">
        <f t="shared" ref="H2:H32" si="0">E2-D2+G2-F2</f>
        <v>0</v>
      </c>
      <c r="I2" s="25">
        <f t="shared" ref="I2:I32" si="1">IF(B2="SÁBADO",0,IF(B2="DOMINGO",0,IF(A2="FERIADO",0,IF(A2="ABONADO",0,IF(A2="ATESTADO",0,K2)))))</f>
        <v>0</v>
      </c>
      <c r="J2" s="25">
        <f t="shared" ref="J2:J32" si="2">H2-I2</f>
        <v>0</v>
      </c>
      <c r="K2" s="26">
        <f>CADASTRO!B19</f>
        <v>0.33333333333333331</v>
      </c>
      <c r="L2" s="27">
        <f>J2</f>
        <v>0</v>
      </c>
    </row>
    <row r="3" spans="1:17" x14ac:dyDescent="0.25">
      <c r="A3" s="53"/>
      <c r="B3" s="6" t="str">
        <f t="shared" ref="B3:B32" si="3">TEXT(C3,"DDDD")</f>
        <v>segunda-feira</v>
      </c>
      <c r="C3" s="7">
        <f>C2+1</f>
        <v>41548</v>
      </c>
      <c r="D3" s="8"/>
      <c r="E3" s="8"/>
      <c r="F3" s="8"/>
      <c r="G3" s="8"/>
      <c r="H3" s="8">
        <f t="shared" si="0"/>
        <v>0</v>
      </c>
      <c r="I3" s="8">
        <f t="shared" si="1"/>
        <v>0.33333333333333331</v>
      </c>
      <c r="J3" s="8">
        <f t="shared" si="2"/>
        <v>-0.33333333333333331</v>
      </c>
      <c r="K3" s="9">
        <f>K2</f>
        <v>0.33333333333333331</v>
      </c>
      <c r="L3" s="10">
        <f>L2+J3</f>
        <v>-0.33333333333333331</v>
      </c>
    </row>
    <row r="4" spans="1:17" x14ac:dyDescent="0.25">
      <c r="A4" s="53"/>
      <c r="B4" s="6" t="str">
        <f t="shared" si="3"/>
        <v>terça-feira</v>
      </c>
      <c r="C4" s="7">
        <f t="shared" ref="C4:C32" si="4">C3+1</f>
        <v>41549</v>
      </c>
      <c r="D4" s="8"/>
      <c r="E4" s="8"/>
      <c r="F4" s="8"/>
      <c r="G4" s="8"/>
      <c r="H4" s="8">
        <f t="shared" si="0"/>
        <v>0</v>
      </c>
      <c r="I4" s="8">
        <f t="shared" si="1"/>
        <v>0.33333333333333331</v>
      </c>
      <c r="J4" s="8">
        <f t="shared" si="2"/>
        <v>-0.33333333333333331</v>
      </c>
      <c r="K4" s="9">
        <f t="shared" ref="K4:K32" si="5">K3</f>
        <v>0.33333333333333331</v>
      </c>
      <c r="L4" s="10">
        <f t="shared" ref="L4:L32" si="6">L3+J4</f>
        <v>-0.66666666666666663</v>
      </c>
    </row>
    <row r="5" spans="1:17" x14ac:dyDescent="0.25">
      <c r="A5" s="53"/>
      <c r="B5" s="6" t="str">
        <f t="shared" si="3"/>
        <v>quarta-feira</v>
      </c>
      <c r="C5" s="7">
        <f t="shared" si="4"/>
        <v>41550</v>
      </c>
      <c r="D5" s="8"/>
      <c r="E5" s="8"/>
      <c r="F5" s="8"/>
      <c r="G5" s="8"/>
      <c r="H5" s="8">
        <f t="shared" si="0"/>
        <v>0</v>
      </c>
      <c r="I5" s="8">
        <f t="shared" si="1"/>
        <v>0.33333333333333331</v>
      </c>
      <c r="J5" s="8">
        <f t="shared" si="2"/>
        <v>-0.33333333333333331</v>
      </c>
      <c r="K5" s="9">
        <f t="shared" si="5"/>
        <v>0.33333333333333331</v>
      </c>
      <c r="L5" s="10">
        <f t="shared" si="6"/>
        <v>-1</v>
      </c>
    </row>
    <row r="6" spans="1:17" x14ac:dyDescent="0.25">
      <c r="A6" s="53"/>
      <c r="B6" s="6" t="str">
        <f t="shared" si="3"/>
        <v>quinta-feira</v>
      </c>
      <c r="C6" s="7">
        <f t="shared" si="4"/>
        <v>41551</v>
      </c>
      <c r="D6" s="8"/>
      <c r="E6" s="8"/>
      <c r="F6" s="8"/>
      <c r="G6" s="8"/>
      <c r="H6" s="8">
        <f t="shared" si="0"/>
        <v>0</v>
      </c>
      <c r="I6" s="8">
        <f t="shared" si="1"/>
        <v>0.33333333333333331</v>
      </c>
      <c r="J6" s="8">
        <f>H6-I6</f>
        <v>-0.33333333333333331</v>
      </c>
      <c r="K6" s="9">
        <f t="shared" si="5"/>
        <v>0.33333333333333331</v>
      </c>
      <c r="L6" s="10">
        <f t="shared" si="6"/>
        <v>-1.3333333333333333</v>
      </c>
    </row>
    <row r="7" spans="1:17" x14ac:dyDescent="0.25">
      <c r="A7" s="53"/>
      <c r="B7" s="6" t="str">
        <f t="shared" si="3"/>
        <v>sexta-feira</v>
      </c>
      <c r="C7" s="7">
        <f t="shared" si="4"/>
        <v>41552</v>
      </c>
      <c r="D7" s="8"/>
      <c r="E7" s="8"/>
      <c r="F7" s="8"/>
      <c r="G7" s="8"/>
      <c r="H7" s="8">
        <f t="shared" si="0"/>
        <v>0</v>
      </c>
      <c r="I7" s="8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-1.6666666666666665</v>
      </c>
    </row>
    <row r="8" spans="1:17" x14ac:dyDescent="0.25">
      <c r="A8" s="53"/>
      <c r="B8" s="6" t="str">
        <f t="shared" si="3"/>
        <v>sábado</v>
      </c>
      <c r="C8" s="7">
        <f t="shared" si="4"/>
        <v>41553</v>
      </c>
      <c r="D8" s="8"/>
      <c r="E8" s="8"/>
      <c r="F8" s="8"/>
      <c r="G8" s="8"/>
      <c r="H8" s="8">
        <f t="shared" si="0"/>
        <v>0</v>
      </c>
      <c r="I8" s="8">
        <f t="shared" si="1"/>
        <v>0</v>
      </c>
      <c r="J8" s="8">
        <f t="shared" si="2"/>
        <v>0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domingo</v>
      </c>
      <c r="C9" s="7">
        <f t="shared" si="4"/>
        <v>41554</v>
      </c>
      <c r="D9" s="8"/>
      <c r="E9" s="8"/>
      <c r="F9" s="8"/>
      <c r="G9" s="8"/>
      <c r="H9" s="8">
        <f t="shared" si="0"/>
        <v>0</v>
      </c>
      <c r="I9" s="8">
        <f t="shared" si="1"/>
        <v>0</v>
      </c>
      <c r="J9" s="8">
        <f t="shared" si="2"/>
        <v>0</v>
      </c>
      <c r="K9" s="9">
        <f t="shared" si="5"/>
        <v>0.33333333333333331</v>
      </c>
      <c r="L9" s="10">
        <f t="shared" si="6"/>
        <v>-1.6666666666666665</v>
      </c>
    </row>
    <row r="10" spans="1:17" x14ac:dyDescent="0.25">
      <c r="A10" s="53"/>
      <c r="B10" s="6" t="str">
        <f t="shared" si="3"/>
        <v>segunda-feira</v>
      </c>
      <c r="C10" s="7">
        <f t="shared" si="4"/>
        <v>41555</v>
      </c>
      <c r="D10" s="8"/>
      <c r="E10" s="8"/>
      <c r="F10" s="8"/>
      <c r="G10" s="8"/>
      <c r="H10" s="8">
        <f t="shared" si="0"/>
        <v>0</v>
      </c>
      <c r="I10" s="8">
        <f t="shared" si="1"/>
        <v>0.33333333333333331</v>
      </c>
      <c r="J10" s="8">
        <f t="shared" si="2"/>
        <v>-0.33333333333333331</v>
      </c>
      <c r="K10" s="9">
        <f t="shared" si="5"/>
        <v>0.33333333333333331</v>
      </c>
      <c r="L10" s="10">
        <f t="shared" si="6"/>
        <v>-1.9999999999999998</v>
      </c>
    </row>
    <row r="11" spans="1:17" x14ac:dyDescent="0.25">
      <c r="A11" s="53"/>
      <c r="B11" s="6" t="str">
        <f t="shared" si="3"/>
        <v>terça-feira</v>
      </c>
      <c r="C11" s="7">
        <f t="shared" si="4"/>
        <v>41556</v>
      </c>
      <c r="D11" s="8"/>
      <c r="E11" s="8"/>
      <c r="F11" s="8"/>
      <c r="G11" s="8"/>
      <c r="H11" s="8">
        <f t="shared" si="0"/>
        <v>0</v>
      </c>
      <c r="I11" s="8">
        <f t="shared" si="1"/>
        <v>0.33333333333333331</v>
      </c>
      <c r="J11" s="8">
        <f t="shared" si="2"/>
        <v>-0.33333333333333331</v>
      </c>
      <c r="K11" s="9">
        <f t="shared" si="5"/>
        <v>0.33333333333333331</v>
      </c>
      <c r="L11" s="10">
        <f t="shared" si="6"/>
        <v>-2.333333333333333</v>
      </c>
    </row>
    <row r="12" spans="1:17" x14ac:dyDescent="0.25">
      <c r="A12" s="53"/>
      <c r="B12" s="6" t="str">
        <f t="shared" si="3"/>
        <v>quarta-feira</v>
      </c>
      <c r="C12" s="7">
        <f t="shared" si="4"/>
        <v>41557</v>
      </c>
      <c r="D12" s="8"/>
      <c r="E12" s="8"/>
      <c r="F12" s="8"/>
      <c r="G12" s="8"/>
      <c r="H12" s="8">
        <f t="shared" si="0"/>
        <v>0</v>
      </c>
      <c r="I12" s="8">
        <f t="shared" si="1"/>
        <v>0.33333333333333331</v>
      </c>
      <c r="J12" s="8">
        <f t="shared" si="2"/>
        <v>-0.33333333333333331</v>
      </c>
      <c r="K12" s="9">
        <f t="shared" si="5"/>
        <v>0.33333333333333331</v>
      </c>
      <c r="L12" s="10">
        <f t="shared" si="6"/>
        <v>-2.6666666666666665</v>
      </c>
    </row>
    <row r="13" spans="1:17" x14ac:dyDescent="0.25">
      <c r="A13" s="53"/>
      <c r="B13" s="6" t="str">
        <f t="shared" si="3"/>
        <v>quinta-feira</v>
      </c>
      <c r="C13" s="7">
        <f t="shared" si="4"/>
        <v>41558</v>
      </c>
      <c r="D13" s="8"/>
      <c r="E13" s="8"/>
      <c r="F13" s="8"/>
      <c r="G13" s="8"/>
      <c r="H13" s="8">
        <f t="shared" si="0"/>
        <v>0</v>
      </c>
      <c r="I13" s="8">
        <f t="shared" si="1"/>
        <v>0.33333333333333331</v>
      </c>
      <c r="J13" s="8">
        <f t="shared" si="2"/>
        <v>-0.33333333333333331</v>
      </c>
      <c r="K13" s="9">
        <f t="shared" si="5"/>
        <v>0.33333333333333331</v>
      </c>
      <c r="L13" s="10">
        <f t="shared" si="6"/>
        <v>-3</v>
      </c>
    </row>
    <row r="14" spans="1:17" x14ac:dyDescent="0.25">
      <c r="A14" s="53"/>
      <c r="B14" s="6" t="str">
        <f t="shared" si="3"/>
        <v>sexta-feira</v>
      </c>
      <c r="C14" s="7">
        <f t="shared" si="4"/>
        <v>41559</v>
      </c>
      <c r="D14" s="8"/>
      <c r="E14" s="8"/>
      <c r="F14" s="8"/>
      <c r="G14" s="8"/>
      <c r="H14" s="8">
        <f t="shared" si="0"/>
        <v>0</v>
      </c>
      <c r="I14" s="8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-3.3333333333333335</v>
      </c>
    </row>
    <row r="15" spans="1:17" x14ac:dyDescent="0.25">
      <c r="A15" s="53"/>
      <c r="B15" s="6" t="str">
        <f t="shared" si="3"/>
        <v>sábado</v>
      </c>
      <c r="C15" s="7">
        <f t="shared" si="4"/>
        <v>41560</v>
      </c>
      <c r="D15" s="8"/>
      <c r="E15" s="8"/>
      <c r="F15" s="8"/>
      <c r="G15" s="8"/>
      <c r="H15" s="8">
        <f t="shared" si="0"/>
        <v>0</v>
      </c>
      <c r="I15" s="8">
        <f t="shared" si="1"/>
        <v>0</v>
      </c>
      <c r="J15" s="8">
        <f t="shared" si="2"/>
        <v>0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domingo</v>
      </c>
      <c r="C16" s="7">
        <f t="shared" si="4"/>
        <v>41561</v>
      </c>
      <c r="D16" s="8"/>
      <c r="E16" s="8"/>
      <c r="F16" s="8"/>
      <c r="G16" s="8"/>
      <c r="H16" s="8">
        <f t="shared" si="0"/>
        <v>0</v>
      </c>
      <c r="I16" s="8">
        <f t="shared" si="1"/>
        <v>0</v>
      </c>
      <c r="J16" s="8">
        <f t="shared" si="2"/>
        <v>0</v>
      </c>
      <c r="K16" s="9">
        <f t="shared" si="5"/>
        <v>0.33333333333333331</v>
      </c>
      <c r="L16" s="10">
        <f t="shared" si="6"/>
        <v>-3.3333333333333335</v>
      </c>
    </row>
    <row r="17" spans="1:14" x14ac:dyDescent="0.25">
      <c r="A17" s="53"/>
      <c r="B17" s="6" t="str">
        <f t="shared" si="3"/>
        <v>segunda-feira</v>
      </c>
      <c r="C17" s="7">
        <f t="shared" si="4"/>
        <v>41562</v>
      </c>
      <c r="D17" s="8"/>
      <c r="E17" s="8"/>
      <c r="F17" s="8"/>
      <c r="G17" s="8"/>
      <c r="H17" s="8">
        <f t="shared" si="0"/>
        <v>0</v>
      </c>
      <c r="I17" s="8">
        <f t="shared" si="1"/>
        <v>0.33333333333333331</v>
      </c>
      <c r="J17" s="8">
        <f t="shared" si="2"/>
        <v>-0.33333333333333331</v>
      </c>
      <c r="K17" s="9">
        <f t="shared" si="5"/>
        <v>0.33333333333333331</v>
      </c>
      <c r="L17" s="10">
        <f t="shared" si="6"/>
        <v>-3.666666666666667</v>
      </c>
      <c r="M17"/>
      <c r="N17"/>
    </row>
    <row r="18" spans="1:14" x14ac:dyDescent="0.25">
      <c r="A18" s="53"/>
      <c r="B18" s="6" t="str">
        <f t="shared" si="3"/>
        <v>terça-feira</v>
      </c>
      <c r="C18" s="7">
        <f t="shared" si="4"/>
        <v>41563</v>
      </c>
      <c r="D18" s="8"/>
      <c r="E18" s="8"/>
      <c r="F18" s="8"/>
      <c r="G18" s="8"/>
      <c r="H18" s="8">
        <f t="shared" si="0"/>
        <v>0</v>
      </c>
      <c r="I18" s="8">
        <f t="shared" si="1"/>
        <v>0.33333333333333331</v>
      </c>
      <c r="J18" s="8">
        <f t="shared" si="2"/>
        <v>-0.33333333333333331</v>
      </c>
      <c r="K18" s="9">
        <f t="shared" si="5"/>
        <v>0.33333333333333331</v>
      </c>
      <c r="L18" s="10">
        <f t="shared" si="6"/>
        <v>-4</v>
      </c>
      <c r="M18"/>
      <c r="N18"/>
    </row>
    <row r="19" spans="1:14" x14ac:dyDescent="0.25">
      <c r="A19" s="53"/>
      <c r="B19" s="6" t="str">
        <f t="shared" si="3"/>
        <v>quarta-feira</v>
      </c>
      <c r="C19" s="7">
        <f t="shared" si="4"/>
        <v>41564</v>
      </c>
      <c r="D19" s="8"/>
      <c r="E19" s="8"/>
      <c r="F19" s="8"/>
      <c r="G19" s="8"/>
      <c r="H19" s="8">
        <f t="shared" si="0"/>
        <v>0</v>
      </c>
      <c r="I19" s="8">
        <f t="shared" si="1"/>
        <v>0.33333333333333331</v>
      </c>
      <c r="J19" s="8">
        <f t="shared" si="2"/>
        <v>-0.33333333333333331</v>
      </c>
      <c r="K19" s="9">
        <f t="shared" si="5"/>
        <v>0.33333333333333331</v>
      </c>
      <c r="L19" s="10">
        <f t="shared" si="6"/>
        <v>-4.333333333333333</v>
      </c>
      <c r="M19"/>
      <c r="N19"/>
    </row>
    <row r="20" spans="1:14" x14ac:dyDescent="0.25">
      <c r="A20" s="53"/>
      <c r="B20" s="6" t="str">
        <f t="shared" si="3"/>
        <v>quinta-feira</v>
      </c>
      <c r="C20" s="7">
        <f t="shared" si="4"/>
        <v>41565</v>
      </c>
      <c r="D20" s="8"/>
      <c r="E20" s="8"/>
      <c r="F20" s="8"/>
      <c r="G20" s="8"/>
      <c r="H20" s="8">
        <f t="shared" si="0"/>
        <v>0</v>
      </c>
      <c r="I20" s="8">
        <f t="shared" si="1"/>
        <v>0.33333333333333331</v>
      </c>
      <c r="J20" s="8">
        <f t="shared" si="2"/>
        <v>-0.33333333333333331</v>
      </c>
      <c r="K20" s="9">
        <f t="shared" si="5"/>
        <v>0.33333333333333331</v>
      </c>
      <c r="L20" s="10">
        <f t="shared" si="6"/>
        <v>-4.6666666666666661</v>
      </c>
      <c r="M20"/>
      <c r="N20"/>
    </row>
    <row r="21" spans="1:14" x14ac:dyDescent="0.25">
      <c r="A21" s="53"/>
      <c r="B21" s="6" t="str">
        <f t="shared" si="3"/>
        <v>sexta-feira</v>
      </c>
      <c r="C21" s="7">
        <f t="shared" si="4"/>
        <v>41566</v>
      </c>
      <c r="D21" s="8"/>
      <c r="E21" s="8"/>
      <c r="F21" s="8"/>
      <c r="G21" s="8"/>
      <c r="H21" s="8">
        <f t="shared" si="0"/>
        <v>0</v>
      </c>
      <c r="I21" s="8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-4.9999999999999991</v>
      </c>
      <c r="M21"/>
      <c r="N21"/>
    </row>
    <row r="22" spans="1:14" x14ac:dyDescent="0.25">
      <c r="A22" s="53"/>
      <c r="B22" s="6" t="str">
        <f t="shared" si="3"/>
        <v>sábado</v>
      </c>
      <c r="C22" s="7">
        <f t="shared" si="4"/>
        <v>41567</v>
      </c>
      <c r="D22" s="8"/>
      <c r="E22" s="8"/>
      <c r="F22" s="8"/>
      <c r="G22" s="8"/>
      <c r="H22" s="8">
        <f t="shared" si="0"/>
        <v>0</v>
      </c>
      <c r="I22" s="8">
        <f t="shared" si="1"/>
        <v>0</v>
      </c>
      <c r="J22" s="8">
        <f t="shared" si="2"/>
        <v>0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3"/>
        <v>domingo</v>
      </c>
      <c r="C23" s="7">
        <f t="shared" si="4"/>
        <v>41568</v>
      </c>
      <c r="D23" s="8"/>
      <c r="E23" s="8"/>
      <c r="F23" s="8"/>
      <c r="G23" s="8"/>
      <c r="H23" s="8">
        <f t="shared" si="0"/>
        <v>0</v>
      </c>
      <c r="I23" s="8">
        <f t="shared" si="1"/>
        <v>0</v>
      </c>
      <c r="J23" s="8">
        <f t="shared" si="2"/>
        <v>0</v>
      </c>
      <c r="K23" s="9">
        <f t="shared" si="5"/>
        <v>0.33333333333333331</v>
      </c>
      <c r="L23" s="10">
        <f t="shared" si="6"/>
        <v>-4.9999999999999991</v>
      </c>
      <c r="M23"/>
      <c r="N23"/>
    </row>
    <row r="24" spans="1:14" x14ac:dyDescent="0.25">
      <c r="A24" s="53"/>
      <c r="B24" s="6" t="str">
        <f t="shared" si="3"/>
        <v>segunda-feira</v>
      </c>
      <c r="C24" s="7">
        <f t="shared" si="4"/>
        <v>41569</v>
      </c>
      <c r="D24" s="8"/>
      <c r="E24" s="8"/>
      <c r="F24" s="8"/>
      <c r="G24" s="8"/>
      <c r="H24" s="8">
        <f t="shared" si="0"/>
        <v>0</v>
      </c>
      <c r="I24" s="8">
        <f t="shared" si="1"/>
        <v>0.33333333333333331</v>
      </c>
      <c r="J24" s="8">
        <f t="shared" si="2"/>
        <v>-0.33333333333333331</v>
      </c>
      <c r="K24" s="9">
        <f t="shared" si="5"/>
        <v>0.33333333333333331</v>
      </c>
      <c r="L24" s="10">
        <f t="shared" si="6"/>
        <v>-5.3333333333333321</v>
      </c>
      <c r="M24"/>
      <c r="N24"/>
    </row>
    <row r="25" spans="1:14" x14ac:dyDescent="0.25">
      <c r="A25" s="53"/>
      <c r="B25" s="6" t="str">
        <f t="shared" si="3"/>
        <v>terça-feira</v>
      </c>
      <c r="C25" s="7">
        <f t="shared" si="4"/>
        <v>41570</v>
      </c>
      <c r="D25" s="8"/>
      <c r="E25" s="8"/>
      <c r="F25" s="8"/>
      <c r="G25" s="8"/>
      <c r="H25" s="8">
        <f t="shared" si="0"/>
        <v>0</v>
      </c>
      <c r="I25" s="8">
        <f t="shared" si="1"/>
        <v>0.33333333333333331</v>
      </c>
      <c r="J25" s="8">
        <f t="shared" si="2"/>
        <v>-0.33333333333333331</v>
      </c>
      <c r="K25" s="9">
        <f t="shared" si="5"/>
        <v>0.33333333333333331</v>
      </c>
      <c r="L25" s="10">
        <f t="shared" si="6"/>
        <v>-5.6666666666666652</v>
      </c>
      <c r="M25"/>
      <c r="N25"/>
    </row>
    <row r="26" spans="1:14" x14ac:dyDescent="0.25">
      <c r="A26" s="53"/>
      <c r="B26" s="6" t="str">
        <f t="shared" si="3"/>
        <v>quarta-feira</v>
      </c>
      <c r="C26" s="7">
        <f t="shared" si="4"/>
        <v>41571</v>
      </c>
      <c r="D26" s="8"/>
      <c r="E26" s="8"/>
      <c r="F26" s="8"/>
      <c r="G26" s="8"/>
      <c r="H26" s="8">
        <f t="shared" si="0"/>
        <v>0</v>
      </c>
      <c r="I26" s="8">
        <f t="shared" si="1"/>
        <v>0.33333333333333331</v>
      </c>
      <c r="J26" s="8">
        <f t="shared" si="2"/>
        <v>-0.33333333333333331</v>
      </c>
      <c r="K26" s="9">
        <f t="shared" si="5"/>
        <v>0.33333333333333331</v>
      </c>
      <c r="L26" s="10">
        <f t="shared" si="6"/>
        <v>-5.9999999999999982</v>
      </c>
      <c r="M26"/>
      <c r="N26"/>
    </row>
    <row r="27" spans="1:14" x14ac:dyDescent="0.25">
      <c r="A27" s="53"/>
      <c r="B27" s="6" t="str">
        <f t="shared" si="3"/>
        <v>quinta-feira</v>
      </c>
      <c r="C27" s="7">
        <f t="shared" si="4"/>
        <v>41572</v>
      </c>
      <c r="D27" s="8"/>
      <c r="E27" s="8"/>
      <c r="F27" s="8"/>
      <c r="G27" s="8"/>
      <c r="H27" s="8">
        <f t="shared" si="0"/>
        <v>0</v>
      </c>
      <c r="I27" s="8">
        <f t="shared" si="1"/>
        <v>0.33333333333333331</v>
      </c>
      <c r="J27" s="8">
        <f t="shared" si="2"/>
        <v>-0.33333333333333331</v>
      </c>
      <c r="K27" s="9">
        <f t="shared" si="5"/>
        <v>0.33333333333333331</v>
      </c>
      <c r="L27" s="10">
        <f t="shared" si="6"/>
        <v>-6.3333333333333313</v>
      </c>
      <c r="M27"/>
      <c r="N27"/>
    </row>
    <row r="28" spans="1:14" x14ac:dyDescent="0.25">
      <c r="A28" s="53"/>
      <c r="B28" s="6" t="str">
        <f t="shared" si="3"/>
        <v>sexta-feira</v>
      </c>
      <c r="C28" s="7">
        <f t="shared" si="4"/>
        <v>41573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-6.6666666666666643</v>
      </c>
      <c r="M28"/>
      <c r="N28"/>
    </row>
    <row r="29" spans="1:14" x14ac:dyDescent="0.25">
      <c r="A29" s="53"/>
      <c r="B29" s="6" t="str">
        <f t="shared" si="3"/>
        <v>sábado</v>
      </c>
      <c r="C29" s="7">
        <f t="shared" si="4"/>
        <v>41574</v>
      </c>
      <c r="D29" s="8"/>
      <c r="E29" s="8"/>
      <c r="F29" s="8"/>
      <c r="G29" s="8"/>
      <c r="H29" s="8">
        <f t="shared" si="0"/>
        <v>0</v>
      </c>
      <c r="I29" s="8">
        <f t="shared" si="1"/>
        <v>0</v>
      </c>
      <c r="J29" s="8">
        <f t="shared" si="2"/>
        <v>0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x14ac:dyDescent="0.25">
      <c r="A30" s="53"/>
      <c r="B30" s="6" t="str">
        <f t="shared" si="3"/>
        <v>domingo</v>
      </c>
      <c r="C30" s="7">
        <f t="shared" si="4"/>
        <v>41575</v>
      </c>
      <c r="D30" s="8"/>
      <c r="E30" s="8"/>
      <c r="F30" s="8"/>
      <c r="G30" s="8"/>
      <c r="H30" s="8">
        <f t="shared" si="0"/>
        <v>0</v>
      </c>
      <c r="I30" s="8">
        <f t="shared" si="1"/>
        <v>0</v>
      </c>
      <c r="J30" s="8">
        <f t="shared" si="2"/>
        <v>0</v>
      </c>
      <c r="K30" s="9">
        <f t="shared" si="5"/>
        <v>0.33333333333333331</v>
      </c>
      <c r="L30" s="10">
        <f t="shared" si="6"/>
        <v>-6.6666666666666643</v>
      </c>
      <c r="M30"/>
      <c r="N30"/>
    </row>
    <row r="31" spans="1:14" x14ac:dyDescent="0.25">
      <c r="A31" s="53"/>
      <c r="B31" s="6" t="str">
        <f t="shared" si="3"/>
        <v>segunda-feira</v>
      </c>
      <c r="C31" s="7">
        <f t="shared" si="4"/>
        <v>41576</v>
      </c>
      <c r="D31" s="8"/>
      <c r="E31" s="8"/>
      <c r="F31" s="8"/>
      <c r="G31" s="8"/>
      <c r="H31" s="8">
        <f t="shared" si="0"/>
        <v>0</v>
      </c>
      <c r="I31" s="8">
        <f t="shared" si="1"/>
        <v>0.33333333333333331</v>
      </c>
      <c r="J31" s="8">
        <f t="shared" si="2"/>
        <v>-0.33333333333333331</v>
      </c>
      <c r="K31" s="9">
        <f t="shared" si="5"/>
        <v>0.33333333333333331</v>
      </c>
      <c r="L31" s="10">
        <f t="shared" si="6"/>
        <v>-6.9999999999999973</v>
      </c>
      <c r="M31"/>
      <c r="N31"/>
    </row>
    <row r="32" spans="1:14" ht="15.75" thickBot="1" x14ac:dyDescent="0.3">
      <c r="A32" s="54"/>
      <c r="B32" s="11" t="str">
        <f t="shared" si="3"/>
        <v>terça-feira</v>
      </c>
      <c r="C32" s="12">
        <f t="shared" si="4"/>
        <v>41577</v>
      </c>
      <c r="D32" s="13"/>
      <c r="E32" s="13"/>
      <c r="F32" s="13"/>
      <c r="G32" s="13"/>
      <c r="H32" s="13">
        <f t="shared" si="0"/>
        <v>0</v>
      </c>
      <c r="I32" s="13">
        <f t="shared" si="1"/>
        <v>0.33333333333333331</v>
      </c>
      <c r="J32" s="13">
        <f t="shared" si="2"/>
        <v>-0.33333333333333331</v>
      </c>
      <c r="K32" s="14">
        <f t="shared" si="5"/>
        <v>0.33333333333333331</v>
      </c>
      <c r="L32" s="15">
        <f t="shared" si="6"/>
        <v>-7.3333333333333304</v>
      </c>
      <c r="M32"/>
      <c r="N32"/>
    </row>
    <row r="33" spans="4:14" ht="15.75" thickBot="1" x14ac:dyDescent="0.3">
      <c r="D33"/>
      <c r="E33"/>
      <c r="F33"/>
      <c r="G33"/>
      <c r="H33"/>
      <c r="I33"/>
      <c r="J33" s="20">
        <f>SUM(J2:J32)</f>
        <v>-7.3333333333333304</v>
      </c>
      <c r="K33"/>
      <c r="L33"/>
      <c r="M33"/>
      <c r="N33"/>
    </row>
  </sheetData>
  <conditionalFormatting sqref="J2:J32">
    <cfRule type="cellIs" dxfId="26" priority="8" operator="greaterThan">
      <formula>0</formula>
    </cfRule>
    <cfRule type="cellIs" dxfId="25" priority="9" operator="lessThan">
      <formula>0</formula>
    </cfRule>
  </conditionalFormatting>
  <conditionalFormatting sqref="B2:B32">
    <cfRule type="cellIs" dxfId="24" priority="6" operator="equal">
      <formula>"DOMINGO"</formula>
    </cfRule>
    <cfRule type="cellIs" dxfId="23" priority="7" operator="equal">
      <formula>"SÁBADO"</formula>
    </cfRule>
  </conditionalFormatting>
  <conditionalFormatting sqref="L2:L32">
    <cfRule type="cellIs" dxfId="22" priority="4" operator="greaterThan">
      <formula>0</formula>
    </cfRule>
    <cfRule type="cellIs" dxfId="21" priority="5" operator="lessThan">
      <formula>0</formula>
    </cfRule>
  </conditionalFormatting>
  <conditionalFormatting sqref="J33">
    <cfRule type="cellIs" dxfId="20" priority="2" operator="greaterThan">
      <formula>0</formula>
    </cfRule>
    <cfRule type="cellIs" dxfId="19" priority="3" operator="lessThan">
      <formula>0</formula>
    </cfRule>
  </conditionalFormatting>
  <conditionalFormatting sqref="C1:C1048576">
    <cfRule type="timePeriod" dxfId="18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2"/>
  <sheetViews>
    <sheetView showGridLines="0" workbookViewId="0">
      <pane ySplit="1" topLeftCell="A2" activePane="bottomLeft" state="frozen"/>
      <selection pane="bottomLeft" activeCell="K1" sqref="K1:K1048576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quarta-feira</v>
      </c>
      <c r="C2" s="16">
        <f>OUTUBRO!C32+1</f>
        <v>41578</v>
      </c>
      <c r="D2" s="17"/>
      <c r="E2" s="17"/>
      <c r="F2" s="17"/>
      <c r="G2" s="17"/>
      <c r="H2" s="17">
        <f t="shared" ref="H2:H31" si="0">E2-D2+G2-F2</f>
        <v>0</v>
      </c>
      <c r="I2" s="17">
        <f t="shared" ref="I2:I31" si="1">IF(B2="SÁBADO",0,IF(B2="DOMINGO",0,IF(A2="FERIADO",0,IF(A2="ABONADO",0,IF(A2="ATESTADO",0,K2)))))</f>
        <v>0.33333333333333331</v>
      </c>
      <c r="J2" s="17">
        <f t="shared" ref="J2:J31" si="2">H2-I2</f>
        <v>-0.33333333333333331</v>
      </c>
      <c r="K2" s="18">
        <f>CADASTRO!B21</f>
        <v>0.33333333333333331</v>
      </c>
      <c r="L2" s="19">
        <f>J2</f>
        <v>-0.33333333333333331</v>
      </c>
    </row>
    <row r="3" spans="1:17" x14ac:dyDescent="0.25">
      <c r="A3" s="53"/>
      <c r="B3" s="6" t="str">
        <f t="shared" ref="B3:B31" si="3">TEXT(C3,"DDDD")</f>
        <v>quinta-feira</v>
      </c>
      <c r="C3" s="7">
        <f>C2+1</f>
        <v>41579</v>
      </c>
      <c r="D3" s="8"/>
      <c r="E3" s="8"/>
      <c r="F3" s="8"/>
      <c r="G3" s="8"/>
      <c r="H3" s="8">
        <f t="shared" si="0"/>
        <v>0</v>
      </c>
      <c r="I3" s="8">
        <f t="shared" si="1"/>
        <v>0.33333333333333331</v>
      </c>
      <c r="J3" s="8">
        <f t="shared" si="2"/>
        <v>-0.33333333333333331</v>
      </c>
      <c r="K3" s="9">
        <f>K2</f>
        <v>0.33333333333333331</v>
      </c>
      <c r="L3" s="10">
        <f>L2+J3</f>
        <v>-0.66666666666666663</v>
      </c>
    </row>
    <row r="4" spans="1:17" x14ac:dyDescent="0.25">
      <c r="A4" s="53"/>
      <c r="B4" s="6" t="str">
        <f t="shared" si="3"/>
        <v>sexta-feira</v>
      </c>
      <c r="C4" s="7">
        <f t="shared" ref="C4:C31" si="4">C3+1</f>
        <v>41580</v>
      </c>
      <c r="D4" s="8"/>
      <c r="E4" s="8"/>
      <c r="F4" s="8"/>
      <c r="G4" s="8"/>
      <c r="H4" s="8">
        <f t="shared" si="0"/>
        <v>0</v>
      </c>
      <c r="I4" s="8">
        <f t="shared" si="1"/>
        <v>0.33333333333333331</v>
      </c>
      <c r="J4" s="8">
        <f t="shared" si="2"/>
        <v>-0.33333333333333331</v>
      </c>
      <c r="K4" s="9">
        <f t="shared" ref="K4:K31" si="5">K3</f>
        <v>0.33333333333333331</v>
      </c>
      <c r="L4" s="10">
        <f t="shared" ref="L4:L31" si="6">L3+J4</f>
        <v>-1</v>
      </c>
    </row>
    <row r="5" spans="1:17" x14ac:dyDescent="0.25">
      <c r="A5" s="53"/>
      <c r="B5" s="6" t="str">
        <f t="shared" si="3"/>
        <v>sábado</v>
      </c>
      <c r="C5" s="7">
        <f t="shared" si="4"/>
        <v>41581</v>
      </c>
      <c r="D5" s="8"/>
      <c r="E5" s="8"/>
      <c r="F5" s="8"/>
      <c r="G5" s="8"/>
      <c r="H5" s="8">
        <f t="shared" si="0"/>
        <v>0</v>
      </c>
      <c r="I5" s="8">
        <f t="shared" si="1"/>
        <v>0</v>
      </c>
      <c r="J5" s="8">
        <f t="shared" si="2"/>
        <v>0</v>
      </c>
      <c r="K5" s="9">
        <f t="shared" si="5"/>
        <v>0.33333333333333331</v>
      </c>
      <c r="L5" s="10">
        <f t="shared" si="6"/>
        <v>-1</v>
      </c>
    </row>
    <row r="6" spans="1:17" x14ac:dyDescent="0.25">
      <c r="A6" s="53"/>
      <c r="B6" s="6" t="str">
        <f t="shared" si="3"/>
        <v>domingo</v>
      </c>
      <c r="C6" s="7">
        <f t="shared" si="4"/>
        <v>41582</v>
      </c>
      <c r="D6" s="8"/>
      <c r="E6" s="8"/>
      <c r="F6" s="8"/>
      <c r="G6" s="8"/>
      <c r="H6" s="8">
        <f t="shared" si="0"/>
        <v>0</v>
      </c>
      <c r="I6" s="8">
        <f t="shared" si="1"/>
        <v>0</v>
      </c>
      <c r="J6" s="8">
        <f>H6-I6</f>
        <v>0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segunda-feira</v>
      </c>
      <c r="C7" s="7">
        <f t="shared" si="4"/>
        <v>41583</v>
      </c>
      <c r="D7" s="8"/>
      <c r="E7" s="8"/>
      <c r="F7" s="8"/>
      <c r="G7" s="8"/>
      <c r="H7" s="8">
        <f t="shared" si="0"/>
        <v>0</v>
      </c>
      <c r="I7" s="8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terça-feira</v>
      </c>
      <c r="C8" s="7">
        <f t="shared" si="4"/>
        <v>41584</v>
      </c>
      <c r="D8" s="8"/>
      <c r="E8" s="8"/>
      <c r="F8" s="8"/>
      <c r="G8" s="8"/>
      <c r="H8" s="8">
        <f t="shared" si="0"/>
        <v>0</v>
      </c>
      <c r="I8" s="8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quarta-feira</v>
      </c>
      <c r="C9" s="7">
        <f t="shared" si="4"/>
        <v>41585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8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3"/>
        <v>quinta-feira</v>
      </c>
      <c r="C10" s="7">
        <f t="shared" si="4"/>
        <v>41586</v>
      </c>
      <c r="D10" s="8"/>
      <c r="E10" s="8"/>
      <c r="F10" s="8"/>
      <c r="G10" s="8"/>
      <c r="H10" s="8">
        <f t="shared" si="0"/>
        <v>0</v>
      </c>
      <c r="I10" s="8">
        <f t="shared" si="1"/>
        <v>0.33333333333333331</v>
      </c>
      <c r="J10" s="8">
        <f t="shared" si="2"/>
        <v>-0.33333333333333331</v>
      </c>
      <c r="K10" s="9">
        <f t="shared" si="5"/>
        <v>0.33333333333333331</v>
      </c>
      <c r="L10" s="10">
        <f t="shared" si="6"/>
        <v>-2.333333333333333</v>
      </c>
    </row>
    <row r="11" spans="1:17" x14ac:dyDescent="0.25">
      <c r="A11" s="53"/>
      <c r="B11" s="6" t="str">
        <f t="shared" si="3"/>
        <v>sexta-feira</v>
      </c>
      <c r="C11" s="7">
        <f t="shared" si="4"/>
        <v>41587</v>
      </c>
      <c r="D11" s="8"/>
      <c r="E11" s="8"/>
      <c r="F11" s="8"/>
      <c r="G11" s="8"/>
      <c r="H11" s="8">
        <f t="shared" si="0"/>
        <v>0</v>
      </c>
      <c r="I11" s="8">
        <f t="shared" si="1"/>
        <v>0.33333333333333331</v>
      </c>
      <c r="J11" s="8">
        <f t="shared" si="2"/>
        <v>-0.33333333333333331</v>
      </c>
      <c r="K11" s="9">
        <f t="shared" si="5"/>
        <v>0.33333333333333331</v>
      </c>
      <c r="L11" s="10">
        <f t="shared" si="6"/>
        <v>-2.6666666666666665</v>
      </c>
    </row>
    <row r="12" spans="1:17" x14ac:dyDescent="0.25">
      <c r="A12" s="53"/>
      <c r="B12" s="6" t="str">
        <f t="shared" si="3"/>
        <v>sábado</v>
      </c>
      <c r="C12" s="7">
        <f t="shared" si="4"/>
        <v>41588</v>
      </c>
      <c r="D12" s="8"/>
      <c r="E12" s="8"/>
      <c r="F12" s="8"/>
      <c r="G12" s="8"/>
      <c r="H12" s="8">
        <f t="shared" si="0"/>
        <v>0</v>
      </c>
      <c r="I12" s="8">
        <f t="shared" si="1"/>
        <v>0</v>
      </c>
      <c r="J12" s="8">
        <f t="shared" si="2"/>
        <v>0</v>
      </c>
      <c r="K12" s="9">
        <f t="shared" si="5"/>
        <v>0.33333333333333331</v>
      </c>
      <c r="L12" s="10">
        <f t="shared" si="6"/>
        <v>-2.6666666666666665</v>
      </c>
    </row>
    <row r="13" spans="1:17" x14ac:dyDescent="0.25">
      <c r="A13" s="53"/>
      <c r="B13" s="6" t="str">
        <f t="shared" si="3"/>
        <v>domingo</v>
      </c>
      <c r="C13" s="7">
        <f t="shared" si="4"/>
        <v>41589</v>
      </c>
      <c r="D13" s="8"/>
      <c r="E13" s="8"/>
      <c r="F13" s="8"/>
      <c r="G13" s="8"/>
      <c r="H13" s="8">
        <f t="shared" si="0"/>
        <v>0</v>
      </c>
      <c r="I13" s="8">
        <f t="shared" si="1"/>
        <v>0</v>
      </c>
      <c r="J13" s="8">
        <f t="shared" si="2"/>
        <v>0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segunda-feira</v>
      </c>
      <c r="C14" s="7">
        <f t="shared" si="4"/>
        <v>41590</v>
      </c>
      <c r="D14" s="8"/>
      <c r="E14" s="8"/>
      <c r="F14" s="8"/>
      <c r="G14" s="8"/>
      <c r="H14" s="8">
        <f t="shared" si="0"/>
        <v>0</v>
      </c>
      <c r="I14" s="8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terça-feira</v>
      </c>
      <c r="C15" s="7">
        <f t="shared" si="4"/>
        <v>41591</v>
      </c>
      <c r="D15" s="8"/>
      <c r="E15" s="8"/>
      <c r="F15" s="8"/>
      <c r="G15" s="8"/>
      <c r="H15" s="8">
        <f t="shared" si="0"/>
        <v>0</v>
      </c>
      <c r="I15" s="8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quarta-feira</v>
      </c>
      <c r="C16" s="7">
        <f t="shared" si="4"/>
        <v>41592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8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4" x14ac:dyDescent="0.25">
      <c r="A17" s="53"/>
      <c r="B17" s="6" t="str">
        <f t="shared" si="3"/>
        <v>quinta-feira</v>
      </c>
      <c r="C17" s="7">
        <f t="shared" si="4"/>
        <v>41593</v>
      </c>
      <c r="D17" s="8"/>
      <c r="E17" s="8"/>
      <c r="F17" s="8"/>
      <c r="G17" s="8"/>
      <c r="H17" s="8">
        <f t="shared" si="0"/>
        <v>0</v>
      </c>
      <c r="I17" s="8">
        <f t="shared" si="1"/>
        <v>0.33333333333333331</v>
      </c>
      <c r="J17" s="8">
        <f t="shared" si="2"/>
        <v>-0.33333333333333331</v>
      </c>
      <c r="K17" s="9">
        <f t="shared" si="5"/>
        <v>0.33333333333333331</v>
      </c>
      <c r="L17" s="10">
        <f t="shared" si="6"/>
        <v>-4</v>
      </c>
      <c r="M17"/>
      <c r="N17"/>
    </row>
    <row r="18" spans="1:14" x14ac:dyDescent="0.25">
      <c r="A18" s="53"/>
      <c r="B18" s="6" t="str">
        <f t="shared" si="3"/>
        <v>sexta-feira</v>
      </c>
      <c r="C18" s="7">
        <f t="shared" si="4"/>
        <v>41594</v>
      </c>
      <c r="D18" s="8"/>
      <c r="E18" s="8"/>
      <c r="F18" s="8"/>
      <c r="G18" s="8"/>
      <c r="H18" s="8">
        <f t="shared" si="0"/>
        <v>0</v>
      </c>
      <c r="I18" s="8">
        <f t="shared" si="1"/>
        <v>0.33333333333333331</v>
      </c>
      <c r="J18" s="8">
        <f t="shared" si="2"/>
        <v>-0.33333333333333331</v>
      </c>
      <c r="K18" s="9">
        <f t="shared" si="5"/>
        <v>0.33333333333333331</v>
      </c>
      <c r="L18" s="10">
        <f t="shared" si="6"/>
        <v>-4.333333333333333</v>
      </c>
      <c r="M18"/>
      <c r="N18"/>
    </row>
    <row r="19" spans="1:14" x14ac:dyDescent="0.25">
      <c r="A19" s="53"/>
      <c r="B19" s="6" t="str">
        <f t="shared" si="3"/>
        <v>sábado</v>
      </c>
      <c r="C19" s="7">
        <f t="shared" si="4"/>
        <v>41595</v>
      </c>
      <c r="D19" s="8"/>
      <c r="E19" s="8"/>
      <c r="F19" s="8"/>
      <c r="G19" s="8"/>
      <c r="H19" s="8">
        <f t="shared" si="0"/>
        <v>0</v>
      </c>
      <c r="I19" s="8">
        <f t="shared" si="1"/>
        <v>0</v>
      </c>
      <c r="J19" s="8">
        <f t="shared" si="2"/>
        <v>0</v>
      </c>
      <c r="K19" s="9">
        <f t="shared" si="5"/>
        <v>0.33333333333333331</v>
      </c>
      <c r="L19" s="10">
        <f t="shared" si="6"/>
        <v>-4.333333333333333</v>
      </c>
      <c r="M19"/>
      <c r="N19"/>
    </row>
    <row r="20" spans="1:14" x14ac:dyDescent="0.25">
      <c r="A20" s="53"/>
      <c r="B20" s="6" t="str">
        <f t="shared" si="3"/>
        <v>domingo</v>
      </c>
      <c r="C20" s="7">
        <f t="shared" si="4"/>
        <v>41596</v>
      </c>
      <c r="D20" s="8"/>
      <c r="E20" s="8"/>
      <c r="F20" s="8"/>
      <c r="G20" s="8"/>
      <c r="H20" s="8">
        <f t="shared" si="0"/>
        <v>0</v>
      </c>
      <c r="I20" s="8">
        <f t="shared" si="1"/>
        <v>0</v>
      </c>
      <c r="J20" s="8">
        <f t="shared" si="2"/>
        <v>0</v>
      </c>
      <c r="K20" s="9">
        <f t="shared" si="5"/>
        <v>0.33333333333333331</v>
      </c>
      <c r="L20" s="10">
        <f t="shared" si="6"/>
        <v>-4.333333333333333</v>
      </c>
      <c r="M20"/>
      <c r="N20"/>
    </row>
    <row r="21" spans="1:14" x14ac:dyDescent="0.25">
      <c r="A21" s="53"/>
      <c r="B21" s="6" t="str">
        <f t="shared" si="3"/>
        <v>segunda-feira</v>
      </c>
      <c r="C21" s="7">
        <f t="shared" si="4"/>
        <v>41597</v>
      </c>
      <c r="D21" s="8"/>
      <c r="E21" s="8"/>
      <c r="F21" s="8"/>
      <c r="G21" s="8"/>
      <c r="H21" s="8">
        <f t="shared" si="0"/>
        <v>0</v>
      </c>
      <c r="I21" s="8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4" x14ac:dyDescent="0.25">
      <c r="A22" s="53"/>
      <c r="B22" s="6" t="str">
        <f t="shared" si="3"/>
        <v>terça-feira</v>
      </c>
      <c r="C22" s="7">
        <f t="shared" si="4"/>
        <v>41598</v>
      </c>
      <c r="D22" s="8"/>
      <c r="E22" s="8"/>
      <c r="F22" s="8"/>
      <c r="G22" s="8"/>
      <c r="H22" s="8">
        <f t="shared" si="0"/>
        <v>0</v>
      </c>
      <c r="I22" s="8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3"/>
        <v>quarta-feira</v>
      </c>
      <c r="C23" s="7">
        <f t="shared" si="4"/>
        <v>41599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8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</row>
    <row r="24" spans="1:14" x14ac:dyDescent="0.25">
      <c r="A24" s="53"/>
      <c r="B24" s="6" t="str">
        <f t="shared" si="3"/>
        <v>quinta-feira</v>
      </c>
      <c r="C24" s="7">
        <f t="shared" si="4"/>
        <v>41600</v>
      </c>
      <c r="D24" s="8"/>
      <c r="E24" s="8"/>
      <c r="F24" s="8"/>
      <c r="G24" s="8"/>
      <c r="H24" s="8">
        <f t="shared" si="0"/>
        <v>0</v>
      </c>
      <c r="I24" s="8">
        <f t="shared" si="1"/>
        <v>0.33333333333333331</v>
      </c>
      <c r="J24" s="8">
        <f t="shared" si="2"/>
        <v>-0.33333333333333331</v>
      </c>
      <c r="K24" s="9">
        <f t="shared" si="5"/>
        <v>0.33333333333333331</v>
      </c>
      <c r="L24" s="10">
        <f t="shared" si="6"/>
        <v>-5.6666666666666652</v>
      </c>
      <c r="M24"/>
      <c r="N24"/>
    </row>
    <row r="25" spans="1:14" x14ac:dyDescent="0.25">
      <c r="A25" s="53"/>
      <c r="B25" s="6" t="str">
        <f t="shared" si="3"/>
        <v>sexta-feira</v>
      </c>
      <c r="C25" s="7">
        <f t="shared" si="4"/>
        <v>41601</v>
      </c>
      <c r="D25" s="8"/>
      <c r="E25" s="8"/>
      <c r="F25" s="8"/>
      <c r="G25" s="8"/>
      <c r="H25" s="8">
        <f t="shared" si="0"/>
        <v>0</v>
      </c>
      <c r="I25" s="8">
        <f t="shared" si="1"/>
        <v>0.33333333333333331</v>
      </c>
      <c r="J25" s="8">
        <f t="shared" si="2"/>
        <v>-0.33333333333333331</v>
      </c>
      <c r="K25" s="9">
        <f t="shared" si="5"/>
        <v>0.33333333333333331</v>
      </c>
      <c r="L25" s="10">
        <f t="shared" si="6"/>
        <v>-5.9999999999999982</v>
      </c>
      <c r="M25"/>
      <c r="N25"/>
    </row>
    <row r="26" spans="1:14" x14ac:dyDescent="0.25">
      <c r="A26" s="53"/>
      <c r="B26" s="6" t="str">
        <f t="shared" si="3"/>
        <v>sábado</v>
      </c>
      <c r="C26" s="7">
        <f t="shared" si="4"/>
        <v>41602</v>
      </c>
      <c r="D26" s="8"/>
      <c r="E26" s="8"/>
      <c r="F26" s="8"/>
      <c r="G26" s="8"/>
      <c r="H26" s="8">
        <f t="shared" si="0"/>
        <v>0</v>
      </c>
      <c r="I26" s="8">
        <f t="shared" si="1"/>
        <v>0</v>
      </c>
      <c r="J26" s="8">
        <f t="shared" si="2"/>
        <v>0</v>
      </c>
      <c r="K26" s="9">
        <f t="shared" si="5"/>
        <v>0.33333333333333331</v>
      </c>
      <c r="L26" s="10">
        <f t="shared" si="6"/>
        <v>-5.9999999999999982</v>
      </c>
      <c r="M26"/>
      <c r="N26"/>
    </row>
    <row r="27" spans="1:14" x14ac:dyDescent="0.25">
      <c r="A27" s="53"/>
      <c r="B27" s="6" t="str">
        <f t="shared" si="3"/>
        <v>domingo</v>
      </c>
      <c r="C27" s="7">
        <f t="shared" si="4"/>
        <v>41603</v>
      </c>
      <c r="D27" s="8"/>
      <c r="E27" s="8"/>
      <c r="F27" s="8"/>
      <c r="G27" s="8"/>
      <c r="H27" s="8">
        <f t="shared" si="0"/>
        <v>0</v>
      </c>
      <c r="I27" s="8">
        <f t="shared" si="1"/>
        <v>0</v>
      </c>
      <c r="J27" s="8">
        <f t="shared" si="2"/>
        <v>0</v>
      </c>
      <c r="K27" s="9">
        <f t="shared" si="5"/>
        <v>0.33333333333333331</v>
      </c>
      <c r="L27" s="10">
        <f t="shared" si="6"/>
        <v>-5.9999999999999982</v>
      </c>
      <c r="M27"/>
      <c r="N27"/>
    </row>
    <row r="28" spans="1:14" x14ac:dyDescent="0.25">
      <c r="A28" s="53"/>
      <c r="B28" s="6" t="str">
        <f t="shared" si="3"/>
        <v>segunda-feira</v>
      </c>
      <c r="C28" s="7">
        <f t="shared" si="4"/>
        <v>41604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4" x14ac:dyDescent="0.25">
      <c r="A29" s="53"/>
      <c r="B29" s="6" t="str">
        <f t="shared" si="3"/>
        <v>terça-feira</v>
      </c>
      <c r="C29" s="7">
        <f t="shared" si="4"/>
        <v>41605</v>
      </c>
      <c r="D29" s="8"/>
      <c r="E29" s="8"/>
      <c r="F29" s="8"/>
      <c r="G29" s="8"/>
      <c r="H29" s="8">
        <f t="shared" si="0"/>
        <v>0</v>
      </c>
      <c r="I29" s="8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x14ac:dyDescent="0.25">
      <c r="A30" s="53"/>
      <c r="B30" s="6" t="str">
        <f t="shared" si="3"/>
        <v>quarta-feira</v>
      </c>
      <c r="C30" s="7">
        <f t="shared" si="4"/>
        <v>41606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8">
        <f t="shared" si="2"/>
        <v>-0.33333333333333331</v>
      </c>
      <c r="K30" s="9">
        <f t="shared" si="5"/>
        <v>0.33333333333333331</v>
      </c>
      <c r="L30" s="10">
        <f t="shared" si="6"/>
        <v>-6.9999999999999973</v>
      </c>
      <c r="M30"/>
      <c r="N30"/>
    </row>
    <row r="31" spans="1:14" ht="15.75" thickBot="1" x14ac:dyDescent="0.3">
      <c r="A31" s="54"/>
      <c r="B31" s="11" t="str">
        <f t="shared" si="3"/>
        <v>quinta-feira</v>
      </c>
      <c r="C31" s="12">
        <f t="shared" si="4"/>
        <v>41607</v>
      </c>
      <c r="D31" s="13"/>
      <c r="E31" s="13"/>
      <c r="F31" s="13"/>
      <c r="G31" s="13"/>
      <c r="H31" s="13">
        <f t="shared" si="0"/>
        <v>0</v>
      </c>
      <c r="I31" s="13">
        <f t="shared" si="1"/>
        <v>0.33333333333333331</v>
      </c>
      <c r="J31" s="13">
        <f t="shared" si="2"/>
        <v>-0.33333333333333331</v>
      </c>
      <c r="K31" s="14">
        <f t="shared" si="5"/>
        <v>0.33333333333333331</v>
      </c>
      <c r="L31" s="15">
        <f t="shared" si="6"/>
        <v>-7.3333333333333304</v>
      </c>
      <c r="M31"/>
      <c r="N31"/>
    </row>
    <row r="32" spans="1:14" ht="15.75" thickBot="1" x14ac:dyDescent="0.3">
      <c r="J32" s="20">
        <f>SUM(J2:J31)</f>
        <v>-7.3333333333333304</v>
      </c>
      <c r="M32"/>
      <c r="N32"/>
    </row>
  </sheetData>
  <conditionalFormatting sqref="J2:J31">
    <cfRule type="cellIs" dxfId="17" priority="8" operator="greaterThan">
      <formula>0</formula>
    </cfRule>
    <cfRule type="cellIs" dxfId="16" priority="9" operator="lessThan">
      <formula>0</formula>
    </cfRule>
  </conditionalFormatting>
  <conditionalFormatting sqref="L2:L31">
    <cfRule type="cellIs" dxfId="15" priority="6" operator="greaterThan">
      <formula>0</formula>
    </cfRule>
    <cfRule type="cellIs" dxfId="14" priority="7" operator="lessThan">
      <formula>0</formula>
    </cfRule>
  </conditionalFormatting>
  <conditionalFormatting sqref="J32">
    <cfRule type="cellIs" dxfId="13" priority="4" operator="greaterThan">
      <formula>0</formula>
    </cfRule>
    <cfRule type="cellIs" dxfId="12" priority="5" operator="lessThan">
      <formula>0</formula>
    </cfRule>
  </conditionalFormatting>
  <conditionalFormatting sqref="B2:B31">
    <cfRule type="cellIs" dxfId="11" priority="2" operator="equal">
      <formula>"DOMINGO"</formula>
    </cfRule>
    <cfRule type="cellIs" dxfId="10" priority="3" operator="equal">
      <formula>"SÁBADO"</formula>
    </cfRule>
  </conditionalFormatting>
  <conditionalFormatting sqref="C1:C1048576">
    <cfRule type="timePeriod" dxfId="9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A2:A30 A31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showGridLines="0" workbookViewId="0">
      <pane ySplit="1" topLeftCell="A2" activePane="bottomLeft" state="frozen"/>
      <selection pane="bottomLeft" activeCell="P20" sqref="P19:P20"/>
    </sheetView>
  </sheetViews>
  <sheetFormatPr defaultRowHeight="15" x14ac:dyDescent="0.25"/>
  <cols>
    <col min="1" max="1" width="13.28515625" bestFit="1" customWidth="1"/>
    <col min="2" max="2" width="13.42578125" bestFit="1" customWidth="1"/>
    <col min="3" max="3" width="10.7109375" bestFit="1" customWidth="1"/>
    <col min="4" max="7" width="9.7109375" style="3" customWidth="1"/>
    <col min="8" max="8" width="9.42578125" style="2" bestFit="1" customWidth="1"/>
    <col min="9" max="9" width="8.140625" style="2" hidden="1" customWidth="1"/>
    <col min="10" max="10" width="9.85546875" style="2" bestFit="1" customWidth="1"/>
    <col min="11" max="11" width="8.140625" style="2" hidden="1" customWidth="1"/>
    <col min="12" max="12" width="13.140625" style="2" bestFit="1" customWidth="1"/>
    <col min="13" max="13" width="8.5703125" style="1" bestFit="1" customWidth="1"/>
    <col min="14" max="14" width="12.140625" style="1" bestFit="1" customWidth="1"/>
    <col min="15" max="15" width="10.7109375" bestFit="1" customWidth="1"/>
    <col min="16" max="16" width="13.42578125" bestFit="1" customWidth="1"/>
  </cols>
  <sheetData>
    <row r="1" spans="1:17" s="4" customFormat="1" ht="46.5" thickTop="1" thickBot="1" x14ac:dyDescent="0.3">
      <c r="A1" s="55" t="s">
        <v>26</v>
      </c>
      <c r="B1" s="21" t="s">
        <v>5</v>
      </c>
      <c r="C1" s="21" t="s">
        <v>6</v>
      </c>
      <c r="D1" s="22" t="s">
        <v>0</v>
      </c>
      <c r="E1" s="22" t="s">
        <v>1</v>
      </c>
      <c r="F1" s="22" t="s">
        <v>0</v>
      </c>
      <c r="G1" s="22" t="s">
        <v>1</v>
      </c>
      <c r="H1" s="22" t="s">
        <v>2</v>
      </c>
      <c r="I1" s="22"/>
      <c r="J1" s="22" t="s">
        <v>3</v>
      </c>
      <c r="K1" s="21"/>
      <c r="L1" s="22" t="s">
        <v>4</v>
      </c>
      <c r="M1" s="5"/>
      <c r="N1" s="36" t="s">
        <v>20</v>
      </c>
      <c r="O1" s="35">
        <f ca="1">TODAY()</f>
        <v>41466</v>
      </c>
      <c r="P1" s="38" t="str">
        <f ca="1">TEXT(O1,"DDDD")</f>
        <v>quarta-feira</v>
      </c>
      <c r="Q1" s="37">
        <f ca="1">NOW()</f>
        <v>41466.536496990739</v>
      </c>
    </row>
    <row r="2" spans="1:17" x14ac:dyDescent="0.25">
      <c r="A2" s="52"/>
      <c r="B2" s="23" t="str">
        <f>TEXT(C2,"DDDD")</f>
        <v>sexta-feira</v>
      </c>
      <c r="C2" s="24">
        <f>NOVEMBRO!C31+1</f>
        <v>41608</v>
      </c>
      <c r="D2" s="25"/>
      <c r="E2" s="25"/>
      <c r="F2" s="25"/>
      <c r="G2" s="25"/>
      <c r="H2" s="25">
        <f t="shared" ref="H2:H32" si="0">E2-D2+G2-F2</f>
        <v>0</v>
      </c>
      <c r="I2" s="25">
        <f t="shared" ref="I2:I32" si="1">IF(B2="SÁBADO",0,IF(B2="DOMINGO",0,IF(A2="FERIADO",0,IF(A2="ABONADO",0,IF(A2="ATESTADO",0,K2)))))</f>
        <v>0.33333333333333331</v>
      </c>
      <c r="J2" s="25">
        <f t="shared" ref="J2:J32" si="2">H2-I2</f>
        <v>-0.33333333333333331</v>
      </c>
      <c r="K2" s="26">
        <f>CADASTRO!B23</f>
        <v>0.33333333333333331</v>
      </c>
      <c r="L2" s="27">
        <f>J2</f>
        <v>-0.33333333333333331</v>
      </c>
    </row>
    <row r="3" spans="1:17" x14ac:dyDescent="0.25">
      <c r="A3" s="53"/>
      <c r="B3" s="6" t="str">
        <f t="shared" ref="B3:B32" si="3">TEXT(C3,"DDDD")</f>
        <v>sábado</v>
      </c>
      <c r="C3" s="7">
        <f>C2+1</f>
        <v>41609</v>
      </c>
      <c r="D3" s="8"/>
      <c r="E3" s="8"/>
      <c r="F3" s="8"/>
      <c r="G3" s="8"/>
      <c r="H3" s="8">
        <f t="shared" si="0"/>
        <v>0</v>
      </c>
      <c r="I3" s="8">
        <f t="shared" si="1"/>
        <v>0</v>
      </c>
      <c r="J3" s="8">
        <f t="shared" si="2"/>
        <v>0</v>
      </c>
      <c r="K3" s="9">
        <f>K2</f>
        <v>0.33333333333333331</v>
      </c>
      <c r="L3" s="10">
        <f>L2+J3</f>
        <v>-0.33333333333333331</v>
      </c>
    </row>
    <row r="4" spans="1:17" x14ac:dyDescent="0.25">
      <c r="A4" s="53"/>
      <c r="B4" s="6" t="str">
        <f t="shared" si="3"/>
        <v>domingo</v>
      </c>
      <c r="C4" s="7">
        <f t="shared" ref="C4:C32" si="4">C3+1</f>
        <v>41610</v>
      </c>
      <c r="D4" s="8"/>
      <c r="E4" s="8"/>
      <c r="F4" s="8"/>
      <c r="G4" s="8"/>
      <c r="H4" s="8">
        <f t="shared" si="0"/>
        <v>0</v>
      </c>
      <c r="I4" s="8">
        <f t="shared" si="1"/>
        <v>0</v>
      </c>
      <c r="J4" s="8">
        <f t="shared" si="2"/>
        <v>0</v>
      </c>
      <c r="K4" s="9">
        <f t="shared" ref="K4:K32" si="5">K3</f>
        <v>0.33333333333333331</v>
      </c>
      <c r="L4" s="10">
        <f t="shared" ref="L4:L32" si="6">L3+J4</f>
        <v>-0.33333333333333331</v>
      </c>
    </row>
    <row r="5" spans="1:17" x14ac:dyDescent="0.25">
      <c r="A5" s="53"/>
      <c r="B5" s="6" t="str">
        <f t="shared" si="3"/>
        <v>segunda-feira</v>
      </c>
      <c r="C5" s="7">
        <f t="shared" si="4"/>
        <v>41611</v>
      </c>
      <c r="D5" s="8"/>
      <c r="E5" s="8"/>
      <c r="F5" s="8"/>
      <c r="G5" s="8"/>
      <c r="H5" s="8">
        <f t="shared" si="0"/>
        <v>0</v>
      </c>
      <c r="I5" s="8">
        <f t="shared" si="1"/>
        <v>0.33333333333333331</v>
      </c>
      <c r="J5" s="8">
        <f t="shared" si="2"/>
        <v>-0.33333333333333331</v>
      </c>
      <c r="K5" s="9">
        <f t="shared" si="5"/>
        <v>0.33333333333333331</v>
      </c>
      <c r="L5" s="10">
        <f t="shared" si="6"/>
        <v>-0.66666666666666663</v>
      </c>
    </row>
    <row r="6" spans="1:17" x14ac:dyDescent="0.25">
      <c r="A6" s="53"/>
      <c r="B6" s="6" t="str">
        <f t="shared" si="3"/>
        <v>terça-feira</v>
      </c>
      <c r="C6" s="7">
        <f t="shared" si="4"/>
        <v>41612</v>
      </c>
      <c r="D6" s="8"/>
      <c r="E6" s="8"/>
      <c r="F6" s="8"/>
      <c r="G6" s="8"/>
      <c r="H6" s="8">
        <f t="shared" si="0"/>
        <v>0</v>
      </c>
      <c r="I6" s="8">
        <f t="shared" si="1"/>
        <v>0.33333333333333331</v>
      </c>
      <c r="J6" s="8">
        <f>H6-I6</f>
        <v>-0.33333333333333331</v>
      </c>
      <c r="K6" s="9">
        <f t="shared" si="5"/>
        <v>0.33333333333333331</v>
      </c>
      <c r="L6" s="10">
        <f t="shared" si="6"/>
        <v>-1</v>
      </c>
    </row>
    <row r="7" spans="1:17" x14ac:dyDescent="0.25">
      <c r="A7" s="53"/>
      <c r="B7" s="6" t="str">
        <f t="shared" si="3"/>
        <v>quarta-feira</v>
      </c>
      <c r="C7" s="7">
        <f t="shared" si="4"/>
        <v>41613</v>
      </c>
      <c r="D7" s="8"/>
      <c r="E7" s="8"/>
      <c r="F7" s="8"/>
      <c r="G7" s="8"/>
      <c r="H7" s="8">
        <f t="shared" si="0"/>
        <v>0</v>
      </c>
      <c r="I7" s="8">
        <f t="shared" si="1"/>
        <v>0.33333333333333331</v>
      </c>
      <c r="J7" s="8">
        <f t="shared" si="2"/>
        <v>-0.33333333333333331</v>
      </c>
      <c r="K7" s="9">
        <f t="shared" si="5"/>
        <v>0.33333333333333331</v>
      </c>
      <c r="L7" s="10">
        <f t="shared" si="6"/>
        <v>-1.3333333333333333</v>
      </c>
    </row>
    <row r="8" spans="1:17" x14ac:dyDescent="0.25">
      <c r="A8" s="53"/>
      <c r="B8" s="6" t="str">
        <f t="shared" si="3"/>
        <v>quinta-feira</v>
      </c>
      <c r="C8" s="7">
        <f t="shared" si="4"/>
        <v>41614</v>
      </c>
      <c r="D8" s="8"/>
      <c r="E8" s="8"/>
      <c r="F8" s="8"/>
      <c r="G8" s="8"/>
      <c r="H8" s="8">
        <f t="shared" si="0"/>
        <v>0</v>
      </c>
      <c r="I8" s="8">
        <f t="shared" si="1"/>
        <v>0.33333333333333331</v>
      </c>
      <c r="J8" s="8">
        <f t="shared" si="2"/>
        <v>-0.33333333333333331</v>
      </c>
      <c r="K8" s="9">
        <f t="shared" si="5"/>
        <v>0.33333333333333331</v>
      </c>
      <c r="L8" s="10">
        <f t="shared" si="6"/>
        <v>-1.6666666666666665</v>
      </c>
    </row>
    <row r="9" spans="1:17" x14ac:dyDescent="0.25">
      <c r="A9" s="53"/>
      <c r="B9" s="6" t="str">
        <f t="shared" si="3"/>
        <v>sexta-feira</v>
      </c>
      <c r="C9" s="7">
        <f t="shared" si="4"/>
        <v>41615</v>
      </c>
      <c r="D9" s="8"/>
      <c r="E9" s="8"/>
      <c r="F9" s="8"/>
      <c r="G9" s="8"/>
      <c r="H9" s="8">
        <f t="shared" si="0"/>
        <v>0</v>
      </c>
      <c r="I9" s="8">
        <f t="shared" si="1"/>
        <v>0.33333333333333331</v>
      </c>
      <c r="J9" s="8">
        <f t="shared" si="2"/>
        <v>-0.33333333333333331</v>
      </c>
      <c r="K9" s="9">
        <f t="shared" si="5"/>
        <v>0.33333333333333331</v>
      </c>
      <c r="L9" s="10">
        <f t="shared" si="6"/>
        <v>-1.9999999999999998</v>
      </c>
    </row>
    <row r="10" spans="1:17" x14ac:dyDescent="0.25">
      <c r="A10" s="53"/>
      <c r="B10" s="6" t="str">
        <f t="shared" si="3"/>
        <v>sábado</v>
      </c>
      <c r="C10" s="7">
        <f t="shared" si="4"/>
        <v>41616</v>
      </c>
      <c r="D10" s="8"/>
      <c r="E10" s="8"/>
      <c r="F10" s="8"/>
      <c r="G10" s="8"/>
      <c r="H10" s="8">
        <f t="shared" si="0"/>
        <v>0</v>
      </c>
      <c r="I10" s="8">
        <f t="shared" si="1"/>
        <v>0</v>
      </c>
      <c r="J10" s="8">
        <f t="shared" si="2"/>
        <v>0</v>
      </c>
      <c r="K10" s="9">
        <f t="shared" si="5"/>
        <v>0.33333333333333331</v>
      </c>
      <c r="L10" s="10">
        <f t="shared" si="6"/>
        <v>-1.9999999999999998</v>
      </c>
    </row>
    <row r="11" spans="1:17" x14ac:dyDescent="0.25">
      <c r="A11" s="53"/>
      <c r="B11" s="6" t="str">
        <f t="shared" si="3"/>
        <v>domingo</v>
      </c>
      <c r="C11" s="7">
        <f t="shared" si="4"/>
        <v>41617</v>
      </c>
      <c r="D11" s="8"/>
      <c r="E11" s="8"/>
      <c r="F11" s="8"/>
      <c r="G11" s="8"/>
      <c r="H11" s="8">
        <f t="shared" si="0"/>
        <v>0</v>
      </c>
      <c r="I11" s="8">
        <f t="shared" si="1"/>
        <v>0</v>
      </c>
      <c r="J11" s="8">
        <f t="shared" si="2"/>
        <v>0</v>
      </c>
      <c r="K11" s="9">
        <f t="shared" si="5"/>
        <v>0.33333333333333331</v>
      </c>
      <c r="L11" s="10">
        <f t="shared" si="6"/>
        <v>-1.9999999999999998</v>
      </c>
    </row>
    <row r="12" spans="1:17" x14ac:dyDescent="0.25">
      <c r="A12" s="53"/>
      <c r="B12" s="6" t="str">
        <f t="shared" si="3"/>
        <v>segunda-feira</v>
      </c>
      <c r="C12" s="7">
        <f t="shared" si="4"/>
        <v>41618</v>
      </c>
      <c r="D12" s="8"/>
      <c r="E12" s="8"/>
      <c r="F12" s="8"/>
      <c r="G12" s="8"/>
      <c r="H12" s="8">
        <f t="shared" si="0"/>
        <v>0</v>
      </c>
      <c r="I12" s="8">
        <f t="shared" si="1"/>
        <v>0.33333333333333331</v>
      </c>
      <c r="J12" s="8">
        <f t="shared" si="2"/>
        <v>-0.33333333333333331</v>
      </c>
      <c r="K12" s="9">
        <f t="shared" si="5"/>
        <v>0.33333333333333331</v>
      </c>
      <c r="L12" s="10">
        <f t="shared" si="6"/>
        <v>-2.333333333333333</v>
      </c>
    </row>
    <row r="13" spans="1:17" x14ac:dyDescent="0.25">
      <c r="A13" s="53"/>
      <c r="B13" s="6" t="str">
        <f t="shared" si="3"/>
        <v>terça-feira</v>
      </c>
      <c r="C13" s="7">
        <f t="shared" si="4"/>
        <v>41619</v>
      </c>
      <c r="D13" s="8"/>
      <c r="E13" s="8"/>
      <c r="F13" s="8"/>
      <c r="G13" s="8"/>
      <c r="H13" s="8">
        <f t="shared" si="0"/>
        <v>0</v>
      </c>
      <c r="I13" s="8">
        <f t="shared" si="1"/>
        <v>0.33333333333333331</v>
      </c>
      <c r="J13" s="8">
        <f t="shared" si="2"/>
        <v>-0.33333333333333331</v>
      </c>
      <c r="K13" s="9">
        <f t="shared" si="5"/>
        <v>0.33333333333333331</v>
      </c>
      <c r="L13" s="10">
        <f t="shared" si="6"/>
        <v>-2.6666666666666665</v>
      </c>
    </row>
    <row r="14" spans="1:17" x14ac:dyDescent="0.25">
      <c r="A14" s="53"/>
      <c r="B14" s="6" t="str">
        <f t="shared" si="3"/>
        <v>quarta-feira</v>
      </c>
      <c r="C14" s="7">
        <f t="shared" si="4"/>
        <v>41620</v>
      </c>
      <c r="D14" s="8"/>
      <c r="E14" s="8"/>
      <c r="F14" s="8"/>
      <c r="G14" s="8"/>
      <c r="H14" s="8">
        <f t="shared" si="0"/>
        <v>0</v>
      </c>
      <c r="I14" s="8">
        <f t="shared" si="1"/>
        <v>0.33333333333333331</v>
      </c>
      <c r="J14" s="8">
        <f t="shared" si="2"/>
        <v>-0.33333333333333331</v>
      </c>
      <c r="K14" s="9">
        <f t="shared" si="5"/>
        <v>0.33333333333333331</v>
      </c>
      <c r="L14" s="10">
        <f t="shared" si="6"/>
        <v>-3</v>
      </c>
    </row>
    <row r="15" spans="1:17" x14ac:dyDescent="0.25">
      <c r="A15" s="53"/>
      <c r="B15" s="6" t="str">
        <f t="shared" si="3"/>
        <v>quinta-feira</v>
      </c>
      <c r="C15" s="7">
        <f t="shared" si="4"/>
        <v>41621</v>
      </c>
      <c r="D15" s="8"/>
      <c r="E15" s="8"/>
      <c r="F15" s="8"/>
      <c r="G15" s="8"/>
      <c r="H15" s="8">
        <f t="shared" si="0"/>
        <v>0</v>
      </c>
      <c r="I15" s="8">
        <f t="shared" si="1"/>
        <v>0.33333333333333331</v>
      </c>
      <c r="J15" s="8">
        <f t="shared" si="2"/>
        <v>-0.33333333333333331</v>
      </c>
      <c r="K15" s="9">
        <f t="shared" si="5"/>
        <v>0.33333333333333331</v>
      </c>
      <c r="L15" s="10">
        <f t="shared" si="6"/>
        <v>-3.3333333333333335</v>
      </c>
    </row>
    <row r="16" spans="1:17" x14ac:dyDescent="0.25">
      <c r="A16" s="53"/>
      <c r="B16" s="6" t="str">
        <f t="shared" si="3"/>
        <v>sexta-feira</v>
      </c>
      <c r="C16" s="7">
        <f t="shared" si="4"/>
        <v>41622</v>
      </c>
      <c r="D16" s="8"/>
      <c r="E16" s="8"/>
      <c r="F16" s="8"/>
      <c r="G16" s="8"/>
      <c r="H16" s="8">
        <f t="shared" si="0"/>
        <v>0</v>
      </c>
      <c r="I16" s="8">
        <f t="shared" si="1"/>
        <v>0.33333333333333331</v>
      </c>
      <c r="J16" s="8">
        <f t="shared" si="2"/>
        <v>-0.33333333333333331</v>
      </c>
      <c r="K16" s="9">
        <f t="shared" si="5"/>
        <v>0.33333333333333331</v>
      </c>
      <c r="L16" s="10">
        <f t="shared" si="6"/>
        <v>-3.666666666666667</v>
      </c>
    </row>
    <row r="17" spans="1:14" x14ac:dyDescent="0.25">
      <c r="A17" s="53"/>
      <c r="B17" s="6" t="str">
        <f t="shared" si="3"/>
        <v>sábado</v>
      </c>
      <c r="C17" s="7">
        <f t="shared" si="4"/>
        <v>41623</v>
      </c>
      <c r="D17" s="8"/>
      <c r="E17" s="8"/>
      <c r="F17" s="8"/>
      <c r="G17" s="8"/>
      <c r="H17" s="8">
        <f t="shared" si="0"/>
        <v>0</v>
      </c>
      <c r="I17" s="8">
        <f t="shared" si="1"/>
        <v>0</v>
      </c>
      <c r="J17" s="8">
        <f t="shared" si="2"/>
        <v>0</v>
      </c>
      <c r="K17" s="9">
        <f t="shared" si="5"/>
        <v>0.33333333333333331</v>
      </c>
      <c r="L17" s="10">
        <f t="shared" si="6"/>
        <v>-3.666666666666667</v>
      </c>
      <c r="M17"/>
      <c r="N17"/>
    </row>
    <row r="18" spans="1:14" x14ac:dyDescent="0.25">
      <c r="A18" s="53"/>
      <c r="B18" s="6" t="str">
        <f t="shared" si="3"/>
        <v>domingo</v>
      </c>
      <c r="C18" s="7">
        <f t="shared" si="4"/>
        <v>41624</v>
      </c>
      <c r="D18" s="8"/>
      <c r="E18" s="8"/>
      <c r="F18" s="8"/>
      <c r="G18" s="8"/>
      <c r="H18" s="8">
        <f t="shared" si="0"/>
        <v>0</v>
      </c>
      <c r="I18" s="8">
        <f t="shared" si="1"/>
        <v>0</v>
      </c>
      <c r="J18" s="8">
        <f t="shared" si="2"/>
        <v>0</v>
      </c>
      <c r="K18" s="9">
        <f t="shared" si="5"/>
        <v>0.33333333333333331</v>
      </c>
      <c r="L18" s="10">
        <f t="shared" si="6"/>
        <v>-3.666666666666667</v>
      </c>
      <c r="M18"/>
      <c r="N18"/>
    </row>
    <row r="19" spans="1:14" x14ac:dyDescent="0.25">
      <c r="A19" s="53"/>
      <c r="B19" s="6" t="str">
        <f t="shared" si="3"/>
        <v>segunda-feira</v>
      </c>
      <c r="C19" s="7">
        <f t="shared" si="4"/>
        <v>41625</v>
      </c>
      <c r="D19" s="8"/>
      <c r="E19" s="8"/>
      <c r="F19" s="8"/>
      <c r="G19" s="8"/>
      <c r="H19" s="8">
        <f t="shared" si="0"/>
        <v>0</v>
      </c>
      <c r="I19" s="8">
        <f t="shared" si="1"/>
        <v>0.33333333333333331</v>
      </c>
      <c r="J19" s="8">
        <f t="shared" si="2"/>
        <v>-0.33333333333333331</v>
      </c>
      <c r="K19" s="9">
        <f t="shared" si="5"/>
        <v>0.33333333333333331</v>
      </c>
      <c r="L19" s="10">
        <f t="shared" si="6"/>
        <v>-4</v>
      </c>
      <c r="M19"/>
      <c r="N19"/>
    </row>
    <row r="20" spans="1:14" x14ac:dyDescent="0.25">
      <c r="A20" s="53"/>
      <c r="B20" s="6" t="str">
        <f t="shared" si="3"/>
        <v>terça-feira</v>
      </c>
      <c r="C20" s="7">
        <f t="shared" si="4"/>
        <v>41626</v>
      </c>
      <c r="D20" s="8"/>
      <c r="E20" s="8"/>
      <c r="F20" s="8"/>
      <c r="G20" s="8"/>
      <c r="H20" s="8">
        <f t="shared" si="0"/>
        <v>0</v>
      </c>
      <c r="I20" s="8">
        <f t="shared" si="1"/>
        <v>0.33333333333333331</v>
      </c>
      <c r="J20" s="8">
        <f t="shared" si="2"/>
        <v>-0.33333333333333331</v>
      </c>
      <c r="K20" s="9">
        <f t="shared" si="5"/>
        <v>0.33333333333333331</v>
      </c>
      <c r="L20" s="10">
        <f t="shared" si="6"/>
        <v>-4.333333333333333</v>
      </c>
      <c r="M20"/>
      <c r="N20"/>
    </row>
    <row r="21" spans="1:14" x14ac:dyDescent="0.25">
      <c r="A21" s="53"/>
      <c r="B21" s="6" t="str">
        <f t="shared" si="3"/>
        <v>quarta-feira</v>
      </c>
      <c r="C21" s="7">
        <f t="shared" si="4"/>
        <v>41627</v>
      </c>
      <c r="D21" s="8"/>
      <c r="E21" s="8"/>
      <c r="F21" s="8"/>
      <c r="G21" s="8"/>
      <c r="H21" s="8">
        <f t="shared" si="0"/>
        <v>0</v>
      </c>
      <c r="I21" s="8">
        <f t="shared" si="1"/>
        <v>0.33333333333333331</v>
      </c>
      <c r="J21" s="8">
        <f t="shared" si="2"/>
        <v>-0.33333333333333331</v>
      </c>
      <c r="K21" s="9">
        <f t="shared" si="5"/>
        <v>0.33333333333333331</v>
      </c>
      <c r="L21" s="10">
        <f t="shared" si="6"/>
        <v>-4.6666666666666661</v>
      </c>
      <c r="M21"/>
      <c r="N21"/>
    </row>
    <row r="22" spans="1:14" x14ac:dyDescent="0.25">
      <c r="A22" s="53"/>
      <c r="B22" s="6" t="str">
        <f t="shared" si="3"/>
        <v>quinta-feira</v>
      </c>
      <c r="C22" s="7">
        <f t="shared" si="4"/>
        <v>41628</v>
      </c>
      <c r="D22" s="8"/>
      <c r="E22" s="8"/>
      <c r="F22" s="8"/>
      <c r="G22" s="8"/>
      <c r="H22" s="8">
        <f t="shared" si="0"/>
        <v>0</v>
      </c>
      <c r="I22" s="8">
        <f t="shared" si="1"/>
        <v>0.33333333333333331</v>
      </c>
      <c r="J22" s="8">
        <f t="shared" si="2"/>
        <v>-0.33333333333333331</v>
      </c>
      <c r="K22" s="9">
        <f t="shared" si="5"/>
        <v>0.33333333333333331</v>
      </c>
      <c r="L22" s="10">
        <f t="shared" si="6"/>
        <v>-4.9999999999999991</v>
      </c>
      <c r="M22"/>
      <c r="N22"/>
    </row>
    <row r="23" spans="1:14" x14ac:dyDescent="0.25">
      <c r="A23" s="53"/>
      <c r="B23" s="6" t="str">
        <f t="shared" si="3"/>
        <v>sexta-feira</v>
      </c>
      <c r="C23" s="7">
        <f t="shared" si="4"/>
        <v>41629</v>
      </c>
      <c r="D23" s="8"/>
      <c r="E23" s="8"/>
      <c r="F23" s="8"/>
      <c r="G23" s="8"/>
      <c r="H23" s="8">
        <f t="shared" si="0"/>
        <v>0</v>
      </c>
      <c r="I23" s="8">
        <f t="shared" si="1"/>
        <v>0.33333333333333331</v>
      </c>
      <c r="J23" s="8">
        <f t="shared" si="2"/>
        <v>-0.33333333333333331</v>
      </c>
      <c r="K23" s="9">
        <f t="shared" si="5"/>
        <v>0.33333333333333331</v>
      </c>
      <c r="L23" s="10">
        <f t="shared" si="6"/>
        <v>-5.3333333333333321</v>
      </c>
      <c r="M23"/>
      <c r="N23"/>
    </row>
    <row r="24" spans="1:14" x14ac:dyDescent="0.25">
      <c r="A24" s="53"/>
      <c r="B24" s="6" t="str">
        <f t="shared" si="3"/>
        <v>sábado</v>
      </c>
      <c r="C24" s="7">
        <f t="shared" si="4"/>
        <v>41630</v>
      </c>
      <c r="D24" s="8"/>
      <c r="E24" s="8"/>
      <c r="F24" s="8"/>
      <c r="G24" s="8"/>
      <c r="H24" s="8">
        <f t="shared" si="0"/>
        <v>0</v>
      </c>
      <c r="I24" s="8">
        <f t="shared" si="1"/>
        <v>0</v>
      </c>
      <c r="J24" s="8">
        <f t="shared" si="2"/>
        <v>0</v>
      </c>
      <c r="K24" s="9">
        <f t="shared" si="5"/>
        <v>0.33333333333333331</v>
      </c>
      <c r="L24" s="10">
        <f t="shared" si="6"/>
        <v>-5.3333333333333321</v>
      </c>
      <c r="M24"/>
      <c r="N24"/>
    </row>
    <row r="25" spans="1:14" x14ac:dyDescent="0.25">
      <c r="A25" s="53"/>
      <c r="B25" s="6" t="str">
        <f t="shared" si="3"/>
        <v>domingo</v>
      </c>
      <c r="C25" s="7">
        <f t="shared" si="4"/>
        <v>41631</v>
      </c>
      <c r="D25" s="8"/>
      <c r="E25" s="8"/>
      <c r="F25" s="8"/>
      <c r="G25" s="8"/>
      <c r="H25" s="8">
        <f t="shared" si="0"/>
        <v>0</v>
      </c>
      <c r="I25" s="8">
        <f t="shared" si="1"/>
        <v>0</v>
      </c>
      <c r="J25" s="8">
        <f t="shared" si="2"/>
        <v>0</v>
      </c>
      <c r="K25" s="9">
        <f t="shared" si="5"/>
        <v>0.33333333333333331</v>
      </c>
      <c r="L25" s="10">
        <f t="shared" si="6"/>
        <v>-5.3333333333333321</v>
      </c>
      <c r="M25"/>
      <c r="N25"/>
    </row>
    <row r="26" spans="1:14" x14ac:dyDescent="0.25">
      <c r="A26" s="53"/>
      <c r="B26" s="6" t="str">
        <f t="shared" si="3"/>
        <v>segunda-feira</v>
      </c>
      <c r="C26" s="7">
        <f t="shared" si="4"/>
        <v>41632</v>
      </c>
      <c r="D26" s="8"/>
      <c r="E26" s="8"/>
      <c r="F26" s="8"/>
      <c r="G26" s="8"/>
      <c r="H26" s="8">
        <f t="shared" si="0"/>
        <v>0</v>
      </c>
      <c r="I26" s="8">
        <f t="shared" si="1"/>
        <v>0.33333333333333331</v>
      </c>
      <c r="J26" s="8">
        <f t="shared" si="2"/>
        <v>-0.33333333333333331</v>
      </c>
      <c r="K26" s="9">
        <f t="shared" si="5"/>
        <v>0.33333333333333331</v>
      </c>
      <c r="L26" s="10">
        <f t="shared" si="6"/>
        <v>-5.6666666666666652</v>
      </c>
      <c r="M26"/>
      <c r="N26"/>
    </row>
    <row r="27" spans="1:14" x14ac:dyDescent="0.25">
      <c r="A27" s="53"/>
      <c r="B27" s="6" t="str">
        <f t="shared" si="3"/>
        <v>terça-feira</v>
      </c>
      <c r="C27" s="7">
        <f t="shared" si="4"/>
        <v>41633</v>
      </c>
      <c r="D27" s="8"/>
      <c r="E27" s="8"/>
      <c r="F27" s="8"/>
      <c r="G27" s="8"/>
      <c r="H27" s="8">
        <f t="shared" si="0"/>
        <v>0</v>
      </c>
      <c r="I27" s="8">
        <f t="shared" si="1"/>
        <v>0.33333333333333331</v>
      </c>
      <c r="J27" s="8">
        <f t="shared" si="2"/>
        <v>-0.33333333333333331</v>
      </c>
      <c r="K27" s="9">
        <f t="shared" si="5"/>
        <v>0.33333333333333331</v>
      </c>
      <c r="L27" s="10">
        <f t="shared" si="6"/>
        <v>-5.9999999999999982</v>
      </c>
      <c r="M27"/>
      <c r="N27"/>
    </row>
    <row r="28" spans="1:14" x14ac:dyDescent="0.25">
      <c r="A28" s="53"/>
      <c r="B28" s="6" t="str">
        <f t="shared" si="3"/>
        <v>quarta-feira</v>
      </c>
      <c r="C28" s="7">
        <f t="shared" si="4"/>
        <v>41634</v>
      </c>
      <c r="D28" s="8"/>
      <c r="E28" s="8"/>
      <c r="F28" s="8"/>
      <c r="G28" s="8"/>
      <c r="H28" s="8">
        <f t="shared" si="0"/>
        <v>0</v>
      </c>
      <c r="I28" s="8">
        <f t="shared" si="1"/>
        <v>0.33333333333333331</v>
      </c>
      <c r="J28" s="8">
        <f t="shared" si="2"/>
        <v>-0.33333333333333331</v>
      </c>
      <c r="K28" s="9">
        <f t="shared" si="5"/>
        <v>0.33333333333333331</v>
      </c>
      <c r="L28" s="10">
        <f t="shared" si="6"/>
        <v>-6.3333333333333313</v>
      </c>
      <c r="M28"/>
      <c r="N28"/>
    </row>
    <row r="29" spans="1:14" x14ac:dyDescent="0.25">
      <c r="A29" s="53"/>
      <c r="B29" s="6" t="str">
        <f t="shared" si="3"/>
        <v>quinta-feira</v>
      </c>
      <c r="C29" s="7">
        <f t="shared" si="4"/>
        <v>41635</v>
      </c>
      <c r="D29" s="8"/>
      <c r="E29" s="8"/>
      <c r="F29" s="8"/>
      <c r="G29" s="8"/>
      <c r="H29" s="8">
        <f t="shared" si="0"/>
        <v>0</v>
      </c>
      <c r="I29" s="8">
        <f t="shared" si="1"/>
        <v>0.33333333333333331</v>
      </c>
      <c r="J29" s="8">
        <f t="shared" si="2"/>
        <v>-0.33333333333333331</v>
      </c>
      <c r="K29" s="9">
        <f t="shared" si="5"/>
        <v>0.33333333333333331</v>
      </c>
      <c r="L29" s="10">
        <f t="shared" si="6"/>
        <v>-6.6666666666666643</v>
      </c>
      <c r="M29"/>
      <c r="N29"/>
    </row>
    <row r="30" spans="1:14" x14ac:dyDescent="0.25">
      <c r="A30" s="53"/>
      <c r="B30" s="6" t="str">
        <f t="shared" si="3"/>
        <v>sexta-feira</v>
      </c>
      <c r="C30" s="7">
        <f t="shared" si="4"/>
        <v>41636</v>
      </c>
      <c r="D30" s="8"/>
      <c r="E30" s="8"/>
      <c r="F30" s="8"/>
      <c r="G30" s="8"/>
      <c r="H30" s="8">
        <f t="shared" si="0"/>
        <v>0</v>
      </c>
      <c r="I30" s="8">
        <f t="shared" si="1"/>
        <v>0.33333333333333331</v>
      </c>
      <c r="J30" s="8">
        <f t="shared" si="2"/>
        <v>-0.33333333333333331</v>
      </c>
      <c r="K30" s="9">
        <f t="shared" si="5"/>
        <v>0.33333333333333331</v>
      </c>
      <c r="L30" s="10">
        <f t="shared" si="6"/>
        <v>-6.9999999999999973</v>
      </c>
      <c r="M30"/>
      <c r="N30"/>
    </row>
    <row r="31" spans="1:14" x14ac:dyDescent="0.25">
      <c r="A31" s="53"/>
      <c r="B31" s="6" t="str">
        <f t="shared" si="3"/>
        <v>sábado</v>
      </c>
      <c r="C31" s="7">
        <f t="shared" si="4"/>
        <v>41637</v>
      </c>
      <c r="D31" s="8"/>
      <c r="E31" s="8"/>
      <c r="F31" s="8"/>
      <c r="G31" s="8"/>
      <c r="H31" s="8">
        <f t="shared" si="0"/>
        <v>0</v>
      </c>
      <c r="I31" s="8">
        <f t="shared" si="1"/>
        <v>0</v>
      </c>
      <c r="J31" s="8">
        <f t="shared" si="2"/>
        <v>0</v>
      </c>
      <c r="K31" s="9">
        <f t="shared" si="5"/>
        <v>0.33333333333333331</v>
      </c>
      <c r="L31" s="10">
        <f t="shared" si="6"/>
        <v>-6.9999999999999973</v>
      </c>
      <c r="M31"/>
      <c r="N31"/>
    </row>
    <row r="32" spans="1:14" ht="15.75" thickBot="1" x14ac:dyDescent="0.3">
      <c r="A32" s="54"/>
      <c r="B32" s="11" t="str">
        <f t="shared" si="3"/>
        <v>domingo</v>
      </c>
      <c r="C32" s="12">
        <f t="shared" si="4"/>
        <v>41638</v>
      </c>
      <c r="D32" s="13"/>
      <c r="E32" s="13"/>
      <c r="F32" s="13"/>
      <c r="G32" s="13"/>
      <c r="H32" s="13">
        <f t="shared" si="0"/>
        <v>0</v>
      </c>
      <c r="I32" s="13">
        <f t="shared" si="1"/>
        <v>0</v>
      </c>
      <c r="J32" s="13">
        <f t="shared" si="2"/>
        <v>0</v>
      </c>
      <c r="K32" s="14">
        <f t="shared" si="5"/>
        <v>0.33333333333333331</v>
      </c>
      <c r="L32" s="15">
        <f t="shared" si="6"/>
        <v>-6.9999999999999973</v>
      </c>
      <c r="M32"/>
      <c r="N32"/>
    </row>
    <row r="33" spans="4:14" ht="15.75" thickBot="1" x14ac:dyDescent="0.3">
      <c r="D33"/>
      <c r="E33"/>
      <c r="F33"/>
      <c r="G33"/>
      <c r="H33"/>
      <c r="I33"/>
      <c r="J33" s="20">
        <f>SUM(J2:J32)</f>
        <v>-6.9999999999999973</v>
      </c>
      <c r="K33"/>
      <c r="L33"/>
      <c r="M33"/>
      <c r="N33"/>
    </row>
  </sheetData>
  <conditionalFormatting sqref="J2:J32">
    <cfRule type="cellIs" dxfId="8" priority="8" operator="greaterThan">
      <formula>0</formula>
    </cfRule>
    <cfRule type="cellIs" dxfId="7" priority="9" operator="lessThan">
      <formula>0</formula>
    </cfRule>
  </conditionalFormatting>
  <conditionalFormatting sqref="B2:B32">
    <cfRule type="cellIs" dxfId="6" priority="6" operator="equal">
      <formula>"DOMINGO"</formula>
    </cfRule>
    <cfRule type="cellIs" dxfId="5" priority="7" operator="equal">
      <formula>"SÁBADO"</formula>
    </cfRule>
  </conditionalFormatting>
  <conditionalFormatting sqref="L2:L32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J33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C1:C1048576">
    <cfRule type="timePeriod" dxfId="0" priority="1" timePeriod="today">
      <formula>FLOOR(C1,1)=TODAY()</formula>
    </cfRule>
  </conditionalFormatting>
  <pageMargins left="0.51181102362204722" right="0.51181102362204722" top="0.78740157480314965" bottom="0.78740157480314965" header="0.31496062992125984" footer="0.31496062992125984"/>
  <pageSetup paperSize="9" scale="96" orientation="portrait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CADASTRO!$G$1:$G$4</xm:f>
          </x14:formula1>
          <xm:sqref>A2:A32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CADASTRO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DE PONTO</dc:title>
  <dc:creator/>
  <cp:lastModifiedBy/>
  <dcterms:created xsi:type="dcterms:W3CDTF">2006-09-16T00:00:00Z</dcterms:created>
  <dcterms:modified xsi:type="dcterms:W3CDTF">2017-07-12T15:52:56Z</dcterms:modified>
</cp:coreProperties>
</file>