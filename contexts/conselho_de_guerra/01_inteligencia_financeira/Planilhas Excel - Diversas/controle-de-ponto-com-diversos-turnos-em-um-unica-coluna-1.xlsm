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ilberto\Downloads\Blog Caltrab\Nova pasta\"/>
    </mc:Choice>
  </mc:AlternateContent>
  <xr:revisionPtr revIDLastSave="0" documentId="10_ncr:8100000_{1ED621D1-75AA-4763-AD20-B004A8640767}" xr6:coauthVersionLast="32" xr6:coauthVersionMax="32" xr10:uidLastSave="{00000000-0000-0000-0000-000000000000}"/>
  <bookViews>
    <workbookView xWindow="0" yWindow="0" windowWidth="24720" windowHeight="11625" xr2:uid="{00000000-000D-0000-FFFF-FFFF00000000}"/>
  </bookViews>
  <sheets>
    <sheet name="controle ponto" sheetId="20" r:id="rId1"/>
    <sheet name="controle ponto (2)" sheetId="22" r:id="rId2"/>
    <sheet name="Feriados" sheetId="21" r:id="rId3"/>
  </sheets>
  <functionGroups builtInGroupCount="19"/>
  <definedNames>
    <definedName name="ano_p" localSheetId="1">'controle ponto (2)'!$F$4</definedName>
    <definedName name="ano_p">'controle ponto'!$F$4</definedName>
    <definedName name="_xlnm.Print_Area" localSheetId="0">'controle ponto'!$B$7:$O$41</definedName>
    <definedName name="_xlnm.Print_Area" localSheetId="1">'controle ponto (2)'!$B$7:$O$41</definedName>
    <definedName name="calendário" localSheetId="1">'controle ponto (2)'!$B$7:$C$38</definedName>
    <definedName name="calendário">'controle ponto'!$B$7:$C$38</definedName>
    <definedName name="dia_f" localSheetId="1">'controle ponto (2)'!$F$3</definedName>
    <definedName name="dia_f">'controle ponto'!$F$3</definedName>
    <definedName name="fer" localSheetId="2">Feriados!$D$5:$F$19</definedName>
    <definedName name="fer">Feriados!$D$5:$F$19</definedName>
    <definedName name="fim" localSheetId="1">'controle ponto (2)'!$D$129</definedName>
    <definedName name="fim">'controle ponto'!$D$129</definedName>
    <definedName name="FIMNOT" localSheetId="1">'controle ponto (2)'!$L$4</definedName>
    <definedName name="FIMNOT">'controle ponto'!$L$4</definedName>
    <definedName name="ini" localSheetId="1">'controle ponto (2)'!$D$2:$L$4</definedName>
    <definedName name="ini">'controle ponto'!$D$2:$L$4</definedName>
    <definedName name="inicio" localSheetId="1">'controle ponto (2)'!$D$128</definedName>
    <definedName name="inicio">'controle ponto'!$D$128</definedName>
    <definedName name="ININOT" localSheetId="1">'controle ponto (2)'!$K$4</definedName>
    <definedName name="ININOT">'controle ponto'!$K$4</definedName>
    <definedName name="mês_p" localSheetId="1">'controle ponto (2)'!$F$5</definedName>
    <definedName name="mês_p">'controle ponto'!$F$5</definedName>
    <definedName name="páscoa" localSheetId="2">Feriados!$C$2</definedName>
    <definedName name="quadro_horarios" localSheetId="1">'controle ponto (2)'!$D$8:$D$38</definedName>
    <definedName name="quadro_horarios">'controle ponto'!$D$8:$D$38</definedName>
    <definedName name="tabela_feriados">Feriados!$A$1:$L$19</definedName>
    <definedName name="tabela_he" localSheetId="1">'controle ponto (2)'!$B$7:$L$41</definedName>
    <definedName name="tabela_he">'controle ponto'!$B$7:$L$41</definedName>
  </definedNames>
  <calcPr calcId="162913"/>
</workbook>
</file>

<file path=xl/calcChain.xml><?xml version="1.0" encoding="utf-8"?>
<calcChain xmlns="http://schemas.openxmlformats.org/spreadsheetml/2006/main">
  <c r="M9" i="22" l="1"/>
  <c r="M10" i="22"/>
  <c r="M11" i="22"/>
  <c r="M12" i="22"/>
  <c r="M13" i="22"/>
  <c r="M14" i="22"/>
  <c r="M15" i="22"/>
  <c r="M16" i="22"/>
  <c r="M17" i="22"/>
  <c r="M18" i="22"/>
  <c r="M19" i="22"/>
  <c r="M20" i="22"/>
  <c r="M21" i="22"/>
  <c r="M22" i="22"/>
  <c r="M23" i="22"/>
  <c r="M24" i="22"/>
  <c r="M25" i="22"/>
  <c r="M26" i="22"/>
  <c r="M27" i="22"/>
  <c r="M28" i="22"/>
  <c r="M29" i="22"/>
  <c r="M30" i="22"/>
  <c r="M31" i="22"/>
  <c r="M32" i="22"/>
  <c r="M33" i="22"/>
  <c r="M34" i="22"/>
  <c r="M35" i="22"/>
  <c r="M36" i="22"/>
  <c r="M37" i="22"/>
  <c r="M38" i="22"/>
  <c r="M8" i="22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8" i="20"/>
  <c r="O38" i="22" l="1"/>
  <c r="N38" i="22"/>
  <c r="N9" i="22"/>
  <c r="N33" i="22"/>
  <c r="N34" i="22"/>
  <c r="N25" i="22"/>
  <c r="N19" i="22"/>
  <c r="N17" i="22"/>
  <c r="N11" i="22"/>
  <c r="N12" i="22"/>
  <c r="N24" i="22"/>
  <c r="N14" i="22"/>
  <c r="N32" i="22"/>
  <c r="N8" i="22"/>
  <c r="N23" i="22"/>
  <c r="M39" i="22"/>
  <c r="N18" i="22"/>
  <c r="N26" i="22"/>
  <c r="N13" i="22"/>
  <c r="N16" i="22"/>
  <c r="N27" i="22"/>
  <c r="N29" i="22"/>
  <c r="N10" i="22"/>
  <c r="N21" i="22"/>
  <c r="N15" i="22"/>
  <c r="N31" i="22"/>
  <c r="N28" i="22"/>
  <c r="N37" i="22"/>
  <c r="N20" i="22"/>
  <c r="N22" i="22"/>
  <c r="N35" i="22"/>
  <c r="N36" i="22"/>
  <c r="N30" i="22"/>
  <c r="M40" i="22" l="1"/>
  <c r="N39" i="22"/>
  <c r="N40" i="22" s="1"/>
  <c r="M39" i="20"/>
  <c r="M40" i="20" s="1"/>
  <c r="E38" i="22"/>
  <c r="D129" i="22"/>
  <c r="D128" i="22"/>
  <c r="B8" i="22" s="1"/>
  <c r="B41" i="22"/>
  <c r="K42" i="22" s="1"/>
  <c r="E23" i="22"/>
  <c r="E22" i="22"/>
  <c r="E14" i="22"/>
  <c r="E36" i="22"/>
  <c r="E21" i="22"/>
  <c r="E27" i="22"/>
  <c r="E28" i="22"/>
  <c r="E12" i="22"/>
  <c r="E25" i="22"/>
  <c r="E24" i="22"/>
  <c r="E31" i="22"/>
  <c r="E30" i="22"/>
  <c r="D41" i="22"/>
  <c r="E19" i="22"/>
  <c r="E33" i="22"/>
  <c r="E13" i="22"/>
  <c r="E9" i="22"/>
  <c r="E11" i="22"/>
  <c r="E37" i="22"/>
  <c r="E20" i="22"/>
  <c r="E18" i="22"/>
  <c r="E32" i="22"/>
  <c r="E16" i="22"/>
  <c r="E29" i="22"/>
  <c r="E15" i="22"/>
  <c r="E17" i="22"/>
  <c r="E34" i="22"/>
  <c r="E35" i="22"/>
  <c r="E10" i="22"/>
  <c r="E26" i="22"/>
  <c r="B40" i="22" l="1"/>
  <c r="B9" i="22"/>
  <c r="J42" i="22"/>
  <c r="E41" i="22"/>
  <c r="H42" i="22"/>
  <c r="L42" i="22"/>
  <c r="F41" i="22"/>
  <c r="G42" i="22"/>
  <c r="E8" i="22"/>
  <c r="F8" i="22"/>
  <c r="G8" i="22" l="1"/>
  <c r="B10" i="22"/>
  <c r="I8" i="22"/>
  <c r="F9" i="22"/>
  <c r="O8" i="22" l="1"/>
  <c r="G9" i="22"/>
  <c r="B11" i="22"/>
  <c r="H8" i="22"/>
  <c r="I9" i="22"/>
  <c r="F10" i="22"/>
  <c r="O9" i="22" l="1"/>
  <c r="G10" i="22"/>
  <c r="B12" i="22"/>
  <c r="H9" i="22"/>
  <c r="F11" i="22"/>
  <c r="I10" i="22"/>
  <c r="O10" i="22" l="1"/>
  <c r="G11" i="22"/>
  <c r="H11" i="22" s="1"/>
  <c r="B13" i="22"/>
  <c r="H10" i="22"/>
  <c r="F12" i="22"/>
  <c r="I11" i="22"/>
  <c r="O11" i="22" l="1"/>
  <c r="G12" i="22"/>
  <c r="B14" i="22"/>
  <c r="F13" i="22"/>
  <c r="I12" i="22"/>
  <c r="O12" i="22" l="1"/>
  <c r="G13" i="22"/>
  <c r="H13" i="22" s="1"/>
  <c r="B15" i="22"/>
  <c r="H12" i="22"/>
  <c r="F14" i="22"/>
  <c r="I13" i="22"/>
  <c r="O13" i="22" l="1"/>
  <c r="G14" i="22"/>
  <c r="H14" i="22" s="1"/>
  <c r="B16" i="22"/>
  <c r="F15" i="22"/>
  <c r="I14" i="22"/>
  <c r="O14" i="22" l="1"/>
  <c r="G15" i="22"/>
  <c r="H15" i="22" s="1"/>
  <c r="B17" i="22"/>
  <c r="I15" i="22"/>
  <c r="F16" i="22"/>
  <c r="O15" i="22" l="1"/>
  <c r="G16" i="22"/>
  <c r="B18" i="22"/>
  <c r="F17" i="22"/>
  <c r="I16" i="22"/>
  <c r="O16" i="22" l="1"/>
  <c r="G17" i="22"/>
  <c r="B19" i="22"/>
  <c r="H16" i="22"/>
  <c r="I17" i="22"/>
  <c r="F18" i="22"/>
  <c r="O17" i="22" l="1"/>
  <c r="G18" i="22"/>
  <c r="B20" i="22"/>
  <c r="H17" i="22"/>
  <c r="I18" i="22"/>
  <c r="F19" i="22"/>
  <c r="O18" i="22" l="1"/>
  <c r="G19" i="22"/>
  <c r="H19" i="22" s="1"/>
  <c r="B21" i="22"/>
  <c r="H18" i="22"/>
  <c r="I19" i="22"/>
  <c r="F20" i="22"/>
  <c r="O19" i="22" l="1"/>
  <c r="G20" i="22"/>
  <c r="B22" i="22"/>
  <c r="F21" i="22"/>
  <c r="I20" i="22"/>
  <c r="O20" i="22" l="1"/>
  <c r="G21" i="22"/>
  <c r="B23" i="22"/>
  <c r="H20" i="22"/>
  <c r="F22" i="22"/>
  <c r="I21" i="22"/>
  <c r="O21" i="22" l="1"/>
  <c r="G22" i="22"/>
  <c r="B24" i="22"/>
  <c r="H21" i="22"/>
  <c r="I22" i="22"/>
  <c r="F23" i="22"/>
  <c r="O22" i="22" l="1"/>
  <c r="G23" i="22"/>
  <c r="H23" i="22" s="1"/>
  <c r="B25" i="22"/>
  <c r="H22" i="22"/>
  <c r="I23" i="22"/>
  <c r="F24" i="22"/>
  <c r="O23" i="22" l="1"/>
  <c r="G24" i="22"/>
  <c r="B26" i="22"/>
  <c r="I24" i="22"/>
  <c r="F25" i="22"/>
  <c r="O24" i="22" l="1"/>
  <c r="G25" i="22"/>
  <c r="H25" i="22" s="1"/>
  <c r="B27" i="22"/>
  <c r="H24" i="22"/>
  <c r="F26" i="22"/>
  <c r="I25" i="22"/>
  <c r="O25" i="22" l="1"/>
  <c r="G26" i="22"/>
  <c r="B28" i="22"/>
  <c r="I26" i="22"/>
  <c r="F27" i="22"/>
  <c r="O26" i="22" l="1"/>
  <c r="G27" i="22"/>
  <c r="B29" i="22"/>
  <c r="H26" i="22"/>
  <c r="F28" i="22"/>
  <c r="I27" i="22"/>
  <c r="O27" i="22" l="1"/>
  <c r="G28" i="22"/>
  <c r="H28" i="22" s="1"/>
  <c r="B30" i="22"/>
  <c r="H27" i="22"/>
  <c r="F29" i="22"/>
  <c r="I28" i="22"/>
  <c r="O28" i="22" l="1"/>
  <c r="G29" i="22"/>
  <c r="B31" i="22"/>
  <c r="F30" i="22"/>
  <c r="I29" i="22"/>
  <c r="O29" i="22" l="1"/>
  <c r="G30" i="22"/>
  <c r="B32" i="22"/>
  <c r="H29" i="22"/>
  <c r="F31" i="22"/>
  <c r="I30" i="22"/>
  <c r="O30" i="22" l="1"/>
  <c r="G31" i="22"/>
  <c r="B33" i="22"/>
  <c r="H30" i="22"/>
  <c r="I31" i="22"/>
  <c r="F32" i="22"/>
  <c r="O31" i="22" l="1"/>
  <c r="G32" i="22"/>
  <c r="B34" i="22"/>
  <c r="H31" i="22"/>
  <c r="I32" i="22"/>
  <c r="F33" i="22"/>
  <c r="O32" i="22" l="1"/>
  <c r="G33" i="22"/>
  <c r="B35" i="22"/>
  <c r="H32" i="22"/>
  <c r="I33" i="22"/>
  <c r="F34" i="22"/>
  <c r="O33" i="22" l="1"/>
  <c r="G34" i="22"/>
  <c r="B36" i="22"/>
  <c r="H33" i="22"/>
  <c r="F35" i="22"/>
  <c r="I34" i="22"/>
  <c r="O34" i="22" l="1"/>
  <c r="G35" i="22"/>
  <c r="B37" i="22"/>
  <c r="H34" i="22"/>
  <c r="F36" i="22"/>
  <c r="I35" i="22"/>
  <c r="O35" i="22" l="1"/>
  <c r="G36" i="22"/>
  <c r="B38" i="22"/>
  <c r="H35" i="22"/>
  <c r="F37" i="22"/>
  <c r="I36" i="22"/>
  <c r="O36" i="22" l="1"/>
  <c r="G37" i="22"/>
  <c r="C40" i="22"/>
  <c r="H36" i="22"/>
  <c r="F38" i="22"/>
  <c r="I37" i="22"/>
  <c r="O37" i="22" l="1"/>
  <c r="G38" i="22"/>
  <c r="H37" i="22"/>
  <c r="I38" i="22"/>
  <c r="I39" i="22" l="1"/>
  <c r="I40" i="22" s="1"/>
  <c r="H38" i="22"/>
  <c r="H39" i="22" s="1"/>
  <c r="H40" i="22" s="1"/>
  <c r="B41" i="20" l="1"/>
  <c r="D41" i="20"/>
  <c r="G42" i="20" l="1"/>
  <c r="J42" i="20"/>
  <c r="F19" i="21" l="1"/>
  <c r="E19" i="21"/>
  <c r="D19" i="21"/>
  <c r="F18" i="21"/>
  <c r="E18" i="21"/>
  <c r="D18" i="21"/>
  <c r="X5" i="21"/>
  <c r="E3" i="21"/>
  <c r="E2" i="21"/>
  <c r="B2" i="21"/>
  <c r="D17" i="21" s="1"/>
  <c r="D129" i="20"/>
  <c r="D128" i="20"/>
  <c r="B8" i="20" s="1"/>
  <c r="N8" i="20"/>
  <c r="E8" i="20"/>
  <c r="F8" i="20"/>
  <c r="G8" i="20" l="1"/>
  <c r="D5" i="21"/>
  <c r="G6" i="21"/>
  <c r="F10" i="21"/>
  <c r="C2" i="21"/>
  <c r="E5" i="21"/>
  <c r="D6" i="21"/>
  <c r="D7" i="21"/>
  <c r="E8" i="21"/>
  <c r="F9" i="21"/>
  <c r="D11" i="21"/>
  <c r="E12" i="21"/>
  <c r="E16" i="21"/>
  <c r="F17" i="21"/>
  <c r="D8" i="21"/>
  <c r="D12" i="21"/>
  <c r="D16" i="21"/>
  <c r="E17" i="21"/>
  <c r="F5" i="21"/>
  <c r="E6" i="21"/>
  <c r="E7" i="21"/>
  <c r="F8" i="21"/>
  <c r="D10" i="21"/>
  <c r="E11" i="21"/>
  <c r="F12" i="21"/>
  <c r="F16" i="21"/>
  <c r="E9" i="21"/>
  <c r="G5" i="21"/>
  <c r="F6" i="21"/>
  <c r="F7" i="21"/>
  <c r="D9" i="21"/>
  <c r="E10" i="21"/>
  <c r="F11" i="21"/>
  <c r="I8" i="20"/>
  <c r="O8" i="20" l="1"/>
  <c r="H8" i="20"/>
  <c r="E14" i="21"/>
  <c r="E13" i="21"/>
  <c r="E15" i="21"/>
  <c r="D13" i="21"/>
  <c r="D14" i="21"/>
  <c r="C38" i="22" s="1"/>
  <c r="D15" i="21"/>
  <c r="F15" i="21"/>
  <c r="F13" i="21"/>
  <c r="F14" i="21"/>
  <c r="B40" i="20"/>
  <c r="B9" i="20"/>
  <c r="F9" i="20"/>
  <c r="E9" i="20"/>
  <c r="N9" i="20"/>
  <c r="C8" i="22" l="1"/>
  <c r="C33" i="22"/>
  <c r="C27" i="22"/>
  <c r="C21" i="22"/>
  <c r="J15" i="22"/>
  <c r="C9" i="22"/>
  <c r="J37" i="22"/>
  <c r="C35" i="22"/>
  <c r="J33" i="22"/>
  <c r="C31" i="22"/>
  <c r="J29" i="22"/>
  <c r="J27" i="22"/>
  <c r="J25" i="22"/>
  <c r="C23" i="22"/>
  <c r="J21" i="22"/>
  <c r="J19" i="22"/>
  <c r="J17" i="22"/>
  <c r="C15" i="22"/>
  <c r="C13" i="22"/>
  <c r="C11" i="22"/>
  <c r="J9" i="22"/>
  <c r="C37" i="22"/>
  <c r="C29" i="22"/>
  <c r="J23" i="22"/>
  <c r="C17" i="22"/>
  <c r="J11" i="22"/>
  <c r="G9" i="20"/>
  <c r="C36" i="22"/>
  <c r="J34" i="22"/>
  <c r="J32" i="22"/>
  <c r="C30" i="22"/>
  <c r="C28" i="22"/>
  <c r="J26" i="22"/>
  <c r="C24" i="22"/>
  <c r="C22" i="22"/>
  <c r="C20" i="22"/>
  <c r="C18" i="22"/>
  <c r="C16" i="22"/>
  <c r="J14" i="22"/>
  <c r="J12" i="22"/>
  <c r="C10" i="22"/>
  <c r="J8" i="22"/>
  <c r="J35" i="22"/>
  <c r="J31" i="22"/>
  <c r="C25" i="22"/>
  <c r="C19" i="22"/>
  <c r="J13" i="22"/>
  <c r="J38" i="22"/>
  <c r="J36" i="22"/>
  <c r="C34" i="22"/>
  <c r="C32" i="22"/>
  <c r="J30" i="22"/>
  <c r="J28" i="22"/>
  <c r="C26" i="22"/>
  <c r="J24" i="22"/>
  <c r="J22" i="22"/>
  <c r="J20" i="22"/>
  <c r="J18" i="22"/>
  <c r="J16" i="22"/>
  <c r="C14" i="22"/>
  <c r="C12" i="22"/>
  <c r="J10" i="22"/>
  <c r="J8" i="20"/>
  <c r="B10" i="20"/>
  <c r="N10" i="20"/>
  <c r="E10" i="20"/>
  <c r="I9" i="20"/>
  <c r="F10" i="20"/>
  <c r="O9" i="20" l="1"/>
  <c r="K20" i="22"/>
  <c r="L20" i="22"/>
  <c r="K9" i="22"/>
  <c r="L9" i="22"/>
  <c r="K15" i="22"/>
  <c r="L15" i="22"/>
  <c r="G10" i="20"/>
  <c r="K22" i="22"/>
  <c r="L22" i="22"/>
  <c r="K30" i="22"/>
  <c r="L30" i="22"/>
  <c r="K38" i="22"/>
  <c r="L38" i="22"/>
  <c r="L31" i="22"/>
  <c r="K31" i="22"/>
  <c r="K12" i="22"/>
  <c r="L12" i="22"/>
  <c r="L23" i="22"/>
  <c r="K23" i="22"/>
  <c r="L19" i="22"/>
  <c r="K19" i="22"/>
  <c r="L27" i="22"/>
  <c r="K27" i="22"/>
  <c r="K36" i="22"/>
  <c r="L36" i="22"/>
  <c r="K26" i="22"/>
  <c r="L26" i="22"/>
  <c r="K17" i="22"/>
  <c r="L17" i="22"/>
  <c r="K25" i="22"/>
  <c r="L25" i="22"/>
  <c r="L16" i="22"/>
  <c r="K16" i="22"/>
  <c r="L24" i="22"/>
  <c r="K24" i="22"/>
  <c r="L13" i="22"/>
  <c r="K13" i="22"/>
  <c r="K35" i="22"/>
  <c r="L35" i="22"/>
  <c r="K14" i="22"/>
  <c r="L14" i="22"/>
  <c r="H9" i="20"/>
  <c r="L21" i="22"/>
  <c r="K21" i="22"/>
  <c r="L29" i="22"/>
  <c r="K29" i="22"/>
  <c r="L37" i="22"/>
  <c r="K37" i="22"/>
  <c r="K28" i="22"/>
  <c r="L28" i="22"/>
  <c r="L34" i="22"/>
  <c r="K34" i="22"/>
  <c r="K33" i="22"/>
  <c r="L33" i="22"/>
  <c r="K10" i="22"/>
  <c r="L10" i="22"/>
  <c r="L18" i="22"/>
  <c r="K18" i="22"/>
  <c r="K8" i="22"/>
  <c r="L8" i="22"/>
  <c r="L32" i="22"/>
  <c r="K32" i="22"/>
  <c r="L11" i="22"/>
  <c r="K11" i="22"/>
  <c r="J9" i="20"/>
  <c r="L8" i="20"/>
  <c r="K8" i="20"/>
  <c r="B11" i="20"/>
  <c r="N11" i="20"/>
  <c r="F11" i="20"/>
  <c r="I10" i="20"/>
  <c r="E11" i="20"/>
  <c r="O10" i="20" l="1"/>
  <c r="L39" i="22"/>
  <c r="L40" i="22" s="1"/>
  <c r="G11" i="20"/>
  <c r="H10" i="20"/>
  <c r="K39" i="22"/>
  <c r="K40" i="22" s="1"/>
  <c r="J10" i="20"/>
  <c r="L10" i="20" s="1"/>
  <c r="K9" i="20"/>
  <c r="L9" i="20"/>
  <c r="B12" i="20"/>
  <c r="E12" i="20"/>
  <c r="F12" i="20"/>
  <c r="I11" i="20"/>
  <c r="N12" i="20"/>
  <c r="O11" i="20" l="1"/>
  <c r="G12" i="20"/>
  <c r="H11" i="20"/>
  <c r="K10" i="20"/>
  <c r="B13" i="20"/>
  <c r="E13" i="20"/>
  <c r="I12" i="20"/>
  <c r="F13" i="20"/>
  <c r="N13" i="20"/>
  <c r="O12" i="20" l="1"/>
  <c r="G13" i="20"/>
  <c r="H12" i="20"/>
  <c r="J12" i="20"/>
  <c r="J11" i="20"/>
  <c r="B14" i="20"/>
  <c r="E14" i="20"/>
  <c r="I13" i="20"/>
  <c r="F14" i="20"/>
  <c r="N14" i="20"/>
  <c r="O13" i="20" l="1"/>
  <c r="G14" i="20"/>
  <c r="H13" i="20"/>
  <c r="J13" i="20"/>
  <c r="L13" i="20" s="1"/>
  <c r="K11" i="20"/>
  <c r="L11" i="20"/>
  <c r="K12" i="20"/>
  <c r="L12" i="20"/>
  <c r="B15" i="20"/>
  <c r="E15" i="20"/>
  <c r="I14" i="20"/>
  <c r="F15" i="20"/>
  <c r="N15" i="20"/>
  <c r="O14" i="20" l="1"/>
  <c r="G15" i="20"/>
  <c r="H14" i="20"/>
  <c r="K13" i="20"/>
  <c r="J14" i="20"/>
  <c r="B16" i="20"/>
  <c r="N16" i="20"/>
  <c r="I15" i="20"/>
  <c r="F16" i="20"/>
  <c r="E16" i="20"/>
  <c r="O15" i="20" l="1"/>
  <c r="G16" i="20"/>
  <c r="H15" i="20"/>
  <c r="K14" i="20"/>
  <c r="L14" i="20"/>
  <c r="J15" i="20"/>
  <c r="K15" i="20" s="1"/>
  <c r="B17" i="20"/>
  <c r="F17" i="20"/>
  <c r="N17" i="20"/>
  <c r="E17" i="20"/>
  <c r="I16" i="20"/>
  <c r="O16" i="20" l="1"/>
  <c r="G17" i="20"/>
  <c r="H16" i="20"/>
  <c r="J16" i="20"/>
  <c r="L15" i="20"/>
  <c r="B18" i="20"/>
  <c r="F18" i="20"/>
  <c r="I17" i="20"/>
  <c r="N18" i="20"/>
  <c r="E18" i="20"/>
  <c r="O17" i="20" l="1"/>
  <c r="G18" i="20"/>
  <c r="H17" i="20"/>
  <c r="J17" i="20"/>
  <c r="L17" i="20" s="1"/>
  <c r="K16" i="20"/>
  <c r="L16" i="20"/>
  <c r="B19" i="20"/>
  <c r="F19" i="20"/>
  <c r="E19" i="20"/>
  <c r="N19" i="20"/>
  <c r="I18" i="20"/>
  <c r="O18" i="20" l="1"/>
  <c r="G19" i="20"/>
  <c r="H18" i="20"/>
  <c r="K17" i="20"/>
  <c r="J18" i="20"/>
  <c r="B20" i="20"/>
  <c r="E20" i="20"/>
  <c r="I19" i="20"/>
  <c r="N20" i="20"/>
  <c r="F20" i="20"/>
  <c r="O19" i="20" l="1"/>
  <c r="G20" i="20"/>
  <c r="H19" i="20"/>
  <c r="J19" i="20"/>
  <c r="L19" i="20" s="1"/>
  <c r="K18" i="20"/>
  <c r="L18" i="20"/>
  <c r="B21" i="20"/>
  <c r="I20" i="20"/>
  <c r="N21" i="20"/>
  <c r="E21" i="20"/>
  <c r="F21" i="20"/>
  <c r="O20" i="20" l="1"/>
  <c r="G21" i="20"/>
  <c r="H20" i="20"/>
  <c r="K19" i="20"/>
  <c r="B22" i="20"/>
  <c r="I21" i="20"/>
  <c r="F22" i="20"/>
  <c r="N22" i="20"/>
  <c r="E22" i="20"/>
  <c r="O21" i="20" l="1"/>
  <c r="G22" i="20"/>
  <c r="H21" i="20"/>
  <c r="J21" i="20"/>
  <c r="K21" i="20" s="1"/>
  <c r="J20" i="20"/>
  <c r="B23" i="20"/>
  <c r="I22" i="20"/>
  <c r="E23" i="20"/>
  <c r="F23" i="20"/>
  <c r="N23" i="20"/>
  <c r="O22" i="20" l="1"/>
  <c r="G23" i="20"/>
  <c r="H22" i="20"/>
  <c r="L21" i="20"/>
  <c r="J22" i="20"/>
  <c r="K22" i="20" s="1"/>
  <c r="L20" i="20"/>
  <c r="K20" i="20"/>
  <c r="B24" i="20"/>
  <c r="F24" i="20"/>
  <c r="I23" i="20"/>
  <c r="N24" i="20"/>
  <c r="E24" i="20"/>
  <c r="O23" i="20" l="1"/>
  <c r="G24" i="20"/>
  <c r="H23" i="20"/>
  <c r="L22" i="20"/>
  <c r="J23" i="20"/>
  <c r="B25" i="20"/>
  <c r="N25" i="20"/>
  <c r="E25" i="20"/>
  <c r="F25" i="20"/>
  <c r="I24" i="20"/>
  <c r="O24" i="20" l="1"/>
  <c r="G25" i="20"/>
  <c r="H24" i="20"/>
  <c r="J24" i="20"/>
  <c r="K23" i="20"/>
  <c r="L23" i="20"/>
  <c r="B26" i="20"/>
  <c r="N26" i="20"/>
  <c r="F26" i="20"/>
  <c r="E26" i="20"/>
  <c r="I25" i="20"/>
  <c r="O25" i="20" l="1"/>
  <c r="G26" i="20"/>
  <c r="H25" i="20"/>
  <c r="J25" i="20"/>
  <c r="L24" i="20"/>
  <c r="K24" i="20"/>
  <c r="B27" i="20"/>
  <c r="N27" i="20"/>
  <c r="F27" i="20"/>
  <c r="I26" i="20"/>
  <c r="E27" i="20"/>
  <c r="O26" i="20" l="1"/>
  <c r="G27" i="20"/>
  <c r="H26" i="20"/>
  <c r="J26" i="20"/>
  <c r="K25" i="20"/>
  <c r="L25" i="20"/>
  <c r="B28" i="20"/>
  <c r="I27" i="20"/>
  <c r="N28" i="20"/>
  <c r="E28" i="20"/>
  <c r="F28" i="20"/>
  <c r="O27" i="20" l="1"/>
  <c r="G28" i="20"/>
  <c r="H27" i="20"/>
  <c r="J27" i="20"/>
  <c r="K26" i="20"/>
  <c r="L26" i="20"/>
  <c r="B29" i="20"/>
  <c r="F29" i="20"/>
  <c r="N29" i="20"/>
  <c r="E29" i="20"/>
  <c r="I28" i="20"/>
  <c r="O28" i="20" l="1"/>
  <c r="G29" i="20"/>
  <c r="H28" i="20"/>
  <c r="J28" i="20"/>
  <c r="K27" i="20"/>
  <c r="L27" i="20"/>
  <c r="B30" i="20"/>
  <c r="I29" i="20"/>
  <c r="F30" i="20"/>
  <c r="E30" i="20"/>
  <c r="N30" i="20"/>
  <c r="O29" i="20" l="1"/>
  <c r="G30" i="20"/>
  <c r="H29" i="20"/>
  <c r="J29" i="20"/>
  <c r="K29" i="20" s="1"/>
  <c r="K28" i="20"/>
  <c r="L28" i="20"/>
  <c r="B31" i="20"/>
  <c r="I30" i="20"/>
  <c r="N31" i="20"/>
  <c r="F31" i="20"/>
  <c r="E31" i="20"/>
  <c r="O30" i="20" l="1"/>
  <c r="G31" i="20"/>
  <c r="H30" i="20"/>
  <c r="L29" i="20"/>
  <c r="J30" i="20"/>
  <c r="B32" i="20"/>
  <c r="N32" i="20"/>
  <c r="E32" i="20"/>
  <c r="I31" i="20"/>
  <c r="F32" i="20"/>
  <c r="O31" i="20" l="1"/>
  <c r="J31" i="20"/>
  <c r="K31" i="20" s="1"/>
  <c r="G32" i="20"/>
  <c r="H31" i="20"/>
  <c r="L30" i="20"/>
  <c r="K30" i="20"/>
  <c r="B33" i="20"/>
  <c r="F33" i="20"/>
  <c r="N33" i="20"/>
  <c r="E33" i="20"/>
  <c r="I32" i="20"/>
  <c r="O32" i="20" l="1"/>
  <c r="L31" i="20"/>
  <c r="G33" i="20"/>
  <c r="H32" i="20"/>
  <c r="J32" i="20"/>
  <c r="B34" i="20"/>
  <c r="I33" i="20"/>
  <c r="E34" i="20"/>
  <c r="F34" i="20"/>
  <c r="N34" i="20"/>
  <c r="O33" i="20" l="1"/>
  <c r="H33" i="20"/>
  <c r="G34" i="20"/>
  <c r="J33" i="20"/>
  <c r="K33" i="20" s="1"/>
  <c r="K32" i="20"/>
  <c r="L32" i="20"/>
  <c r="B35" i="20"/>
  <c r="I34" i="20"/>
  <c r="N35" i="20"/>
  <c r="F35" i="20"/>
  <c r="E35" i="20"/>
  <c r="O34" i="20" l="1"/>
  <c r="G35" i="20"/>
  <c r="H34" i="20"/>
  <c r="L33" i="20"/>
  <c r="J34" i="20"/>
  <c r="K34" i="20" s="1"/>
  <c r="B36" i="20"/>
  <c r="E36" i="20"/>
  <c r="I35" i="20"/>
  <c r="F36" i="20"/>
  <c r="N36" i="20"/>
  <c r="O35" i="20" l="1"/>
  <c r="G36" i="20"/>
  <c r="H35" i="20"/>
  <c r="L34" i="20"/>
  <c r="J35" i="20"/>
  <c r="B37" i="20"/>
  <c r="C8" i="20"/>
  <c r="C30" i="20"/>
  <c r="C27" i="20"/>
  <c r="C26" i="20"/>
  <c r="C25" i="20"/>
  <c r="C21" i="20"/>
  <c r="C20" i="20"/>
  <c r="C17" i="20"/>
  <c r="C13" i="20"/>
  <c r="C11" i="20"/>
  <c r="C9" i="20"/>
  <c r="C37" i="20"/>
  <c r="C36" i="20"/>
  <c r="C35" i="20"/>
  <c r="C34" i="20"/>
  <c r="C33" i="20"/>
  <c r="C32" i="20"/>
  <c r="C31" i="20"/>
  <c r="C29" i="20"/>
  <c r="C28" i="20"/>
  <c r="C24" i="20"/>
  <c r="C23" i="20"/>
  <c r="C22" i="20"/>
  <c r="C19" i="20"/>
  <c r="C18" i="20"/>
  <c r="C16" i="20"/>
  <c r="C15" i="20"/>
  <c r="C14" i="20"/>
  <c r="C12" i="20"/>
  <c r="C10" i="20"/>
  <c r="I36" i="20"/>
  <c r="N37" i="20"/>
  <c r="E37" i="20"/>
  <c r="F37" i="20"/>
  <c r="O36" i="20" l="1"/>
  <c r="G37" i="20"/>
  <c r="H36" i="20"/>
  <c r="J36" i="20"/>
  <c r="K36" i="20" s="1"/>
  <c r="K35" i="20"/>
  <c r="L35" i="20"/>
  <c r="B38" i="20"/>
  <c r="N38" i="20"/>
  <c r="E38" i="20"/>
  <c r="I37" i="20"/>
  <c r="F38" i="20"/>
  <c r="N39" i="20" l="1"/>
  <c r="N40" i="20" s="1"/>
  <c r="O37" i="20"/>
  <c r="G38" i="20"/>
  <c r="H37" i="20"/>
  <c r="J37" i="20"/>
  <c r="L36" i="20"/>
  <c r="C40" i="20"/>
  <c r="C38" i="20"/>
  <c r="I38" i="20"/>
  <c r="O38" i="20" l="1"/>
  <c r="H38" i="20"/>
  <c r="J38" i="20"/>
  <c r="K37" i="20"/>
  <c r="L37" i="20"/>
  <c r="L38" i="20" l="1"/>
  <c r="K38" i="20"/>
  <c r="I39" i="20" l="1"/>
  <c r="I40" i="20" s="1"/>
  <c r="H39" i="20"/>
  <c r="H40" i="20" s="1"/>
  <c r="L39" i="20" l="1"/>
  <c r="L40" i="20" s="1"/>
  <c r="K39" i="20"/>
  <c r="K40" i="20" s="1"/>
  <c r="E41" i="20" l="1"/>
  <c r="K42" i="20" s="1"/>
  <c r="L42" i="20" l="1"/>
  <c r="H42" i="20"/>
  <c r="F41" i="20"/>
  <c r="O39" i="22" l="1"/>
  <c r="O40" i="22" s="1"/>
  <c r="O39" i="20" l="1"/>
  <c r="O40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Gilberto</author>
  </authors>
  <commentList>
    <comment ref="I3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Aqui pode ser inserida outra jornada, por exemplo 7:20</t>
        </r>
      </text>
    </comment>
    <comment ref="F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Altere o ano aqui.</t>
        </r>
      </text>
    </comment>
    <comment ref="I4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Aqui pode ser inserida outra jornada para os sábados, como, por exemplo, 7:20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Aqui pode ser alterado o mês.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Gilberto</author>
  </authors>
  <commentList>
    <comment ref="I3" authorId="0" shapeId="0" xr:uid="{54511D4E-A468-4996-A7B2-80377BE60543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Aqui pode ser inserida outra jornada, por exemplo 7:20</t>
        </r>
      </text>
    </comment>
    <comment ref="F4" authorId="0" shapeId="0" xr:uid="{5000E8CB-3500-4FE3-8CA1-7259E2EAF5E4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Altere o ano aqui.</t>
        </r>
      </text>
    </comment>
    <comment ref="I4" authorId="0" shapeId="0" xr:uid="{4B27D817-DBE8-44DC-B459-B0F793932B4B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Aqui pode ser inserida outra jornada para os sábados, como, por exemplo, 7:20</t>
        </r>
      </text>
    </comment>
    <comment ref="K4" authorId="0" shapeId="0" xr:uid="{68008139-9354-49D4-9812-F35621A016C0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Início do período noturno. Pode ser modificado no caso de trabalhador rural.</t>
        </r>
      </text>
    </comment>
    <comment ref="L4" authorId="0" shapeId="0" xr:uid="{12F8942F-9D2C-4916-ACFE-4027EA3CCD26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Término do período noturno. Pode ser ampliado caso necessário (Súmula 60, TST)</t>
        </r>
      </text>
    </comment>
    <comment ref="F5" authorId="0" shapeId="0" xr:uid="{A941A234-F8EE-4C2B-A26C-9F7F0E77A11A}">
      <text>
        <r>
          <rPr>
            <b/>
            <sz val="9"/>
            <color indexed="81"/>
            <rFont val="Segoe UI"/>
            <family val="2"/>
          </rPr>
          <t>Gilberto:</t>
        </r>
        <r>
          <rPr>
            <sz val="9"/>
            <color indexed="81"/>
            <rFont val="Segoe UI"/>
            <family val="2"/>
          </rPr>
          <t xml:space="preserve">
Aqui pode ser alterado o mês.</t>
        </r>
      </text>
    </comment>
  </commentList>
</comments>
</file>

<file path=xl/sharedStrings.xml><?xml version="1.0" encoding="utf-8"?>
<sst xmlns="http://schemas.openxmlformats.org/spreadsheetml/2006/main" count="164" uniqueCount="87">
  <si>
    <t xml:space="preserve">Data </t>
  </si>
  <si>
    <t>Dia Semana</t>
  </si>
  <si>
    <t>Entrada</t>
  </si>
  <si>
    <t>H. Trab.</t>
  </si>
  <si>
    <t>H. Normais</t>
  </si>
  <si>
    <t>H. Extras</t>
  </si>
  <si>
    <t>Ano</t>
  </si>
  <si>
    <t>Sábados:</t>
  </si>
  <si>
    <t>Ano Novo</t>
  </si>
  <si>
    <t>Tiradentes</t>
  </si>
  <si>
    <t>Dia do Trabalho</t>
  </si>
  <si>
    <t>Independência</t>
  </si>
  <si>
    <t>Padroeira do Brasil</t>
  </si>
  <si>
    <t>Finados</t>
  </si>
  <si>
    <t>Proclamação da República</t>
  </si>
  <si>
    <t>Natal</t>
  </si>
  <si>
    <t>Terça-Feira de Carnaval</t>
  </si>
  <si>
    <t>Páscoa</t>
  </si>
  <si>
    <t>HE Dom e Fer</t>
  </si>
  <si>
    <t>Corpus Christi</t>
  </si>
  <si>
    <t>Feriados Nacionais</t>
  </si>
  <si>
    <t>x</t>
  </si>
  <si>
    <t>Sexta-Feira Santa</t>
  </si>
  <si>
    <t>Feriado 1</t>
  </si>
  <si>
    <t>Feriado 2</t>
  </si>
  <si>
    <t>Feriado 3</t>
  </si>
  <si>
    <t>Feriado 4</t>
  </si>
  <si>
    <t>Móveis</t>
  </si>
  <si>
    <t>Fixos</t>
  </si>
  <si>
    <t>DIA</t>
  </si>
  <si>
    <t>MÊS</t>
  </si>
  <si>
    <t>Feriados Nacionais, Municipais e Estadual</t>
  </si>
  <si>
    <t>Horas Diurnas</t>
  </si>
  <si>
    <t>Hora Ficta</t>
  </si>
  <si>
    <t>Horas Noturnas</t>
  </si>
  <si>
    <t>Horário Noturno</t>
  </si>
  <si>
    <t>Ano:</t>
  </si>
  <si>
    <t>Mês:</t>
  </si>
  <si>
    <t>Término</t>
  </si>
  <si>
    <t>Início</t>
  </si>
  <si>
    <t>Total:</t>
  </si>
  <si>
    <t>Decimal:</t>
  </si>
  <si>
    <t>Início:</t>
  </si>
  <si>
    <t>Fim:</t>
  </si>
  <si>
    <t>H. Not. s/ red.</t>
  </si>
  <si>
    <t>Fim</t>
  </si>
  <si>
    <t>Seg a Sex:</t>
  </si>
  <si>
    <t>Jornada Diária</t>
  </si>
  <si>
    <t>08h00-12h00 13h00-17h00</t>
  </si>
  <si>
    <t>08h00-12h00 13h00-17h00 18h00-22h00</t>
  </si>
  <si>
    <t>08h00-12h00 13h00-18h00 19h00-23h00</t>
  </si>
  <si>
    <t>08h00-12h00 13h00-18h00 19h00-01h00</t>
  </si>
  <si>
    <t>07h00-11h00 12h00-15h00 16h00-19h00 19h30-21h00 22h00-24h00</t>
  </si>
  <si>
    <t>07h00-11h00 12h00-15h00 16h00-18h00 18h30-21h00 22h00-24h00 01h00-02h00</t>
  </si>
  <si>
    <t>07h00-10h00 10h15-11h00 11h30-12h30 13h00-17h00 17h30-21h00 22h00-02h00</t>
  </si>
  <si>
    <t>18h00-21h00 22h00-05h00</t>
  </si>
  <si>
    <t>07h00-09h00 10h00-12h00 13h00-15h00 16h00-18h00 19h00-21h00 22h00-24h00</t>
  </si>
  <si>
    <t>08h00-12h00 13h00-18h00</t>
  </si>
  <si>
    <t>07h50-12h00 12h30-15h30</t>
  </si>
  <si>
    <t>04h00-08h00 09h00-12h00 13h00-15h00 16h00-18h00 19h00-21h00 22h00-24h00</t>
  </si>
  <si>
    <t>06h00-09h00 10h00-12h00 13h00-15h00 16h00-18h00 19h00-21h00 22h00-24h00</t>
  </si>
  <si>
    <t>05h00-09h00 10h00-12h00 13h00-18h00</t>
  </si>
  <si>
    <t>07h44-12h00 12h30-15h30</t>
  </si>
  <si>
    <t>18h45-21h00 22h00-05h00</t>
  </si>
  <si>
    <t>07h44-12h15</t>
  </si>
  <si>
    <t>18h00-21h00 22h00-05h01</t>
  </si>
  <si>
    <t>05h00-08h00 09h00-13h00 14h00-18h00 19h00-22h00 23h00-03h00</t>
  </si>
  <si>
    <t>TOTAL:</t>
  </si>
  <si>
    <t>Informe aqui a data de fechamento do ponto &gt;&gt;&gt;&gt;&gt;&gt;&gt;</t>
  </si>
  <si>
    <t>07h00-09h00 10h00-12h00 13h00-15h00 16h00-18h00</t>
  </si>
  <si>
    <t>07h00-11h00 12h00-15h00 16h00-19h00 19h30-21h30</t>
  </si>
  <si>
    <t>07h00-11h00 12h00-15h00 16h00-18h00 18h30-21h00</t>
  </si>
  <si>
    <t>07h00-11h00 12h00-15h00 16h00-19h00 19h30-23h00</t>
  </si>
  <si>
    <t>07h00-11h00 12h00-15h00 16h00-18h00 18h30-21h30</t>
  </si>
  <si>
    <t>07h00-11h00 12h00-15h00 16h00-18h00 19h00-01h00</t>
  </si>
  <si>
    <t>07h00-10h00 10h15-11h00 11h30-12h30 13h00-20h00</t>
  </si>
  <si>
    <t>04h00-08h00 09h00-12h00 13h00-15h40 16h00-20h00</t>
  </si>
  <si>
    <t>05h00-08h00 09h00-13h00 14h00-18h00 19h00-23h15</t>
  </si>
  <si>
    <t>07h00-11h00 12h00-15h00 16h00-19h00 19h30-22h30</t>
  </si>
  <si>
    <t>Informe aqui o dia de fechamento do ponto &gt;&gt;&gt;&gt;&gt;</t>
  </si>
  <si>
    <t>Intervalos / Pausas</t>
  </si>
  <si>
    <t>HE Art. 71</t>
  </si>
  <si>
    <t>08h00-14h30</t>
  </si>
  <si>
    <t>tempo total</t>
  </si>
  <si>
    <t>08h00-12h00 13h00-16h00 17h00-20h00 21h00-23h00</t>
  </si>
  <si>
    <t>08h00-15h00</t>
  </si>
  <si>
    <t>08h00-12h00 12h30-17h00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</si>
</sst>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d"/>
    <numFmt numFmtId="165" formatCode="[hh]:m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Calibri"/>
      <family val="2"/>
    </font>
    <font>
      <sz val="10"/>
      <name val="Arial"/>
      <family val="2"/>
    </font>
    <font>
      <b/>
      <sz val="10"/>
      <color indexed="62"/>
      <name val="Calibri"/>
      <family val="2"/>
    </font>
    <font>
      <sz val="10"/>
      <color indexed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/>
      <diagonal/>
    </border>
  </borders>
  <cellStyleXfs count="7">
    <xf numFmtId="0" fontId="0" fillId="0" borderId="0"/>
    <xf numFmtId="0" fontId="10" fillId="4" borderId="0" applyNumberFormat="0" applyBorder="0" applyAlignment="0" applyProtection="0"/>
    <xf numFmtId="0" fontId="10" fillId="7" borderId="0" applyNumberFormat="0" applyBorder="0" applyAlignment="0" applyProtection="0"/>
    <xf numFmtId="0" fontId="6" fillId="0" borderId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0" fillId="12" borderId="0" applyNumberFormat="0" applyBorder="0" applyAlignment="0" applyProtection="0"/>
  </cellStyleXfs>
  <cellXfs count="153">
    <xf numFmtId="0" fontId="0" fillId="0" borderId="0" xfId="0"/>
    <xf numFmtId="0" fontId="5" fillId="0" borderId="0" xfId="0" quotePrefix="1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0" borderId="0" xfId="0" quotePrefix="1" applyFont="1"/>
    <xf numFmtId="0" fontId="4" fillId="0" borderId="0" xfId="0" applyFont="1" applyAlignment="1">
      <alignment horizontal="right" indent="1"/>
    </xf>
    <xf numFmtId="0" fontId="0" fillId="0" borderId="0" xfId="0" applyFill="1" applyBorder="1" applyAlignment="1">
      <alignment horizontal="left" indent="1"/>
    </xf>
    <xf numFmtId="14" fontId="6" fillId="0" borderId="0" xfId="0" quotePrefix="1" applyNumberFormat="1" applyFont="1" applyFill="1" applyBorder="1" applyAlignment="1">
      <alignment horizontal="left" indent="1"/>
    </xf>
    <xf numFmtId="0" fontId="6" fillId="0" borderId="0" xfId="0" applyFont="1" applyFill="1" applyBorder="1" applyAlignment="1">
      <alignment horizontal="left" indent="1"/>
    </xf>
    <xf numFmtId="0" fontId="12" fillId="7" borderId="1" xfId="2" applyFont="1" applyBorder="1" applyAlignment="1">
      <alignment horizontal="left" indent="1"/>
    </xf>
    <xf numFmtId="0" fontId="12" fillId="7" borderId="2" xfId="2" applyFont="1" applyBorder="1" applyAlignment="1">
      <alignment horizontal="left" indent="1"/>
    </xf>
    <xf numFmtId="14" fontId="12" fillId="7" borderId="2" xfId="2" applyNumberFormat="1" applyFont="1" applyBorder="1"/>
    <xf numFmtId="0" fontId="12" fillId="7" borderId="1" xfId="2" applyFont="1" applyBorder="1" applyAlignment="1">
      <alignment horizontal="center"/>
    </xf>
    <xf numFmtId="0" fontId="12" fillId="7" borderId="2" xfId="2" applyFont="1" applyBorder="1" applyAlignment="1">
      <alignment horizontal="center"/>
    </xf>
    <xf numFmtId="0" fontId="12" fillId="7" borderId="4" xfId="2" applyFont="1" applyBorder="1" applyAlignment="1">
      <alignment horizontal="center"/>
    </xf>
    <xf numFmtId="0" fontId="12" fillId="7" borderId="4" xfId="2" applyFont="1" applyBorder="1" applyAlignment="1">
      <alignment horizontal="left" indent="1"/>
    </xf>
    <xf numFmtId="14" fontId="12" fillId="7" borderId="4" xfId="2" applyNumberFormat="1" applyFont="1" applyBorder="1"/>
    <xf numFmtId="0" fontId="12" fillId="7" borderId="3" xfId="2" applyFont="1" applyBorder="1" applyAlignment="1">
      <alignment horizontal="center" vertical="center"/>
    </xf>
    <xf numFmtId="0" fontId="6" fillId="2" borderId="0" xfId="0" applyFont="1" applyFill="1" applyAlignment="1">
      <alignment horizontal="right" indent="1"/>
    </xf>
    <xf numFmtId="20" fontId="14" fillId="0" borderId="1" xfId="0" quotePrefix="1" applyNumberFormat="1" applyFont="1" applyBorder="1" applyAlignment="1">
      <alignment horizontal="center"/>
    </xf>
    <xf numFmtId="20" fontId="14" fillId="0" borderId="1" xfId="0" quotePrefix="1" applyNumberFormat="1" applyFont="1" applyBorder="1" applyAlignment="1">
      <alignment horizontal="center" vertical="center"/>
    </xf>
    <xf numFmtId="20" fontId="14" fillId="0" borderId="1" xfId="0" applyNumberFormat="1" applyFont="1" applyBorder="1" applyAlignment="1">
      <alignment horizontal="center"/>
    </xf>
    <xf numFmtId="0" fontId="16" fillId="10" borderId="1" xfId="2" applyFont="1" applyFill="1" applyBorder="1" applyAlignment="1">
      <alignment horizontal="right" vertical="center" indent="1"/>
    </xf>
    <xf numFmtId="0" fontId="15" fillId="9" borderId="6" xfId="0" applyFont="1" applyFill="1" applyBorder="1" applyAlignment="1">
      <alignment horizontal="right"/>
    </xf>
    <xf numFmtId="14" fontId="15" fillId="8" borderId="3" xfId="0" applyNumberFormat="1" applyFont="1" applyFill="1" applyBorder="1"/>
    <xf numFmtId="0" fontId="15" fillId="0" borderId="3" xfId="0" quotePrefix="1" applyFont="1" applyBorder="1"/>
    <xf numFmtId="0" fontId="15" fillId="0" borderId="3" xfId="0" applyFont="1" applyBorder="1"/>
    <xf numFmtId="2" fontId="17" fillId="0" borderId="3" xfId="0" applyNumberFormat="1" applyFont="1" applyBorder="1"/>
    <xf numFmtId="0" fontId="15" fillId="9" borderId="3" xfId="0" applyFont="1" applyFill="1" applyBorder="1" applyAlignment="1">
      <alignment horizontal="right"/>
    </xf>
    <xf numFmtId="0" fontId="15" fillId="0" borderId="3" xfId="0" applyFont="1" applyBorder="1" applyAlignment="1">
      <alignment horizontal="center"/>
    </xf>
    <xf numFmtId="0" fontId="6" fillId="0" borderId="0" xfId="0" applyFont="1"/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/>
    <xf numFmtId="14" fontId="15" fillId="0" borderId="0" xfId="0" applyNumberFormat="1" applyFont="1"/>
    <xf numFmtId="0" fontId="6" fillId="0" borderId="0" xfId="3"/>
    <xf numFmtId="0" fontId="9" fillId="5" borderId="14" xfId="4" applyFont="1" applyBorder="1" applyAlignment="1">
      <alignment horizontal="centerContinuous"/>
    </xf>
    <xf numFmtId="0" fontId="9" fillId="5" borderId="13" xfId="4" applyFont="1" applyBorder="1"/>
    <xf numFmtId="14" fontId="9" fillId="5" borderId="4" xfId="4" quotePrefix="1" applyNumberFormat="1" applyFont="1" applyBorder="1" applyAlignment="1">
      <alignment horizontal="right" indent="1"/>
    </xf>
    <xf numFmtId="0" fontId="11" fillId="11" borderId="2" xfId="3" applyFont="1" applyFill="1" applyBorder="1" applyAlignment="1">
      <alignment horizontal="right" vertical="center" indent="1"/>
    </xf>
    <xf numFmtId="20" fontId="11" fillId="11" borderId="2" xfId="3" applyNumberFormat="1" applyFont="1" applyFill="1" applyBorder="1" applyAlignment="1">
      <alignment horizontal="right" vertical="center" indent="1"/>
    </xf>
    <xf numFmtId="0" fontId="6" fillId="11" borderId="17" xfId="3" applyFill="1" applyBorder="1"/>
    <xf numFmtId="0" fontId="6" fillId="11" borderId="18" xfId="3" applyFill="1" applyBorder="1"/>
    <xf numFmtId="0" fontId="6" fillId="11" borderId="16" xfId="3" applyFill="1" applyBorder="1"/>
    <xf numFmtId="0" fontId="11" fillId="11" borderId="4" xfId="3" applyFont="1" applyFill="1" applyBorder="1" applyAlignment="1">
      <alignment horizontal="right" vertical="center" indent="1"/>
    </xf>
    <xf numFmtId="20" fontId="11" fillId="11" borderId="4" xfId="3" applyNumberFormat="1" applyFont="1" applyFill="1" applyBorder="1" applyAlignment="1">
      <alignment horizontal="right" vertical="center" indent="1"/>
    </xf>
    <xf numFmtId="0" fontId="6" fillId="0" borderId="0" xfId="3" applyBorder="1" applyAlignment="1">
      <alignment vertical="center"/>
    </xf>
    <xf numFmtId="14" fontId="12" fillId="7" borderId="1" xfId="2" quotePrefix="1" applyNumberFormat="1" applyFont="1" applyBorder="1"/>
    <xf numFmtId="14" fontId="13" fillId="0" borderId="0" xfId="3" applyNumberFormat="1" applyFont="1" applyBorder="1" applyAlignment="1">
      <alignment horizontal="left" indent="1"/>
    </xf>
    <xf numFmtId="0" fontId="13" fillId="0" borderId="0" xfId="3" applyFont="1"/>
    <xf numFmtId="14" fontId="13" fillId="0" borderId="0" xfId="3" applyNumberFormat="1" applyFont="1"/>
    <xf numFmtId="14" fontId="12" fillId="7" borderId="2" xfId="2" quotePrefix="1" applyNumberFormat="1" applyFont="1" applyBorder="1"/>
    <xf numFmtId="0" fontId="6" fillId="0" borderId="0" xfId="3" applyBorder="1" applyAlignment="1">
      <alignment horizontal="left" indent="1"/>
    </xf>
    <xf numFmtId="14" fontId="12" fillId="7" borderId="4" xfId="2" quotePrefix="1" applyNumberFormat="1" applyFont="1" applyBorder="1"/>
    <xf numFmtId="0" fontId="3" fillId="6" borderId="1" xfId="5" applyBorder="1" applyAlignment="1">
      <alignment horizontal="center"/>
    </xf>
    <xf numFmtId="0" fontId="3" fillId="6" borderId="1" xfId="5" applyBorder="1" applyAlignment="1">
      <alignment horizontal="left" indent="1"/>
    </xf>
    <xf numFmtId="14" fontId="3" fillId="6" borderId="1" xfId="5" quotePrefix="1" applyNumberFormat="1" applyFont="1" applyBorder="1"/>
    <xf numFmtId="0" fontId="6" fillId="0" borderId="0" xfId="3" applyFill="1" applyBorder="1" applyAlignment="1">
      <alignment horizontal="left" indent="1"/>
    </xf>
    <xf numFmtId="0" fontId="3" fillId="6" borderId="2" xfId="5" applyBorder="1" applyAlignment="1">
      <alignment horizontal="center" vertical="center"/>
    </xf>
    <xf numFmtId="0" fontId="3" fillId="6" borderId="2" xfId="5" applyBorder="1" applyAlignment="1">
      <alignment horizontal="left" indent="1"/>
    </xf>
    <xf numFmtId="14" fontId="3" fillId="6" borderId="2" xfId="5" quotePrefix="1" applyNumberFormat="1" applyFont="1" applyBorder="1"/>
    <xf numFmtId="0" fontId="3" fillId="6" borderId="4" xfId="5" applyBorder="1" applyAlignment="1">
      <alignment horizontal="center"/>
    </xf>
    <xf numFmtId="0" fontId="3" fillId="6" borderId="4" xfId="5" applyBorder="1" applyAlignment="1">
      <alignment horizontal="left" indent="1"/>
    </xf>
    <xf numFmtId="14" fontId="3" fillId="6" borderId="4" xfId="5" quotePrefix="1" applyNumberFormat="1" applyFont="1" applyBorder="1"/>
    <xf numFmtId="0" fontId="12" fillId="7" borderId="7" xfId="2" applyFont="1" applyBorder="1" applyAlignment="1">
      <alignment horizontal="center" vertical="center"/>
    </xf>
    <xf numFmtId="0" fontId="3" fillId="5" borderId="11" xfId="4" applyBorder="1" applyAlignment="1">
      <alignment horizontal="center"/>
    </xf>
    <xf numFmtId="0" fontId="3" fillId="5" borderId="11" xfId="4" applyBorder="1" applyAlignment="1">
      <alignment horizontal="left" indent="1"/>
    </xf>
    <xf numFmtId="14" fontId="3" fillId="5" borderId="11" xfId="4" quotePrefix="1" applyNumberFormat="1" applyFont="1" applyBorder="1"/>
    <xf numFmtId="0" fontId="3" fillId="5" borderId="8" xfId="4" applyBorder="1" applyAlignment="1">
      <alignment horizontal="center"/>
    </xf>
    <xf numFmtId="0" fontId="3" fillId="5" borderId="2" xfId="4" applyBorder="1" applyAlignment="1">
      <alignment horizontal="center"/>
    </xf>
    <xf numFmtId="0" fontId="3" fillId="5" borderId="2" xfId="4" applyBorder="1" applyAlignment="1">
      <alignment horizontal="left" indent="1"/>
    </xf>
    <xf numFmtId="14" fontId="3" fillId="5" borderId="2" xfId="4" quotePrefix="1" applyNumberFormat="1" applyFont="1" applyBorder="1"/>
    <xf numFmtId="0" fontId="3" fillId="5" borderId="9" xfId="4" applyBorder="1" applyAlignment="1">
      <alignment horizontal="center"/>
    </xf>
    <xf numFmtId="0" fontId="3" fillId="5" borderId="2" xfId="4" applyFont="1" applyBorder="1" applyAlignment="1">
      <alignment horizontal="center"/>
    </xf>
    <xf numFmtId="0" fontId="3" fillId="5" borderId="12" xfId="4" applyFont="1" applyBorder="1" applyAlignment="1">
      <alignment horizontal="center" vertical="center"/>
    </xf>
    <xf numFmtId="0" fontId="3" fillId="5" borderId="4" xfId="4" applyBorder="1" applyAlignment="1">
      <alignment horizontal="left" indent="1"/>
    </xf>
    <xf numFmtId="14" fontId="3" fillId="5" borderId="13" xfId="4" quotePrefix="1" applyNumberFormat="1" applyFont="1" applyBorder="1"/>
    <xf numFmtId="14" fontId="3" fillId="5" borderId="10" xfId="4" quotePrefix="1" applyNumberFormat="1" applyFont="1" applyBorder="1"/>
    <xf numFmtId="0" fontId="3" fillId="5" borderId="10" xfId="4" applyBorder="1" applyAlignment="1">
      <alignment horizontal="center"/>
    </xf>
    <xf numFmtId="0" fontId="6" fillId="0" borderId="15" xfId="3" applyFill="1" applyBorder="1" applyAlignment="1">
      <alignment horizontal="center"/>
    </xf>
    <xf numFmtId="0" fontId="6" fillId="0" borderId="0" xfId="3" applyFill="1" applyBorder="1" applyAlignment="1">
      <alignment horizontal="center"/>
    </xf>
    <xf numFmtId="0" fontId="15" fillId="0" borderId="0" xfId="0" applyFont="1" applyAlignment="1">
      <alignment horizontal="right"/>
    </xf>
    <xf numFmtId="2" fontId="17" fillId="0" borderId="15" xfId="0" applyNumberFormat="1" applyFont="1" applyBorder="1"/>
    <xf numFmtId="2" fontId="17" fillId="0" borderId="0" xfId="0" applyNumberFormat="1" applyFont="1" applyBorder="1"/>
    <xf numFmtId="14" fontId="15" fillId="0" borderId="15" xfId="0" applyNumberFormat="1" applyFont="1" applyFill="1" applyBorder="1" applyAlignment="1">
      <alignment horizontal="right"/>
    </xf>
    <xf numFmtId="0" fontId="15" fillId="0" borderId="15" xfId="0" applyFont="1" applyFill="1" applyBorder="1" applyAlignment="1">
      <alignment horizontal="right"/>
    </xf>
    <xf numFmtId="0" fontId="15" fillId="0" borderId="15" xfId="0" applyFont="1" applyFill="1" applyBorder="1" applyAlignment="1">
      <alignment horizontal="center"/>
    </xf>
    <xf numFmtId="20" fontId="22" fillId="12" borderId="21" xfId="6" applyNumberFormat="1" applyFont="1" applyBorder="1" applyAlignment="1" applyProtection="1">
      <alignment horizontal="center"/>
      <protection locked="0"/>
    </xf>
    <xf numFmtId="20" fontId="22" fillId="12" borderId="25" xfId="6" applyNumberFormat="1" applyFont="1" applyBorder="1" applyAlignment="1" applyProtection="1">
      <alignment horizontal="center"/>
      <protection locked="0"/>
    </xf>
    <xf numFmtId="20" fontId="22" fillId="12" borderId="24" xfId="6" applyNumberFormat="1" applyFont="1" applyBorder="1" applyAlignment="1" applyProtection="1">
      <alignment horizontal="center"/>
      <protection locked="0"/>
    </xf>
    <xf numFmtId="0" fontId="21" fillId="0" borderId="32" xfId="4" applyFont="1" applyFill="1" applyBorder="1" applyAlignment="1">
      <alignment horizontal="center"/>
    </xf>
    <xf numFmtId="0" fontId="21" fillId="6" borderId="20" xfId="5" applyFont="1" applyBorder="1" applyAlignment="1">
      <alignment horizontal="center" vertical="center"/>
    </xf>
    <xf numFmtId="0" fontId="21" fillId="6" borderId="24" xfId="5" applyFont="1" applyBorder="1" applyAlignment="1">
      <alignment horizontal="center" vertical="center"/>
    </xf>
    <xf numFmtId="0" fontId="21" fillId="6" borderId="22" xfId="5" applyFont="1" applyBorder="1" applyAlignment="1">
      <alignment horizontal="center" vertical="center"/>
    </xf>
    <xf numFmtId="0" fontId="21" fillId="6" borderId="23" xfId="5" applyFont="1" applyBorder="1" applyAlignment="1">
      <alignment horizontal="center" vertical="center"/>
    </xf>
    <xf numFmtId="0" fontId="22" fillId="12" borderId="28" xfId="6" applyFont="1" applyBorder="1" applyAlignment="1" applyProtection="1">
      <alignment vertical="center"/>
      <protection locked="0"/>
    </xf>
    <xf numFmtId="0" fontId="22" fillId="12" borderId="29" xfId="6" applyFont="1" applyBorder="1" applyAlignment="1" applyProtection="1">
      <alignment vertical="center"/>
      <protection locked="0"/>
    </xf>
    <xf numFmtId="0" fontId="17" fillId="2" borderId="0" xfId="0" applyFont="1" applyFill="1" applyAlignment="1">
      <alignment horizontal="right" vertical="center" indent="1"/>
    </xf>
    <xf numFmtId="0" fontId="15" fillId="9" borderId="3" xfId="0" applyFont="1" applyFill="1" applyBorder="1" applyAlignment="1">
      <alignment horizontal="center"/>
    </xf>
    <xf numFmtId="165" fontId="17" fillId="0" borderId="3" xfId="0" applyNumberFormat="1" applyFont="1" applyBorder="1"/>
    <xf numFmtId="0" fontId="20" fillId="0" borderId="19" xfId="0" applyFont="1" applyBorder="1" applyAlignment="1" applyProtection="1">
      <alignment horizontal="center" vertical="center"/>
      <protection locked="0"/>
    </xf>
    <xf numFmtId="20" fontId="15" fillId="0" borderId="0" xfId="0" quotePrefix="1" applyNumberFormat="1" applyFont="1" applyBorder="1" applyProtection="1"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4" fillId="8" borderId="1" xfId="0" quotePrefix="1" applyNumberFormat="1" applyFont="1" applyFill="1" applyBorder="1" applyProtection="1"/>
    <xf numFmtId="165" fontId="14" fillId="0" borderId="1" xfId="0" applyNumberFormat="1" applyFont="1" applyFill="1" applyBorder="1"/>
    <xf numFmtId="165" fontId="14" fillId="0" borderId="3" xfId="0" applyNumberFormat="1" applyFont="1" applyFill="1" applyBorder="1"/>
    <xf numFmtId="165" fontId="14" fillId="0" borderId="1" xfId="0" quotePrefix="1" applyNumberFormat="1" applyFont="1" applyBorder="1" applyAlignment="1">
      <alignment horizontal="center"/>
    </xf>
    <xf numFmtId="2" fontId="17" fillId="0" borderId="15" xfId="0" applyNumberFormat="1" applyFont="1" applyFill="1" applyBorder="1"/>
    <xf numFmtId="165" fontId="17" fillId="0" borderId="15" xfId="0" quotePrefix="1" applyNumberFormat="1" applyFont="1" applyFill="1" applyBorder="1" applyAlignment="1">
      <alignment horizontal="left" indent="1"/>
    </xf>
    <xf numFmtId="14" fontId="17" fillId="0" borderId="15" xfId="0" applyNumberFormat="1" applyFont="1" applyFill="1" applyBorder="1" applyAlignment="1">
      <alignment horizontal="right"/>
    </xf>
    <xf numFmtId="165" fontId="14" fillId="0" borderId="1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vertical="center"/>
    </xf>
    <xf numFmtId="165" fontId="14" fillId="0" borderId="1" xfId="0" quotePrefix="1" applyNumberFormat="1" applyFont="1" applyBorder="1" applyAlignment="1">
      <alignment horizontal="center" vertical="center"/>
    </xf>
    <xf numFmtId="20" fontId="14" fillId="0" borderId="1" xfId="0" applyNumberFormat="1" applyFont="1" applyBorder="1" applyAlignment="1">
      <alignment horizontal="center" vertical="center"/>
    </xf>
    <xf numFmtId="0" fontId="14" fillId="8" borderId="1" xfId="0" quotePrefix="1" applyNumberFormat="1" applyFont="1" applyFill="1" applyBorder="1" applyAlignment="1" applyProtection="1">
      <alignment vertical="center" wrapText="1"/>
    </xf>
    <xf numFmtId="0" fontId="0" fillId="0" borderId="0" xfId="0" applyAlignment="1">
      <alignment vertical="center"/>
    </xf>
    <xf numFmtId="14" fontId="14" fillId="0" borderId="3" xfId="0" applyNumberFormat="1" applyFont="1" applyBorder="1"/>
    <xf numFmtId="164" fontId="14" fillId="0" borderId="3" xfId="0" applyNumberFormat="1" applyFont="1" applyBorder="1" applyAlignment="1">
      <alignment horizontal="right"/>
    </xf>
    <xf numFmtId="14" fontId="14" fillId="0" borderId="3" xfId="0" applyNumberFormat="1" applyFont="1" applyFill="1" applyBorder="1"/>
    <xf numFmtId="14" fontId="14" fillId="0" borderId="3" xfId="0" applyNumberFormat="1" applyFont="1" applyBorder="1" applyAlignment="1">
      <alignment vertical="center"/>
    </xf>
    <xf numFmtId="164" fontId="14" fillId="0" borderId="3" xfId="0" applyNumberFormat="1" applyFont="1" applyBorder="1" applyAlignment="1">
      <alignment horizontal="right" vertical="center"/>
    </xf>
    <xf numFmtId="14" fontId="14" fillId="0" borderId="3" xfId="0" applyNumberFormat="1" applyFont="1" applyFill="1" applyBorder="1" applyAlignment="1">
      <alignment vertical="center"/>
    </xf>
    <xf numFmtId="20" fontId="15" fillId="0" borderId="0" xfId="0" applyNumberFormat="1" applyFont="1" applyAlignment="1">
      <alignment horizontal="center"/>
    </xf>
    <xf numFmtId="20" fontId="15" fillId="0" borderId="3" xfId="0" quotePrefix="1" applyNumberFormat="1" applyFont="1" applyBorder="1" applyProtection="1"/>
    <xf numFmtId="20" fontId="15" fillId="0" borderId="0" xfId="0" quotePrefix="1" applyNumberFormat="1" applyFont="1" applyBorder="1" applyAlignment="1" applyProtection="1">
      <alignment horizontal="center"/>
    </xf>
    <xf numFmtId="165" fontId="15" fillId="0" borderId="0" xfId="0" applyNumberFormat="1" applyFont="1"/>
    <xf numFmtId="165" fontId="15" fillId="0" borderId="0" xfId="0" applyNumberFormat="1" applyFont="1" applyAlignment="1">
      <alignment horizontal="center"/>
    </xf>
    <xf numFmtId="0" fontId="15" fillId="0" borderId="3" xfId="0" applyFont="1" applyBorder="1" applyAlignment="1">
      <alignment horizontal="center" vertical="center"/>
    </xf>
    <xf numFmtId="165" fontId="15" fillId="0" borderId="3" xfId="0" applyNumberFormat="1" applyFont="1" applyBorder="1" applyAlignment="1">
      <alignment horizontal="center" vertical="center"/>
    </xf>
    <xf numFmtId="20" fontId="15" fillId="0" borderId="3" xfId="0" quotePrefix="1" applyNumberFormat="1" applyFont="1" applyBorder="1" applyAlignment="1" applyProtection="1">
      <alignment horizontal="center" vertical="center"/>
      <protection locked="0"/>
    </xf>
    <xf numFmtId="0" fontId="2" fillId="0" borderId="0" xfId="5" applyFont="1" applyFill="1" applyBorder="1" applyAlignment="1">
      <alignment vertical="center"/>
    </xf>
    <xf numFmtId="0" fontId="3" fillId="0" borderId="0" xfId="5" applyFill="1" applyBorder="1" applyAlignment="1">
      <alignment vertical="center"/>
    </xf>
    <xf numFmtId="0" fontId="1" fillId="0" borderId="0" xfId="5" quotePrefix="1" applyFont="1" applyFill="1" applyBorder="1" applyAlignment="1">
      <alignment horizontal="center" vertical="center"/>
    </xf>
    <xf numFmtId="0" fontId="3" fillId="0" borderId="0" xfId="5" applyFill="1" applyBorder="1" applyAlignment="1">
      <alignment horizontal="center" vertical="center"/>
    </xf>
    <xf numFmtId="0" fontId="4" fillId="0" borderId="0" xfId="0" quotePrefix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21" fillId="5" borderId="26" xfId="4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1" fillId="5" borderId="30" xfId="4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4" fillId="0" borderId="33" xfId="0" applyFont="1" applyBorder="1" applyAlignment="1">
      <alignment horizontal="right" vertical="center"/>
    </xf>
    <xf numFmtId="0" fontId="25" fillId="0" borderId="0" xfId="0" applyFont="1" applyAlignment="1">
      <alignment horizontal="center" wrapText="1"/>
    </xf>
    <xf numFmtId="0" fontId="9" fillId="5" borderId="10" xfId="4" applyFont="1" applyBorder="1" applyAlignment="1">
      <alignment horizontal="center" vertical="center" textRotation="90"/>
    </xf>
    <xf numFmtId="0" fontId="9" fillId="5" borderId="3" xfId="4" applyFont="1" applyBorder="1" applyAlignment="1">
      <alignment horizontal="center" vertical="center" textRotation="90"/>
    </xf>
    <xf numFmtId="0" fontId="16" fillId="4" borderId="1" xfId="1" applyFont="1" applyBorder="1" applyAlignment="1">
      <alignment horizontal="center" vertical="center"/>
    </xf>
    <xf numFmtId="0" fontId="10" fillId="4" borderId="5" xfId="1" applyBorder="1" applyAlignment="1">
      <alignment horizontal="center" vertical="center"/>
    </xf>
    <xf numFmtId="0" fontId="10" fillId="4" borderId="0" xfId="1" applyBorder="1" applyAlignment="1">
      <alignment horizontal="center" vertical="center"/>
    </xf>
    <xf numFmtId="0" fontId="11" fillId="7" borderId="1" xfId="2" applyFont="1" applyBorder="1" applyAlignment="1">
      <alignment horizontal="center" vertical="center" textRotation="90"/>
    </xf>
    <xf numFmtId="0" fontId="11" fillId="7" borderId="2" xfId="2" applyFont="1" applyBorder="1" applyAlignment="1">
      <alignment horizontal="center" vertical="center" textRotation="90"/>
    </xf>
    <xf numFmtId="0" fontId="11" fillId="7" borderId="4" xfId="2" applyFont="1" applyBorder="1" applyAlignment="1">
      <alignment horizontal="center" vertical="center" textRotation="90"/>
    </xf>
    <xf numFmtId="0" fontId="11" fillId="6" borderId="1" xfId="5" applyFont="1" applyBorder="1" applyAlignment="1">
      <alignment horizontal="center" vertical="center" textRotation="90"/>
    </xf>
    <xf numFmtId="0" fontId="11" fillId="6" borderId="2" xfId="5" applyFont="1" applyBorder="1" applyAlignment="1">
      <alignment horizontal="center" vertical="center" textRotation="90"/>
    </xf>
    <xf numFmtId="0" fontId="11" fillId="6" borderId="4" xfId="5" applyFont="1" applyBorder="1" applyAlignment="1">
      <alignment horizontal="center" vertical="center" textRotation="90"/>
    </xf>
  </cellXfs>
  <cellStyles count="7">
    <cellStyle name="20% - Ênfase5 2" xfId="4" xr:uid="{00000000-0005-0000-0000-000000000000}"/>
    <cellStyle name="40% - Ênfase5 2" xfId="5" xr:uid="{00000000-0005-0000-0000-000001000000}"/>
    <cellStyle name="60% - Ênfase5" xfId="2" builtinId="48"/>
    <cellStyle name="Ênfase1" xfId="6" builtinId="29"/>
    <cellStyle name="Ênfase5" xfId="1" builtinId="45"/>
    <cellStyle name="Normal" xfId="0" builtinId="0"/>
    <cellStyle name="Normal 2" xfId="3" xr:uid="{00000000-0005-0000-0000-000006000000}"/>
  </cellStyles>
  <dxfs count="3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5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/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/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altrab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altrab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2</xdr:col>
      <xdr:colOff>628649</xdr:colOff>
      <xdr:row>5</xdr:row>
      <xdr:rowOff>19049</xdr:rowOff>
    </xdr:to>
    <xdr:sp macro="" textlink="">
      <xdr:nvSpPr>
        <xdr:cNvPr id="2" name="Pentágon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419100" y="-409575"/>
          <a:ext cx="847724" cy="1685924"/>
        </a:xfrm>
        <a:prstGeom prst="homePlate">
          <a:avLst>
            <a:gd name="adj" fmla="val 21582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t"/>
        <a:lstStyle/>
        <a:p>
          <a:endParaRPr lang="pt-BR"/>
        </a:p>
      </xdr:txBody>
    </xdr:sp>
    <xdr:clientData/>
  </xdr:twoCellAnchor>
  <xdr:twoCellAnchor editAs="oneCell">
    <xdr:from>
      <xdr:col>0</xdr:col>
      <xdr:colOff>19050</xdr:colOff>
      <xdr:row>0</xdr:row>
      <xdr:rowOff>66675</xdr:rowOff>
    </xdr:from>
    <xdr:to>
      <xdr:col>2</xdr:col>
      <xdr:colOff>572364</xdr:colOff>
      <xdr:row>3</xdr:row>
      <xdr:rowOff>152400</xdr:rowOff>
    </xdr:to>
    <xdr:pic>
      <xdr:nvPicPr>
        <xdr:cNvPr id="3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050" y="66675"/>
          <a:ext cx="1610589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3</xdr:row>
          <xdr:rowOff>104775</xdr:rowOff>
        </xdr:from>
        <xdr:to>
          <xdr:col>3</xdr:col>
          <xdr:colOff>3590925</xdr:colOff>
          <xdr:row>5</xdr:row>
          <xdr:rowOff>123825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QUADRO DE HORÁRIOS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0</xdr:rowOff>
    </xdr:from>
    <xdr:to>
      <xdr:col>2</xdr:col>
      <xdr:colOff>647700</xdr:colOff>
      <xdr:row>5</xdr:row>
      <xdr:rowOff>9524</xdr:rowOff>
    </xdr:to>
    <xdr:sp macro="" textlink="">
      <xdr:nvSpPr>
        <xdr:cNvPr id="2" name="Pentágon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5400000">
          <a:off x="438151" y="-419100"/>
          <a:ext cx="847724" cy="1685924"/>
        </a:xfrm>
        <a:prstGeom prst="homePlate">
          <a:avLst>
            <a:gd name="adj" fmla="val 21582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t"/>
        <a:lstStyle/>
        <a:p>
          <a:r>
            <a:rPr lang="pt-BR"/>
            <a:t>QUA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38100</xdr:rowOff>
    </xdr:from>
    <xdr:to>
      <xdr:col>2</xdr:col>
      <xdr:colOff>572364</xdr:colOff>
      <xdr:row>3</xdr:row>
      <xdr:rowOff>123825</xdr:rowOff>
    </xdr:to>
    <xdr:pic>
      <xdr:nvPicPr>
        <xdr:cNvPr id="3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050" y="38100"/>
          <a:ext cx="1610589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3</xdr:row>
          <xdr:rowOff>104775</xdr:rowOff>
        </xdr:from>
        <xdr:to>
          <xdr:col>4</xdr:col>
          <xdr:colOff>0</xdr:colOff>
          <xdr:row>5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QUADRO DE HORÁRIOS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3</xdr:row>
      <xdr:rowOff>0</xdr:rowOff>
    </xdr:from>
    <xdr:to>
      <xdr:col>11</xdr:col>
      <xdr:colOff>133350</xdr:colOff>
      <xdr:row>10</xdr:row>
      <xdr:rowOff>123825</xdr:rowOff>
    </xdr:to>
    <xdr:sp macro="" textlink="">
      <xdr:nvSpPr>
        <xdr:cNvPr id="2" name="Texto explicativo retangul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829175" y="742950"/>
          <a:ext cx="3390900" cy="1685925"/>
        </a:xfrm>
        <a:prstGeom prst="wedgeRectCallout">
          <a:avLst>
            <a:gd name="adj1" fmla="val -24326"/>
            <a:gd name="adj2" fmla="val 8735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Para que</a:t>
          </a:r>
          <a:r>
            <a:rPr lang="pt-BR" sz="1100" baseline="0"/>
            <a:t> a planilha não considere o feriado, basta deletar o "X"  na célula correspondente da coluna B.</a:t>
          </a:r>
        </a:p>
        <a:p>
          <a:pPr algn="l"/>
          <a:endParaRPr lang="pt-BR" sz="1100" baseline="0"/>
        </a:p>
        <a:p>
          <a:pPr algn="l"/>
          <a:r>
            <a:rPr lang="pt-BR" sz="1100" baseline="0"/>
            <a:t>Quanto aos feriados fixos municipais e estadual, digite x na coluna B , informe o dia na coluna E e o mês na coluna F. Caso o "x" não esteja marcado, os valores selecionados em E16, E17, E18, E19, F16, F17, F18 e F19 não irão interferir no cálculo dos feriados.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8" tint="0.39997558519241921"/>
  </sheetPr>
  <dimension ref="A1:U129"/>
  <sheetViews>
    <sheetView showGridLines="0" tabSelected="1" zoomScaleNormal="100" workbookViewId="0">
      <selection activeCell="D8" sqref="D8"/>
    </sheetView>
  </sheetViews>
  <sheetFormatPr defaultColWidth="0" defaultRowHeight="12.75" zeroHeight="1" x14ac:dyDescent="0.2"/>
  <cols>
    <col min="1" max="1" width="3.7109375" customWidth="1"/>
    <col min="2" max="2" width="12.140625" customWidth="1"/>
    <col min="3" max="3" width="13.85546875" customWidth="1"/>
    <col min="4" max="4" width="69.140625" customWidth="1"/>
    <col min="5" max="8" width="9.42578125" customWidth="1"/>
    <col min="9" max="11" width="11.28515625" customWidth="1"/>
    <col min="12" max="12" width="9.140625" customWidth="1"/>
    <col min="13" max="13" width="12.5703125" hidden="1" customWidth="1"/>
    <col min="14" max="15" width="10.28515625" customWidth="1"/>
    <col min="16" max="16" width="1.7109375" customWidth="1"/>
    <col min="17" max="17" width="0.85546875" hidden="1" customWidth="1"/>
    <col min="18" max="18" width="26.85546875" hidden="1" customWidth="1"/>
    <col min="19" max="20" width="9.140625" hidden="1" customWidth="1"/>
    <col min="21" max="21" width="26.85546875" hidden="1" customWidth="1"/>
    <col min="22" max="16384" width="9.140625" hidden="1"/>
  </cols>
  <sheetData>
    <row r="1" spans="1:18" ht="13.5" thickBot="1" x14ac:dyDescent="0.25"/>
    <row r="2" spans="1:18" ht="12.75" customHeight="1" thickBot="1" x14ac:dyDescent="0.25">
      <c r="B2" s="17"/>
      <c r="E2" s="138"/>
      <c r="F2" s="138"/>
      <c r="H2" s="134" t="s">
        <v>47</v>
      </c>
      <c r="I2" s="135"/>
      <c r="J2" s="88"/>
      <c r="K2" s="136" t="s">
        <v>35</v>
      </c>
      <c r="L2" s="137"/>
    </row>
    <row r="3" spans="1:18" ht="13.5" customHeight="1" thickBot="1" x14ac:dyDescent="0.25">
      <c r="B3" s="17"/>
      <c r="D3" s="139" t="s">
        <v>68</v>
      </c>
      <c r="E3" s="140"/>
      <c r="F3" s="98"/>
      <c r="H3" s="89" t="s">
        <v>46</v>
      </c>
      <c r="I3" s="85">
        <v>0.33333333333333331</v>
      </c>
      <c r="K3" s="91" t="s">
        <v>39</v>
      </c>
      <c r="L3" s="92" t="s">
        <v>38</v>
      </c>
    </row>
    <row r="4" spans="1:18" ht="12.75" customHeight="1" thickBot="1" x14ac:dyDescent="0.25">
      <c r="E4" s="95" t="s">
        <v>36</v>
      </c>
      <c r="F4" s="93">
        <v>2018</v>
      </c>
      <c r="H4" s="90" t="s">
        <v>7</v>
      </c>
      <c r="I4" s="86">
        <v>0.16666666666666666</v>
      </c>
      <c r="K4" s="87">
        <v>0.91666666666666663</v>
      </c>
      <c r="L4" s="86">
        <v>0.20833333333333334</v>
      </c>
    </row>
    <row r="5" spans="1:18" ht="13.5" customHeight="1" thickBot="1" x14ac:dyDescent="0.25">
      <c r="D5" s="130"/>
      <c r="E5" s="95" t="s">
        <v>37</v>
      </c>
      <c r="F5" s="94">
        <v>3</v>
      </c>
      <c r="K5" s="120">
        <v>4.1666666666666664E-2</v>
      </c>
      <c r="L5" s="120">
        <v>0.25</v>
      </c>
      <c r="M5" s="128"/>
      <c r="N5" s="129"/>
      <c r="O5" s="129"/>
      <c r="P5" s="129"/>
    </row>
    <row r="6" spans="1:18" ht="12.75" customHeight="1" x14ac:dyDescent="0.2">
      <c r="D6" s="131"/>
      <c r="M6" s="129"/>
      <c r="N6" s="129"/>
      <c r="O6" s="129"/>
      <c r="P6" s="129"/>
    </row>
    <row r="7" spans="1:18" ht="25.5" x14ac:dyDescent="0.2">
      <c r="B7" s="30" t="s">
        <v>0</v>
      </c>
      <c r="C7" s="30" t="s">
        <v>1</v>
      </c>
      <c r="D7" s="30" t="s">
        <v>2</v>
      </c>
      <c r="E7" s="30" t="s">
        <v>32</v>
      </c>
      <c r="F7" s="30" t="s">
        <v>44</v>
      </c>
      <c r="G7" s="30" t="s">
        <v>33</v>
      </c>
      <c r="H7" s="30" t="s">
        <v>34</v>
      </c>
      <c r="I7" s="30" t="s">
        <v>3</v>
      </c>
      <c r="J7" s="30" t="s">
        <v>4</v>
      </c>
      <c r="K7" s="30" t="s">
        <v>5</v>
      </c>
      <c r="L7" s="30" t="s">
        <v>18</v>
      </c>
      <c r="M7" s="30" t="s">
        <v>83</v>
      </c>
      <c r="N7" s="30" t="s">
        <v>80</v>
      </c>
      <c r="O7" s="30" t="s">
        <v>81</v>
      </c>
      <c r="P7" s="100"/>
      <c r="Q7" s="132"/>
      <c r="R7" s="133"/>
    </row>
    <row r="8" spans="1:18" ht="15" customHeight="1" x14ac:dyDescent="0.2">
      <c r="B8" s="114">
        <f>inicio</f>
        <v>43160</v>
      </c>
      <c r="C8" s="115">
        <f>IF(B8="","",IF(COUNTIF(fer,B8)&gt;0,"feriado",B8))</f>
        <v>43160</v>
      </c>
      <c r="D8" s="101" t="s">
        <v>48</v>
      </c>
      <c r="E8" s="102">
        <f ca="1">IF(B8="","",HorasD(D8))</f>
        <v>0.33333328366279602</v>
      </c>
      <c r="F8" s="103">
        <f ca="1">IF(B8="","",HorasN(D8))</f>
        <v>0</v>
      </c>
      <c r="G8" s="102">
        <f ca="1">IF(B8="","",(F8/7*8)-F8)</f>
        <v>0</v>
      </c>
      <c r="H8" s="102">
        <f ca="1">IF(B8="","",F8+G8)</f>
        <v>0</v>
      </c>
      <c r="I8" s="104">
        <f ca="1">IF(B8="","",HorasTrab(D8)+G8)</f>
        <v>0.33333333333333337</v>
      </c>
      <c r="J8" s="19">
        <f t="shared" ref="J8:J38" ca="1" si="0">IF(B8="","",IF(OR(COUNTIF(fer,B8)&gt;0,WEEKDAY(B8)=1),0,IF(WEEKDAY(B8)=7,MIN($I$4,I8),MIN($I$3,I8))))</f>
        <v>0.33333333333333331</v>
      </c>
      <c r="K8" s="18">
        <f t="shared" ref="K8:K38" ca="1" si="1">IF(B8="","",IF(J8=0,0,IF(WEEKDAY(B8)=7,MAX(0,I8-$I$4),MAX(0,I8-$I$3))))</f>
        <v>5.5511151231257827E-17</v>
      </c>
      <c r="L8" s="20">
        <f t="shared" ref="L8:L38" ca="1" si="2">IF(B8="","",IF(J8=0,I8,0))</f>
        <v>0</v>
      </c>
      <c r="M8" s="122" t="str">
        <f>IF(OR(B8="",D8=""),"",LEFT(D8,5)&amp;"-"&amp;RIGHT(D8,5))</f>
        <v>08h00-17h00</v>
      </c>
      <c r="N8" s="121">
        <f ca="1">IF(B8="","",HorasTrab(M8)-HorasTrab(D8))</f>
        <v>4.1666666666666685E-2</v>
      </c>
      <c r="O8" s="121">
        <f ca="1">IF(B8="","",IF(AND(I8&gt;$L$5,N8&lt;$K$5),$K$5-N8,0))</f>
        <v>0</v>
      </c>
      <c r="P8" s="99"/>
      <c r="Q8" s="6"/>
      <c r="R8" s="5"/>
    </row>
    <row r="9" spans="1:18" ht="15" customHeight="1" x14ac:dyDescent="0.2">
      <c r="B9" s="114">
        <f>B8+1</f>
        <v>43161</v>
      </c>
      <c r="C9" s="115">
        <f t="shared" ref="C9:C38" si="3">IF(B9="","",IF(COUNTIF(fer,B9)&gt;0,"feriado",B9))</f>
        <v>43161</v>
      </c>
      <c r="D9" s="101" t="s">
        <v>49</v>
      </c>
      <c r="E9" s="102">
        <f ca="1">IF(B9="","",HorasD(D9))</f>
        <v>0.49999997019767761</v>
      </c>
      <c r="F9" s="103">
        <f ca="1">IF(B9="","",HorasN(D9))</f>
        <v>0</v>
      </c>
      <c r="G9" s="102">
        <f t="shared" ref="G9:G38" ca="1" si="4">IF(B9="","",(F9/7*8)-F9)</f>
        <v>0</v>
      </c>
      <c r="H9" s="102">
        <f t="shared" ref="H9:H38" ca="1" si="5">IF(B9="","",F9+G9)</f>
        <v>0</v>
      </c>
      <c r="I9" s="104">
        <f t="shared" ref="I9:I38" ca="1" si="6">IF(B9="","",HorasTrab(D9)+G9)</f>
        <v>0.5</v>
      </c>
      <c r="J9" s="19">
        <f t="shared" ca="1" si="0"/>
        <v>0.33333333333333331</v>
      </c>
      <c r="K9" s="18">
        <f t="shared" ca="1" si="1"/>
        <v>0.16666666666666669</v>
      </c>
      <c r="L9" s="20">
        <f t="shared" ca="1" si="2"/>
        <v>0</v>
      </c>
      <c r="M9" s="122" t="str">
        <f t="shared" ref="M9:M38" si="7">IF(OR(B9="",D9=""),"",LEFT(D9,5)&amp;"-"&amp;RIGHT(D9,5))</f>
        <v>08h00-22h00</v>
      </c>
      <c r="N9" s="121">
        <f ca="1">IF(B9="","",HorasTrab(M9)-HorasTrab(D9))</f>
        <v>8.3333333333333259E-2</v>
      </c>
      <c r="O9" s="121">
        <f t="shared" ref="O9:O38" ca="1" si="8">IF(B9="","",IF(AND(I9&gt;$L$5,N9&lt;$K$5),$K$5-N9,0))</f>
        <v>0</v>
      </c>
      <c r="P9" s="99"/>
      <c r="Q9" s="6"/>
      <c r="R9" s="5"/>
    </row>
    <row r="10" spans="1:18" ht="15" customHeight="1" x14ac:dyDescent="0.2">
      <c r="B10" s="114">
        <f>B9+1</f>
        <v>43162</v>
      </c>
      <c r="C10" s="115">
        <f t="shared" si="3"/>
        <v>43162</v>
      </c>
      <c r="D10" s="101" t="s">
        <v>50</v>
      </c>
      <c r="E10" s="102">
        <f ca="1">IF(B10="","",HorasD(D10))</f>
        <v>0.49999997019767761</v>
      </c>
      <c r="F10" s="103">
        <f ca="1">IF(B10="","",HorasN(D10))</f>
        <v>4.1666626930236816E-2</v>
      </c>
      <c r="G10" s="102">
        <f t="shared" ca="1" si="4"/>
        <v>5.9523752757481146E-3</v>
      </c>
      <c r="H10" s="102">
        <f t="shared" ca="1" si="5"/>
        <v>4.7619002205984931E-2</v>
      </c>
      <c r="I10" s="104">
        <f t="shared" ca="1" si="6"/>
        <v>0.54761904194241495</v>
      </c>
      <c r="J10" s="19">
        <f t="shared" ca="1" si="0"/>
        <v>0.16666666666666666</v>
      </c>
      <c r="K10" s="18">
        <f t="shared" ca="1" si="1"/>
        <v>0.38095237527574832</v>
      </c>
      <c r="L10" s="20">
        <f t="shared" ca="1" si="2"/>
        <v>0</v>
      </c>
      <c r="M10" s="122" t="str">
        <f t="shared" si="7"/>
        <v>08h00-23h00</v>
      </c>
      <c r="N10" s="121">
        <f ca="1">IF(B10="","",HorasTrab(M10)-HorasTrab(D10))</f>
        <v>8.3333333333333148E-2</v>
      </c>
      <c r="O10" s="121">
        <f t="shared" ca="1" si="8"/>
        <v>0</v>
      </c>
      <c r="P10" s="99"/>
      <c r="Q10" s="6"/>
      <c r="R10" s="5"/>
    </row>
    <row r="11" spans="1:18" ht="15" customHeight="1" x14ac:dyDescent="0.2">
      <c r="B11" s="114">
        <f>B10+1</f>
        <v>43163</v>
      </c>
      <c r="C11" s="115">
        <f t="shared" si="3"/>
        <v>43163</v>
      </c>
      <c r="D11" s="101" t="s">
        <v>82</v>
      </c>
      <c r="E11" s="102">
        <f ca="1">IF(B11="","",HorasD(D11))</f>
        <v>0.2708333432674408</v>
      </c>
      <c r="F11" s="103">
        <f ca="1">IF(B11="","",HorasN(D11))</f>
        <v>0</v>
      </c>
      <c r="G11" s="102">
        <f t="shared" ca="1" si="4"/>
        <v>0</v>
      </c>
      <c r="H11" s="102">
        <f t="shared" ca="1" si="5"/>
        <v>0</v>
      </c>
      <c r="I11" s="104">
        <f t="shared" ca="1" si="6"/>
        <v>0.27083333333333331</v>
      </c>
      <c r="J11" s="19">
        <f t="shared" si="0"/>
        <v>0</v>
      </c>
      <c r="K11" s="18">
        <f t="shared" si="1"/>
        <v>0</v>
      </c>
      <c r="L11" s="20">
        <f t="shared" ca="1" si="2"/>
        <v>0.27083333333333331</v>
      </c>
      <c r="M11" s="122" t="str">
        <f t="shared" si="7"/>
        <v>08h00-14h30</v>
      </c>
      <c r="N11" s="121">
        <f ca="1">IF(B11="","",HorasTrab(M11)-HorasTrab(D11))</f>
        <v>0</v>
      </c>
      <c r="O11" s="121">
        <f t="shared" ca="1" si="8"/>
        <v>4.1666666666666664E-2</v>
      </c>
      <c r="P11" s="99"/>
      <c r="Q11" s="6"/>
      <c r="R11" s="5"/>
    </row>
    <row r="12" spans="1:18" ht="15" customHeight="1" x14ac:dyDescent="0.2">
      <c r="B12" s="114">
        <f>B11+1</f>
        <v>43164</v>
      </c>
      <c r="C12" s="115">
        <f t="shared" si="3"/>
        <v>43164</v>
      </c>
      <c r="D12" s="101" t="s">
        <v>51</v>
      </c>
      <c r="E12" s="102">
        <f ca="1">IF(B12="","",HorasD(D12))</f>
        <v>0.49999997019767761</v>
      </c>
      <c r="F12" s="103">
        <f ca="1">IF(B12="","",HorasN(D12))</f>
        <v>0.125</v>
      </c>
      <c r="G12" s="102">
        <f t="shared" ca="1" si="4"/>
        <v>1.7857142857142849E-2</v>
      </c>
      <c r="H12" s="102">
        <f t="shared" ca="1" si="5"/>
        <v>0.14285714285714285</v>
      </c>
      <c r="I12" s="104">
        <f t="shared" ca="1" si="6"/>
        <v>0.64285714285714302</v>
      </c>
      <c r="J12" s="19">
        <f t="shared" ca="1" si="0"/>
        <v>0.33333333333333331</v>
      </c>
      <c r="K12" s="18">
        <f t="shared" ca="1" si="1"/>
        <v>0.3095238095238097</v>
      </c>
      <c r="L12" s="20">
        <f t="shared" ca="1" si="2"/>
        <v>0</v>
      </c>
      <c r="M12" s="122" t="str">
        <f t="shared" si="7"/>
        <v>08h00-01h00</v>
      </c>
      <c r="N12" s="121">
        <f ca="1">IF(B12="","",HorasTrab(M12)-HorasTrab(D12))</f>
        <v>8.333333333333337E-2</v>
      </c>
      <c r="O12" s="121">
        <f t="shared" ca="1" si="8"/>
        <v>0</v>
      </c>
      <c r="P12" s="99"/>
      <c r="Q12" s="6"/>
      <c r="R12" s="5"/>
    </row>
    <row r="13" spans="1:18" ht="15" customHeight="1" x14ac:dyDescent="0.2">
      <c r="B13" s="114">
        <f t="shared" ref="B13:B35" si="9">B12+1</f>
        <v>43165</v>
      </c>
      <c r="C13" s="115">
        <f t="shared" si="3"/>
        <v>43165</v>
      </c>
      <c r="D13" s="101" t="s">
        <v>52</v>
      </c>
      <c r="E13" s="102">
        <f ca="1">IF(B13="","",HorasD(D13))</f>
        <v>0.47916668653488159</v>
      </c>
      <c r="F13" s="103">
        <f ca="1">IF(B13="","",HorasN(D13))</f>
        <v>8.3333313465118408E-2</v>
      </c>
      <c r="G13" s="102">
        <f t="shared" ca="1" si="4"/>
        <v>1.1904759066445489E-2</v>
      </c>
      <c r="H13" s="102">
        <f t="shared" ca="1" si="5"/>
        <v>9.5238072531563897E-2</v>
      </c>
      <c r="I13" s="104">
        <f t="shared" ca="1" si="6"/>
        <v>0.57440475906644539</v>
      </c>
      <c r="J13" s="19">
        <f t="shared" ca="1" si="0"/>
        <v>0.33333333333333331</v>
      </c>
      <c r="K13" s="18">
        <f t="shared" ca="1" si="1"/>
        <v>0.24107142573311208</v>
      </c>
      <c r="L13" s="20">
        <f t="shared" ca="1" si="2"/>
        <v>0</v>
      </c>
      <c r="M13" s="122" t="str">
        <f t="shared" si="7"/>
        <v>07h00-24h00</v>
      </c>
      <c r="N13" s="121">
        <f ca="1">IF(B13="","",HorasTrab(M13)-HorasTrab(D13))</f>
        <v>0.14583333333333337</v>
      </c>
      <c r="O13" s="121">
        <f t="shared" ca="1" si="8"/>
        <v>0</v>
      </c>
      <c r="P13" s="99"/>
      <c r="Q13" s="6"/>
      <c r="R13" s="5"/>
    </row>
    <row r="14" spans="1:18" ht="15" customHeight="1" x14ac:dyDescent="0.2">
      <c r="B14" s="114">
        <f t="shared" si="9"/>
        <v>43166</v>
      </c>
      <c r="C14" s="115">
        <f t="shared" si="3"/>
        <v>43166</v>
      </c>
      <c r="D14" s="101" t="s">
        <v>53</v>
      </c>
      <c r="E14" s="102">
        <f ca="1">IF(B14="","",HorasD(D14))</f>
        <v>0.47916668653488159</v>
      </c>
      <c r="F14" s="103">
        <f ca="1">IF(B14="","",HorasN(D14))</f>
        <v>0.12499998509883881</v>
      </c>
      <c r="G14" s="102">
        <f t="shared" ca="1" si="4"/>
        <v>1.7857140728405552E-2</v>
      </c>
      <c r="H14" s="102">
        <f t="shared" ca="1" si="5"/>
        <v>0.14285712582724436</v>
      </c>
      <c r="I14" s="104">
        <f t="shared" ca="1" si="6"/>
        <v>0.62202380739507213</v>
      </c>
      <c r="J14" s="19">
        <f t="shared" ca="1" si="0"/>
        <v>0.33333333333333331</v>
      </c>
      <c r="K14" s="18">
        <f t="shared" ca="1" si="1"/>
        <v>0.28869047406173881</v>
      </c>
      <c r="L14" s="20">
        <f t="shared" ca="1" si="2"/>
        <v>0</v>
      </c>
      <c r="M14" s="122" t="str">
        <f t="shared" si="7"/>
        <v>07h00-02h00</v>
      </c>
      <c r="N14" s="121">
        <f ca="1">IF(B14="","",HorasTrab(M14)-HorasTrab(D14))</f>
        <v>0.18749999999999989</v>
      </c>
      <c r="O14" s="121">
        <f t="shared" ca="1" si="8"/>
        <v>0</v>
      </c>
      <c r="P14" s="99"/>
      <c r="Q14" s="6"/>
      <c r="R14" s="5"/>
    </row>
    <row r="15" spans="1:18" ht="15" customHeight="1" x14ac:dyDescent="0.2">
      <c r="B15" s="114">
        <f t="shared" si="9"/>
        <v>43167</v>
      </c>
      <c r="C15" s="115">
        <f t="shared" si="3"/>
        <v>43167</v>
      </c>
      <c r="D15" s="101" t="s">
        <v>54</v>
      </c>
      <c r="E15" s="102">
        <f ca="1">IF(B15="","",HorasD(D15))</f>
        <v>0.51041662693023682</v>
      </c>
      <c r="F15" s="103">
        <f ca="1">IF(B15="","",HorasN(D15))</f>
        <v>0.16666662693023682</v>
      </c>
      <c r="G15" s="102">
        <f t="shared" ca="1" si="4"/>
        <v>2.3809518132890978E-2</v>
      </c>
      <c r="H15" s="102">
        <f t="shared" ca="1" si="5"/>
        <v>0.19047614506312779</v>
      </c>
      <c r="I15" s="104">
        <f t="shared" ca="1" si="6"/>
        <v>0.7008928514662246</v>
      </c>
      <c r="J15" s="19">
        <f t="shared" ca="1" si="0"/>
        <v>0.33333333333333331</v>
      </c>
      <c r="K15" s="18">
        <f t="shared" ca="1" si="1"/>
        <v>0.36755951813289128</v>
      </c>
      <c r="L15" s="20">
        <f t="shared" ca="1" si="2"/>
        <v>0</v>
      </c>
      <c r="M15" s="122" t="str">
        <f t="shared" si="7"/>
        <v>07h00-02h00</v>
      </c>
      <c r="N15" s="121">
        <f ca="1">IF(B15="","",HorasTrab(M15)-HorasTrab(D15))</f>
        <v>0.11458333333333293</v>
      </c>
      <c r="O15" s="121">
        <f t="shared" ca="1" si="8"/>
        <v>0</v>
      </c>
      <c r="P15" s="99"/>
      <c r="Q15" s="6"/>
      <c r="R15" s="5"/>
    </row>
    <row r="16" spans="1:18" ht="15" customHeight="1" x14ac:dyDescent="0.2">
      <c r="A16" s="2"/>
      <c r="B16" s="114">
        <f t="shared" si="9"/>
        <v>43168</v>
      </c>
      <c r="C16" s="115">
        <f t="shared" si="3"/>
        <v>43168</v>
      </c>
      <c r="D16" s="101" t="s">
        <v>55</v>
      </c>
      <c r="E16" s="102">
        <f ca="1">IF(B16="","",HorasD(D16))</f>
        <v>0.125</v>
      </c>
      <c r="F16" s="103">
        <f ca="1">IF(B16="","",HorasN(D16))</f>
        <v>0.29166662693023682</v>
      </c>
      <c r="G16" s="102">
        <f t="shared" ca="1" si="4"/>
        <v>4.1666660990033855E-2</v>
      </c>
      <c r="H16" s="102">
        <f t="shared" ca="1" si="5"/>
        <v>0.33333328792027067</v>
      </c>
      <c r="I16" s="104">
        <f t="shared" ca="1" si="6"/>
        <v>0.45833332765670048</v>
      </c>
      <c r="J16" s="19">
        <f t="shared" ca="1" si="0"/>
        <v>0.33333333333333331</v>
      </c>
      <c r="K16" s="18">
        <f t="shared" ca="1" si="1"/>
        <v>0.12499999432336717</v>
      </c>
      <c r="L16" s="20">
        <f t="shared" ca="1" si="2"/>
        <v>0</v>
      </c>
      <c r="M16" s="122" t="str">
        <f t="shared" si="7"/>
        <v>18h00-05h00</v>
      </c>
      <c r="N16" s="121">
        <f ca="1">IF(B16="","",HorasTrab(M16)-HorasTrab(D16))</f>
        <v>4.166666666666663E-2</v>
      </c>
      <c r="O16" s="121">
        <f t="shared" ca="1" si="8"/>
        <v>3.4694469519536142E-17</v>
      </c>
      <c r="P16" s="99"/>
      <c r="Q16" s="6"/>
      <c r="R16" s="5"/>
    </row>
    <row r="17" spans="1:18" ht="15" customHeight="1" x14ac:dyDescent="0.2">
      <c r="B17" s="114">
        <f t="shared" si="9"/>
        <v>43169</v>
      </c>
      <c r="C17" s="115">
        <f t="shared" si="3"/>
        <v>43169</v>
      </c>
      <c r="D17" s="101" t="s">
        <v>56</v>
      </c>
      <c r="E17" s="102">
        <f ca="1">IF(B17="","",HorasD(D17))</f>
        <v>0.41666662693023682</v>
      </c>
      <c r="F17" s="103">
        <f ca="1">IF(B17="","",HorasN(D17))</f>
        <v>8.3333313465118408E-2</v>
      </c>
      <c r="G17" s="102">
        <f t="shared" ca="1" si="4"/>
        <v>1.1904759066445489E-2</v>
      </c>
      <c r="H17" s="102">
        <f t="shared" ca="1" si="5"/>
        <v>9.5238072531563897E-2</v>
      </c>
      <c r="I17" s="104">
        <f t="shared" ca="1" si="6"/>
        <v>0.51190475906644539</v>
      </c>
      <c r="J17" s="19">
        <f t="shared" ca="1" si="0"/>
        <v>0.16666666666666666</v>
      </c>
      <c r="K17" s="18">
        <f t="shared" ca="1" si="1"/>
        <v>0.34523809239977876</v>
      </c>
      <c r="L17" s="20">
        <f t="shared" ca="1" si="2"/>
        <v>0</v>
      </c>
      <c r="M17" s="122" t="str">
        <f t="shared" si="7"/>
        <v>07h00-24h00</v>
      </c>
      <c r="N17" s="121">
        <f ca="1">IF(B17="","",HorasTrab(M17)-HorasTrab(D17))</f>
        <v>0.20833333333333337</v>
      </c>
      <c r="O17" s="121">
        <f t="shared" ca="1" si="8"/>
        <v>0</v>
      </c>
      <c r="P17" s="99"/>
      <c r="Q17" s="6"/>
      <c r="R17" s="5"/>
    </row>
    <row r="18" spans="1:18" ht="15" customHeight="1" x14ac:dyDescent="0.2">
      <c r="A18" s="2"/>
      <c r="B18" s="114">
        <f t="shared" si="9"/>
        <v>43170</v>
      </c>
      <c r="C18" s="115">
        <f t="shared" si="3"/>
        <v>43170</v>
      </c>
      <c r="D18" s="101" t="s">
        <v>57</v>
      </c>
      <c r="E18" s="102">
        <f ca="1">IF(B18="","",HorasD(D18))</f>
        <v>0.37499997019767761</v>
      </c>
      <c r="F18" s="103">
        <f ca="1">IF(B18="","",HorasN(D18))</f>
        <v>0</v>
      </c>
      <c r="G18" s="102">
        <f t="shared" ca="1" si="4"/>
        <v>0</v>
      </c>
      <c r="H18" s="102">
        <f t="shared" ca="1" si="5"/>
        <v>0</v>
      </c>
      <c r="I18" s="104">
        <f t="shared" ca="1" si="6"/>
        <v>0.37500000000000011</v>
      </c>
      <c r="J18" s="19">
        <f t="shared" si="0"/>
        <v>0</v>
      </c>
      <c r="K18" s="18">
        <f t="shared" si="1"/>
        <v>0</v>
      </c>
      <c r="L18" s="20">
        <f t="shared" ca="1" si="2"/>
        <v>0.37500000000000011</v>
      </c>
      <c r="M18" s="122" t="str">
        <f t="shared" si="7"/>
        <v>08h00-18h00</v>
      </c>
      <c r="N18" s="121">
        <f ca="1">IF(B18="","",HorasTrab(M18)-HorasTrab(D18))</f>
        <v>4.1666666666666574E-2</v>
      </c>
      <c r="O18" s="121">
        <f t="shared" ca="1" si="8"/>
        <v>9.0205620750793969E-17</v>
      </c>
      <c r="P18" s="99"/>
      <c r="Q18" s="6"/>
      <c r="R18" s="5"/>
    </row>
    <row r="19" spans="1:18" ht="15" customHeight="1" x14ac:dyDescent="0.2">
      <c r="B19" s="114">
        <f t="shared" si="9"/>
        <v>43171</v>
      </c>
      <c r="C19" s="115">
        <f t="shared" si="3"/>
        <v>43171</v>
      </c>
      <c r="D19" s="101" t="s">
        <v>51</v>
      </c>
      <c r="E19" s="102">
        <f ca="1">IF(B19="","",HorasD(D19))</f>
        <v>0.49999997019767761</v>
      </c>
      <c r="F19" s="103">
        <f ca="1">IF(B19="","",HorasN(D19))</f>
        <v>0.125</v>
      </c>
      <c r="G19" s="102">
        <f t="shared" ca="1" si="4"/>
        <v>1.7857142857142849E-2</v>
      </c>
      <c r="H19" s="102">
        <f t="shared" ca="1" si="5"/>
        <v>0.14285714285714285</v>
      </c>
      <c r="I19" s="104">
        <f t="shared" ca="1" si="6"/>
        <v>0.64285714285714302</v>
      </c>
      <c r="J19" s="19">
        <f t="shared" ca="1" si="0"/>
        <v>0.33333333333333331</v>
      </c>
      <c r="K19" s="18">
        <f t="shared" ca="1" si="1"/>
        <v>0.3095238095238097</v>
      </c>
      <c r="L19" s="20">
        <f t="shared" ca="1" si="2"/>
        <v>0</v>
      </c>
      <c r="M19" s="122" t="str">
        <f t="shared" si="7"/>
        <v>08h00-01h00</v>
      </c>
      <c r="N19" s="121">
        <f ca="1">IF(B19="","",HorasTrab(M19)-HorasTrab(D19))</f>
        <v>8.333333333333337E-2</v>
      </c>
      <c r="O19" s="121">
        <f t="shared" ca="1" si="8"/>
        <v>0</v>
      </c>
      <c r="P19" s="99"/>
      <c r="Q19" s="6"/>
      <c r="R19" s="7"/>
    </row>
    <row r="20" spans="1:18" ht="15" customHeight="1" x14ac:dyDescent="0.2">
      <c r="B20" s="114">
        <f t="shared" si="9"/>
        <v>43172</v>
      </c>
      <c r="C20" s="115">
        <f t="shared" si="3"/>
        <v>43172</v>
      </c>
      <c r="D20" s="101" t="s">
        <v>52</v>
      </c>
      <c r="E20" s="102">
        <f ca="1">IF(B20="","",HorasD(D20))</f>
        <v>0.47916668653488159</v>
      </c>
      <c r="F20" s="103">
        <f ca="1">IF(B20="","",HorasN(D20))</f>
        <v>8.3333313465118408E-2</v>
      </c>
      <c r="G20" s="102">
        <f t="shared" ca="1" si="4"/>
        <v>1.1904759066445489E-2</v>
      </c>
      <c r="H20" s="102">
        <f t="shared" ca="1" si="5"/>
        <v>9.5238072531563897E-2</v>
      </c>
      <c r="I20" s="104">
        <f t="shared" ca="1" si="6"/>
        <v>0.57440475906644539</v>
      </c>
      <c r="J20" s="19">
        <f t="shared" ca="1" si="0"/>
        <v>0.33333333333333331</v>
      </c>
      <c r="K20" s="18">
        <f t="shared" ca="1" si="1"/>
        <v>0.24107142573311208</v>
      </c>
      <c r="L20" s="20">
        <f t="shared" ca="1" si="2"/>
        <v>0</v>
      </c>
      <c r="M20" s="122" t="str">
        <f t="shared" si="7"/>
        <v>07h00-24h00</v>
      </c>
      <c r="N20" s="121">
        <f ca="1">IF(B20="","",HorasTrab(M20)-HorasTrab(D20))</f>
        <v>0.14583333333333337</v>
      </c>
      <c r="O20" s="121">
        <f t="shared" ca="1" si="8"/>
        <v>0</v>
      </c>
      <c r="P20" s="99"/>
      <c r="Q20" s="6"/>
      <c r="R20" s="5"/>
    </row>
    <row r="21" spans="1:18" ht="15" customHeight="1" x14ac:dyDescent="0.2">
      <c r="B21" s="114">
        <f t="shared" si="9"/>
        <v>43173</v>
      </c>
      <c r="C21" s="115">
        <f t="shared" si="3"/>
        <v>43173</v>
      </c>
      <c r="D21" s="101" t="s">
        <v>53</v>
      </c>
      <c r="E21" s="102">
        <f ca="1">IF(B21="","",HorasD(D21))</f>
        <v>0.47916668653488159</v>
      </c>
      <c r="F21" s="103">
        <f ca="1">IF(B21="","",HorasN(D21))</f>
        <v>0.12499998509883881</v>
      </c>
      <c r="G21" s="102">
        <f t="shared" ca="1" si="4"/>
        <v>1.7857140728405552E-2</v>
      </c>
      <c r="H21" s="102">
        <f t="shared" ca="1" si="5"/>
        <v>0.14285712582724436</v>
      </c>
      <c r="I21" s="104">
        <f t="shared" ca="1" si="6"/>
        <v>0.62202380739507213</v>
      </c>
      <c r="J21" s="19">
        <f t="shared" ca="1" si="0"/>
        <v>0.33333333333333331</v>
      </c>
      <c r="K21" s="18">
        <f t="shared" ca="1" si="1"/>
        <v>0.28869047406173881</v>
      </c>
      <c r="L21" s="20">
        <f t="shared" ca="1" si="2"/>
        <v>0</v>
      </c>
      <c r="M21" s="122" t="str">
        <f t="shared" si="7"/>
        <v>07h00-02h00</v>
      </c>
      <c r="N21" s="121">
        <f ca="1">IF(B21="","",HorasTrab(M21)-HorasTrab(D21))</f>
        <v>0.18749999999999989</v>
      </c>
      <c r="O21" s="121">
        <f t="shared" ca="1" si="8"/>
        <v>0</v>
      </c>
      <c r="P21" s="99"/>
    </row>
    <row r="22" spans="1:18" ht="15" customHeight="1" x14ac:dyDescent="0.2">
      <c r="B22" s="114">
        <f t="shared" si="9"/>
        <v>43174</v>
      </c>
      <c r="C22" s="115">
        <f t="shared" si="3"/>
        <v>43174</v>
      </c>
      <c r="D22" s="101" t="s">
        <v>61</v>
      </c>
      <c r="E22" s="102">
        <f ca="1">IF(B22="","",HorasD(D22))</f>
        <v>0.45833331346511841</v>
      </c>
      <c r="F22" s="103">
        <f ca="1">IF(B22="","",HorasN(D22))</f>
        <v>0</v>
      </c>
      <c r="G22" s="102">
        <f t="shared" ca="1" si="4"/>
        <v>0</v>
      </c>
      <c r="H22" s="102">
        <f t="shared" ca="1" si="5"/>
        <v>0</v>
      </c>
      <c r="I22" s="104">
        <f t="shared" ca="1" si="6"/>
        <v>0.45833333333333337</v>
      </c>
      <c r="J22" s="19">
        <f t="shared" ca="1" si="0"/>
        <v>0.33333333333333331</v>
      </c>
      <c r="K22" s="18">
        <f t="shared" ca="1" si="1"/>
        <v>0.12500000000000006</v>
      </c>
      <c r="L22" s="20">
        <f t="shared" ca="1" si="2"/>
        <v>0</v>
      </c>
      <c r="M22" s="122" t="str">
        <f t="shared" si="7"/>
        <v>05h00-18h00</v>
      </c>
      <c r="N22" s="121">
        <f ca="1">IF(B22="","",HorasTrab(M22)-HorasTrab(D22))</f>
        <v>8.3333333333333259E-2</v>
      </c>
      <c r="O22" s="121">
        <f t="shared" ca="1" si="8"/>
        <v>0</v>
      </c>
      <c r="P22" s="99"/>
    </row>
    <row r="23" spans="1:18" ht="15" customHeight="1" x14ac:dyDescent="0.2">
      <c r="B23" s="114">
        <f t="shared" si="9"/>
        <v>43175</v>
      </c>
      <c r="C23" s="115">
        <f t="shared" si="3"/>
        <v>43175</v>
      </c>
      <c r="D23" s="101" t="s">
        <v>63</v>
      </c>
      <c r="E23" s="102">
        <f ca="1">IF(B23="","",HorasD(D23))</f>
        <v>9.375E-2</v>
      </c>
      <c r="F23" s="103">
        <f ca="1">IF(B23="","",HorasN(D23))</f>
        <v>0.29166662693023682</v>
      </c>
      <c r="G23" s="102">
        <f t="shared" ca="1" si="4"/>
        <v>4.1666660990033855E-2</v>
      </c>
      <c r="H23" s="102">
        <f t="shared" ca="1" si="5"/>
        <v>0.33333328792027067</v>
      </c>
      <c r="I23" s="104">
        <f t="shared" ca="1" si="6"/>
        <v>0.42708332765670048</v>
      </c>
      <c r="J23" s="19">
        <f t="shared" ca="1" si="0"/>
        <v>0.33333333333333331</v>
      </c>
      <c r="K23" s="18">
        <f t="shared" ca="1" si="1"/>
        <v>9.374999432336717E-2</v>
      </c>
      <c r="L23" s="20">
        <f t="shared" ca="1" si="2"/>
        <v>0</v>
      </c>
      <c r="M23" s="122" t="str">
        <f t="shared" si="7"/>
        <v>18h45-05h00</v>
      </c>
      <c r="N23" s="121">
        <f ca="1">IF(B23="","",HorasTrab(M23)-HorasTrab(D23))</f>
        <v>4.166666666666663E-2</v>
      </c>
      <c r="O23" s="121">
        <f t="shared" ca="1" si="8"/>
        <v>3.4694469519536142E-17</v>
      </c>
      <c r="P23" s="99"/>
      <c r="Q23" s="4"/>
      <c r="R23" s="3"/>
    </row>
    <row r="24" spans="1:18" ht="15" customHeight="1" x14ac:dyDescent="0.2">
      <c r="B24" s="114">
        <f t="shared" si="9"/>
        <v>43176</v>
      </c>
      <c r="C24" s="115">
        <f t="shared" si="3"/>
        <v>43176</v>
      </c>
      <c r="D24" s="101" t="s">
        <v>59</v>
      </c>
      <c r="E24" s="102">
        <f ca="1">IF(B24="","",HorasD(D24))</f>
        <v>0.49999994039535522</v>
      </c>
      <c r="F24" s="103">
        <f ca="1">IF(B24="","",HorasN(D24))</f>
        <v>0.125</v>
      </c>
      <c r="G24" s="102">
        <f t="shared" ca="1" si="4"/>
        <v>1.7857142857142849E-2</v>
      </c>
      <c r="H24" s="102">
        <f t="shared" ca="1" si="5"/>
        <v>0.14285714285714285</v>
      </c>
      <c r="I24" s="104">
        <f t="shared" ca="1" si="6"/>
        <v>0.64285714285714324</v>
      </c>
      <c r="J24" s="19">
        <f t="shared" ca="1" si="0"/>
        <v>0.16666666666666666</v>
      </c>
      <c r="K24" s="18">
        <f t="shared" ca="1" si="1"/>
        <v>0.47619047619047661</v>
      </c>
      <c r="L24" s="20">
        <f t="shared" ca="1" si="2"/>
        <v>0</v>
      </c>
      <c r="M24" s="122" t="str">
        <f t="shared" si="7"/>
        <v>04h00-24h00</v>
      </c>
      <c r="N24" s="121">
        <f ca="1">IF(B24="","",HorasTrab(M24)-HorasTrab(D24))</f>
        <v>0.20833333333333304</v>
      </c>
      <c r="O24" s="121">
        <f t="shared" ca="1" si="8"/>
        <v>0</v>
      </c>
      <c r="P24" s="99"/>
    </row>
    <row r="25" spans="1:18" ht="15" customHeight="1" x14ac:dyDescent="0.2">
      <c r="B25" s="114">
        <f t="shared" si="9"/>
        <v>43177</v>
      </c>
      <c r="C25" s="115">
        <f t="shared" si="3"/>
        <v>43177</v>
      </c>
      <c r="D25" s="101" t="s">
        <v>62</v>
      </c>
      <c r="E25" s="102">
        <f ca="1">IF(B25="","",HorasD(D25))</f>
        <v>0.30277776718139648</v>
      </c>
      <c r="F25" s="103">
        <f ca="1">IF(B25="","",HorasN(D25))</f>
        <v>0</v>
      </c>
      <c r="G25" s="102">
        <f t="shared" ca="1" si="4"/>
        <v>0</v>
      </c>
      <c r="H25" s="102">
        <f t="shared" ca="1" si="5"/>
        <v>0</v>
      </c>
      <c r="I25" s="104">
        <f t="shared" ca="1" si="6"/>
        <v>0.3027777777777777</v>
      </c>
      <c r="J25" s="19">
        <f t="shared" si="0"/>
        <v>0</v>
      </c>
      <c r="K25" s="18">
        <f t="shared" si="1"/>
        <v>0</v>
      </c>
      <c r="L25" s="20">
        <f t="shared" ca="1" si="2"/>
        <v>0.3027777777777777</v>
      </c>
      <c r="M25" s="122" t="str">
        <f t="shared" si="7"/>
        <v>07h44-15h30</v>
      </c>
      <c r="N25" s="121">
        <f ca="1">IF(B25="","",HorasTrab(M25)-HorasTrab(D25))</f>
        <v>2.0833333333333426E-2</v>
      </c>
      <c r="O25" s="121">
        <f t="shared" ca="1" si="8"/>
        <v>2.0833333333333239E-2</v>
      </c>
      <c r="P25" s="99"/>
    </row>
    <row r="26" spans="1:18" ht="15" customHeight="1" x14ac:dyDescent="0.2">
      <c r="B26" s="114">
        <f t="shared" si="9"/>
        <v>43178</v>
      </c>
      <c r="C26" s="115">
        <f t="shared" si="3"/>
        <v>43178</v>
      </c>
      <c r="D26" s="101" t="s">
        <v>66</v>
      </c>
      <c r="E26" s="102">
        <f ca="1">IF(B26="","",HorasD(D26))</f>
        <v>0.58333337306976318</v>
      </c>
      <c r="F26" s="103">
        <f ca="1">IF(B26="","",HorasN(D26))</f>
        <v>0.16666668653488159</v>
      </c>
      <c r="G26" s="102">
        <f t="shared" ca="1" si="4"/>
        <v>2.3809526647840223E-2</v>
      </c>
      <c r="H26" s="102">
        <f t="shared" ca="1" si="5"/>
        <v>0.19047621318272182</v>
      </c>
      <c r="I26" s="104">
        <f t="shared" ca="1" si="6"/>
        <v>0.77380952664783986</v>
      </c>
      <c r="J26" s="19">
        <f t="shared" ca="1" si="0"/>
        <v>0.33333333333333331</v>
      </c>
      <c r="K26" s="18">
        <f t="shared" ca="1" si="1"/>
        <v>0.44047619331450655</v>
      </c>
      <c r="L26" s="20">
        <f t="shared" ca="1" si="2"/>
        <v>0</v>
      </c>
      <c r="M26" s="122" t="str">
        <f t="shared" si="7"/>
        <v>05h00-03h00</v>
      </c>
      <c r="N26" s="121">
        <f ca="1">IF(B26="","",HorasTrab(M26)-HorasTrab(D26))</f>
        <v>0.16666666666666696</v>
      </c>
      <c r="O26" s="121">
        <f t="shared" ca="1" si="8"/>
        <v>0</v>
      </c>
      <c r="P26" s="99"/>
    </row>
    <row r="27" spans="1:18" ht="15" customHeight="1" x14ac:dyDescent="0.2">
      <c r="B27" s="114">
        <f t="shared" si="9"/>
        <v>43179</v>
      </c>
      <c r="C27" s="115">
        <f t="shared" si="3"/>
        <v>43179</v>
      </c>
      <c r="D27" s="101" t="s">
        <v>52</v>
      </c>
      <c r="E27" s="102">
        <f ca="1">IF(B27="","",HorasD(D27))</f>
        <v>0.47916668653488159</v>
      </c>
      <c r="F27" s="103">
        <f ca="1">IF(B27="","",HorasN(D27))</f>
        <v>8.3333313465118408E-2</v>
      </c>
      <c r="G27" s="102">
        <f t="shared" ca="1" si="4"/>
        <v>1.1904759066445489E-2</v>
      </c>
      <c r="H27" s="102">
        <f t="shared" ca="1" si="5"/>
        <v>9.5238072531563897E-2</v>
      </c>
      <c r="I27" s="104">
        <f t="shared" ca="1" si="6"/>
        <v>0.57440475906644539</v>
      </c>
      <c r="J27" s="19">
        <f t="shared" ca="1" si="0"/>
        <v>0.33333333333333331</v>
      </c>
      <c r="K27" s="18">
        <f t="shared" ca="1" si="1"/>
        <v>0.24107142573311208</v>
      </c>
      <c r="L27" s="20">
        <f t="shared" ca="1" si="2"/>
        <v>0</v>
      </c>
      <c r="M27" s="122" t="str">
        <f t="shared" si="7"/>
        <v>07h00-24h00</v>
      </c>
      <c r="N27" s="121">
        <f ca="1">IF(B27="","",HorasTrab(M27)-HorasTrab(D27))</f>
        <v>0.14583333333333337</v>
      </c>
      <c r="O27" s="121">
        <f t="shared" ca="1" si="8"/>
        <v>0</v>
      </c>
      <c r="P27" s="99"/>
    </row>
    <row r="28" spans="1:18" ht="15" customHeight="1" x14ac:dyDescent="0.2">
      <c r="B28" s="114">
        <f t="shared" si="9"/>
        <v>43180</v>
      </c>
      <c r="C28" s="115">
        <f t="shared" si="3"/>
        <v>43180</v>
      </c>
      <c r="D28" s="101" t="s">
        <v>53</v>
      </c>
      <c r="E28" s="102">
        <f ca="1">IF(B28="","",HorasD(D28))</f>
        <v>0.47916668653488159</v>
      </c>
      <c r="F28" s="103">
        <f ca="1">IF(B28="","",HorasN(D28))</f>
        <v>0.12499998509883881</v>
      </c>
      <c r="G28" s="102">
        <f t="shared" ca="1" si="4"/>
        <v>1.7857140728405552E-2</v>
      </c>
      <c r="H28" s="102">
        <f t="shared" ca="1" si="5"/>
        <v>0.14285712582724436</v>
      </c>
      <c r="I28" s="104">
        <f t="shared" ca="1" si="6"/>
        <v>0.62202380739507213</v>
      </c>
      <c r="J28" s="19">
        <f t="shared" ca="1" si="0"/>
        <v>0.33333333333333331</v>
      </c>
      <c r="K28" s="18">
        <f t="shared" ca="1" si="1"/>
        <v>0.28869047406173881</v>
      </c>
      <c r="L28" s="20">
        <f t="shared" ca="1" si="2"/>
        <v>0</v>
      </c>
      <c r="M28" s="122" t="str">
        <f t="shared" si="7"/>
        <v>07h00-02h00</v>
      </c>
      <c r="N28" s="121">
        <f ca="1">IF(B28="","",HorasTrab(M28)-HorasTrab(D28))</f>
        <v>0.18749999999999989</v>
      </c>
      <c r="O28" s="121">
        <f t="shared" ca="1" si="8"/>
        <v>0</v>
      </c>
      <c r="P28" s="99"/>
    </row>
    <row r="29" spans="1:18" ht="15" customHeight="1" x14ac:dyDescent="0.2">
      <c r="B29" s="114">
        <f t="shared" si="9"/>
        <v>43181</v>
      </c>
      <c r="C29" s="115">
        <f t="shared" si="3"/>
        <v>43181</v>
      </c>
      <c r="D29" s="101" t="s">
        <v>54</v>
      </c>
      <c r="E29" s="102">
        <f ca="1">IF(B29="","",HorasD(D29))</f>
        <v>0.51041662693023682</v>
      </c>
      <c r="F29" s="103">
        <f ca="1">IF(B29="","",HorasN(D29))</f>
        <v>0.16666662693023682</v>
      </c>
      <c r="G29" s="102">
        <f t="shared" ca="1" si="4"/>
        <v>2.3809518132890978E-2</v>
      </c>
      <c r="H29" s="102">
        <f t="shared" ca="1" si="5"/>
        <v>0.19047614506312779</v>
      </c>
      <c r="I29" s="104">
        <f t="shared" ca="1" si="6"/>
        <v>0.7008928514662246</v>
      </c>
      <c r="J29" s="19">
        <f t="shared" ca="1" si="0"/>
        <v>0.33333333333333331</v>
      </c>
      <c r="K29" s="18">
        <f t="shared" ca="1" si="1"/>
        <v>0.36755951813289128</v>
      </c>
      <c r="L29" s="20">
        <f t="shared" ca="1" si="2"/>
        <v>0</v>
      </c>
      <c r="M29" s="122" t="str">
        <f t="shared" si="7"/>
        <v>07h00-02h00</v>
      </c>
      <c r="N29" s="121">
        <f ca="1">IF(B29="","",HorasTrab(M29)-HorasTrab(D29))</f>
        <v>0.11458333333333293</v>
      </c>
      <c r="O29" s="121">
        <f t="shared" ca="1" si="8"/>
        <v>0</v>
      </c>
      <c r="P29" s="99"/>
    </row>
    <row r="30" spans="1:18" ht="15" customHeight="1" x14ac:dyDescent="0.2">
      <c r="B30" s="114">
        <f t="shared" si="9"/>
        <v>43182</v>
      </c>
      <c r="C30" s="115">
        <f t="shared" si="3"/>
        <v>43182</v>
      </c>
      <c r="D30" s="101" t="s">
        <v>65</v>
      </c>
      <c r="E30" s="102">
        <f ca="1">IF(B30="","",HorasD(D30))</f>
        <v>0.12569445371627808</v>
      </c>
      <c r="F30" s="103">
        <f ca="1">IF(B30="","",HorasN(D30))</f>
        <v>0.29166662693023682</v>
      </c>
      <c r="G30" s="102">
        <f t="shared" ca="1" si="4"/>
        <v>4.1666660990033855E-2</v>
      </c>
      <c r="H30" s="102">
        <f t="shared" ca="1" si="5"/>
        <v>0.33333328792027067</v>
      </c>
      <c r="I30" s="104">
        <f t="shared" ca="1" si="6"/>
        <v>0.45902777210114504</v>
      </c>
      <c r="J30" s="19">
        <f t="shared" ca="1" si="0"/>
        <v>0.33333333333333331</v>
      </c>
      <c r="K30" s="18">
        <f t="shared" ca="1" si="1"/>
        <v>0.12569443876781172</v>
      </c>
      <c r="L30" s="20">
        <f t="shared" ca="1" si="2"/>
        <v>0</v>
      </c>
      <c r="M30" s="122" t="str">
        <f t="shared" si="7"/>
        <v>18h00-05h01</v>
      </c>
      <c r="N30" s="121">
        <f ca="1">IF(B30="","",HorasTrab(M30)-HorasTrab(D30))</f>
        <v>4.166666666666663E-2</v>
      </c>
      <c r="O30" s="121">
        <f t="shared" ca="1" si="8"/>
        <v>3.4694469519536142E-17</v>
      </c>
      <c r="P30" s="99"/>
    </row>
    <row r="31" spans="1:18" ht="15" customHeight="1" x14ac:dyDescent="0.2">
      <c r="B31" s="114">
        <f t="shared" si="9"/>
        <v>43183</v>
      </c>
      <c r="C31" s="115">
        <f>IF(B31="","",IF(COUNTIF(fer,B31)&gt;0,"feriado",B31))</f>
        <v>43183</v>
      </c>
      <c r="D31" s="101" t="s">
        <v>64</v>
      </c>
      <c r="E31" s="102">
        <f ca="1">IF(B31="","",HorasD(D31))</f>
        <v>0.18819445371627808</v>
      </c>
      <c r="F31" s="103">
        <f ca="1">IF(B31="","",HorasN(D31))</f>
        <v>0</v>
      </c>
      <c r="G31" s="102">
        <f t="shared" ca="1" si="4"/>
        <v>0</v>
      </c>
      <c r="H31" s="102">
        <f t="shared" ca="1" si="5"/>
        <v>0</v>
      </c>
      <c r="I31" s="104">
        <f t="shared" ca="1" si="6"/>
        <v>0.18819444444444439</v>
      </c>
      <c r="J31" s="19">
        <f t="shared" ca="1" si="0"/>
        <v>0.16666666666666666</v>
      </c>
      <c r="K31" s="18">
        <f t="shared" ca="1" si="1"/>
        <v>2.1527777777777729E-2</v>
      </c>
      <c r="L31" s="20">
        <f t="shared" ca="1" si="2"/>
        <v>0</v>
      </c>
      <c r="M31" s="122" t="str">
        <f t="shared" si="7"/>
        <v>07h44-12h15</v>
      </c>
      <c r="N31" s="121">
        <f ca="1">IF(B31="","",HorasTrab(M31)-HorasTrab(D31))</f>
        <v>0</v>
      </c>
      <c r="O31" s="121">
        <f t="shared" ca="1" si="8"/>
        <v>0</v>
      </c>
      <c r="P31" s="99"/>
    </row>
    <row r="32" spans="1:18" ht="15" customHeight="1" x14ac:dyDescent="0.2">
      <c r="B32" s="114">
        <f t="shared" si="9"/>
        <v>43184</v>
      </c>
      <c r="C32" s="115">
        <f t="shared" si="3"/>
        <v>43184</v>
      </c>
      <c r="D32" s="101" t="s">
        <v>58</v>
      </c>
      <c r="E32" s="102">
        <f ca="1">IF(B32="","",HorasD(D32))</f>
        <v>0.2986111044883728</v>
      </c>
      <c r="F32" s="103">
        <f ca="1">IF(B32="","",HorasN(D32))</f>
        <v>0</v>
      </c>
      <c r="G32" s="102">
        <f t="shared" ca="1" si="4"/>
        <v>0</v>
      </c>
      <c r="H32" s="102">
        <f t="shared" ca="1" si="5"/>
        <v>0</v>
      </c>
      <c r="I32" s="104">
        <f t="shared" ca="1" si="6"/>
        <v>0.29861111111111105</v>
      </c>
      <c r="J32" s="19">
        <f t="shared" si="0"/>
        <v>0</v>
      </c>
      <c r="K32" s="18">
        <f t="shared" si="1"/>
        <v>0</v>
      </c>
      <c r="L32" s="20">
        <f t="shared" ca="1" si="2"/>
        <v>0.29861111111111105</v>
      </c>
      <c r="M32" s="122" t="str">
        <f t="shared" si="7"/>
        <v>07h50-15h30</v>
      </c>
      <c r="N32" s="121">
        <f ca="1">IF(B32="","",HorasTrab(M32)-HorasTrab(D32))</f>
        <v>2.0833333333333426E-2</v>
      </c>
      <c r="O32" s="121">
        <f t="shared" ca="1" si="8"/>
        <v>2.0833333333333239E-2</v>
      </c>
      <c r="P32" s="99"/>
    </row>
    <row r="33" spans="2:16" ht="15" customHeight="1" x14ac:dyDescent="0.2">
      <c r="B33" s="114">
        <f t="shared" si="9"/>
        <v>43185</v>
      </c>
      <c r="C33" s="115">
        <f t="shared" si="3"/>
        <v>43185</v>
      </c>
      <c r="D33" s="101" t="s">
        <v>51</v>
      </c>
      <c r="E33" s="102">
        <f ca="1">IF(B33="","",HorasD(D33))</f>
        <v>0.49999997019767761</v>
      </c>
      <c r="F33" s="103">
        <f ca="1">IF(B33="","",HorasN(D33))</f>
        <v>0.125</v>
      </c>
      <c r="G33" s="102">
        <f t="shared" ca="1" si="4"/>
        <v>1.7857142857142849E-2</v>
      </c>
      <c r="H33" s="102">
        <f t="shared" ca="1" si="5"/>
        <v>0.14285714285714285</v>
      </c>
      <c r="I33" s="104">
        <f t="shared" ca="1" si="6"/>
        <v>0.64285714285714302</v>
      </c>
      <c r="J33" s="19">
        <f t="shared" ca="1" si="0"/>
        <v>0.33333333333333331</v>
      </c>
      <c r="K33" s="18">
        <f t="shared" ca="1" si="1"/>
        <v>0.3095238095238097</v>
      </c>
      <c r="L33" s="20">
        <f t="shared" ca="1" si="2"/>
        <v>0</v>
      </c>
      <c r="M33" s="122" t="str">
        <f t="shared" si="7"/>
        <v>08h00-01h00</v>
      </c>
      <c r="N33" s="121">
        <f ca="1">IF(B33="","",HorasTrab(M33)-HorasTrab(D33))</f>
        <v>8.333333333333337E-2</v>
      </c>
      <c r="O33" s="121">
        <f t="shared" ca="1" si="8"/>
        <v>0</v>
      </c>
      <c r="P33" s="99"/>
    </row>
    <row r="34" spans="2:16" ht="15" customHeight="1" x14ac:dyDescent="0.2">
      <c r="B34" s="114">
        <f t="shared" si="9"/>
        <v>43186</v>
      </c>
      <c r="C34" s="115">
        <f t="shared" si="3"/>
        <v>43186</v>
      </c>
      <c r="D34" s="101" t="s">
        <v>52</v>
      </c>
      <c r="E34" s="102">
        <f ca="1">IF(B34="","",HorasD(D34))</f>
        <v>0.47916668653488159</v>
      </c>
      <c r="F34" s="103">
        <f ca="1">IF(B34="","",HorasN(D34))</f>
        <v>8.3333313465118408E-2</v>
      </c>
      <c r="G34" s="102">
        <f t="shared" ca="1" si="4"/>
        <v>1.1904759066445489E-2</v>
      </c>
      <c r="H34" s="102">
        <f t="shared" ca="1" si="5"/>
        <v>9.5238072531563897E-2</v>
      </c>
      <c r="I34" s="104">
        <f t="shared" ca="1" si="6"/>
        <v>0.57440475906644539</v>
      </c>
      <c r="J34" s="19">
        <f t="shared" ca="1" si="0"/>
        <v>0.33333333333333331</v>
      </c>
      <c r="K34" s="18">
        <f t="shared" ca="1" si="1"/>
        <v>0.24107142573311208</v>
      </c>
      <c r="L34" s="20">
        <f t="shared" ca="1" si="2"/>
        <v>0</v>
      </c>
      <c r="M34" s="122" t="str">
        <f t="shared" si="7"/>
        <v>07h00-24h00</v>
      </c>
      <c r="N34" s="121">
        <f ca="1">IF(B34="","",HorasTrab(M34)-HorasTrab(D34))</f>
        <v>0.14583333333333337</v>
      </c>
      <c r="O34" s="121">
        <f t="shared" ca="1" si="8"/>
        <v>0</v>
      </c>
      <c r="P34" s="99"/>
    </row>
    <row r="35" spans="2:16" ht="15" customHeight="1" x14ac:dyDescent="0.2">
      <c r="B35" s="114">
        <f t="shared" si="9"/>
        <v>43187</v>
      </c>
      <c r="C35" s="115">
        <f t="shared" si="3"/>
        <v>43187</v>
      </c>
      <c r="D35" s="101" t="s">
        <v>53</v>
      </c>
      <c r="E35" s="102">
        <f ca="1">IF(B35="","",HorasD(D35))</f>
        <v>0.47916668653488159</v>
      </c>
      <c r="F35" s="103">
        <f ca="1">IF(B35="","",HorasN(D35))</f>
        <v>0.12499998509883881</v>
      </c>
      <c r="G35" s="102">
        <f t="shared" ca="1" si="4"/>
        <v>1.7857140728405552E-2</v>
      </c>
      <c r="H35" s="102">
        <f t="shared" ca="1" si="5"/>
        <v>0.14285712582724436</v>
      </c>
      <c r="I35" s="104">
        <f t="shared" ca="1" si="6"/>
        <v>0.62202380739507213</v>
      </c>
      <c r="J35" s="19">
        <f t="shared" ca="1" si="0"/>
        <v>0.33333333333333331</v>
      </c>
      <c r="K35" s="18">
        <f t="shared" ca="1" si="1"/>
        <v>0.28869047406173881</v>
      </c>
      <c r="L35" s="20">
        <f t="shared" ca="1" si="2"/>
        <v>0</v>
      </c>
      <c r="M35" s="122" t="str">
        <f t="shared" si="7"/>
        <v>07h00-02h00</v>
      </c>
      <c r="N35" s="121">
        <f ca="1">IF(B35="","",HorasTrab(M35)-HorasTrab(D35))</f>
        <v>0.18749999999999989</v>
      </c>
      <c r="O35" s="121">
        <f t="shared" ca="1" si="8"/>
        <v>0</v>
      </c>
      <c r="P35" s="99"/>
    </row>
    <row r="36" spans="2:16" ht="15" customHeight="1" x14ac:dyDescent="0.2">
      <c r="B36" s="116">
        <f>IF(B35="","",IF(B35&gt;=fim,"",B35+1))</f>
        <v>43188</v>
      </c>
      <c r="C36" s="115">
        <f t="shared" si="3"/>
        <v>43188</v>
      </c>
      <c r="D36" s="101" t="s">
        <v>54</v>
      </c>
      <c r="E36" s="102">
        <f ca="1">IF(B36="","",HorasD(D36))</f>
        <v>0.51041662693023682</v>
      </c>
      <c r="F36" s="103">
        <f ca="1">IF(B36="","",HorasN(D36))</f>
        <v>0.16666662693023682</v>
      </c>
      <c r="G36" s="102">
        <f t="shared" ca="1" si="4"/>
        <v>2.3809518132890978E-2</v>
      </c>
      <c r="H36" s="102">
        <f t="shared" ca="1" si="5"/>
        <v>0.19047614506312779</v>
      </c>
      <c r="I36" s="104">
        <f t="shared" ca="1" si="6"/>
        <v>0.7008928514662246</v>
      </c>
      <c r="J36" s="19">
        <f t="shared" ca="1" si="0"/>
        <v>0.33333333333333331</v>
      </c>
      <c r="K36" s="18">
        <f t="shared" ca="1" si="1"/>
        <v>0.36755951813289128</v>
      </c>
      <c r="L36" s="20">
        <f t="shared" ca="1" si="2"/>
        <v>0</v>
      </c>
      <c r="M36" s="122" t="str">
        <f t="shared" si="7"/>
        <v>07h00-02h00</v>
      </c>
      <c r="N36" s="121">
        <f ca="1">IF(B36="","",HorasTrab(M36)-HorasTrab(D36))</f>
        <v>0.11458333333333293</v>
      </c>
      <c r="O36" s="121">
        <f t="shared" ca="1" si="8"/>
        <v>0</v>
      </c>
      <c r="P36" s="99"/>
    </row>
    <row r="37" spans="2:16" ht="15" customHeight="1" x14ac:dyDescent="0.2">
      <c r="B37" s="116">
        <f>IF(B36="","",IF(B36&gt;=fim,"",B36+1))</f>
        <v>43189</v>
      </c>
      <c r="C37" s="115" t="str">
        <f t="shared" si="3"/>
        <v>feriado</v>
      </c>
      <c r="D37" s="101" t="s">
        <v>55</v>
      </c>
      <c r="E37" s="102">
        <f ca="1">IF(B37="","",HorasD(D37))</f>
        <v>0.125</v>
      </c>
      <c r="F37" s="103">
        <f ca="1">IF(B37="","",HorasN(D37))</f>
        <v>0.29166662693023682</v>
      </c>
      <c r="G37" s="102">
        <f t="shared" ca="1" si="4"/>
        <v>4.1666660990033855E-2</v>
      </c>
      <c r="H37" s="102">
        <f t="shared" ca="1" si="5"/>
        <v>0.33333328792027067</v>
      </c>
      <c r="I37" s="104">
        <f t="shared" ca="1" si="6"/>
        <v>0.45833332765670048</v>
      </c>
      <c r="J37" s="19">
        <f t="shared" si="0"/>
        <v>0</v>
      </c>
      <c r="K37" s="18">
        <f t="shared" si="1"/>
        <v>0</v>
      </c>
      <c r="L37" s="20">
        <f t="shared" ca="1" si="2"/>
        <v>0.45833332765670048</v>
      </c>
      <c r="M37" s="122" t="str">
        <f t="shared" si="7"/>
        <v>18h00-05h00</v>
      </c>
      <c r="N37" s="121">
        <f ca="1">IF(B37="","",HorasTrab(M37)-HorasTrab(D37))</f>
        <v>4.166666666666663E-2</v>
      </c>
      <c r="O37" s="121">
        <f t="shared" ca="1" si="8"/>
        <v>3.4694469519536142E-17</v>
      </c>
      <c r="P37" s="99"/>
    </row>
    <row r="38" spans="2:16" ht="15" customHeight="1" x14ac:dyDescent="0.2">
      <c r="B38" s="116">
        <f>IF(B37="","",IF(B37&gt;=fim,"",B37+1))</f>
        <v>43190</v>
      </c>
      <c r="C38" s="115">
        <f t="shared" si="3"/>
        <v>43190</v>
      </c>
      <c r="D38" s="101" t="s">
        <v>60</v>
      </c>
      <c r="E38" s="102">
        <f ca="1">IF(B38="","",HorasD(D38))</f>
        <v>0.45833328366279602</v>
      </c>
      <c r="F38" s="103">
        <f ca="1">IF(B38="","",HorasN(D38))</f>
        <v>8.3333313465118408E-2</v>
      </c>
      <c r="G38" s="102">
        <f t="shared" ca="1" si="4"/>
        <v>1.1904759066445489E-2</v>
      </c>
      <c r="H38" s="102">
        <f t="shared" ca="1" si="5"/>
        <v>9.5238072531563897E-2</v>
      </c>
      <c r="I38" s="104">
        <f t="shared" ca="1" si="6"/>
        <v>0.55357142573311235</v>
      </c>
      <c r="J38" s="19">
        <f t="shared" ca="1" si="0"/>
        <v>0.16666666666666666</v>
      </c>
      <c r="K38" s="18">
        <f t="shared" ca="1" si="1"/>
        <v>0.38690475906644572</v>
      </c>
      <c r="L38" s="20">
        <f t="shared" ca="1" si="2"/>
        <v>0</v>
      </c>
      <c r="M38" s="122" t="str">
        <f t="shared" si="7"/>
        <v>06h00-24h00</v>
      </c>
      <c r="N38" s="121">
        <f ca="1">IF(B38="","",HorasTrab(M38)-HorasTrab(D38))</f>
        <v>0.20833333333333315</v>
      </c>
      <c r="O38" s="121">
        <f t="shared" ca="1" si="8"/>
        <v>0</v>
      </c>
      <c r="P38" s="99"/>
    </row>
    <row r="39" spans="2:16" ht="15" customHeight="1" x14ac:dyDescent="0.2">
      <c r="B39" s="96" t="s">
        <v>39</v>
      </c>
      <c r="C39" s="96" t="s">
        <v>38</v>
      </c>
      <c r="D39" s="96"/>
      <c r="E39" s="96"/>
      <c r="F39" s="96"/>
      <c r="G39" s="22" t="s">
        <v>40</v>
      </c>
      <c r="H39" s="97">
        <f ca="1">SUM(H8:H38)</f>
        <v>3.857142312186105</v>
      </c>
      <c r="I39" s="97">
        <f ca="1">SUM(I8:I38)</f>
        <v>16.376587233467706</v>
      </c>
      <c r="J39" s="27" t="s">
        <v>40</v>
      </c>
      <c r="K39" s="97">
        <f ca="1">SUM(K8:K38)</f>
        <v>6.8376983502554527</v>
      </c>
      <c r="L39" s="97">
        <f ca="1">SUM(L8:L38)</f>
        <v>1.7055555498789228</v>
      </c>
      <c r="M39" s="97">
        <f t="shared" ref="M39:N39" si="10">SUM(M8:M38)</f>
        <v>0</v>
      </c>
      <c r="N39" s="97">
        <f t="shared" ca="1" si="10"/>
        <v>3.2604166666666656</v>
      </c>
      <c r="O39" s="97">
        <f t="shared" ref="O39" ca="1" si="11">SUM(O8:O38)</f>
        <v>8.3333333333333343E-2</v>
      </c>
    </row>
    <row r="40" spans="2:16" ht="15" customHeight="1" x14ac:dyDescent="0.2">
      <c r="B40" s="23">
        <f>B8</f>
        <v>43160</v>
      </c>
      <c r="C40" s="23">
        <f>MAX(B8:B38)</f>
        <v>43190</v>
      </c>
      <c r="D40" s="24"/>
      <c r="E40" s="25"/>
      <c r="F40" s="28"/>
      <c r="G40" s="22" t="s">
        <v>41</v>
      </c>
      <c r="H40" s="26">
        <f ca="1">H39*24</f>
        <v>92.571415492466514</v>
      </c>
      <c r="I40" s="26">
        <f ca="1">I39*24</f>
        <v>393.03809360322498</v>
      </c>
      <c r="J40" s="27" t="s">
        <v>41</v>
      </c>
      <c r="K40" s="26">
        <f ca="1">K39*24</f>
        <v>164.10476040613088</v>
      </c>
      <c r="L40" s="26">
        <f ca="1">L39*24</f>
        <v>40.933333197094143</v>
      </c>
      <c r="M40" s="26">
        <f t="shared" ref="M40:N40" si="12">M39*24</f>
        <v>0</v>
      </c>
      <c r="N40" s="26">
        <f t="shared" ca="1" si="12"/>
        <v>78.249999999999972</v>
      </c>
      <c r="O40" s="26">
        <f t="shared" ref="O40" ca="1" si="13">O39*24</f>
        <v>2</v>
      </c>
    </row>
    <row r="41" spans="2:16" ht="15" customHeight="1" x14ac:dyDescent="0.2">
      <c r="B41" s="82" t="str">
        <f>IF(dia_f="","",DATE(ano_p,mês_p,1))</f>
        <v/>
      </c>
      <c r="C41" s="107" t="s">
        <v>67</v>
      </c>
      <c r="D41" s="106">
        <f ca="1">HorasTrab(quadro_horarios)</f>
        <v>15.894444444444465</v>
      </c>
      <c r="E41" s="83" t="str">
        <f>IF(B41="","",D41+#REF!)</f>
        <v/>
      </c>
      <c r="F41" s="84" t="str">
        <f>IF(B41="","",#REF!&amp;"/"&amp;E41)</f>
        <v/>
      </c>
      <c r="G41" s="83"/>
      <c r="H41" s="105"/>
      <c r="I41" s="83"/>
      <c r="J41" s="83"/>
      <c r="K41" s="80"/>
      <c r="L41" s="80"/>
    </row>
    <row r="42" spans="2:16" x14ac:dyDescent="0.2">
      <c r="G42" s="79" t="str">
        <f>IF(B41="","","Dsr mês:")</f>
        <v/>
      </c>
      <c r="H42" s="81" t="str">
        <f>IF(B41="","",$H$40/#REF!*$E41)</f>
        <v/>
      </c>
      <c r="J42" s="79" t="str">
        <f>IF(B41="","","Dsr mês:")</f>
        <v/>
      </c>
      <c r="K42" s="81" t="str">
        <f>IF(B41="","",$K$40/#REF!*$E41)</f>
        <v/>
      </c>
      <c r="L42" s="81" t="str">
        <f>IF(B41="","",$L$40/#REF!*$E41)</f>
        <v/>
      </c>
    </row>
    <row r="43" spans="2:16" x14ac:dyDescent="0.2">
      <c r="H43" s="81"/>
    </row>
    <row r="44" spans="2:16" ht="18.75" hidden="1" x14ac:dyDescent="0.2">
      <c r="E44" s="1"/>
      <c r="F44" s="1"/>
      <c r="G44" s="1"/>
      <c r="H44" s="1"/>
    </row>
    <row r="45" spans="2:16" hidden="1" x14ac:dyDescent="0.2"/>
    <row r="46" spans="2:16" hidden="1" x14ac:dyDescent="0.2"/>
    <row r="47" spans="2:16" hidden="1" x14ac:dyDescent="0.2"/>
    <row r="48" spans="2:16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spans="3:4" hidden="1" x14ac:dyDescent="0.2"/>
    <row r="114" spans="3:4" hidden="1" x14ac:dyDescent="0.2"/>
    <row r="115" spans="3:4" hidden="1" x14ac:dyDescent="0.2"/>
    <row r="116" spans="3:4" hidden="1" x14ac:dyDescent="0.2"/>
    <row r="117" spans="3:4" hidden="1" x14ac:dyDescent="0.2"/>
    <row r="118" spans="3:4" hidden="1" x14ac:dyDescent="0.2"/>
    <row r="119" spans="3:4" hidden="1" x14ac:dyDescent="0.2"/>
    <row r="120" spans="3:4" hidden="1" x14ac:dyDescent="0.2"/>
    <row r="121" spans="3:4" hidden="1" x14ac:dyDescent="0.2"/>
    <row r="122" spans="3:4" hidden="1" x14ac:dyDescent="0.2"/>
    <row r="123" spans="3:4" hidden="1" x14ac:dyDescent="0.2"/>
    <row r="124" spans="3:4" hidden="1" x14ac:dyDescent="0.2"/>
    <row r="125" spans="3:4" hidden="1" x14ac:dyDescent="0.2"/>
    <row r="126" spans="3:4" hidden="1" x14ac:dyDescent="0.2"/>
    <row r="127" spans="3:4" hidden="1" x14ac:dyDescent="0.2"/>
    <row r="128" spans="3:4" hidden="1" x14ac:dyDescent="0.2">
      <c r="C128" s="31" t="s">
        <v>42</v>
      </c>
      <c r="D128" s="32">
        <f>IF(dia_f="",DATE(ano_p,mês_p,1),DATE(ano_p,mês_p-1,dia_f+1))</f>
        <v>43160</v>
      </c>
    </row>
    <row r="129" spans="3:4" hidden="1" x14ac:dyDescent="0.2">
      <c r="C129" s="29" t="s">
        <v>45</v>
      </c>
      <c r="D129" s="32">
        <f>IF(dia_f="",DATE(ano_p,mês_p+1,0),(DATE(ano_p,mês_p,dia_f)))</f>
        <v>43190</v>
      </c>
    </row>
  </sheetData>
  <sheetProtection selectLockedCells="1"/>
  <mergeCells count="6">
    <mergeCell ref="D5:D6"/>
    <mergeCell ref="Q7:R7"/>
    <mergeCell ref="H2:I2"/>
    <mergeCell ref="K2:L2"/>
    <mergeCell ref="E2:F2"/>
    <mergeCell ref="D3:E3"/>
  </mergeCells>
  <conditionalFormatting sqref="B8:C38">
    <cfRule type="expression" dxfId="29" priority="12">
      <formula>WEEKDAY($B8,2)=7</formula>
    </cfRule>
    <cfRule type="expression" dxfId="28" priority="13">
      <formula>COUNTIF(fer,$B8)&gt;0</formula>
    </cfRule>
  </conditionalFormatting>
  <conditionalFormatting sqref="D8:D38">
    <cfRule type="expression" dxfId="27" priority="10">
      <formula>WEEKDAY($B8,2)=7</formula>
    </cfRule>
    <cfRule type="expression" dxfId="26" priority="11">
      <formula>COUNTIF(fer,$B8)&gt;0</formula>
    </cfRule>
  </conditionalFormatting>
  <conditionalFormatting sqref="B41:C41">
    <cfRule type="expression" dxfId="25" priority="7">
      <formula>dia_f&lt;&gt;""</formula>
    </cfRule>
  </conditionalFormatting>
  <conditionalFormatting sqref="D41:F41">
    <cfRule type="expression" dxfId="24" priority="6">
      <formula>dia_f&lt;&gt;""</formula>
    </cfRule>
  </conditionalFormatting>
  <conditionalFormatting sqref="G42">
    <cfRule type="expression" dxfId="23" priority="5">
      <formula>dia_f&lt;&gt;""</formula>
    </cfRule>
  </conditionalFormatting>
  <conditionalFormatting sqref="I42">
    <cfRule type="expression" dxfId="22" priority="4">
      <formula>dia_f&lt;&gt;""</formula>
    </cfRule>
  </conditionalFormatting>
  <conditionalFormatting sqref="J42">
    <cfRule type="expression" dxfId="21" priority="3">
      <formula>dia_f&lt;&gt;""</formula>
    </cfRule>
  </conditionalFormatting>
  <conditionalFormatting sqref="K42:L42">
    <cfRule type="expression" dxfId="20" priority="2">
      <formula>dia_f&lt;&gt;""</formula>
    </cfRule>
  </conditionalFormatting>
  <conditionalFormatting sqref="H42">
    <cfRule type="expression" dxfId="19" priority="1">
      <formula>dia_f&lt;&gt;""</formula>
    </cfRule>
  </conditionalFormatting>
  <conditionalFormatting sqref="E8:O38">
    <cfRule type="expression" dxfId="18" priority="14">
      <formula>WEEKDAY($B8,2)=7</formula>
    </cfRule>
    <cfRule type="expression" dxfId="17" priority="15">
      <formula>COUNTIF(fer,$B8)&gt;0</formula>
    </cfRule>
  </conditionalFormatting>
  <pageMargins left="0.75" right="0.75" top="1" bottom="1" header="0.49212598499999999" footer="0.49212598499999999"/>
  <pageSetup paperSize="9" scale="6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Limpar_Click">
                <anchor moveWithCells="1" sizeWithCells="1">
                  <from>
                    <xdr:col>3</xdr:col>
                    <xdr:colOff>790575</xdr:colOff>
                    <xdr:row>3</xdr:row>
                    <xdr:rowOff>104775</xdr:rowOff>
                  </from>
                  <to>
                    <xdr:col>3</xdr:col>
                    <xdr:colOff>3590925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09BB0-F107-438D-8DC6-4D0C21DC2FD5}">
  <sheetPr codeName="Plan3">
    <tabColor theme="8" tint="0.39997558519241921"/>
  </sheetPr>
  <dimension ref="A1:W129"/>
  <sheetViews>
    <sheetView showGridLines="0" topLeftCell="C1" zoomScaleNormal="100" workbookViewId="0">
      <selection activeCell="O4" sqref="O4"/>
    </sheetView>
  </sheetViews>
  <sheetFormatPr defaultColWidth="0" defaultRowHeight="12.75" customHeight="1" zeroHeight="1" x14ac:dyDescent="0.2"/>
  <cols>
    <col min="1" max="1" width="3.7109375" customWidth="1"/>
    <col min="2" max="2" width="12.140625" customWidth="1"/>
    <col min="3" max="3" width="13.85546875" customWidth="1"/>
    <col min="4" max="4" width="14.5703125" customWidth="1"/>
    <col min="5" max="8" width="9.42578125" customWidth="1"/>
    <col min="9" max="11" width="11.28515625" customWidth="1"/>
    <col min="12" max="12" width="9.140625" customWidth="1"/>
    <col min="13" max="13" width="11.42578125" hidden="1" customWidth="1"/>
    <col min="14" max="14" width="9.140625" customWidth="1"/>
    <col min="15" max="15" width="10.28515625" customWidth="1"/>
    <col min="16" max="16" width="1.7109375" customWidth="1"/>
    <col min="17" max="18" width="10.28515625" hidden="1" customWidth="1"/>
    <col min="19" max="19" width="0.85546875" hidden="1" customWidth="1"/>
    <col min="20" max="20" width="26.85546875" hidden="1" customWidth="1"/>
    <col min="21" max="22" width="9.140625" hidden="1" customWidth="1"/>
    <col min="23" max="23" width="26.85546875" hidden="1" customWidth="1"/>
    <col min="24" max="16384" width="9.140625" hidden="1"/>
  </cols>
  <sheetData>
    <row r="1" spans="1:20" ht="13.5" thickBot="1" x14ac:dyDescent="0.25"/>
    <row r="2" spans="1:20" ht="12.75" customHeight="1" thickBot="1" x14ac:dyDescent="0.25">
      <c r="B2" s="17"/>
      <c r="D2" s="141" t="s">
        <v>79</v>
      </c>
      <c r="E2" s="141"/>
      <c r="F2" s="113"/>
      <c r="H2" s="134" t="s">
        <v>47</v>
      </c>
      <c r="I2" s="135"/>
      <c r="J2" s="88"/>
      <c r="K2" s="136" t="s">
        <v>35</v>
      </c>
      <c r="L2" s="137"/>
    </row>
    <row r="3" spans="1:20" ht="13.5" customHeight="1" thickBot="1" x14ac:dyDescent="0.25">
      <c r="B3" s="17"/>
      <c r="D3" s="141"/>
      <c r="E3" s="141"/>
      <c r="F3" s="98"/>
      <c r="H3" s="89" t="s">
        <v>46</v>
      </c>
      <c r="I3" s="85">
        <v>0.33333333333333331</v>
      </c>
      <c r="K3" s="91" t="s">
        <v>39</v>
      </c>
      <c r="L3" s="92" t="s">
        <v>38</v>
      </c>
    </row>
    <row r="4" spans="1:20" ht="12.75" customHeight="1" thickBot="1" x14ac:dyDescent="0.25">
      <c r="E4" s="95" t="s">
        <v>36</v>
      </c>
      <c r="F4" s="93">
        <v>2018</v>
      </c>
      <c r="H4" s="90" t="s">
        <v>7</v>
      </c>
      <c r="I4" s="86">
        <v>0.16666666666666666</v>
      </c>
      <c r="K4" s="87">
        <v>0.91666666666666663</v>
      </c>
      <c r="L4" s="86">
        <v>0.20833333333333334</v>
      </c>
    </row>
    <row r="5" spans="1:20" ht="13.5" customHeight="1" thickBot="1" x14ac:dyDescent="0.25">
      <c r="D5" s="130"/>
      <c r="E5" s="95" t="s">
        <v>37</v>
      </c>
      <c r="F5" s="94">
        <v>4</v>
      </c>
      <c r="K5" s="124">
        <v>4.1666666666666664E-2</v>
      </c>
      <c r="L5" s="123">
        <v>0.25</v>
      </c>
      <c r="O5" s="128"/>
      <c r="P5" s="129"/>
      <c r="Q5" s="129"/>
      <c r="R5" s="129"/>
    </row>
    <row r="6" spans="1:20" ht="12.75" customHeight="1" x14ac:dyDescent="0.2">
      <c r="D6" s="131"/>
      <c r="O6" s="129"/>
      <c r="P6" s="129"/>
      <c r="Q6" s="129"/>
      <c r="R6" s="129"/>
    </row>
    <row r="7" spans="1:20" ht="25.5" x14ac:dyDescent="0.2">
      <c r="B7" s="30" t="s">
        <v>0</v>
      </c>
      <c r="C7" s="30" t="s">
        <v>1</v>
      </c>
      <c r="D7" s="30" t="s">
        <v>2</v>
      </c>
      <c r="E7" s="30" t="s">
        <v>32</v>
      </c>
      <c r="F7" s="30" t="s">
        <v>44</v>
      </c>
      <c r="G7" s="30" t="s">
        <v>33</v>
      </c>
      <c r="H7" s="30" t="s">
        <v>34</v>
      </c>
      <c r="I7" s="30" t="s">
        <v>3</v>
      </c>
      <c r="J7" s="30" t="s">
        <v>4</v>
      </c>
      <c r="K7" s="30" t="s">
        <v>5</v>
      </c>
      <c r="L7" s="30" t="s">
        <v>18</v>
      </c>
      <c r="M7" s="30" t="s">
        <v>83</v>
      </c>
      <c r="N7" s="30" t="s">
        <v>80</v>
      </c>
      <c r="O7" s="30" t="s">
        <v>81</v>
      </c>
      <c r="P7" s="100"/>
      <c r="Q7" s="100"/>
      <c r="R7" s="100"/>
      <c r="S7" s="132"/>
      <c r="T7" s="133"/>
    </row>
    <row r="8" spans="1:20" ht="50.1" customHeight="1" x14ac:dyDescent="0.2">
      <c r="B8" s="117">
        <f>inicio</f>
        <v>43191</v>
      </c>
      <c r="C8" s="118">
        <f>IF(B8="","",IF(COUNTIF(fer,B8)&gt;0,"feriado",B8))</f>
        <v>43191</v>
      </c>
      <c r="D8" s="112" t="s">
        <v>86</v>
      </c>
      <c r="E8" s="108">
        <f ca="1">IF(B8="","",HorasD(D8))</f>
        <v>0.3541666567325592</v>
      </c>
      <c r="F8" s="109">
        <f ca="1">IF(B8="","",HorasN(D8))</f>
        <v>0</v>
      </c>
      <c r="G8" s="108">
        <f ca="1">IF(B8="","",(F8/7*8)-F8)</f>
        <v>0</v>
      </c>
      <c r="H8" s="108">
        <f ca="1">IF(B8="","",F8+G8)</f>
        <v>0</v>
      </c>
      <c r="I8" s="110">
        <f ca="1">IF(B8="","",HorasTrab(D8)+G8)</f>
        <v>0.35416666666666663</v>
      </c>
      <c r="J8" s="19">
        <f t="shared" ref="J8:J38" si="0">IF(B8="","",IF(OR(COUNTIF(fer,B8)&gt;0,WEEKDAY(B8)=1),0,IF(WEEKDAY(B8)=7,MIN($I$4,I8),MIN($I$3,I8))))</f>
        <v>0</v>
      </c>
      <c r="K8" s="19">
        <f t="shared" ref="K8:K38" si="1">IF(B8="","",IF(J8=0,0,IF(WEEKDAY(B8)=7,MAX(0,I8-$I$4),MAX(0,I8-$I$3))))</f>
        <v>0</v>
      </c>
      <c r="L8" s="111">
        <f t="shared" ref="L8:L38" ca="1" si="2">IF(B8="","",IF(J8=0,I8,0))</f>
        <v>0.35416666666666663</v>
      </c>
      <c r="M8" s="125" t="str">
        <f>IF(OR(B8="",D8=""),"",LEFT(D8,5)&amp;"-"&amp;RIGHT(D8,5))</f>
        <v>08h00-17h00</v>
      </c>
      <c r="N8" s="126">
        <f ca="1">IF(B8="","",HorasTrab(M8)-HorasTrab(D8))</f>
        <v>2.0833333333333426E-2</v>
      </c>
      <c r="O8" s="127">
        <f ca="1">IF(B8="","",IF(AND(I8&gt;$L$5,N8&lt;$K$5),$K$5-N8,0))</f>
        <v>2.0833333333333239E-2</v>
      </c>
      <c r="P8" s="99"/>
      <c r="Q8" s="99"/>
      <c r="R8" s="99"/>
      <c r="S8" s="6"/>
      <c r="T8" s="5"/>
    </row>
    <row r="9" spans="1:20" ht="50.1" customHeight="1" x14ac:dyDescent="0.2">
      <c r="B9" s="117">
        <f>B8+1</f>
        <v>43192</v>
      </c>
      <c r="C9" s="118">
        <f t="shared" ref="C9:C38" si="3">IF(B9="","",IF(COUNTIF(fer,B9)&gt;0,"feriado",B9))</f>
        <v>43192</v>
      </c>
      <c r="D9" s="112" t="s">
        <v>49</v>
      </c>
      <c r="E9" s="108">
        <f ca="1">IF(B9="","",HorasD(D9))</f>
        <v>0.49999997019767761</v>
      </c>
      <c r="F9" s="109">
        <f ca="1">IF(B9="","",HorasN(D9))</f>
        <v>0</v>
      </c>
      <c r="G9" s="108">
        <f t="shared" ref="G9:G38" ca="1" si="4">IF(B9="","",(F9/7*8)-F9)</f>
        <v>0</v>
      </c>
      <c r="H9" s="108">
        <f t="shared" ref="H9:H38" ca="1" si="5">IF(B9="","",F9+G9)</f>
        <v>0</v>
      </c>
      <c r="I9" s="110">
        <f t="shared" ref="I9:I38" ca="1" si="6">IF(B9="","",HorasTrab(D9)+G9)</f>
        <v>0.5</v>
      </c>
      <c r="J9" s="19">
        <f t="shared" ca="1" si="0"/>
        <v>0.33333333333333331</v>
      </c>
      <c r="K9" s="19">
        <f t="shared" ca="1" si="1"/>
        <v>0.16666666666666669</v>
      </c>
      <c r="L9" s="111">
        <f t="shared" ca="1" si="2"/>
        <v>0</v>
      </c>
      <c r="M9" s="125" t="str">
        <f t="shared" ref="M9:M38" si="7">IF(OR(B9="",D9=""),"",LEFT(D9,5)&amp;"-"&amp;RIGHT(D9,5))</f>
        <v>08h00-22h00</v>
      </c>
      <c r="N9" s="126">
        <f ca="1">IF(B9="","",HorasTrab(M9)-HorasTrab(D9))</f>
        <v>8.3333333333333259E-2</v>
      </c>
      <c r="O9" s="127">
        <f t="shared" ref="O9:O38" ca="1" si="8">IF(B9="","",IF(AND(I9&gt;$L$5,N9&lt;$K$5),$K$5-N9,0))</f>
        <v>0</v>
      </c>
      <c r="P9" s="99"/>
      <c r="Q9" s="99"/>
      <c r="R9" s="99"/>
      <c r="S9" s="6"/>
      <c r="T9" s="5"/>
    </row>
    <row r="10" spans="1:20" ht="50.1" customHeight="1" x14ac:dyDescent="0.2">
      <c r="B10" s="117">
        <f>B9+1</f>
        <v>43193</v>
      </c>
      <c r="C10" s="118">
        <f t="shared" si="3"/>
        <v>43193</v>
      </c>
      <c r="D10" s="112" t="s">
        <v>50</v>
      </c>
      <c r="E10" s="108">
        <f ca="1">IF(B10="","",HorasD(D10))</f>
        <v>0.49999997019767761</v>
      </c>
      <c r="F10" s="109">
        <f ca="1">IF(B10="","",HorasN(D10))</f>
        <v>4.1666626930236816E-2</v>
      </c>
      <c r="G10" s="108">
        <f t="shared" ca="1" si="4"/>
        <v>5.9523752757481146E-3</v>
      </c>
      <c r="H10" s="108">
        <f t="shared" ca="1" si="5"/>
        <v>4.7619002205984931E-2</v>
      </c>
      <c r="I10" s="110">
        <f t="shared" ca="1" si="6"/>
        <v>0.54761904194241495</v>
      </c>
      <c r="J10" s="19">
        <f t="shared" ca="1" si="0"/>
        <v>0.33333333333333331</v>
      </c>
      <c r="K10" s="19">
        <f t="shared" ca="1" si="1"/>
        <v>0.21428570860908164</v>
      </c>
      <c r="L10" s="111">
        <f t="shared" ca="1" si="2"/>
        <v>0</v>
      </c>
      <c r="M10" s="125" t="str">
        <f t="shared" si="7"/>
        <v>08h00-23h00</v>
      </c>
      <c r="N10" s="126">
        <f ca="1">IF(B10="","",HorasTrab(M10)-HorasTrab(D10))</f>
        <v>8.3333333333333148E-2</v>
      </c>
      <c r="O10" s="127">
        <f t="shared" ca="1" si="8"/>
        <v>0</v>
      </c>
      <c r="P10" s="99"/>
      <c r="Q10" s="99"/>
      <c r="R10" s="99"/>
      <c r="S10" s="6"/>
      <c r="T10" s="5"/>
    </row>
    <row r="11" spans="1:20" ht="50.1" customHeight="1" x14ac:dyDescent="0.2">
      <c r="B11" s="117">
        <f>B10+1</f>
        <v>43194</v>
      </c>
      <c r="C11" s="118">
        <f t="shared" si="3"/>
        <v>43194</v>
      </c>
      <c r="D11" s="112" t="s">
        <v>85</v>
      </c>
      <c r="E11" s="108">
        <f ca="1">IF(B11="","",HorasD(D11))</f>
        <v>0.2916666567325592</v>
      </c>
      <c r="F11" s="109">
        <f ca="1">IF(B11="","",HorasN(D11))</f>
        <v>0</v>
      </c>
      <c r="G11" s="108">
        <f t="shared" ca="1" si="4"/>
        <v>0</v>
      </c>
      <c r="H11" s="108">
        <f t="shared" ca="1" si="5"/>
        <v>0</v>
      </c>
      <c r="I11" s="110">
        <f t="shared" ca="1" si="6"/>
        <v>0.29166666666666669</v>
      </c>
      <c r="J11" s="19">
        <f t="shared" ca="1" si="0"/>
        <v>0.29166666666666669</v>
      </c>
      <c r="K11" s="19">
        <f t="shared" ca="1" si="1"/>
        <v>0</v>
      </c>
      <c r="L11" s="111">
        <f t="shared" ca="1" si="2"/>
        <v>0</v>
      </c>
      <c r="M11" s="125" t="str">
        <f t="shared" si="7"/>
        <v>08h00-15h00</v>
      </c>
      <c r="N11" s="126">
        <f ca="1">IF(B11="","",HorasTrab(M11)-HorasTrab(D11))</f>
        <v>0</v>
      </c>
      <c r="O11" s="127">
        <f t="shared" ca="1" si="8"/>
        <v>4.1666666666666664E-2</v>
      </c>
      <c r="P11" s="99"/>
      <c r="Q11" s="99"/>
      <c r="R11" s="99"/>
      <c r="S11" s="6"/>
      <c r="T11" s="5"/>
    </row>
    <row r="12" spans="1:20" ht="50.1" customHeight="1" x14ac:dyDescent="0.2">
      <c r="B12" s="117">
        <f>B11+1</f>
        <v>43195</v>
      </c>
      <c r="C12" s="118">
        <f t="shared" si="3"/>
        <v>43195</v>
      </c>
      <c r="D12" s="112" t="s">
        <v>51</v>
      </c>
      <c r="E12" s="108">
        <f ca="1">IF(B12="","",HorasD(D12))</f>
        <v>0.49999997019767761</v>
      </c>
      <c r="F12" s="109">
        <f ca="1">IF(B12="","",HorasN(D12))</f>
        <v>0.125</v>
      </c>
      <c r="G12" s="108">
        <f t="shared" ca="1" si="4"/>
        <v>1.7857142857142849E-2</v>
      </c>
      <c r="H12" s="108">
        <f t="shared" ca="1" si="5"/>
        <v>0.14285714285714285</v>
      </c>
      <c r="I12" s="110">
        <f t="shared" ca="1" si="6"/>
        <v>0.64285714285714302</v>
      </c>
      <c r="J12" s="19">
        <f t="shared" ca="1" si="0"/>
        <v>0.33333333333333331</v>
      </c>
      <c r="K12" s="19">
        <f t="shared" ca="1" si="1"/>
        <v>0.3095238095238097</v>
      </c>
      <c r="L12" s="111">
        <f t="shared" ca="1" si="2"/>
        <v>0</v>
      </c>
      <c r="M12" s="125" t="str">
        <f t="shared" si="7"/>
        <v>08h00-01h00</v>
      </c>
      <c r="N12" s="126">
        <f ca="1">IF(B12="","",HorasTrab(M12)-HorasTrab(D12))</f>
        <v>8.333333333333337E-2</v>
      </c>
      <c r="O12" s="127">
        <f t="shared" ca="1" si="8"/>
        <v>0</v>
      </c>
      <c r="P12" s="99"/>
      <c r="Q12" s="99"/>
      <c r="R12" s="99"/>
      <c r="S12" s="6"/>
      <c r="T12" s="5"/>
    </row>
    <row r="13" spans="1:20" ht="50.1" customHeight="1" x14ac:dyDescent="0.2">
      <c r="B13" s="117">
        <f t="shared" ref="B13:B35" si="9">B12+1</f>
        <v>43196</v>
      </c>
      <c r="C13" s="118">
        <f t="shared" si="3"/>
        <v>43196</v>
      </c>
      <c r="D13" s="112" t="s">
        <v>70</v>
      </c>
      <c r="E13" s="108">
        <f ca="1">IF(B13="","",HorasD(D13))</f>
        <v>0.5</v>
      </c>
      <c r="F13" s="109">
        <f ca="1">IF(B13="","",HorasN(D13))</f>
        <v>0</v>
      </c>
      <c r="G13" s="108">
        <f t="shared" ca="1" si="4"/>
        <v>0</v>
      </c>
      <c r="H13" s="108">
        <f t="shared" ca="1" si="5"/>
        <v>0</v>
      </c>
      <c r="I13" s="110">
        <f t="shared" ca="1" si="6"/>
        <v>0.5</v>
      </c>
      <c r="J13" s="19">
        <f t="shared" ca="1" si="0"/>
        <v>0.33333333333333331</v>
      </c>
      <c r="K13" s="19">
        <f t="shared" ca="1" si="1"/>
        <v>0.16666666666666669</v>
      </c>
      <c r="L13" s="111">
        <f t="shared" ca="1" si="2"/>
        <v>0</v>
      </c>
      <c r="M13" s="125" t="str">
        <f t="shared" si="7"/>
        <v>07h00-21h30</v>
      </c>
      <c r="N13" s="126">
        <f ca="1">IF(B13="","",HorasTrab(M13)-HorasTrab(D13))</f>
        <v>0.10416666666666674</v>
      </c>
      <c r="O13" s="127">
        <f t="shared" ca="1" si="8"/>
        <v>0</v>
      </c>
      <c r="P13" s="99"/>
      <c r="Q13" s="99"/>
      <c r="R13" s="99"/>
      <c r="S13" s="6"/>
      <c r="T13" s="5"/>
    </row>
    <row r="14" spans="1:20" ht="50.1" customHeight="1" x14ac:dyDescent="0.2">
      <c r="B14" s="117">
        <f t="shared" si="9"/>
        <v>43197</v>
      </c>
      <c r="C14" s="118">
        <f t="shared" si="3"/>
        <v>43197</v>
      </c>
      <c r="D14" s="112" t="s">
        <v>71</v>
      </c>
      <c r="E14" s="108">
        <f ca="1">IF(B14="","",HorasD(D14))</f>
        <v>0.47916668653488159</v>
      </c>
      <c r="F14" s="109">
        <f ca="1">IF(B14="","",HorasN(D14))</f>
        <v>0</v>
      </c>
      <c r="G14" s="108">
        <f t="shared" ca="1" si="4"/>
        <v>0</v>
      </c>
      <c r="H14" s="108">
        <f t="shared" ca="1" si="5"/>
        <v>0</v>
      </c>
      <c r="I14" s="110">
        <f t="shared" ca="1" si="6"/>
        <v>0.47916666666666663</v>
      </c>
      <c r="J14" s="19">
        <f t="shared" ca="1" si="0"/>
        <v>0.16666666666666666</v>
      </c>
      <c r="K14" s="19">
        <f t="shared" ca="1" si="1"/>
        <v>0.3125</v>
      </c>
      <c r="L14" s="111">
        <f t="shared" ca="1" si="2"/>
        <v>0</v>
      </c>
      <c r="M14" s="125" t="str">
        <f t="shared" si="7"/>
        <v>07h00-21h00</v>
      </c>
      <c r="N14" s="126">
        <f ca="1">IF(B14="","",HorasTrab(M14)-HorasTrab(D14))</f>
        <v>0.10416666666666663</v>
      </c>
      <c r="O14" s="127">
        <f t="shared" ca="1" si="8"/>
        <v>0</v>
      </c>
      <c r="P14" s="99"/>
      <c r="Q14" s="99"/>
      <c r="R14" s="99"/>
      <c r="S14" s="6"/>
      <c r="T14" s="5"/>
    </row>
    <row r="15" spans="1:20" ht="50.1" customHeight="1" x14ac:dyDescent="0.2">
      <c r="B15" s="117">
        <f t="shared" si="9"/>
        <v>43198</v>
      </c>
      <c r="C15" s="118">
        <f t="shared" si="3"/>
        <v>43198</v>
      </c>
      <c r="D15" s="112" t="s">
        <v>84</v>
      </c>
      <c r="E15" s="108">
        <f ca="1">IF(B15="","",HorasD(D15))</f>
        <v>0.4583333432674408</v>
      </c>
      <c r="F15" s="109">
        <f ca="1">IF(B15="","",HorasN(D15))</f>
        <v>4.1666626930236816E-2</v>
      </c>
      <c r="G15" s="108">
        <f t="shared" ca="1" si="4"/>
        <v>5.9523752757481146E-3</v>
      </c>
      <c r="H15" s="108">
        <f t="shared" ca="1" si="5"/>
        <v>4.7619002205984931E-2</v>
      </c>
      <c r="I15" s="110">
        <f t="shared" ca="1" si="6"/>
        <v>0.5059523752757481</v>
      </c>
      <c r="J15" s="19">
        <f t="shared" si="0"/>
        <v>0</v>
      </c>
      <c r="K15" s="19">
        <f t="shared" si="1"/>
        <v>0</v>
      </c>
      <c r="L15" s="111">
        <f t="shared" ca="1" si="2"/>
        <v>0.5059523752757481</v>
      </c>
      <c r="M15" s="125" t="str">
        <f t="shared" si="7"/>
        <v>08h00-23h00</v>
      </c>
      <c r="N15" s="126">
        <f ca="1">IF(B15="","",HorasTrab(M15)-HorasTrab(D15))</f>
        <v>0.125</v>
      </c>
      <c r="O15" s="127">
        <f t="shared" ca="1" si="8"/>
        <v>0</v>
      </c>
      <c r="P15" s="99"/>
      <c r="Q15" s="99"/>
      <c r="R15" s="99"/>
      <c r="S15" s="6"/>
      <c r="T15" s="5"/>
    </row>
    <row r="16" spans="1:20" ht="50.1" customHeight="1" x14ac:dyDescent="0.2">
      <c r="A16" s="2"/>
      <c r="B16" s="117">
        <f t="shared" si="9"/>
        <v>43199</v>
      </c>
      <c r="C16" s="118">
        <f t="shared" si="3"/>
        <v>43199</v>
      </c>
      <c r="D16" s="112" t="s">
        <v>55</v>
      </c>
      <c r="E16" s="108">
        <f ca="1">IF(B16="","",HorasD(D16))</f>
        <v>0.125</v>
      </c>
      <c r="F16" s="109">
        <f ca="1">IF(B16="","",HorasN(D16))</f>
        <v>0.29166662693023682</v>
      </c>
      <c r="G16" s="108">
        <f t="shared" ca="1" si="4"/>
        <v>4.1666660990033855E-2</v>
      </c>
      <c r="H16" s="108">
        <f t="shared" ca="1" si="5"/>
        <v>0.33333328792027067</v>
      </c>
      <c r="I16" s="110">
        <f t="shared" ca="1" si="6"/>
        <v>0.45833332765670048</v>
      </c>
      <c r="J16" s="19">
        <f t="shared" ca="1" si="0"/>
        <v>0.33333333333333331</v>
      </c>
      <c r="K16" s="19">
        <f t="shared" ca="1" si="1"/>
        <v>0.12499999432336717</v>
      </c>
      <c r="L16" s="111">
        <f t="shared" ca="1" si="2"/>
        <v>0</v>
      </c>
      <c r="M16" s="125" t="str">
        <f t="shared" si="7"/>
        <v>18h00-05h00</v>
      </c>
      <c r="N16" s="126">
        <f ca="1">IF(B16="","",HorasTrab(M16)-HorasTrab(D16))</f>
        <v>4.166666666666663E-2</v>
      </c>
      <c r="O16" s="127">
        <f t="shared" ca="1" si="8"/>
        <v>3.4694469519536142E-17</v>
      </c>
      <c r="P16" s="99"/>
      <c r="Q16" s="99"/>
      <c r="R16" s="99"/>
      <c r="S16" s="6"/>
      <c r="T16" s="5"/>
    </row>
    <row r="17" spans="1:20" ht="50.1" customHeight="1" x14ac:dyDescent="0.2">
      <c r="B17" s="117">
        <f t="shared" si="9"/>
        <v>43200</v>
      </c>
      <c r="C17" s="118">
        <f t="shared" si="3"/>
        <v>43200</v>
      </c>
      <c r="D17" s="112" t="s">
        <v>69</v>
      </c>
      <c r="E17" s="108">
        <f ca="1">IF(B17="","",HorasD(D17))</f>
        <v>0.33333331346511841</v>
      </c>
      <c r="F17" s="109">
        <f ca="1">IF(B17="","",HorasN(D17))</f>
        <v>0</v>
      </c>
      <c r="G17" s="108">
        <f t="shared" ca="1" si="4"/>
        <v>0</v>
      </c>
      <c r="H17" s="108">
        <f t="shared" ca="1" si="5"/>
        <v>0</v>
      </c>
      <c r="I17" s="110">
        <f t="shared" ca="1" si="6"/>
        <v>0.33333333333333326</v>
      </c>
      <c r="J17" s="19">
        <f t="shared" ca="1" si="0"/>
        <v>0.33333333333333326</v>
      </c>
      <c r="K17" s="19">
        <f t="shared" ca="1" si="1"/>
        <v>0</v>
      </c>
      <c r="L17" s="111">
        <f t="shared" ca="1" si="2"/>
        <v>0</v>
      </c>
      <c r="M17" s="125" t="str">
        <f t="shared" si="7"/>
        <v>07h00-18h00</v>
      </c>
      <c r="N17" s="126">
        <f ca="1">IF(B17="","",HorasTrab(M17)-HorasTrab(D17))</f>
        <v>0.12500000000000006</v>
      </c>
      <c r="O17" s="127">
        <f t="shared" ca="1" si="8"/>
        <v>0</v>
      </c>
      <c r="P17" s="99"/>
      <c r="Q17" s="99"/>
      <c r="R17" s="99"/>
      <c r="S17" s="6"/>
      <c r="T17" s="5"/>
    </row>
    <row r="18" spans="1:20" ht="50.1" customHeight="1" x14ac:dyDescent="0.2">
      <c r="A18" s="2"/>
      <c r="B18" s="117">
        <f t="shared" si="9"/>
        <v>43201</v>
      </c>
      <c r="C18" s="118">
        <f t="shared" si="3"/>
        <v>43201</v>
      </c>
      <c r="D18" s="112" t="s">
        <v>57</v>
      </c>
      <c r="E18" s="108">
        <f ca="1">IF(B18="","",HorasD(D18))</f>
        <v>0.37499997019767761</v>
      </c>
      <c r="F18" s="109">
        <f ca="1">IF(B18="","",HorasN(D18))</f>
        <v>0</v>
      </c>
      <c r="G18" s="108">
        <f t="shared" ca="1" si="4"/>
        <v>0</v>
      </c>
      <c r="H18" s="108">
        <f t="shared" ca="1" si="5"/>
        <v>0</v>
      </c>
      <c r="I18" s="110">
        <f t="shared" ca="1" si="6"/>
        <v>0.37500000000000011</v>
      </c>
      <c r="J18" s="19">
        <f t="shared" ca="1" si="0"/>
        <v>0.33333333333333331</v>
      </c>
      <c r="K18" s="19">
        <f t="shared" ca="1" si="1"/>
        <v>4.1666666666666796E-2</v>
      </c>
      <c r="L18" s="111">
        <f t="shared" ca="1" si="2"/>
        <v>0</v>
      </c>
      <c r="M18" s="125" t="str">
        <f t="shared" si="7"/>
        <v>08h00-18h00</v>
      </c>
      <c r="N18" s="126">
        <f ca="1">IF(B18="","",HorasTrab(M18)-HorasTrab(D18))</f>
        <v>4.1666666666666574E-2</v>
      </c>
      <c r="O18" s="127">
        <f t="shared" ca="1" si="8"/>
        <v>9.0205620750793969E-17</v>
      </c>
      <c r="P18" s="99"/>
      <c r="Q18" s="99"/>
      <c r="R18" s="99"/>
      <c r="S18" s="6"/>
      <c r="T18" s="5"/>
    </row>
    <row r="19" spans="1:20" ht="50.1" customHeight="1" x14ac:dyDescent="0.2">
      <c r="B19" s="117">
        <f t="shared" si="9"/>
        <v>43202</v>
      </c>
      <c r="C19" s="118">
        <f t="shared" si="3"/>
        <v>43202</v>
      </c>
      <c r="D19" s="112" t="s">
        <v>51</v>
      </c>
      <c r="E19" s="108">
        <f ca="1">IF(B19="","",HorasD(D19))</f>
        <v>0.49999997019767761</v>
      </c>
      <c r="F19" s="109">
        <f ca="1">IF(B19="","",HorasN(D19))</f>
        <v>0.125</v>
      </c>
      <c r="G19" s="108">
        <f t="shared" ca="1" si="4"/>
        <v>1.7857142857142849E-2</v>
      </c>
      <c r="H19" s="108">
        <f t="shared" ca="1" si="5"/>
        <v>0.14285714285714285</v>
      </c>
      <c r="I19" s="110">
        <f t="shared" ca="1" si="6"/>
        <v>0.64285714285714302</v>
      </c>
      <c r="J19" s="19">
        <f t="shared" ca="1" si="0"/>
        <v>0.33333333333333331</v>
      </c>
      <c r="K19" s="19">
        <f t="shared" ca="1" si="1"/>
        <v>0.3095238095238097</v>
      </c>
      <c r="L19" s="111">
        <f t="shared" ca="1" si="2"/>
        <v>0</v>
      </c>
      <c r="M19" s="125" t="str">
        <f t="shared" si="7"/>
        <v>08h00-01h00</v>
      </c>
      <c r="N19" s="126">
        <f ca="1">IF(B19="","",HorasTrab(M19)-HorasTrab(D19))</f>
        <v>8.333333333333337E-2</v>
      </c>
      <c r="O19" s="127">
        <f t="shared" ca="1" si="8"/>
        <v>0</v>
      </c>
      <c r="P19" s="99"/>
      <c r="Q19" s="99"/>
      <c r="R19" s="99"/>
      <c r="S19" s="6"/>
      <c r="T19" s="7"/>
    </row>
    <row r="20" spans="1:20" ht="50.1" customHeight="1" x14ac:dyDescent="0.2">
      <c r="B20" s="117">
        <f t="shared" si="9"/>
        <v>43203</v>
      </c>
      <c r="C20" s="118">
        <f t="shared" si="3"/>
        <v>43203</v>
      </c>
      <c r="D20" s="112" t="s">
        <v>72</v>
      </c>
      <c r="E20" s="108">
        <f ca="1">IF(B20="","",HorasD(D20))</f>
        <v>0.52083337306976318</v>
      </c>
      <c r="F20" s="109">
        <f ca="1">IF(B20="","",HorasN(D20))</f>
        <v>4.1666626930236816E-2</v>
      </c>
      <c r="G20" s="108">
        <f t="shared" ca="1" si="4"/>
        <v>5.9523752757481146E-3</v>
      </c>
      <c r="H20" s="108">
        <f t="shared" ca="1" si="5"/>
        <v>4.7619002205984931E-2</v>
      </c>
      <c r="I20" s="110">
        <f t="shared" ca="1" si="6"/>
        <v>0.5684523752757481</v>
      </c>
      <c r="J20" s="19">
        <f t="shared" ca="1" si="0"/>
        <v>0.33333333333333331</v>
      </c>
      <c r="K20" s="19">
        <f t="shared" ca="1" si="1"/>
        <v>0.23511904194241479</v>
      </c>
      <c r="L20" s="111">
        <f t="shared" ca="1" si="2"/>
        <v>0</v>
      </c>
      <c r="M20" s="125" t="str">
        <f t="shared" si="7"/>
        <v>07h00-23h00</v>
      </c>
      <c r="N20" s="126">
        <f ca="1">IF(B20="","",HorasTrab(M20)-HorasTrab(D20))</f>
        <v>0.10416666666666674</v>
      </c>
      <c r="O20" s="127">
        <f t="shared" ca="1" si="8"/>
        <v>0</v>
      </c>
      <c r="P20" s="99"/>
      <c r="Q20" s="99"/>
      <c r="R20" s="99"/>
      <c r="S20" s="6"/>
      <c r="T20" s="5"/>
    </row>
    <row r="21" spans="1:20" ht="50.1" customHeight="1" x14ac:dyDescent="0.2">
      <c r="B21" s="117">
        <f t="shared" si="9"/>
        <v>43204</v>
      </c>
      <c r="C21" s="118">
        <f t="shared" si="3"/>
        <v>43204</v>
      </c>
      <c r="D21" s="112" t="s">
        <v>73</v>
      </c>
      <c r="E21" s="108">
        <f ca="1">IF(B21="","",HorasD(D21))</f>
        <v>0.5</v>
      </c>
      <c r="F21" s="109">
        <f ca="1">IF(B21="","",HorasN(D21))</f>
        <v>0</v>
      </c>
      <c r="G21" s="108">
        <f t="shared" ca="1" si="4"/>
        <v>0</v>
      </c>
      <c r="H21" s="108">
        <f t="shared" ca="1" si="5"/>
        <v>0</v>
      </c>
      <c r="I21" s="110">
        <f t="shared" ca="1" si="6"/>
        <v>0.49999999999999989</v>
      </c>
      <c r="J21" s="19">
        <f t="shared" ca="1" si="0"/>
        <v>0.16666666666666666</v>
      </c>
      <c r="K21" s="19">
        <f t="shared" ca="1" si="1"/>
        <v>0.33333333333333326</v>
      </c>
      <c r="L21" s="111">
        <f t="shared" ca="1" si="2"/>
        <v>0</v>
      </c>
      <c r="M21" s="125" t="str">
        <f t="shared" si="7"/>
        <v>07h00-21h30</v>
      </c>
      <c r="N21" s="126">
        <f ca="1">IF(B21="","",HorasTrab(M21)-HorasTrab(D21))</f>
        <v>0.10416666666666685</v>
      </c>
      <c r="O21" s="127">
        <f t="shared" ca="1" si="8"/>
        <v>0</v>
      </c>
      <c r="P21" s="99"/>
      <c r="Q21" s="99"/>
      <c r="R21" s="99"/>
    </row>
    <row r="22" spans="1:20" ht="50.1" customHeight="1" x14ac:dyDescent="0.2">
      <c r="B22" s="117">
        <f t="shared" si="9"/>
        <v>43205</v>
      </c>
      <c r="C22" s="118">
        <f t="shared" si="3"/>
        <v>43205</v>
      </c>
      <c r="D22" s="112" t="s">
        <v>61</v>
      </c>
      <c r="E22" s="108">
        <f ca="1">IF(B22="","",HorasD(D22))</f>
        <v>0.45833331346511841</v>
      </c>
      <c r="F22" s="109">
        <f ca="1">IF(B22="","",HorasN(D22))</f>
        <v>0</v>
      </c>
      <c r="G22" s="108">
        <f t="shared" ca="1" si="4"/>
        <v>0</v>
      </c>
      <c r="H22" s="108">
        <f t="shared" ca="1" si="5"/>
        <v>0</v>
      </c>
      <c r="I22" s="110">
        <f t="shared" ca="1" si="6"/>
        <v>0.45833333333333337</v>
      </c>
      <c r="J22" s="19">
        <f t="shared" si="0"/>
        <v>0</v>
      </c>
      <c r="K22" s="19">
        <f t="shared" si="1"/>
        <v>0</v>
      </c>
      <c r="L22" s="111">
        <f t="shared" ca="1" si="2"/>
        <v>0.45833333333333337</v>
      </c>
      <c r="M22" s="125" t="str">
        <f t="shared" si="7"/>
        <v>05h00-18h00</v>
      </c>
      <c r="N22" s="126">
        <f ca="1">IF(B22="","",HorasTrab(M22)-HorasTrab(D22))</f>
        <v>8.3333333333333259E-2</v>
      </c>
      <c r="O22" s="127">
        <f t="shared" ca="1" si="8"/>
        <v>0</v>
      </c>
      <c r="P22" s="99"/>
      <c r="Q22" s="99"/>
      <c r="R22" s="99"/>
    </row>
    <row r="23" spans="1:20" ht="50.1" customHeight="1" x14ac:dyDescent="0.2">
      <c r="B23" s="117">
        <f t="shared" si="9"/>
        <v>43206</v>
      </c>
      <c r="C23" s="118">
        <f t="shared" si="3"/>
        <v>43206</v>
      </c>
      <c r="D23" s="112" t="s">
        <v>63</v>
      </c>
      <c r="E23" s="108">
        <f ca="1">IF(B23="","",HorasD(D23))</f>
        <v>9.375E-2</v>
      </c>
      <c r="F23" s="109">
        <f ca="1">IF(B23="","",HorasN(D23))</f>
        <v>0.29166662693023682</v>
      </c>
      <c r="G23" s="108">
        <f t="shared" ca="1" si="4"/>
        <v>4.1666660990033855E-2</v>
      </c>
      <c r="H23" s="108">
        <f t="shared" ca="1" si="5"/>
        <v>0.33333328792027067</v>
      </c>
      <c r="I23" s="110">
        <f t="shared" ca="1" si="6"/>
        <v>0.42708332765670048</v>
      </c>
      <c r="J23" s="19">
        <f t="shared" ca="1" si="0"/>
        <v>0.33333333333333331</v>
      </c>
      <c r="K23" s="19">
        <f t="shared" ca="1" si="1"/>
        <v>9.374999432336717E-2</v>
      </c>
      <c r="L23" s="111">
        <f t="shared" ca="1" si="2"/>
        <v>0</v>
      </c>
      <c r="M23" s="125" t="str">
        <f t="shared" si="7"/>
        <v>18h45-05h00</v>
      </c>
      <c r="N23" s="126">
        <f ca="1">IF(B23="","",HorasTrab(M23)-HorasTrab(D23))</f>
        <v>4.166666666666663E-2</v>
      </c>
      <c r="O23" s="127">
        <f t="shared" ca="1" si="8"/>
        <v>3.4694469519536142E-17</v>
      </c>
      <c r="P23" s="99"/>
      <c r="Q23" s="99"/>
      <c r="R23" s="99"/>
      <c r="S23" s="4"/>
      <c r="T23" s="3"/>
    </row>
    <row r="24" spans="1:20" ht="50.1" customHeight="1" x14ac:dyDescent="0.2">
      <c r="B24" s="117">
        <f t="shared" si="9"/>
        <v>43207</v>
      </c>
      <c r="C24" s="118">
        <f t="shared" si="3"/>
        <v>43207</v>
      </c>
      <c r="D24" s="112" t="s">
        <v>76</v>
      </c>
      <c r="E24" s="108">
        <f ca="1">IF(B24="","",HorasD(D24))</f>
        <v>0.52777773141860962</v>
      </c>
      <c r="F24" s="109">
        <f ca="1">IF(B24="","",HorasN(D24))</f>
        <v>4.1666656732559204E-2</v>
      </c>
      <c r="G24" s="108">
        <f t="shared" ca="1" si="4"/>
        <v>5.9523795332227444E-3</v>
      </c>
      <c r="H24" s="108">
        <f t="shared" ca="1" si="5"/>
        <v>4.7619036265781949E-2</v>
      </c>
      <c r="I24" s="110">
        <f t="shared" ca="1" si="6"/>
        <v>0.57539682397766723</v>
      </c>
      <c r="J24" s="19">
        <f t="shared" ca="1" si="0"/>
        <v>0.33333333333333331</v>
      </c>
      <c r="K24" s="19">
        <f t="shared" ca="1" si="1"/>
        <v>0.24206349064433391</v>
      </c>
      <c r="L24" s="111">
        <f t="shared" ca="1" si="2"/>
        <v>0</v>
      </c>
      <c r="M24" s="125" t="str">
        <f t="shared" si="7"/>
        <v>04h00-20h00</v>
      </c>
      <c r="N24" s="126">
        <f ca="1">IF(B24="","",HorasTrab(M24)-HorasTrab(D24))</f>
        <v>9.722222222222221E-2</v>
      </c>
      <c r="O24" s="127">
        <f t="shared" ca="1" si="8"/>
        <v>0</v>
      </c>
      <c r="P24" s="99"/>
      <c r="Q24" s="99"/>
      <c r="R24" s="99"/>
    </row>
    <row r="25" spans="1:20" ht="50.1" customHeight="1" x14ac:dyDescent="0.2">
      <c r="B25" s="117">
        <f t="shared" si="9"/>
        <v>43208</v>
      </c>
      <c r="C25" s="118">
        <f t="shared" si="3"/>
        <v>43208</v>
      </c>
      <c r="D25" s="112" t="s">
        <v>62</v>
      </c>
      <c r="E25" s="108">
        <f ca="1">IF(B25="","",HorasD(D25))</f>
        <v>0.30277776718139648</v>
      </c>
      <c r="F25" s="109">
        <f ca="1">IF(B25="","",HorasN(D25))</f>
        <v>0</v>
      </c>
      <c r="G25" s="108">
        <f t="shared" ca="1" si="4"/>
        <v>0</v>
      </c>
      <c r="H25" s="108">
        <f t="shared" ca="1" si="5"/>
        <v>0</v>
      </c>
      <c r="I25" s="110">
        <f t="shared" ca="1" si="6"/>
        <v>0.3027777777777777</v>
      </c>
      <c r="J25" s="19">
        <f t="shared" ca="1" si="0"/>
        <v>0.3027777777777777</v>
      </c>
      <c r="K25" s="19">
        <f t="shared" ca="1" si="1"/>
        <v>0</v>
      </c>
      <c r="L25" s="111">
        <f t="shared" ca="1" si="2"/>
        <v>0</v>
      </c>
      <c r="M25" s="125" t="str">
        <f t="shared" si="7"/>
        <v>07h44-15h30</v>
      </c>
      <c r="N25" s="126">
        <f ca="1">IF(B25="","",HorasTrab(M25)-HorasTrab(D25))</f>
        <v>2.0833333333333426E-2</v>
      </c>
      <c r="O25" s="127">
        <f t="shared" ca="1" si="8"/>
        <v>2.0833333333333239E-2</v>
      </c>
      <c r="P25" s="99"/>
      <c r="Q25" s="99"/>
      <c r="R25" s="99"/>
    </row>
    <row r="26" spans="1:20" ht="50.1" customHeight="1" x14ac:dyDescent="0.2">
      <c r="B26" s="117">
        <f t="shared" si="9"/>
        <v>43209</v>
      </c>
      <c r="C26" s="118">
        <f t="shared" si="3"/>
        <v>43209</v>
      </c>
      <c r="D26" s="112" t="s">
        <v>77</v>
      </c>
      <c r="E26" s="108">
        <f ca="1">IF(B26="","",HorasD(D26))</f>
        <v>0.58333337306976318</v>
      </c>
      <c r="F26" s="109">
        <f ca="1">IF(B26="","",HorasN(D26))</f>
        <v>5.2083313465118408E-2</v>
      </c>
      <c r="G26" s="108">
        <f t="shared" ca="1" si="4"/>
        <v>7.4404733521597696E-3</v>
      </c>
      <c r="H26" s="108">
        <f t="shared" ca="1" si="5"/>
        <v>5.9523786817278178E-2</v>
      </c>
      <c r="I26" s="110">
        <f t="shared" ca="1" si="6"/>
        <v>0.64285714001882621</v>
      </c>
      <c r="J26" s="19">
        <f t="shared" ca="1" si="0"/>
        <v>0.33333333333333331</v>
      </c>
      <c r="K26" s="19">
        <f t="shared" ca="1" si="1"/>
        <v>0.3095238066854929</v>
      </c>
      <c r="L26" s="111">
        <f t="shared" ca="1" si="2"/>
        <v>0</v>
      </c>
      <c r="M26" s="125" t="str">
        <f t="shared" si="7"/>
        <v>05h00-23h15</v>
      </c>
      <c r="N26" s="126">
        <f ca="1">IF(B26="","",HorasTrab(M26)-HorasTrab(D26))</f>
        <v>0.12500000000000022</v>
      </c>
      <c r="O26" s="127">
        <f t="shared" ca="1" si="8"/>
        <v>0</v>
      </c>
      <c r="P26" s="99"/>
      <c r="Q26" s="99"/>
      <c r="R26" s="99"/>
    </row>
    <row r="27" spans="1:20" ht="50.1" customHeight="1" x14ac:dyDescent="0.2">
      <c r="B27" s="117">
        <f t="shared" si="9"/>
        <v>43210</v>
      </c>
      <c r="C27" s="118">
        <f t="shared" si="3"/>
        <v>43210</v>
      </c>
      <c r="D27" s="112" t="s">
        <v>52</v>
      </c>
      <c r="E27" s="108">
        <f ca="1">IF(B27="","",HorasD(D27))</f>
        <v>0.47916668653488159</v>
      </c>
      <c r="F27" s="109">
        <f ca="1">IF(B27="","",HorasN(D27))</f>
        <v>8.3333313465118408E-2</v>
      </c>
      <c r="G27" s="108">
        <f t="shared" ca="1" si="4"/>
        <v>1.1904759066445489E-2</v>
      </c>
      <c r="H27" s="108">
        <f t="shared" ca="1" si="5"/>
        <v>9.5238072531563897E-2</v>
      </c>
      <c r="I27" s="110">
        <f t="shared" ca="1" si="6"/>
        <v>0.57440475906644539</v>
      </c>
      <c r="J27" s="19">
        <f t="shared" ca="1" si="0"/>
        <v>0.33333333333333331</v>
      </c>
      <c r="K27" s="19">
        <f t="shared" ca="1" si="1"/>
        <v>0.24107142573311208</v>
      </c>
      <c r="L27" s="111">
        <f t="shared" ca="1" si="2"/>
        <v>0</v>
      </c>
      <c r="M27" s="125" t="str">
        <f t="shared" si="7"/>
        <v>07h00-24h00</v>
      </c>
      <c r="N27" s="126">
        <f ca="1">IF(B27="","",HorasTrab(M27)-HorasTrab(D27))</f>
        <v>0.14583333333333337</v>
      </c>
      <c r="O27" s="127">
        <f t="shared" ca="1" si="8"/>
        <v>0</v>
      </c>
      <c r="P27" s="99"/>
      <c r="Q27" s="99"/>
      <c r="R27" s="99"/>
    </row>
    <row r="28" spans="1:20" ht="50.1" customHeight="1" x14ac:dyDescent="0.2">
      <c r="B28" s="117">
        <f t="shared" si="9"/>
        <v>43211</v>
      </c>
      <c r="C28" s="118" t="str">
        <f t="shared" si="3"/>
        <v>feriado</v>
      </c>
      <c r="D28" s="112" t="s">
        <v>53</v>
      </c>
      <c r="E28" s="108">
        <f ca="1">IF(B28="","",HorasD(D28))</f>
        <v>0.47916668653488159</v>
      </c>
      <c r="F28" s="109">
        <f ca="1">IF(B28="","",HorasN(D28))</f>
        <v>0.12499998509883881</v>
      </c>
      <c r="G28" s="108">
        <f t="shared" ca="1" si="4"/>
        <v>1.7857140728405552E-2</v>
      </c>
      <c r="H28" s="108">
        <f t="shared" ca="1" si="5"/>
        <v>0.14285712582724436</v>
      </c>
      <c r="I28" s="110">
        <f t="shared" ca="1" si="6"/>
        <v>0.62202380739507213</v>
      </c>
      <c r="J28" s="19">
        <f t="shared" si="0"/>
        <v>0</v>
      </c>
      <c r="K28" s="19">
        <f t="shared" si="1"/>
        <v>0</v>
      </c>
      <c r="L28" s="111">
        <f t="shared" ca="1" si="2"/>
        <v>0.62202380739507213</v>
      </c>
      <c r="M28" s="125" t="str">
        <f t="shared" si="7"/>
        <v>07h00-02h00</v>
      </c>
      <c r="N28" s="126">
        <f ca="1">IF(B28="","",HorasTrab(M28)-HorasTrab(D28))</f>
        <v>0.18749999999999989</v>
      </c>
      <c r="O28" s="127">
        <f t="shared" ca="1" si="8"/>
        <v>0</v>
      </c>
      <c r="P28" s="99"/>
      <c r="Q28" s="99"/>
      <c r="R28" s="99"/>
    </row>
    <row r="29" spans="1:20" ht="50.1" customHeight="1" x14ac:dyDescent="0.2">
      <c r="B29" s="117">
        <f t="shared" si="9"/>
        <v>43212</v>
      </c>
      <c r="C29" s="118">
        <f t="shared" si="3"/>
        <v>43212</v>
      </c>
      <c r="D29" s="112" t="s">
        <v>54</v>
      </c>
      <c r="E29" s="108">
        <f ca="1">IF(B29="","",HorasD(D29))</f>
        <v>0.51041662693023682</v>
      </c>
      <c r="F29" s="109">
        <f ca="1">IF(B29="","",HorasN(D29))</f>
        <v>0.16666662693023682</v>
      </c>
      <c r="G29" s="108">
        <f t="shared" ca="1" si="4"/>
        <v>2.3809518132890978E-2</v>
      </c>
      <c r="H29" s="108">
        <f t="shared" ca="1" si="5"/>
        <v>0.19047614506312779</v>
      </c>
      <c r="I29" s="110">
        <f t="shared" ca="1" si="6"/>
        <v>0.7008928514662246</v>
      </c>
      <c r="J29" s="19">
        <f t="shared" si="0"/>
        <v>0</v>
      </c>
      <c r="K29" s="19">
        <f t="shared" si="1"/>
        <v>0</v>
      </c>
      <c r="L29" s="111">
        <f t="shared" ca="1" si="2"/>
        <v>0.7008928514662246</v>
      </c>
      <c r="M29" s="125" t="str">
        <f t="shared" si="7"/>
        <v>07h00-02h00</v>
      </c>
      <c r="N29" s="126">
        <f ca="1">IF(B29="","",HorasTrab(M29)-HorasTrab(D29))</f>
        <v>0.11458333333333293</v>
      </c>
      <c r="O29" s="127">
        <f t="shared" ca="1" si="8"/>
        <v>0</v>
      </c>
      <c r="P29" s="99"/>
      <c r="Q29" s="99"/>
      <c r="R29" s="99"/>
    </row>
    <row r="30" spans="1:20" ht="50.1" customHeight="1" x14ac:dyDescent="0.2">
      <c r="B30" s="117">
        <f t="shared" si="9"/>
        <v>43213</v>
      </c>
      <c r="C30" s="118">
        <f t="shared" si="3"/>
        <v>43213</v>
      </c>
      <c r="D30" s="112" t="s">
        <v>65</v>
      </c>
      <c r="E30" s="108">
        <f ca="1">IF(B30="","",HorasD(D30))</f>
        <v>0.12569445371627808</v>
      </c>
      <c r="F30" s="109">
        <f ca="1">IF(B30="","",HorasN(D30))</f>
        <v>0.29166662693023682</v>
      </c>
      <c r="G30" s="108">
        <f t="shared" ca="1" si="4"/>
        <v>4.1666660990033855E-2</v>
      </c>
      <c r="H30" s="108">
        <f t="shared" ca="1" si="5"/>
        <v>0.33333328792027067</v>
      </c>
      <c r="I30" s="110">
        <f t="shared" ca="1" si="6"/>
        <v>0.45902777210114504</v>
      </c>
      <c r="J30" s="19">
        <f t="shared" ca="1" si="0"/>
        <v>0.33333333333333331</v>
      </c>
      <c r="K30" s="19">
        <f t="shared" ca="1" si="1"/>
        <v>0.12569443876781172</v>
      </c>
      <c r="L30" s="111">
        <f t="shared" ca="1" si="2"/>
        <v>0</v>
      </c>
      <c r="M30" s="125" t="str">
        <f t="shared" si="7"/>
        <v>18h00-05h01</v>
      </c>
      <c r="N30" s="126">
        <f ca="1">IF(B30="","",HorasTrab(M30)-HorasTrab(D30))</f>
        <v>4.166666666666663E-2</v>
      </c>
      <c r="O30" s="127">
        <f t="shared" ca="1" si="8"/>
        <v>3.4694469519536142E-17</v>
      </c>
      <c r="P30" s="99"/>
      <c r="Q30" s="99"/>
      <c r="R30" s="99"/>
    </row>
    <row r="31" spans="1:20" ht="50.1" customHeight="1" x14ac:dyDescent="0.2">
      <c r="B31" s="117">
        <f t="shared" si="9"/>
        <v>43214</v>
      </c>
      <c r="C31" s="118">
        <f>IF(B31="","",IF(COUNTIF(fer,B31)&gt;0,"feriado",B31))</f>
        <v>43214</v>
      </c>
      <c r="D31" s="112" t="s">
        <v>64</v>
      </c>
      <c r="E31" s="108">
        <f ca="1">IF(B31="","",HorasD(D31))</f>
        <v>0.18819445371627808</v>
      </c>
      <c r="F31" s="109">
        <f ca="1">IF(B31="","",HorasN(D31))</f>
        <v>0</v>
      </c>
      <c r="G31" s="108">
        <f t="shared" ca="1" si="4"/>
        <v>0</v>
      </c>
      <c r="H31" s="108">
        <f t="shared" ca="1" si="5"/>
        <v>0</v>
      </c>
      <c r="I31" s="110">
        <f t="shared" ca="1" si="6"/>
        <v>0.18819444444444439</v>
      </c>
      <c r="J31" s="19">
        <f t="shared" ca="1" si="0"/>
        <v>0.18819444444444439</v>
      </c>
      <c r="K31" s="19">
        <f t="shared" ca="1" si="1"/>
        <v>0</v>
      </c>
      <c r="L31" s="111">
        <f t="shared" ca="1" si="2"/>
        <v>0</v>
      </c>
      <c r="M31" s="125" t="str">
        <f t="shared" si="7"/>
        <v>07h44-12h15</v>
      </c>
      <c r="N31" s="126">
        <f ca="1">IF(B31="","",HorasTrab(M31)-HorasTrab(D31))</f>
        <v>0</v>
      </c>
      <c r="O31" s="127">
        <f t="shared" ca="1" si="8"/>
        <v>0</v>
      </c>
      <c r="P31" s="99"/>
      <c r="Q31" s="99"/>
      <c r="R31" s="99"/>
    </row>
    <row r="32" spans="1:20" ht="50.1" customHeight="1" x14ac:dyDescent="0.2">
      <c r="B32" s="117">
        <f t="shared" si="9"/>
        <v>43215</v>
      </c>
      <c r="C32" s="118">
        <f t="shared" si="3"/>
        <v>43215</v>
      </c>
      <c r="D32" s="112" t="s">
        <v>58</v>
      </c>
      <c r="E32" s="108">
        <f ca="1">IF(B32="","",HorasD(D32))</f>
        <v>0.2986111044883728</v>
      </c>
      <c r="F32" s="109">
        <f ca="1">IF(B32="","",HorasN(D32))</f>
        <v>0</v>
      </c>
      <c r="G32" s="108">
        <f t="shared" ca="1" si="4"/>
        <v>0</v>
      </c>
      <c r="H32" s="108">
        <f t="shared" ca="1" si="5"/>
        <v>0</v>
      </c>
      <c r="I32" s="110">
        <f t="shared" ca="1" si="6"/>
        <v>0.29861111111111105</v>
      </c>
      <c r="J32" s="19">
        <f t="shared" ca="1" si="0"/>
        <v>0.29861111111111105</v>
      </c>
      <c r="K32" s="19">
        <f t="shared" ca="1" si="1"/>
        <v>0</v>
      </c>
      <c r="L32" s="111">
        <f t="shared" ca="1" si="2"/>
        <v>0</v>
      </c>
      <c r="M32" s="125" t="str">
        <f t="shared" si="7"/>
        <v>07h50-15h30</v>
      </c>
      <c r="N32" s="126">
        <f ca="1">IF(B32="","",HorasTrab(M32)-HorasTrab(D32))</f>
        <v>2.0833333333333426E-2</v>
      </c>
      <c r="O32" s="127">
        <f t="shared" ca="1" si="8"/>
        <v>2.0833333333333239E-2</v>
      </c>
      <c r="P32" s="99"/>
      <c r="Q32" s="99"/>
      <c r="R32" s="99"/>
    </row>
    <row r="33" spans="2:18" ht="50.1" customHeight="1" x14ac:dyDescent="0.2">
      <c r="B33" s="117">
        <f t="shared" si="9"/>
        <v>43216</v>
      </c>
      <c r="C33" s="118">
        <f t="shared" si="3"/>
        <v>43216</v>
      </c>
      <c r="D33" s="112" t="s">
        <v>51</v>
      </c>
      <c r="E33" s="108">
        <f ca="1">IF(B33="","",HorasD(D33))</f>
        <v>0.49999997019767761</v>
      </c>
      <c r="F33" s="109">
        <f ca="1">IF(B33="","",HorasN(D33))</f>
        <v>0.125</v>
      </c>
      <c r="G33" s="108">
        <f t="shared" ca="1" si="4"/>
        <v>1.7857142857142849E-2</v>
      </c>
      <c r="H33" s="108">
        <f t="shared" ca="1" si="5"/>
        <v>0.14285714285714285</v>
      </c>
      <c r="I33" s="110">
        <f t="shared" ca="1" si="6"/>
        <v>0.64285714285714302</v>
      </c>
      <c r="J33" s="19">
        <f t="shared" ca="1" si="0"/>
        <v>0.33333333333333331</v>
      </c>
      <c r="K33" s="19">
        <f t="shared" ca="1" si="1"/>
        <v>0.3095238095238097</v>
      </c>
      <c r="L33" s="111">
        <f t="shared" ca="1" si="2"/>
        <v>0</v>
      </c>
      <c r="M33" s="125" t="str">
        <f t="shared" si="7"/>
        <v>08h00-01h00</v>
      </c>
      <c r="N33" s="126">
        <f ca="1">IF(B33="","",HorasTrab(M33)-HorasTrab(D33))</f>
        <v>8.333333333333337E-2</v>
      </c>
      <c r="O33" s="127">
        <f t="shared" ca="1" si="8"/>
        <v>0</v>
      </c>
      <c r="P33" s="99"/>
      <c r="Q33" s="99"/>
      <c r="R33" s="99"/>
    </row>
    <row r="34" spans="2:18" ht="50.1" customHeight="1" x14ac:dyDescent="0.2">
      <c r="B34" s="117">
        <f t="shared" si="9"/>
        <v>43217</v>
      </c>
      <c r="C34" s="118">
        <f t="shared" si="3"/>
        <v>43217</v>
      </c>
      <c r="D34" s="112" t="s">
        <v>78</v>
      </c>
      <c r="E34" s="108">
        <f ca="1">IF(B34="","",HorasD(D34))</f>
        <v>0.52083337306976318</v>
      </c>
      <c r="F34" s="109">
        <f ca="1">IF(B34="","",HorasN(D34))</f>
        <v>2.0833313465118408E-2</v>
      </c>
      <c r="G34" s="108">
        <f t="shared" ca="1" si="4"/>
        <v>2.9761876378740573E-3</v>
      </c>
      <c r="H34" s="108">
        <f t="shared" ca="1" si="5"/>
        <v>2.3809501102992466E-2</v>
      </c>
      <c r="I34" s="110">
        <f t="shared" ca="1" si="6"/>
        <v>0.54464285430454062</v>
      </c>
      <c r="J34" s="19">
        <f t="shared" ca="1" si="0"/>
        <v>0.33333333333333331</v>
      </c>
      <c r="K34" s="19">
        <f t="shared" ca="1" si="1"/>
        <v>0.21130952097120731</v>
      </c>
      <c r="L34" s="111">
        <f t="shared" ca="1" si="2"/>
        <v>0</v>
      </c>
      <c r="M34" s="125" t="str">
        <f t="shared" si="7"/>
        <v>07h00-22h30</v>
      </c>
      <c r="N34" s="126">
        <f ca="1">IF(B34="","",HorasTrab(M34)-HorasTrab(D34))</f>
        <v>0.10416666666666674</v>
      </c>
      <c r="O34" s="127">
        <f t="shared" ca="1" si="8"/>
        <v>0</v>
      </c>
      <c r="P34" s="99"/>
      <c r="Q34" s="99"/>
      <c r="R34" s="99"/>
    </row>
    <row r="35" spans="2:18" ht="50.1" customHeight="1" x14ac:dyDescent="0.2">
      <c r="B35" s="117">
        <f t="shared" si="9"/>
        <v>43218</v>
      </c>
      <c r="C35" s="118">
        <f t="shared" si="3"/>
        <v>43218</v>
      </c>
      <c r="D35" s="112" t="s">
        <v>74</v>
      </c>
      <c r="E35" s="108">
        <f ca="1">IF(B35="","",HorasD(D35))</f>
        <v>0.5</v>
      </c>
      <c r="F35" s="109">
        <f ca="1">IF(B35="","",HorasN(D35))</f>
        <v>0.125</v>
      </c>
      <c r="G35" s="108">
        <f t="shared" ca="1" si="4"/>
        <v>1.7857142857142849E-2</v>
      </c>
      <c r="H35" s="108">
        <f t="shared" ca="1" si="5"/>
        <v>0.14285714285714285</v>
      </c>
      <c r="I35" s="110">
        <f t="shared" ca="1" si="6"/>
        <v>0.64285714285714302</v>
      </c>
      <c r="J35" s="19">
        <f t="shared" ca="1" si="0"/>
        <v>0.16666666666666666</v>
      </c>
      <c r="K35" s="19">
        <f t="shared" ca="1" si="1"/>
        <v>0.47619047619047639</v>
      </c>
      <c r="L35" s="111">
        <f t="shared" ca="1" si="2"/>
        <v>0</v>
      </c>
      <c r="M35" s="125" t="str">
        <f t="shared" si="7"/>
        <v>07h00-01h00</v>
      </c>
      <c r="N35" s="126">
        <f ca="1">IF(B35="","",HorasTrab(M35)-HorasTrab(D35))</f>
        <v>0.12499999999999989</v>
      </c>
      <c r="O35" s="127">
        <f t="shared" ca="1" si="8"/>
        <v>0</v>
      </c>
      <c r="P35" s="99"/>
      <c r="Q35" s="99"/>
      <c r="R35" s="99"/>
    </row>
    <row r="36" spans="2:18" ht="50.1" customHeight="1" x14ac:dyDescent="0.2">
      <c r="B36" s="119">
        <f>IF(B35="","",IF(B35&gt;=fim,"",B35+1))</f>
        <v>43219</v>
      </c>
      <c r="C36" s="118">
        <f t="shared" si="3"/>
        <v>43219</v>
      </c>
      <c r="D36" s="112" t="s">
        <v>75</v>
      </c>
      <c r="E36" s="108">
        <f ca="1">IF(B36="","",HorasD(D36))</f>
        <v>0.48958328366279602</v>
      </c>
      <c r="F36" s="109">
        <f ca="1">IF(B36="","",HorasN(D36))</f>
        <v>0</v>
      </c>
      <c r="G36" s="108">
        <f t="shared" ca="1" si="4"/>
        <v>0</v>
      </c>
      <c r="H36" s="108">
        <f t="shared" ca="1" si="5"/>
        <v>0</v>
      </c>
      <c r="I36" s="110">
        <f t="shared" ca="1" si="6"/>
        <v>0.48958333333333337</v>
      </c>
      <c r="J36" s="19">
        <f t="shared" si="0"/>
        <v>0</v>
      </c>
      <c r="K36" s="19">
        <f t="shared" si="1"/>
        <v>0</v>
      </c>
      <c r="L36" s="111">
        <f t="shared" ca="1" si="2"/>
        <v>0.48958333333333337</v>
      </c>
      <c r="M36" s="125" t="str">
        <f t="shared" si="7"/>
        <v>07h00-20h00</v>
      </c>
      <c r="N36" s="126">
        <f ca="1">IF(B36="","",HorasTrab(M36)-HorasTrab(D36))</f>
        <v>5.208333333333337E-2</v>
      </c>
      <c r="O36" s="127">
        <f t="shared" ca="1" si="8"/>
        <v>0</v>
      </c>
      <c r="P36" s="99"/>
      <c r="Q36" s="99"/>
      <c r="R36" s="99"/>
    </row>
    <row r="37" spans="2:18" ht="50.1" customHeight="1" x14ac:dyDescent="0.2">
      <c r="B37" s="119">
        <f>IF(B36="","",IF(B36&gt;=fim,"",B36+1))</f>
        <v>43220</v>
      </c>
      <c r="C37" s="118">
        <f t="shared" si="3"/>
        <v>43220</v>
      </c>
      <c r="D37" s="112" t="s">
        <v>55</v>
      </c>
      <c r="E37" s="108">
        <f ca="1">IF(B37="","",HorasD(D37))</f>
        <v>0.125</v>
      </c>
      <c r="F37" s="109">
        <f ca="1">IF(B37="","",HorasN(D37))</f>
        <v>0.29166662693023682</v>
      </c>
      <c r="G37" s="108">
        <f t="shared" ca="1" si="4"/>
        <v>4.1666660990033855E-2</v>
      </c>
      <c r="H37" s="108">
        <f t="shared" ca="1" si="5"/>
        <v>0.33333328792027067</v>
      </c>
      <c r="I37" s="110">
        <f t="shared" ca="1" si="6"/>
        <v>0.45833332765670048</v>
      </c>
      <c r="J37" s="19">
        <f t="shared" ca="1" si="0"/>
        <v>0.33333333333333331</v>
      </c>
      <c r="K37" s="19">
        <f t="shared" ca="1" si="1"/>
        <v>0.12499999432336717</v>
      </c>
      <c r="L37" s="111">
        <f t="shared" ca="1" si="2"/>
        <v>0</v>
      </c>
      <c r="M37" s="125" t="str">
        <f t="shared" si="7"/>
        <v>18h00-05h00</v>
      </c>
      <c r="N37" s="126">
        <f ca="1">IF(B37="","",HorasTrab(M37)-HorasTrab(D37))</f>
        <v>4.166666666666663E-2</v>
      </c>
      <c r="O37" s="127">
        <f t="shared" ca="1" si="8"/>
        <v>3.4694469519536142E-17</v>
      </c>
      <c r="P37" s="99"/>
      <c r="Q37" s="99"/>
      <c r="R37" s="99"/>
    </row>
    <row r="38" spans="2:18" ht="50.1" customHeight="1" x14ac:dyDescent="0.2">
      <c r="B38" s="119" t="str">
        <f>IF(B37="","",IF(B37&gt;=fim,"",B37+1))</f>
        <v/>
      </c>
      <c r="C38" s="118" t="str">
        <f t="shared" si="3"/>
        <v/>
      </c>
      <c r="D38" s="112"/>
      <c r="E38" s="108" t="str">
        <f>IF(B38="","",HorasD(D38))</f>
        <v/>
      </c>
      <c r="F38" s="109" t="str">
        <f>IF(B38="","",HorasN(D38))</f>
        <v/>
      </c>
      <c r="G38" s="108" t="str">
        <f t="shared" si="4"/>
        <v/>
      </c>
      <c r="H38" s="108" t="str">
        <f t="shared" si="5"/>
        <v/>
      </c>
      <c r="I38" s="110" t="str">
        <f t="shared" si="6"/>
        <v/>
      </c>
      <c r="J38" s="19" t="str">
        <f t="shared" si="0"/>
        <v/>
      </c>
      <c r="K38" s="19" t="str">
        <f t="shared" si="1"/>
        <v/>
      </c>
      <c r="L38" s="111" t="str">
        <f t="shared" si="2"/>
        <v/>
      </c>
      <c r="M38" s="125" t="str">
        <f t="shared" si="7"/>
        <v/>
      </c>
      <c r="N38" s="126" t="str">
        <f>IF(B38="","",HorasTrab(M38)-HorasTrab(D38))</f>
        <v/>
      </c>
      <c r="O38" s="127" t="str">
        <f t="shared" si="8"/>
        <v/>
      </c>
      <c r="P38" s="99"/>
      <c r="Q38" s="99"/>
      <c r="R38" s="99"/>
    </row>
    <row r="39" spans="2:18" ht="15" customHeight="1" x14ac:dyDescent="0.2">
      <c r="B39" s="96" t="s">
        <v>39</v>
      </c>
      <c r="C39" s="96" t="s">
        <v>38</v>
      </c>
      <c r="D39" s="96"/>
      <c r="E39" s="96"/>
      <c r="F39" s="96"/>
      <c r="G39" s="22" t="s">
        <v>40</v>
      </c>
      <c r="H39" s="97">
        <f ca="1">SUM(H8:H38)</f>
        <v>2.6071423973355978</v>
      </c>
      <c r="I39" s="97">
        <f ca="1">SUM(I8:I38)</f>
        <v>14.727281688555836</v>
      </c>
      <c r="J39" s="27" t="s">
        <v>40</v>
      </c>
      <c r="K39" s="97">
        <f ca="1">SUM(K8:K38)</f>
        <v>4.3484126544187953</v>
      </c>
      <c r="L39" s="97">
        <f ca="1">SUM(L8:L38)</f>
        <v>3.1309523674703783</v>
      </c>
      <c r="M39" s="97">
        <f ca="1">HorasTrab(M8:M38)</f>
        <v>16.790277777777781</v>
      </c>
      <c r="N39" s="97">
        <f ca="1">SUM(N8:N38)</f>
        <v>2.3888888888888893</v>
      </c>
      <c r="O39" s="97">
        <f t="shared" ref="O39" ca="1" si="10">SUM(O8:O38)</f>
        <v>0.10416666666666657</v>
      </c>
    </row>
    <row r="40" spans="2:18" ht="15" customHeight="1" x14ac:dyDescent="0.2">
      <c r="B40" s="23">
        <f>B8</f>
        <v>43191</v>
      </c>
      <c r="C40" s="23">
        <f>MAX(B8:B38)</f>
        <v>43220</v>
      </c>
      <c r="D40" s="24"/>
      <c r="E40" s="25"/>
      <c r="F40" s="28"/>
      <c r="G40" s="22" t="s">
        <v>41</v>
      </c>
      <c r="H40" s="26">
        <f ca="1">H39*24</f>
        <v>62.571417536054348</v>
      </c>
      <c r="I40" s="26">
        <f ca="1">I39*24</f>
        <v>353.45476052534008</v>
      </c>
      <c r="J40" s="27" t="s">
        <v>41</v>
      </c>
      <c r="K40" s="26">
        <f ca="1">K39*24</f>
        <v>104.36190370605109</v>
      </c>
      <c r="L40" s="26">
        <f ca="1">L39*24</f>
        <v>75.142856819289079</v>
      </c>
      <c r="M40" s="26">
        <f t="shared" ref="M40:O40" ca="1" si="11">M39*24</f>
        <v>402.96666666666675</v>
      </c>
      <c r="N40" s="26">
        <f t="shared" ca="1" si="11"/>
        <v>57.333333333333343</v>
      </c>
      <c r="O40" s="26">
        <f t="shared" ca="1" si="11"/>
        <v>2.4999999999999978</v>
      </c>
    </row>
    <row r="41" spans="2:18" ht="15" customHeight="1" x14ac:dyDescent="0.2">
      <c r="B41" s="82" t="str">
        <f>IF(dia_f="","",DATE(ano_p,mês_p,1))</f>
        <v/>
      </c>
      <c r="C41" s="107" t="s">
        <v>67</v>
      </c>
      <c r="D41" s="106">
        <f ca="1">HorasTrab(quadro_horarios)</f>
        <v>14.401388888888901</v>
      </c>
      <c r="E41" s="83" t="str">
        <f>IF(B41="","",D41+#REF!)</f>
        <v/>
      </c>
      <c r="F41" s="84" t="str">
        <f>IF(B41="","",#REF!&amp;"/"&amp;E41)</f>
        <v/>
      </c>
      <c r="G41" s="83"/>
      <c r="H41" s="105"/>
      <c r="I41" s="83"/>
      <c r="J41" s="83"/>
      <c r="K41" s="80"/>
      <c r="L41" s="80"/>
    </row>
    <row r="42" spans="2:18" x14ac:dyDescent="0.2">
      <c r="G42" s="79" t="str">
        <f>IF(B41="","","Dsr mês:")</f>
        <v/>
      </c>
      <c r="H42" s="81" t="str">
        <f>IF(B41="","",$H$40/#REF!*$E41)</f>
        <v/>
      </c>
      <c r="J42" s="79" t="str">
        <f>IF(B41="","","Dsr mês:")</f>
        <v/>
      </c>
      <c r="K42" s="81" t="str">
        <f>IF(B41="","",$K$40/#REF!*$E41)</f>
        <v/>
      </c>
      <c r="L42" s="81" t="str">
        <f>IF(B41="","",$L$40/#REF!*$E41)</f>
        <v/>
      </c>
    </row>
    <row r="43" spans="2:18" x14ac:dyDescent="0.2">
      <c r="H43" s="81"/>
    </row>
    <row r="44" spans="2:18" ht="18.75" hidden="1" x14ac:dyDescent="0.2">
      <c r="E44" s="1"/>
      <c r="F44" s="1"/>
      <c r="G44" s="1"/>
      <c r="H44" s="1"/>
    </row>
    <row r="45" spans="2:18" hidden="1" x14ac:dyDescent="0.2"/>
    <row r="46" spans="2:18" hidden="1" x14ac:dyDescent="0.2"/>
    <row r="47" spans="2:18" hidden="1" x14ac:dyDescent="0.2"/>
    <row r="48" spans="2:1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spans="3:4" hidden="1" x14ac:dyDescent="0.2"/>
    <row r="114" spans="3:4" hidden="1" x14ac:dyDescent="0.2"/>
    <row r="115" spans="3:4" hidden="1" x14ac:dyDescent="0.2"/>
    <row r="116" spans="3:4" hidden="1" x14ac:dyDescent="0.2"/>
    <row r="117" spans="3:4" hidden="1" x14ac:dyDescent="0.2"/>
    <row r="118" spans="3:4" hidden="1" x14ac:dyDescent="0.2"/>
    <row r="119" spans="3:4" hidden="1" x14ac:dyDescent="0.2"/>
    <row r="120" spans="3:4" hidden="1" x14ac:dyDescent="0.2"/>
    <row r="121" spans="3:4" hidden="1" x14ac:dyDescent="0.2"/>
    <row r="122" spans="3:4" hidden="1" x14ac:dyDescent="0.2"/>
    <row r="123" spans="3:4" hidden="1" x14ac:dyDescent="0.2"/>
    <row r="124" spans="3:4" hidden="1" x14ac:dyDescent="0.2"/>
    <row r="125" spans="3:4" hidden="1" x14ac:dyDescent="0.2"/>
    <row r="126" spans="3:4" hidden="1" x14ac:dyDescent="0.2"/>
    <row r="127" spans="3:4" hidden="1" x14ac:dyDescent="0.2"/>
    <row r="128" spans="3:4" hidden="1" x14ac:dyDescent="0.2">
      <c r="C128" s="31" t="s">
        <v>42</v>
      </c>
      <c r="D128" s="32">
        <f>IF(dia_f="",DATE(ano_p,mês_p,1),DATE(ano_p,mês_p-1,dia_f+1))</f>
        <v>43191</v>
      </c>
    </row>
    <row r="129" spans="3:4" hidden="1" x14ac:dyDescent="0.2">
      <c r="C129" s="29" t="s">
        <v>45</v>
      </c>
      <c r="D129" s="32">
        <f>IF(dia_f="",DATE(ano_p,mês_p+1,0),(DATE(ano_p,mês_p,dia_f)))</f>
        <v>43220</v>
      </c>
    </row>
  </sheetData>
  <sheetProtection selectLockedCells="1"/>
  <mergeCells count="5">
    <mergeCell ref="S7:T7"/>
    <mergeCell ref="D2:E3"/>
    <mergeCell ref="H2:I2"/>
    <mergeCell ref="K2:L2"/>
    <mergeCell ref="D5:D6"/>
  </mergeCells>
  <conditionalFormatting sqref="B8:C38">
    <cfRule type="expression" dxfId="16" priority="10">
      <formula>WEEKDAY($B8,2)=7</formula>
    </cfRule>
    <cfRule type="expression" dxfId="15" priority="11">
      <formula>COUNTIF(fer,$B8)&gt;0</formula>
    </cfRule>
  </conditionalFormatting>
  <conditionalFormatting sqref="D8:D38">
    <cfRule type="expression" dxfId="14" priority="8">
      <formula>WEEKDAY($B8,2)=7</formula>
    </cfRule>
    <cfRule type="expression" dxfId="13" priority="9">
      <formula>COUNTIF(fer,$B8)&gt;0</formula>
    </cfRule>
  </conditionalFormatting>
  <conditionalFormatting sqref="B41:C41">
    <cfRule type="expression" dxfId="12" priority="7">
      <formula>dia_f&lt;&gt;""</formula>
    </cfRule>
  </conditionalFormatting>
  <conditionalFormatting sqref="D41:F41">
    <cfRule type="expression" dxfId="11" priority="6">
      <formula>dia_f&lt;&gt;""</formula>
    </cfRule>
  </conditionalFormatting>
  <conditionalFormatting sqref="G42">
    <cfRule type="expression" dxfId="10" priority="5">
      <formula>dia_f&lt;&gt;""</formula>
    </cfRule>
  </conditionalFormatting>
  <conditionalFormatting sqref="I42">
    <cfRule type="expression" dxfId="9" priority="4">
      <formula>dia_f&lt;&gt;""</formula>
    </cfRule>
  </conditionalFormatting>
  <conditionalFormatting sqref="J42">
    <cfRule type="expression" dxfId="8" priority="3">
      <formula>dia_f&lt;&gt;""</formula>
    </cfRule>
  </conditionalFormatting>
  <conditionalFormatting sqref="K42:L42">
    <cfRule type="expression" dxfId="7" priority="2">
      <formula>dia_f&lt;&gt;""</formula>
    </cfRule>
  </conditionalFormatting>
  <conditionalFormatting sqref="H42">
    <cfRule type="expression" dxfId="6" priority="1">
      <formula>dia_f&lt;&gt;""</formula>
    </cfRule>
  </conditionalFormatting>
  <conditionalFormatting sqref="E8:O38">
    <cfRule type="expression" dxfId="5" priority="12">
      <formula>WEEKDAY($B8,2)=7</formula>
    </cfRule>
    <cfRule type="expression" dxfId="4" priority="13">
      <formula>COUNTIF(fer,$B8)&gt;0</formula>
    </cfRule>
  </conditionalFormatting>
  <pageMargins left="0.75" right="0.75" top="1" bottom="1" header="0.49212598499999999" footer="0.49212598499999999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impar_Click">
                <anchor moveWithCells="1" sizeWithCells="1">
                  <from>
                    <xdr:col>2</xdr:col>
                    <xdr:colOff>657225</xdr:colOff>
                    <xdr:row>3</xdr:row>
                    <xdr:rowOff>104775</xdr:rowOff>
                  </from>
                  <to>
                    <xdr:col>4</xdr:col>
                    <xdr:colOff>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4" tint="-0.249977111117893"/>
  </sheetPr>
  <dimension ref="A1:X35"/>
  <sheetViews>
    <sheetView showGridLines="0" workbookViewId="0">
      <selection activeCell="G16" sqref="G16"/>
    </sheetView>
  </sheetViews>
  <sheetFormatPr defaultRowHeight="12.75" x14ac:dyDescent="0.2"/>
  <cols>
    <col min="1" max="1" width="4.7109375" style="33" customWidth="1"/>
    <col min="2" max="2" width="6.7109375" style="33" customWidth="1"/>
    <col min="3" max="3" width="25" style="33" customWidth="1"/>
    <col min="4" max="4" width="14.42578125" style="33" customWidth="1"/>
    <col min="5" max="6" width="10.7109375" style="33" bestFit="1" customWidth="1"/>
    <col min="7" max="7" width="12.42578125" style="33" customWidth="1"/>
    <col min="8" max="11" width="9.140625" style="33"/>
    <col min="12" max="12" width="3" style="33" customWidth="1"/>
    <col min="13" max="21" width="9.140625" style="33"/>
    <col min="22" max="23" width="0" style="33" hidden="1" customWidth="1"/>
    <col min="24" max="24" width="10.140625" style="33" hidden="1" customWidth="1"/>
    <col min="25" max="25" width="0" style="33" hidden="1" customWidth="1"/>
    <col min="26" max="16384" width="9.140625" style="33"/>
  </cols>
  <sheetData>
    <row r="1" spans="1:24" ht="20.100000000000001" customHeight="1" x14ac:dyDescent="0.2">
      <c r="A1" s="144" t="s">
        <v>6</v>
      </c>
      <c r="B1" s="144"/>
      <c r="C1" s="21" t="s">
        <v>17</v>
      </c>
      <c r="D1" s="144" t="s">
        <v>35</v>
      </c>
      <c r="E1" s="144"/>
    </row>
    <row r="2" spans="1:24" ht="20.100000000000001" customHeight="1" x14ac:dyDescent="0.25">
      <c r="A2" s="34"/>
      <c r="B2" s="35">
        <f>ano_p</f>
        <v>2018</v>
      </c>
      <c r="C2" s="36">
        <f>ROUND(DATE($B$2,4,MOD(234-11*MOD($B$2,19),30))/7,)*7-6</f>
        <v>43191</v>
      </c>
      <c r="D2" s="37" t="s">
        <v>42</v>
      </c>
      <c r="E2" s="38">
        <f>ININOT</f>
        <v>0.91666666666666663</v>
      </c>
    </row>
    <row r="3" spans="1:24" ht="20.100000000000001" customHeight="1" x14ac:dyDescent="0.2">
      <c r="A3" s="39"/>
      <c r="B3" s="40"/>
      <c r="C3" s="41"/>
      <c r="D3" s="42" t="s">
        <v>43</v>
      </c>
      <c r="E3" s="43">
        <f>FIMNOT</f>
        <v>0.20833333333333334</v>
      </c>
    </row>
    <row r="4" spans="1:24" ht="15" x14ac:dyDescent="0.2">
      <c r="A4" s="145" t="s">
        <v>31</v>
      </c>
      <c r="B4" s="146"/>
      <c r="C4" s="146"/>
      <c r="D4" s="146"/>
      <c r="E4" s="146"/>
      <c r="F4" s="146"/>
      <c r="G4" s="44"/>
    </row>
    <row r="5" spans="1:24" ht="18" customHeight="1" x14ac:dyDescent="0.25">
      <c r="A5" s="147" t="s">
        <v>20</v>
      </c>
      <c r="B5" s="11" t="s">
        <v>21</v>
      </c>
      <c r="C5" s="8" t="s">
        <v>8</v>
      </c>
      <c r="D5" s="45">
        <f>IF($B$5="X",DATE($B$2-1,1,1),DATE(1905,1,1))</f>
        <v>42736</v>
      </c>
      <c r="E5" s="45">
        <f>IF($B$5="X",DATE($B$2,1,1),DATE(1905,1,1))</f>
        <v>43101</v>
      </c>
      <c r="F5" s="45">
        <f>IF($B$5="X",DATE($B$2+1,1,1),DATE(1905,1,1))</f>
        <v>43466</v>
      </c>
      <c r="G5" s="46">
        <f>ROUND(DATE($B$2-1,4,MOD(234-11*MOD($B$2-1,19),30))/7,)*7-6</f>
        <v>42841</v>
      </c>
      <c r="V5" s="47">
        <v>1</v>
      </c>
      <c r="W5" s="47">
        <v>1</v>
      </c>
      <c r="X5" s="48">
        <f>DATE(1905,1,1)</f>
        <v>1828</v>
      </c>
    </row>
    <row r="6" spans="1:24" ht="18" customHeight="1" x14ac:dyDescent="0.25">
      <c r="A6" s="148"/>
      <c r="B6" s="12" t="s">
        <v>21</v>
      </c>
      <c r="C6" s="9" t="s">
        <v>9</v>
      </c>
      <c r="D6" s="10">
        <f>IF($B$6="X",DATE($B$2-1,4,21),DATE(1905,1,1))</f>
        <v>42846</v>
      </c>
      <c r="E6" s="49">
        <f>IF($B$5="X",DATE($B$2,4,21),DATE(1905,1,1))</f>
        <v>43211</v>
      </c>
      <c r="F6" s="49">
        <f>IF($B$5="X",DATE($B$2+1,4,21),DATE(1905,1,1))</f>
        <v>43576</v>
      </c>
      <c r="G6" s="46">
        <f>ROUND(DATE($B$2+1,4,MOD(234-11*MOD($B$2+1,19),30))/7,)*7-6</f>
        <v>43576</v>
      </c>
      <c r="V6" s="47">
        <v>2</v>
      </c>
      <c r="W6" s="47">
        <v>2</v>
      </c>
      <c r="X6" s="47"/>
    </row>
    <row r="7" spans="1:24" ht="18" customHeight="1" x14ac:dyDescent="0.25">
      <c r="A7" s="148"/>
      <c r="B7" s="12" t="s">
        <v>21</v>
      </c>
      <c r="C7" s="9" t="s">
        <v>10</v>
      </c>
      <c r="D7" s="10">
        <f>IF($B$7="X",DATE($B$2-1,5,1),DATE(1905,1,1))</f>
        <v>42856</v>
      </c>
      <c r="E7" s="49">
        <f>IF($B$5="X",DATE($B$2,5,1),DATE(1905,1,1))</f>
        <v>43221</v>
      </c>
      <c r="F7" s="49">
        <f>IF($B$5="X",DATE($B$2+1,5,1),DATE(1905,1,1))</f>
        <v>43586</v>
      </c>
      <c r="G7" s="50"/>
      <c r="V7" s="47">
        <v>3</v>
      </c>
      <c r="W7" s="47">
        <v>3</v>
      </c>
      <c r="X7" s="47"/>
    </row>
    <row r="8" spans="1:24" ht="18" customHeight="1" x14ac:dyDescent="0.25">
      <c r="A8" s="148"/>
      <c r="B8" s="12" t="s">
        <v>21</v>
      </c>
      <c r="C8" s="9" t="s">
        <v>11</v>
      </c>
      <c r="D8" s="10">
        <f>IF($B$8="X",DATE($B$2-1,9,7),DATE(1905,1,1))</f>
        <v>42985</v>
      </c>
      <c r="E8" s="49">
        <f>IF($B$5="X",DATE($B$2,9,7),DATE(1905,1,1))</f>
        <v>43350</v>
      </c>
      <c r="F8" s="49">
        <f>IF($B$5="X",DATE($B$2+1,9,7),DATE(1905,1,1))</f>
        <v>43715</v>
      </c>
      <c r="G8" s="50"/>
      <c r="V8" s="47">
        <v>4</v>
      </c>
      <c r="W8" s="47">
        <v>4</v>
      </c>
      <c r="X8" s="47"/>
    </row>
    <row r="9" spans="1:24" ht="18" customHeight="1" x14ac:dyDescent="0.25">
      <c r="A9" s="148"/>
      <c r="B9" s="12" t="s">
        <v>21</v>
      </c>
      <c r="C9" s="9" t="s">
        <v>12</v>
      </c>
      <c r="D9" s="10">
        <f>IF($B$9="X",DATE($B$2-1,10,12),DATE(1905,1,1))</f>
        <v>43020</v>
      </c>
      <c r="E9" s="49">
        <f>IF($B$5="X",DATE($B$2,10,12),DATE(1905,1,1))</f>
        <v>43385</v>
      </c>
      <c r="F9" s="49">
        <f>IF($B$5="X",DATE($B$2+1,10,12),DATE(1905,1,1))</f>
        <v>43750</v>
      </c>
      <c r="G9" s="50"/>
      <c r="V9" s="47">
        <v>5</v>
      </c>
      <c r="W9" s="47">
        <v>5</v>
      </c>
      <c r="X9" s="47"/>
    </row>
    <row r="10" spans="1:24" ht="18" customHeight="1" x14ac:dyDescent="0.25">
      <c r="A10" s="148"/>
      <c r="B10" s="12" t="s">
        <v>21</v>
      </c>
      <c r="C10" s="9" t="s">
        <v>13</v>
      </c>
      <c r="D10" s="10">
        <f>IF($B$10="X",DATE($B$2-1,11,2),DATE(1905,1,1))</f>
        <v>43041</v>
      </c>
      <c r="E10" s="49">
        <f>IF($B$5="X",DATE($B$2,11,2),DATE(1905,1,1))</f>
        <v>43406</v>
      </c>
      <c r="F10" s="49">
        <f>IF($B$5="X",DATE($B$2+1,11,2),DATE(1905,1,1))</f>
        <v>43771</v>
      </c>
      <c r="G10" s="50"/>
      <c r="V10" s="47">
        <v>6</v>
      </c>
      <c r="W10" s="47">
        <v>6</v>
      </c>
      <c r="X10" s="47"/>
    </row>
    <row r="11" spans="1:24" ht="18" customHeight="1" x14ac:dyDescent="0.25">
      <c r="A11" s="148"/>
      <c r="B11" s="12" t="s">
        <v>21</v>
      </c>
      <c r="C11" s="9" t="s">
        <v>14</v>
      </c>
      <c r="D11" s="10">
        <f>IF($B$11="X",DATE($B$2-1,11,15),DATE(1905,1,1))</f>
        <v>43054</v>
      </c>
      <c r="E11" s="49">
        <f>IF($B$5="X",DATE($B$2,11,15),DATE(1905,1,1))</f>
        <v>43419</v>
      </c>
      <c r="F11" s="49">
        <f>IF($B$5="X",DATE($B$2+1,11,15),DATE(1905,1,1))</f>
        <v>43784</v>
      </c>
      <c r="G11" s="50"/>
      <c r="V11" s="47">
        <v>7</v>
      </c>
      <c r="W11" s="47">
        <v>7</v>
      </c>
      <c r="X11" s="47"/>
    </row>
    <row r="12" spans="1:24" ht="18" customHeight="1" x14ac:dyDescent="0.25">
      <c r="A12" s="149"/>
      <c r="B12" s="13" t="s">
        <v>21</v>
      </c>
      <c r="C12" s="14" t="s">
        <v>15</v>
      </c>
      <c r="D12" s="15">
        <f>IF($B$12="X",DATE($B$2-1,12,25),DATE(1905,1,1))</f>
        <v>43094</v>
      </c>
      <c r="E12" s="51">
        <f>IF($B$5="X",DATE($B$2,12,25),DATE(1905,1,1))</f>
        <v>43459</v>
      </c>
      <c r="F12" s="51">
        <f>IF($B$5="X",DATE($B$2+1,12,25),DATE(1905,1,1))</f>
        <v>43824</v>
      </c>
      <c r="G12" s="50"/>
      <c r="V12" s="47">
        <v>8</v>
      </c>
      <c r="W12" s="47">
        <v>8</v>
      </c>
      <c r="X12" s="47"/>
    </row>
    <row r="13" spans="1:24" ht="18" customHeight="1" x14ac:dyDescent="0.25">
      <c r="A13" s="150" t="s">
        <v>27</v>
      </c>
      <c r="B13" s="52" t="s">
        <v>21</v>
      </c>
      <c r="C13" s="53" t="s">
        <v>22</v>
      </c>
      <c r="D13" s="54">
        <f>IF($B$13="X",$G$5-2,DATE(1905,1,1))</f>
        <v>42839</v>
      </c>
      <c r="E13" s="54">
        <f>IF($B$13="X",páscoa-2,DATE(1905,1,1))</f>
        <v>43189</v>
      </c>
      <c r="F13" s="54">
        <f>IF($B$13="X",$G$6-2,DATE(1905,1,1))</f>
        <v>43574</v>
      </c>
      <c r="G13" s="55"/>
      <c r="V13" s="47">
        <v>9</v>
      </c>
      <c r="W13" s="47">
        <v>9</v>
      </c>
      <c r="X13" s="47"/>
    </row>
    <row r="14" spans="1:24" ht="18" customHeight="1" x14ac:dyDescent="0.25">
      <c r="A14" s="151"/>
      <c r="B14" s="56" t="s">
        <v>21</v>
      </c>
      <c r="C14" s="57" t="s">
        <v>19</v>
      </c>
      <c r="D14" s="58">
        <f>IF($B$14="X",$G$5+60,DATE(1905,1,1))</f>
        <v>42901</v>
      </c>
      <c r="E14" s="58">
        <f>IF($B$14="X",páscoa+60,DATE(1905,1,1))</f>
        <v>43251</v>
      </c>
      <c r="F14" s="58">
        <f>IF($B$14="X",$G$6+60,DATE(1905,1,1))</f>
        <v>43636</v>
      </c>
      <c r="G14" s="55"/>
      <c r="V14" s="47">
        <v>10</v>
      </c>
      <c r="W14" s="47">
        <v>10</v>
      </c>
      <c r="X14" s="47"/>
    </row>
    <row r="15" spans="1:24" ht="18" customHeight="1" x14ac:dyDescent="0.25">
      <c r="A15" s="152"/>
      <c r="B15" s="59" t="s">
        <v>21</v>
      </c>
      <c r="C15" s="60" t="s">
        <v>16</v>
      </c>
      <c r="D15" s="61">
        <f>IF($B$15="X",$G$5-47,DATE(1905,1,1))</f>
        <v>42794</v>
      </c>
      <c r="E15" s="61">
        <f>IF($B$15="X",páscoa-47,DATE(1905,1,1))</f>
        <v>43144</v>
      </c>
      <c r="F15" s="61">
        <f>IF($B$15="X",$G$6-47,DATE(1905,1,1))</f>
        <v>43529</v>
      </c>
      <c r="G15" s="62" t="s">
        <v>29</v>
      </c>
      <c r="H15" s="16" t="s">
        <v>30</v>
      </c>
      <c r="V15" s="47">
        <v>11</v>
      </c>
      <c r="W15" s="47">
        <v>11</v>
      </c>
      <c r="X15" s="47"/>
    </row>
    <row r="16" spans="1:24" ht="18" customHeight="1" x14ac:dyDescent="0.25">
      <c r="A16" s="142" t="s">
        <v>28</v>
      </c>
      <c r="B16" s="63" t="s">
        <v>21</v>
      </c>
      <c r="C16" s="64" t="s">
        <v>23</v>
      </c>
      <c r="D16" s="65">
        <f>IF($B$16="X",DATE($B$2-1,$H$16,$G$16),DATE(1905,1,1))</f>
        <v>42896</v>
      </c>
      <c r="E16" s="65">
        <f>IF($B$16="X",DATE($B$2,$H$16,$G$16),DATE(1905,1,1))</f>
        <v>43261</v>
      </c>
      <c r="F16" s="65">
        <f>IF($B$16="X",DATE($B$2+1,$H$16,$G$16),DATE(1905,1,1))</f>
        <v>43626</v>
      </c>
      <c r="G16" s="66">
        <v>10</v>
      </c>
      <c r="H16" s="66">
        <v>6</v>
      </c>
      <c r="V16" s="47">
        <v>12</v>
      </c>
      <c r="W16" s="47">
        <v>12</v>
      </c>
      <c r="X16" s="47"/>
    </row>
    <row r="17" spans="1:24" ht="18" customHeight="1" x14ac:dyDescent="0.25">
      <c r="A17" s="143"/>
      <c r="B17" s="67" t="s">
        <v>21</v>
      </c>
      <c r="C17" s="68" t="s">
        <v>24</v>
      </c>
      <c r="D17" s="69">
        <f>IF($B$17="X",DATE($B$2-1,H17,G17),DATE(1905,1,1))</f>
        <v>42910</v>
      </c>
      <c r="E17" s="65">
        <f>IF($B$17="X",DATE($B$2,H17,G17),DATE(1905,1,1))</f>
        <v>43275</v>
      </c>
      <c r="F17" s="65">
        <f>IF($B$17="X",DATE($B$2+1,H17,G17),DATE(1905,1,1))</f>
        <v>43640</v>
      </c>
      <c r="G17" s="70">
        <v>24</v>
      </c>
      <c r="H17" s="70">
        <v>6</v>
      </c>
      <c r="V17" s="47"/>
      <c r="W17" s="47">
        <v>13</v>
      </c>
      <c r="X17" s="47"/>
    </row>
    <row r="18" spans="1:24" ht="18" customHeight="1" x14ac:dyDescent="0.25">
      <c r="A18" s="143"/>
      <c r="B18" s="71"/>
      <c r="C18" s="68" t="s">
        <v>25</v>
      </c>
      <c r="D18" s="69">
        <f>IF($B$18="X",DATE($B$2-1,H18,G18),DATE(1905,1,1))</f>
        <v>1828</v>
      </c>
      <c r="E18" s="65">
        <f>IF($B$18="X",DATE($B$2,H18,G18),DATE(1905,1,1))</f>
        <v>1828</v>
      </c>
      <c r="F18" s="65">
        <f>IF($B$18="X",DATE($B$2,H18,G18),DATE(1905,1,1))</f>
        <v>1828</v>
      </c>
      <c r="G18" s="70">
        <v>5</v>
      </c>
      <c r="H18" s="70">
        <v>8</v>
      </c>
      <c r="V18" s="47"/>
      <c r="W18" s="47">
        <v>14</v>
      </c>
      <c r="X18" s="47"/>
    </row>
    <row r="19" spans="1:24" ht="18" customHeight="1" x14ac:dyDescent="0.25">
      <c r="A19" s="143"/>
      <c r="B19" s="72"/>
      <c r="C19" s="73" t="s">
        <v>26</v>
      </c>
      <c r="D19" s="74">
        <f>IF($B$19="X",DATE($B$2-1,H19,G19),DATE(1905,1,1))</f>
        <v>1828</v>
      </c>
      <c r="E19" s="75">
        <f>IF($B$19="X",DATE($B$2,H19,G19),DATE(1905,1,1))</f>
        <v>1828</v>
      </c>
      <c r="F19" s="75">
        <f>IF($B$19="X",DATE($B$2+1,H19,G19),DATE(1905,1,1))</f>
        <v>1828</v>
      </c>
      <c r="G19" s="76">
        <v>10</v>
      </c>
      <c r="H19" s="76">
        <v>5</v>
      </c>
      <c r="V19" s="47"/>
      <c r="W19" s="47">
        <v>15</v>
      </c>
      <c r="X19" s="47"/>
    </row>
    <row r="20" spans="1:24" x14ac:dyDescent="0.2">
      <c r="A20" s="77"/>
      <c r="B20" s="77"/>
      <c r="V20" s="47"/>
      <c r="W20" s="47">
        <v>16</v>
      </c>
      <c r="X20" s="47"/>
    </row>
    <row r="21" spans="1:24" x14ac:dyDescent="0.2">
      <c r="A21" s="78"/>
      <c r="B21" s="78"/>
      <c r="V21" s="47"/>
      <c r="W21" s="47">
        <v>17</v>
      </c>
      <c r="X21" s="47"/>
    </row>
    <row r="22" spans="1:24" x14ac:dyDescent="0.2">
      <c r="A22" s="78"/>
      <c r="B22" s="78"/>
      <c r="V22" s="47"/>
      <c r="W22" s="47">
        <v>18</v>
      </c>
      <c r="X22" s="47"/>
    </row>
    <row r="23" spans="1:24" x14ac:dyDescent="0.2">
      <c r="A23" s="78"/>
      <c r="B23" s="78"/>
      <c r="V23" s="47"/>
      <c r="W23" s="47">
        <v>19</v>
      </c>
      <c r="X23" s="47"/>
    </row>
    <row r="24" spans="1:24" x14ac:dyDescent="0.2">
      <c r="V24" s="47"/>
      <c r="W24" s="47">
        <v>20</v>
      </c>
      <c r="X24" s="47"/>
    </row>
    <row r="25" spans="1:24" x14ac:dyDescent="0.2">
      <c r="V25" s="47"/>
      <c r="W25" s="47">
        <v>21</v>
      </c>
      <c r="X25" s="47"/>
    </row>
    <row r="26" spans="1:24" x14ac:dyDescent="0.2">
      <c r="V26" s="47"/>
      <c r="W26" s="47">
        <v>22</v>
      </c>
      <c r="X26" s="47"/>
    </row>
    <row r="27" spans="1:24" x14ac:dyDescent="0.2">
      <c r="V27" s="47"/>
      <c r="W27" s="47">
        <v>23</v>
      </c>
      <c r="X27" s="47"/>
    </row>
    <row r="28" spans="1:24" x14ac:dyDescent="0.2">
      <c r="V28" s="47"/>
      <c r="W28" s="47">
        <v>24</v>
      </c>
      <c r="X28" s="47"/>
    </row>
    <row r="29" spans="1:24" x14ac:dyDescent="0.2">
      <c r="V29" s="47"/>
      <c r="W29" s="47">
        <v>25</v>
      </c>
      <c r="X29" s="47"/>
    </row>
    <row r="30" spans="1:24" x14ac:dyDescent="0.2">
      <c r="V30" s="47"/>
      <c r="W30" s="47">
        <v>26</v>
      </c>
      <c r="X30" s="47"/>
    </row>
    <row r="31" spans="1:24" x14ac:dyDescent="0.2">
      <c r="V31" s="47"/>
      <c r="W31" s="47">
        <v>27</v>
      </c>
      <c r="X31" s="47"/>
    </row>
    <row r="32" spans="1:24" x14ac:dyDescent="0.2">
      <c r="V32" s="47"/>
      <c r="W32" s="47">
        <v>28</v>
      </c>
      <c r="X32" s="47"/>
    </row>
    <row r="33" spans="22:24" x14ac:dyDescent="0.2">
      <c r="V33" s="47"/>
      <c r="W33" s="47">
        <v>29</v>
      </c>
      <c r="X33" s="47"/>
    </row>
    <row r="34" spans="22:24" x14ac:dyDescent="0.2">
      <c r="V34" s="47"/>
      <c r="W34" s="47">
        <v>30</v>
      </c>
      <c r="X34" s="47"/>
    </row>
    <row r="35" spans="22:24" x14ac:dyDescent="0.2">
      <c r="V35" s="47"/>
      <c r="W35" s="47">
        <v>31</v>
      </c>
      <c r="X35" s="47"/>
    </row>
  </sheetData>
  <mergeCells count="6">
    <mergeCell ref="A16:A19"/>
    <mergeCell ref="A1:B1"/>
    <mergeCell ref="D1:E1"/>
    <mergeCell ref="A4:F4"/>
    <mergeCell ref="A5:A12"/>
    <mergeCell ref="A13:A15"/>
  </mergeCells>
  <conditionalFormatting sqref="D5:D19">
    <cfRule type="cellIs" dxfId="3" priority="4" operator="equal">
      <formula>$X$5</formula>
    </cfRule>
  </conditionalFormatting>
  <conditionalFormatting sqref="E5:F12">
    <cfRule type="cellIs" dxfId="2" priority="3" operator="equal">
      <formula>$X$5</formula>
    </cfRule>
  </conditionalFormatting>
  <conditionalFormatting sqref="E13:F15">
    <cfRule type="cellIs" dxfId="1" priority="2" operator="equal">
      <formula>$X$5</formula>
    </cfRule>
  </conditionalFormatting>
  <conditionalFormatting sqref="E16:F19">
    <cfRule type="cellIs" dxfId="0" priority="1" operator="equal">
      <formula>$X$5</formula>
    </cfRule>
  </conditionalFormatting>
  <dataValidations count="2">
    <dataValidation type="list" allowBlank="1" showInputMessage="1" showErrorMessage="1" sqref="H16:H19" xr:uid="{00000000-0002-0000-0100-000000000000}">
      <formula1>$V$5:$V$16</formula1>
    </dataValidation>
    <dataValidation type="list" allowBlank="1" showInputMessage="1" showErrorMessage="1" sqref="G16:G19" xr:uid="{00000000-0002-0000-0100-000001000000}">
      <formula1>$W$5:$W$35</formula1>
    </dataValidation>
  </dataValidations>
  <pageMargins left="0.75" right="0.75" top="1" bottom="1" header="0.49212598499999999" footer="0.49212598499999999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28</vt:i4>
      </vt:variant>
    </vt:vector>
  </HeadingPairs>
  <TitlesOfParts>
    <vt:vector size="31" baseType="lpstr">
      <vt:lpstr>controle ponto</vt:lpstr>
      <vt:lpstr>controle ponto (2)</vt:lpstr>
      <vt:lpstr>Feriados</vt:lpstr>
      <vt:lpstr>'controle ponto (2)'!ano_p</vt:lpstr>
      <vt:lpstr>ano_p</vt:lpstr>
      <vt:lpstr>'controle ponto'!Area_de_impressao</vt:lpstr>
      <vt:lpstr>'controle ponto (2)'!Area_de_impressao</vt:lpstr>
      <vt:lpstr>'controle ponto (2)'!calendário</vt:lpstr>
      <vt:lpstr>calendário</vt:lpstr>
      <vt:lpstr>'controle ponto (2)'!dia_f</vt:lpstr>
      <vt:lpstr>dia_f</vt:lpstr>
      <vt:lpstr>Feriados!fer</vt:lpstr>
      <vt:lpstr>fer</vt:lpstr>
      <vt:lpstr>'controle ponto (2)'!fim</vt:lpstr>
      <vt:lpstr>fim</vt:lpstr>
      <vt:lpstr>'controle ponto (2)'!FIMNOT</vt:lpstr>
      <vt:lpstr>FIMNOT</vt:lpstr>
      <vt:lpstr>'controle ponto (2)'!ini</vt:lpstr>
      <vt:lpstr>ini</vt:lpstr>
      <vt:lpstr>'controle ponto (2)'!inicio</vt:lpstr>
      <vt:lpstr>inicio</vt:lpstr>
      <vt:lpstr>'controle ponto (2)'!ININOT</vt:lpstr>
      <vt:lpstr>ININOT</vt:lpstr>
      <vt:lpstr>'controle ponto (2)'!mês_p</vt:lpstr>
      <vt:lpstr>mês_p</vt:lpstr>
      <vt:lpstr>Feriados!páscoa</vt:lpstr>
      <vt:lpstr>'controle ponto (2)'!quadro_horarios</vt:lpstr>
      <vt:lpstr>quadro_horarios</vt:lpstr>
      <vt:lpstr>tabela_feriados</vt:lpstr>
      <vt:lpstr>'controle ponto (2)'!tabela_he</vt:lpstr>
      <vt:lpstr>tabela_he</vt:lpstr>
    </vt:vector>
  </TitlesOfParts>
  <Company>MTE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</dc:creator>
  <cp:lastModifiedBy>Gilberto</cp:lastModifiedBy>
  <cp:lastPrinted>2016-10-22T13:49:17Z</cp:lastPrinted>
  <dcterms:created xsi:type="dcterms:W3CDTF">2015-05-11T16:16:43Z</dcterms:created>
  <dcterms:modified xsi:type="dcterms:W3CDTF">2018-05-21T00:55:34Z</dcterms:modified>
</cp:coreProperties>
</file>