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Planilha1" sheetId="1" state="visible" r:id="rId2"/>
    <sheet name="Benefícios" sheetId="2" state="visible" r:id="rId3"/>
    <sheet name="Resumo folha pagamento" sheetId="3" state="visible" r:id="rId4"/>
    <sheet name="Custo empresa" sheetId="4" state="visible" r:id="rId5"/>
    <sheet name="Tabelas" sheetId="5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<sst xmlns="http://schemas.openxmlformats.org/spreadsheetml/2006/main" count="101" uniqueCount="76">
  <si>
    <t xml:space="preserve">INSTRUÇÃO PARA UTILIZAÇÃO DE CUSTOS DOS COLABORADORES</t>
  </si>
  <si>
    <r>
      <rPr>
        <b val="true"/>
        <sz val="10"/>
        <rFont val="Arial"/>
        <family val="2"/>
      </rPr>
      <t xml:space="preserve">Passo 1  -  </t>
    </r>
    <r>
      <rPr>
        <sz val="10"/>
        <rFont val="Arial"/>
        <family val="2"/>
      </rPr>
      <t xml:space="preserve">Acesse a aba “ Benefícios” que está no rodapé desta planilha e preencha os campos que solicitam os nomes e cargos. Nessa mesma aba, relacione todos os beneficios de cada</t>
    </r>
  </si>
  <si>
    <t xml:space="preserve">funcionário. Deixe os campos de beneficios que não são utilizados. </t>
  </si>
  <si>
    <r>
      <rPr>
        <b val="true"/>
        <sz val="10"/>
        <rFont val="Arial"/>
        <family val="2"/>
      </rPr>
      <t xml:space="preserve">Passo 2  -  </t>
    </r>
    <r>
      <rPr>
        <sz val="10"/>
        <rFont val="Arial"/>
        <family val="2"/>
      </rPr>
      <t xml:space="preserve">Acesse a aba “Resumo de folha de pagamento” e preencha os campos de numeros de dependentes e quantidade de faltas (em dias) de cada colaborador.</t>
    </r>
  </si>
  <si>
    <r>
      <rPr>
        <b val="true"/>
        <sz val="10"/>
        <rFont val="Arial"/>
        <family val="2"/>
      </rPr>
      <t xml:space="preserve">Passo 3  -  </t>
    </r>
    <r>
      <rPr>
        <sz val="10"/>
        <rFont val="Arial"/>
        <family val="2"/>
      </rPr>
      <t xml:space="preserve">Na mesma aba, preencha os campos de Salário Bruto e Horas-Extra (em valor) de cada colaborador.</t>
    </r>
  </si>
  <si>
    <r>
      <rPr>
        <b val="true"/>
        <sz val="10"/>
        <rFont val="Arial"/>
        <family val="2"/>
      </rPr>
      <t xml:space="preserve">Passo 4  -  </t>
    </r>
    <r>
      <rPr>
        <sz val="10"/>
        <rFont val="Arial"/>
        <family val="2"/>
      </rPr>
      <t xml:space="preserve">Com esses preenchimentos, a Folha de Pagamento estará preenchida para análise dos descontos de cada colaborador</t>
    </r>
  </si>
  <si>
    <r>
      <rPr>
        <b val="true"/>
        <sz val="10"/>
        <rFont val="Arial"/>
        <family val="2"/>
      </rPr>
      <t xml:space="preserve">Passo 5  -  </t>
    </r>
    <r>
      <rPr>
        <sz val="10"/>
        <rFont val="Arial"/>
        <family val="2"/>
      </rPr>
      <t xml:space="preserve">Na aba “Custos da empresa” é possível analisar todas as relacões de descontos e proventos de cada colaborador. É possível saber o custo de cada um para a sua empresa. Os</t>
    </r>
  </si>
  <si>
    <t xml:space="preserve">campos FGTS, Multa FGTS e 13. já estão com os dados calculados que devem ser pagos e previstos para cada mês do ano.</t>
  </si>
  <si>
    <r>
      <rPr>
        <b val="true"/>
        <sz val="10"/>
        <rFont val="Arial"/>
        <family val="2"/>
      </rPr>
      <t xml:space="preserve">Passo 6  -  </t>
    </r>
    <r>
      <rPr>
        <sz val="10"/>
        <rFont val="Arial"/>
        <family val="2"/>
      </rPr>
      <t xml:space="preserve">Acesse a aba “Tabelas” e verifique as tabelas de cálculo de INSS e IRPF. Também é possível ter os descontos na Folha de Pagamento do Vale Transporte, Vale-Refeição e Plano</t>
    </r>
  </si>
  <si>
    <t xml:space="preserve">de Saúde. Esses descontos podem ser alterados de acordo com o acordo de sua empresa. </t>
  </si>
  <si>
    <t xml:space="preserve">SOFTEN SISTEMAS</t>
  </si>
  <si>
    <t xml:space="preserve">(17)3245 0866  /  (11)3522 9234</t>
  </si>
  <si>
    <t xml:space="preserve">(21)4063 9103</t>
  </si>
  <si>
    <t xml:space="preserve">(31)4063 9272</t>
  </si>
  <si>
    <t xml:space="preserve">(61)4063 9165</t>
  </si>
  <si>
    <t xml:space="preserve">(41)4042 4979</t>
  </si>
  <si>
    <t xml:space="preserve">www.softensistemas.com.br</t>
  </si>
  <si>
    <t xml:space="preserve">contato@softensistemas.com.br</t>
  </si>
  <si>
    <t xml:space="preserve">https://www.facebook.com/softensistemas</t>
  </si>
  <si>
    <t xml:space="preserve">https://www.youtube.com/channel/UCc1HfhfQaHrxAOQ0x1maTaA</t>
  </si>
  <si>
    <t xml:space="preserve">https://blog.softensistemas.com.br/</t>
  </si>
  <si>
    <t xml:space="preserve">COLABORADORES</t>
  </si>
  <si>
    <t xml:space="preserve">BENEFÍCIOS</t>
  </si>
  <si>
    <t xml:space="preserve">Vale Transporte</t>
  </si>
  <si>
    <t xml:space="preserve">Vale-Refeição</t>
  </si>
  <si>
    <t xml:space="preserve">Plano de Saúde</t>
  </si>
  <si>
    <t xml:space="preserve">Seguro de Vida</t>
  </si>
  <si>
    <t xml:space="preserve">Outros Benefícios</t>
  </si>
  <si>
    <t xml:space="preserve">TOTAL</t>
  </si>
  <si>
    <t xml:space="preserve">NOME</t>
  </si>
  <si>
    <t xml:space="preserve">CARGO</t>
  </si>
  <si>
    <t xml:space="preserve">Kléber Prado</t>
  </si>
  <si>
    <t xml:space="preserve">Vendedor interno</t>
  </si>
  <si>
    <t xml:space="preserve">Tiago Oliveira</t>
  </si>
  <si>
    <t xml:space="preserve">Wanclave Pereira</t>
  </si>
  <si>
    <t xml:space="preserve">Gerente</t>
  </si>
  <si>
    <t xml:space="preserve">FOLHA DE PAGAMENTO</t>
  </si>
  <si>
    <t xml:space="preserve">PROVENTOS</t>
  </si>
  <si>
    <t xml:space="preserve">DESCONTOS</t>
  </si>
  <si>
    <t xml:space="preserve">Salário Bruto</t>
  </si>
  <si>
    <t xml:space="preserve">Hora Extra</t>
  </si>
  <si>
    <t xml:space="preserve">Faltas</t>
  </si>
  <si>
    <t xml:space="preserve">INSS</t>
  </si>
  <si>
    <t xml:space="preserve">IR</t>
  </si>
  <si>
    <t xml:space="preserve">Vtransp.</t>
  </si>
  <si>
    <t xml:space="preserve">Vrefeic</t>
  </si>
  <si>
    <t xml:space="preserve">Pl. Saude</t>
  </si>
  <si>
    <t xml:space="preserve">Sindic.</t>
  </si>
  <si>
    <t xml:space="preserve">Outros</t>
  </si>
  <si>
    <t xml:space="preserve">SALÁRIO LÍQUIDO</t>
  </si>
  <si>
    <t xml:space="preserve">DEPEND.</t>
  </si>
  <si>
    <t xml:space="preserve">FALTAS</t>
  </si>
  <si>
    <t xml:space="preserve">CUSTOS DA EMPRESA</t>
  </si>
  <si>
    <t xml:space="preserve">Salário</t>
  </si>
  <si>
    <t xml:space="preserve">Horas</t>
  </si>
  <si>
    <t xml:space="preserve">Vale</t>
  </si>
  <si>
    <t xml:space="preserve">Plano de</t>
  </si>
  <si>
    <t xml:space="preserve">Seguro</t>
  </si>
  <si>
    <t xml:space="preserve">FGTS</t>
  </si>
  <si>
    <t xml:space="preserve">Multa</t>
  </si>
  <si>
    <t xml:space="preserve">13.</t>
  </si>
  <si>
    <t xml:space="preserve">Férias</t>
  </si>
  <si>
    <t xml:space="preserve">FGTS 13.</t>
  </si>
  <si>
    <t xml:space="preserve">Bruto</t>
  </si>
  <si>
    <t xml:space="preserve">Extras</t>
  </si>
  <si>
    <t xml:space="preserve">Transporte</t>
  </si>
  <si>
    <t xml:space="preserve">Refeição</t>
  </si>
  <si>
    <t xml:space="preserve">Saúde</t>
  </si>
  <si>
    <t xml:space="preserve">de Vida</t>
  </si>
  <si>
    <t xml:space="preserve">Benefícios</t>
  </si>
  <si>
    <t xml:space="preserve">e Férias</t>
  </si>
  <si>
    <t xml:space="preserve">TABELA DE CÁCULO DE INSS</t>
  </si>
  <si>
    <t xml:space="preserve">à</t>
  </si>
  <si>
    <t xml:space="preserve">TABELA DE IRPF 2017</t>
  </si>
  <si>
    <t xml:space="preserve">Dedução por dependente</t>
  </si>
  <si>
    <t xml:space="preserve">TABELA DE DESCONTOS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</si>
</sst>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0.00%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3"/>
      <color rgb="FF66CCFF"/>
      <name val="Arial"/>
      <family val="2"/>
    </font>
    <font>
      <sz val="10"/>
      <color rgb="FF66CCFF"/>
      <name val="Arial"/>
      <family val="2"/>
    </font>
    <font>
      <sz val="10"/>
      <name val="Courier 10 Pitch"/>
      <family val="0"/>
    </font>
    <font>
      <b val="true"/>
      <sz val="12"/>
      <name val="Courier 10 Pitch"/>
      <family val="0"/>
    </font>
    <font>
      <b val="true"/>
      <sz val="20"/>
      <name val="Courier 10 Pitch"/>
      <family val="0"/>
    </font>
    <font>
      <b val="true"/>
      <sz val="10"/>
      <name val="Courier 10 Pitch"/>
      <family val="0"/>
    </font>
    <font>
      <b val="true"/>
      <sz val="14"/>
      <name val="Courier 10 Pitch"/>
      <family val="0"/>
    </font>
    <font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66CCFF"/>
        <bgColor rgb="FF33CC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66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229320</xdr:colOff>
      <xdr:row>17</xdr:row>
      <xdr:rowOff>95760</xdr:rowOff>
    </xdr:from>
    <xdr:to>
      <xdr:col>7</xdr:col>
      <xdr:colOff>267840</xdr:colOff>
      <xdr:row>31</xdr:row>
      <xdr:rowOff>146520</xdr:rowOff>
    </xdr:to>
    <xdr:pic>
      <xdr:nvPicPr>
        <xdr:cNvPr id="0" name="Figura 1" descr=""/>
        <xdr:cNvPicPr/>
      </xdr:nvPicPr>
      <xdr:blipFill>
        <a:blip r:embed="rId1"/>
        <a:stretch/>
      </xdr:blipFill>
      <xdr:spPr>
        <a:xfrm>
          <a:off x="229320" y="2859120"/>
          <a:ext cx="5727960" cy="236916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ontato@softensistemas.com.br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32"/>
  <sheetViews>
    <sheetView windowProtection="false"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A1" activeCellId="0" sqref="A1:N32"/>
    </sheetView>
  </sheetViews>
  <sheetFormatPr defaultRowHeight="12.8"/>
  <cols>
    <col collapsed="false" hidden="false" max="1025" min="1" style="1" width="11.5204081632653"/>
  </cols>
  <sheetData>
    <row r="1" customFormat="false" ht="12.8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customFormat="false" ht="12.8" hidden="false" customHeight="false" outlineLevel="0" collapsed="false">
      <c r="A3" s="3" t="s">
        <v>1</v>
      </c>
    </row>
    <row r="4" customFormat="false" ht="12.8" hidden="false" customHeight="false" outlineLevel="0" collapsed="false">
      <c r="A4" s="1" t="s">
        <v>2</v>
      </c>
    </row>
    <row r="6" customFormat="false" ht="12.8" hidden="false" customHeight="false" outlineLevel="0" collapsed="false">
      <c r="A6" s="3" t="s">
        <v>3</v>
      </c>
    </row>
    <row r="8" customFormat="false" ht="12.8" hidden="false" customHeight="false" outlineLevel="0" collapsed="false">
      <c r="A8" s="3" t="s">
        <v>4</v>
      </c>
    </row>
    <row r="10" customFormat="false" ht="12.8" hidden="false" customHeight="false" outlineLevel="0" collapsed="false">
      <c r="A10" s="3" t="s">
        <v>5</v>
      </c>
    </row>
    <row r="12" customFormat="false" ht="12.8" hidden="false" customHeight="false" outlineLevel="0" collapsed="false">
      <c r="A12" s="3" t="s">
        <v>6</v>
      </c>
    </row>
    <row r="13" customFormat="false" ht="12.8" hidden="false" customHeight="false" outlineLevel="0" collapsed="false">
      <c r="A13" s="1" t="s">
        <v>7</v>
      </c>
    </row>
    <row r="15" customFormat="false" ht="12.8" hidden="false" customHeight="false" outlineLevel="0" collapsed="false">
      <c r="A15" s="3" t="s">
        <v>8</v>
      </c>
    </row>
    <row r="16" customFormat="false" ht="12.8" hidden="false" customHeight="false" outlineLevel="0" collapsed="false">
      <c r="A16" s="1" t="s">
        <v>9</v>
      </c>
    </row>
    <row r="19" customFormat="false" ht="16.15" hidden="false" customHeight="false" outlineLevel="0" collapsed="false">
      <c r="I19" s="4" t="s">
        <v>10</v>
      </c>
      <c r="J19" s="4"/>
      <c r="K19" s="4"/>
      <c r="L19" s="4"/>
      <c r="M19" s="4"/>
    </row>
    <row r="21" customFormat="false" ht="12.8" hidden="false" customHeight="false" outlineLevel="0" collapsed="false">
      <c r="I21" s="5" t="s">
        <v>11</v>
      </c>
      <c r="J21" s="5"/>
      <c r="K21" s="5"/>
      <c r="L21" s="5"/>
      <c r="M21" s="5"/>
      <c r="N21" s="6"/>
    </row>
    <row r="22" customFormat="false" ht="12.8" hidden="false" customHeight="false" outlineLevel="0" collapsed="false">
      <c r="I22" s="5" t="s">
        <v>12</v>
      </c>
      <c r="J22" s="5"/>
      <c r="K22" s="5"/>
      <c r="L22" s="5"/>
      <c r="M22" s="5"/>
      <c r="N22" s="6"/>
    </row>
    <row r="23" customFormat="false" ht="12.8" hidden="false" customHeight="false" outlineLevel="0" collapsed="false">
      <c r="I23" s="5" t="s">
        <v>13</v>
      </c>
      <c r="J23" s="5"/>
      <c r="K23" s="5"/>
      <c r="L23" s="5"/>
      <c r="M23" s="5"/>
      <c r="N23" s="6"/>
    </row>
    <row r="24" customFormat="false" ht="12.8" hidden="false" customHeight="false" outlineLevel="0" collapsed="false">
      <c r="I24" s="5" t="s">
        <v>14</v>
      </c>
      <c r="J24" s="5"/>
      <c r="K24" s="5"/>
      <c r="L24" s="5"/>
      <c r="M24" s="5"/>
    </row>
    <row r="25" customFormat="false" ht="12.8" hidden="false" customHeight="false" outlineLevel="0" collapsed="false">
      <c r="I25" s="5" t="s">
        <v>15</v>
      </c>
      <c r="J25" s="5"/>
      <c r="K25" s="5"/>
      <c r="L25" s="5"/>
      <c r="M25" s="5"/>
    </row>
    <row r="26" customFormat="false" ht="12.8" hidden="false" customHeight="false" outlineLevel="0" collapsed="false">
      <c r="I26" s="5"/>
      <c r="J26" s="5"/>
      <c r="K26" s="5"/>
      <c r="L26" s="5"/>
      <c r="M26" s="5"/>
    </row>
    <row r="27" customFormat="false" ht="12.8" hidden="false" customHeight="false" outlineLevel="0" collapsed="false">
      <c r="I27" s="5" t="s">
        <v>16</v>
      </c>
      <c r="J27" s="5"/>
      <c r="K27" s="5"/>
      <c r="L27" s="5"/>
      <c r="M27" s="5"/>
    </row>
    <row r="28" customFormat="false" ht="12.8" hidden="false" customHeight="false" outlineLevel="0" collapsed="false">
      <c r="I28" s="5" t="s">
        <v>17</v>
      </c>
      <c r="J28" s="5"/>
      <c r="K28" s="5"/>
      <c r="L28" s="5"/>
      <c r="M28" s="5"/>
    </row>
    <row r="29" customFormat="false" ht="12.8" hidden="false" customHeight="false" outlineLevel="0" collapsed="false">
      <c r="I29" s="5"/>
      <c r="J29" s="5"/>
      <c r="K29" s="5"/>
      <c r="L29" s="5"/>
      <c r="M29" s="5"/>
    </row>
    <row r="30" customFormat="false" ht="12.8" hidden="false" customHeight="false" outlineLevel="0" collapsed="false">
      <c r="I30" s="5" t="s">
        <v>18</v>
      </c>
      <c r="J30" s="5"/>
      <c r="K30" s="5"/>
      <c r="L30" s="5"/>
      <c r="M30" s="5"/>
    </row>
    <row r="31" customFormat="false" ht="12.8" hidden="false" customHeight="false" outlineLevel="0" collapsed="false">
      <c r="I31" s="5" t="s">
        <v>19</v>
      </c>
      <c r="J31" s="5"/>
      <c r="K31" s="5"/>
      <c r="L31" s="5"/>
      <c r="M31" s="5"/>
    </row>
    <row r="32" customFormat="false" ht="12.8" hidden="false" customHeight="false" outlineLevel="0" collapsed="false">
      <c r="I32" s="5" t="s">
        <v>20</v>
      </c>
      <c r="J32" s="5"/>
      <c r="K32" s="5"/>
      <c r="L32" s="5"/>
      <c r="M32" s="5"/>
    </row>
  </sheetData>
  <mergeCells count="14">
    <mergeCell ref="A1:M1"/>
    <mergeCell ref="I19:M19"/>
    <mergeCell ref="I21:M21"/>
    <mergeCell ref="I22:M22"/>
    <mergeCell ref="I23:M23"/>
    <mergeCell ref="I24:M24"/>
    <mergeCell ref="I25:M25"/>
    <mergeCell ref="I26:M26"/>
    <mergeCell ref="I27:M27"/>
    <mergeCell ref="I28:M28"/>
    <mergeCell ref="I29:M29"/>
    <mergeCell ref="I30:M30"/>
    <mergeCell ref="I31:M31"/>
    <mergeCell ref="I32:M32"/>
  </mergeCells>
  <hyperlinks>
    <hyperlink ref="I28" r:id="rId1" display="contato@softensistemas.com.br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&amp;C&amp;A</oddHeader>
    <oddFooter>&amp;CPágina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2:3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1:N32"/>
    </sheetView>
  </sheetViews>
  <sheetFormatPr defaultRowHeight="12.8"/>
  <cols>
    <col collapsed="false" hidden="false" max="1" min="1" style="7" width="17.8265306122449"/>
    <col collapsed="false" hidden="false" max="2" min="2" style="8" width="18.2397959183673"/>
    <col collapsed="false" hidden="false" max="3" min="3" style="9" width="1.80102040816327"/>
    <col collapsed="false" hidden="false" max="7" min="4" style="9" width="14.9030612244898"/>
    <col collapsed="false" hidden="false" max="8" min="8" style="9" width="16.9897959183673"/>
    <col collapsed="false" hidden="false" max="9" min="9" style="9" width="1.94387755102041"/>
    <col collapsed="false" hidden="false" max="10" min="10" style="9" width="14.9030612244898"/>
    <col collapsed="false" hidden="false" max="997" min="11" style="9" width="11.5204081632653"/>
    <col collapsed="false" hidden="false" max="1025" min="998" style="0" width="11.5204081632653"/>
  </cols>
  <sheetData>
    <row r="2" customFormat="false" ht="12.8" hidden="false" customHeight="false" outlineLevel="0" collapsed="false">
      <c r="A2" s="2" t="s">
        <v>21</v>
      </c>
      <c r="B2" s="2"/>
      <c r="D2" s="2" t="s">
        <v>22</v>
      </c>
      <c r="E2" s="2"/>
      <c r="F2" s="2"/>
      <c r="G2" s="2"/>
      <c r="H2" s="2"/>
      <c r="I2" s="2"/>
      <c r="J2" s="2"/>
    </row>
    <row r="4" customFormat="false" ht="12.8" hidden="false" customHeight="false" outlineLevel="0" collapsed="false">
      <c r="D4" s="10" t="s">
        <v>23</v>
      </c>
      <c r="E4" s="10" t="s">
        <v>24</v>
      </c>
      <c r="F4" s="10" t="s">
        <v>25</v>
      </c>
      <c r="G4" s="10" t="s">
        <v>26</v>
      </c>
      <c r="H4" s="10" t="s">
        <v>27</v>
      </c>
      <c r="I4" s="10"/>
      <c r="J4" s="10" t="s">
        <v>28</v>
      </c>
    </row>
    <row r="5" s="7" customFormat="true" ht="12.8" hidden="false" customHeight="false" outlineLevel="0" collapsed="false">
      <c r="A5" s="10" t="s">
        <v>29</v>
      </c>
      <c r="B5" s="11" t="s">
        <v>30</v>
      </c>
      <c r="D5" s="12" t="n">
        <f aca="false">SUM(D7:D31)</f>
        <v>100</v>
      </c>
      <c r="E5" s="12" t="n">
        <f aca="false">SUM(E7:E31)</f>
        <v>220</v>
      </c>
      <c r="F5" s="12" t="n">
        <f aca="false">SUM(F7:F31)</f>
        <v>130</v>
      </c>
      <c r="G5" s="12" t="n">
        <f aca="false">SUM(G7:G31)</f>
        <v>0</v>
      </c>
      <c r="H5" s="12" t="n">
        <f aca="false">SUM(H7:H31)</f>
        <v>0</v>
      </c>
      <c r="I5" s="12"/>
      <c r="J5" s="12" t="n">
        <f aca="false">SUM(D5:H5)</f>
        <v>450</v>
      </c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r="7" customFormat="false" ht="12.8" hidden="false" customHeight="false" outlineLevel="0" collapsed="false">
      <c r="A7" s="13" t="s">
        <v>31</v>
      </c>
      <c r="B7" s="14" t="s">
        <v>32</v>
      </c>
      <c r="D7" s="15"/>
      <c r="E7" s="15"/>
      <c r="F7" s="15"/>
      <c r="G7" s="15"/>
      <c r="H7" s="15"/>
      <c r="I7" s="15"/>
      <c r="J7" s="16" t="n">
        <f aca="false">SUM(D7:H7)</f>
        <v>0</v>
      </c>
      <c r="K7" s="17"/>
      <c r="L7" s="17"/>
      <c r="M7" s="17"/>
    </row>
    <row r="8" customFormat="false" ht="12.8" hidden="false" customHeight="false" outlineLevel="0" collapsed="false">
      <c r="A8" s="13" t="s">
        <v>33</v>
      </c>
      <c r="B8" s="14" t="s">
        <v>32</v>
      </c>
      <c r="D8" s="15"/>
      <c r="E8" s="15"/>
      <c r="F8" s="15"/>
      <c r="G8" s="15"/>
      <c r="H8" s="15"/>
      <c r="I8" s="15"/>
      <c r="J8" s="16" t="n">
        <f aca="false">SUM(D8:H8)</f>
        <v>0</v>
      </c>
      <c r="K8" s="17"/>
      <c r="L8" s="17"/>
      <c r="M8" s="17"/>
    </row>
    <row r="9" customFormat="false" ht="12.8" hidden="false" customHeight="false" outlineLevel="0" collapsed="false">
      <c r="A9" s="13" t="s">
        <v>34</v>
      </c>
      <c r="B9" s="14" t="s">
        <v>35</v>
      </c>
      <c r="D9" s="15" t="n">
        <v>100</v>
      </c>
      <c r="E9" s="15" t="n">
        <v>220</v>
      </c>
      <c r="F9" s="15" t="n">
        <v>130</v>
      </c>
      <c r="G9" s="15"/>
      <c r="H9" s="15"/>
      <c r="I9" s="15"/>
      <c r="J9" s="16" t="n">
        <f aca="false">SUM(D9:H9)</f>
        <v>450</v>
      </c>
      <c r="K9" s="17"/>
      <c r="L9" s="17"/>
      <c r="M9" s="17"/>
    </row>
    <row r="10" customFormat="false" ht="12.8" hidden="false" customHeight="false" outlineLevel="0" collapsed="false">
      <c r="A10" s="13" t="n">
        <v>4</v>
      </c>
      <c r="B10" s="14"/>
      <c r="D10" s="15"/>
      <c r="E10" s="15"/>
      <c r="F10" s="15"/>
      <c r="G10" s="15"/>
      <c r="H10" s="15"/>
      <c r="I10" s="15"/>
      <c r="J10" s="16" t="n">
        <f aca="false">SUM(D10:H10)</f>
        <v>0</v>
      </c>
      <c r="K10" s="17"/>
      <c r="L10" s="17"/>
      <c r="M10" s="17"/>
    </row>
    <row r="11" customFormat="false" ht="12.8" hidden="false" customHeight="false" outlineLevel="0" collapsed="false">
      <c r="A11" s="13" t="n">
        <v>5</v>
      </c>
      <c r="B11" s="14"/>
      <c r="D11" s="15"/>
      <c r="E11" s="15"/>
      <c r="F11" s="15"/>
      <c r="G11" s="15"/>
      <c r="H11" s="15"/>
      <c r="I11" s="15"/>
      <c r="J11" s="16" t="n">
        <f aca="false">SUM(D11:H11)</f>
        <v>0</v>
      </c>
      <c r="K11" s="17"/>
      <c r="L11" s="17"/>
      <c r="M11" s="17"/>
    </row>
    <row r="12" customFormat="false" ht="12.8" hidden="false" customHeight="false" outlineLevel="0" collapsed="false">
      <c r="A12" s="13" t="n">
        <v>6</v>
      </c>
      <c r="B12" s="14"/>
      <c r="D12" s="15"/>
      <c r="E12" s="15"/>
      <c r="F12" s="15"/>
      <c r="G12" s="15"/>
      <c r="H12" s="15"/>
      <c r="I12" s="15"/>
      <c r="J12" s="16" t="n">
        <f aca="false">SUM(D12:H12)</f>
        <v>0</v>
      </c>
      <c r="K12" s="17"/>
      <c r="L12" s="17"/>
      <c r="M12" s="17"/>
    </row>
    <row r="13" customFormat="false" ht="12.8" hidden="false" customHeight="false" outlineLevel="0" collapsed="false">
      <c r="A13" s="13" t="n">
        <v>7</v>
      </c>
      <c r="B13" s="14"/>
      <c r="D13" s="15"/>
      <c r="E13" s="15"/>
      <c r="F13" s="15"/>
      <c r="G13" s="15"/>
      <c r="H13" s="15"/>
      <c r="I13" s="15"/>
      <c r="J13" s="16" t="n">
        <f aca="false">SUM(D13:H13)</f>
        <v>0</v>
      </c>
      <c r="K13" s="17"/>
      <c r="L13" s="17"/>
      <c r="M13" s="17"/>
    </row>
    <row r="14" customFormat="false" ht="12.8" hidden="false" customHeight="false" outlineLevel="0" collapsed="false">
      <c r="A14" s="13" t="n">
        <v>8</v>
      </c>
      <c r="B14" s="14"/>
      <c r="D14" s="15"/>
      <c r="E14" s="15"/>
      <c r="F14" s="15"/>
      <c r="G14" s="15"/>
      <c r="H14" s="15"/>
      <c r="I14" s="15"/>
      <c r="J14" s="16" t="n">
        <f aca="false">SUM(D14:H14)</f>
        <v>0</v>
      </c>
      <c r="K14" s="17"/>
      <c r="L14" s="17"/>
      <c r="M14" s="17"/>
    </row>
    <row r="15" customFormat="false" ht="12.8" hidden="false" customHeight="false" outlineLevel="0" collapsed="false">
      <c r="A15" s="13" t="n">
        <v>9</v>
      </c>
      <c r="B15" s="14"/>
      <c r="D15" s="15"/>
      <c r="E15" s="15"/>
      <c r="F15" s="15"/>
      <c r="G15" s="15"/>
      <c r="H15" s="15"/>
      <c r="I15" s="15"/>
      <c r="J15" s="16" t="n">
        <f aca="false">SUM(D15:H15)</f>
        <v>0</v>
      </c>
      <c r="K15" s="17"/>
      <c r="L15" s="17"/>
      <c r="M15" s="17"/>
    </row>
    <row r="16" customFormat="false" ht="12.8" hidden="false" customHeight="false" outlineLevel="0" collapsed="false">
      <c r="A16" s="13" t="n">
        <v>10</v>
      </c>
      <c r="B16" s="14"/>
      <c r="D16" s="15"/>
      <c r="E16" s="15"/>
      <c r="F16" s="15"/>
      <c r="G16" s="15"/>
      <c r="H16" s="15"/>
      <c r="I16" s="15"/>
      <c r="J16" s="16" t="n">
        <f aca="false">SUM(D16:H16)</f>
        <v>0</v>
      </c>
      <c r="K16" s="17"/>
      <c r="L16" s="17"/>
      <c r="M16" s="17"/>
    </row>
    <row r="17" customFormat="false" ht="12.8" hidden="false" customHeight="false" outlineLevel="0" collapsed="false">
      <c r="A17" s="13" t="n">
        <v>11</v>
      </c>
      <c r="B17" s="14"/>
      <c r="D17" s="15"/>
      <c r="E17" s="15"/>
      <c r="F17" s="15"/>
      <c r="G17" s="15"/>
      <c r="H17" s="15"/>
      <c r="I17" s="15"/>
      <c r="J17" s="16" t="n">
        <f aca="false">SUM(D17:H17)</f>
        <v>0</v>
      </c>
      <c r="K17" s="17"/>
      <c r="L17" s="17"/>
      <c r="M17" s="17"/>
    </row>
    <row r="18" customFormat="false" ht="12.8" hidden="false" customHeight="false" outlineLevel="0" collapsed="false">
      <c r="A18" s="13" t="n">
        <v>12</v>
      </c>
      <c r="B18" s="14"/>
      <c r="D18" s="15"/>
      <c r="E18" s="15"/>
      <c r="F18" s="15"/>
      <c r="G18" s="15"/>
      <c r="H18" s="15"/>
      <c r="I18" s="15"/>
      <c r="J18" s="16" t="n">
        <f aca="false">SUM(D18:H18)</f>
        <v>0</v>
      </c>
      <c r="K18" s="17"/>
      <c r="L18" s="17"/>
      <c r="M18" s="17"/>
    </row>
    <row r="19" customFormat="false" ht="12.8" hidden="false" customHeight="false" outlineLevel="0" collapsed="false">
      <c r="A19" s="13" t="n">
        <v>13</v>
      </c>
      <c r="B19" s="14"/>
      <c r="D19" s="15"/>
      <c r="E19" s="15"/>
      <c r="F19" s="15"/>
      <c r="G19" s="15"/>
      <c r="H19" s="15"/>
      <c r="I19" s="15"/>
      <c r="J19" s="16" t="n">
        <f aca="false">SUM(D19:H19)</f>
        <v>0</v>
      </c>
      <c r="K19" s="17"/>
      <c r="L19" s="17"/>
      <c r="M19" s="17"/>
    </row>
    <row r="20" customFormat="false" ht="12.8" hidden="false" customHeight="false" outlineLevel="0" collapsed="false">
      <c r="A20" s="13" t="n">
        <v>14</v>
      </c>
      <c r="B20" s="14"/>
      <c r="D20" s="15"/>
      <c r="E20" s="15"/>
      <c r="F20" s="15"/>
      <c r="G20" s="15"/>
      <c r="H20" s="15"/>
      <c r="I20" s="15"/>
      <c r="J20" s="16" t="n">
        <f aca="false">SUM(D20:H20)</f>
        <v>0</v>
      </c>
      <c r="K20" s="17"/>
      <c r="L20" s="17"/>
      <c r="M20" s="17"/>
    </row>
    <row r="21" customFormat="false" ht="12.8" hidden="false" customHeight="false" outlineLevel="0" collapsed="false">
      <c r="A21" s="13" t="n">
        <v>15</v>
      </c>
      <c r="B21" s="14"/>
      <c r="D21" s="15"/>
      <c r="E21" s="15"/>
      <c r="F21" s="15"/>
      <c r="G21" s="15"/>
      <c r="H21" s="15"/>
      <c r="I21" s="15"/>
      <c r="J21" s="16" t="n">
        <f aca="false">SUM(D21:H21)</f>
        <v>0</v>
      </c>
      <c r="K21" s="17"/>
      <c r="L21" s="17"/>
      <c r="M21" s="17"/>
    </row>
    <row r="22" customFormat="false" ht="12.8" hidden="false" customHeight="false" outlineLevel="0" collapsed="false">
      <c r="A22" s="13" t="n">
        <v>16</v>
      </c>
      <c r="B22" s="14"/>
      <c r="D22" s="15"/>
      <c r="E22" s="15"/>
      <c r="F22" s="15"/>
      <c r="G22" s="15"/>
      <c r="H22" s="15"/>
      <c r="I22" s="15"/>
      <c r="J22" s="16" t="n">
        <f aca="false">SUM(D22:H22)</f>
        <v>0</v>
      </c>
      <c r="K22" s="17"/>
      <c r="L22" s="17"/>
      <c r="M22" s="17"/>
    </row>
    <row r="23" customFormat="false" ht="12.8" hidden="false" customHeight="false" outlineLevel="0" collapsed="false">
      <c r="A23" s="13" t="n">
        <v>17</v>
      </c>
      <c r="B23" s="14"/>
      <c r="D23" s="15"/>
      <c r="E23" s="15"/>
      <c r="F23" s="15"/>
      <c r="G23" s="15"/>
      <c r="H23" s="15"/>
      <c r="I23" s="15"/>
      <c r="J23" s="16" t="n">
        <f aca="false">SUM(D23:H23)</f>
        <v>0</v>
      </c>
      <c r="K23" s="17"/>
      <c r="L23" s="17"/>
      <c r="M23" s="17"/>
    </row>
    <row r="24" customFormat="false" ht="12.8" hidden="false" customHeight="false" outlineLevel="0" collapsed="false">
      <c r="A24" s="13" t="n">
        <v>18</v>
      </c>
      <c r="B24" s="14"/>
      <c r="D24" s="15"/>
      <c r="E24" s="15"/>
      <c r="F24" s="15"/>
      <c r="G24" s="15"/>
      <c r="H24" s="15"/>
      <c r="I24" s="15"/>
      <c r="J24" s="16" t="n">
        <f aca="false">SUM(D24:H24)</f>
        <v>0</v>
      </c>
      <c r="K24" s="17"/>
      <c r="L24" s="17"/>
      <c r="M24" s="17"/>
    </row>
    <row r="25" customFormat="false" ht="12.8" hidden="false" customHeight="false" outlineLevel="0" collapsed="false">
      <c r="A25" s="13" t="n">
        <v>19</v>
      </c>
      <c r="B25" s="14"/>
      <c r="D25" s="15"/>
      <c r="E25" s="15"/>
      <c r="F25" s="15"/>
      <c r="G25" s="15"/>
      <c r="H25" s="15"/>
      <c r="I25" s="15"/>
      <c r="J25" s="16" t="n">
        <f aca="false">SUM(D25:H25)</f>
        <v>0</v>
      </c>
      <c r="K25" s="17"/>
      <c r="L25" s="17"/>
      <c r="M25" s="17"/>
    </row>
    <row r="26" customFormat="false" ht="12.8" hidden="false" customHeight="false" outlineLevel="0" collapsed="false">
      <c r="A26" s="13" t="n">
        <v>20</v>
      </c>
      <c r="B26" s="14"/>
      <c r="D26" s="15"/>
      <c r="E26" s="15"/>
      <c r="F26" s="15"/>
      <c r="G26" s="15"/>
      <c r="H26" s="15"/>
      <c r="I26" s="15"/>
      <c r="J26" s="16" t="n">
        <f aca="false">SUM(D26:H26)</f>
        <v>0</v>
      </c>
      <c r="K26" s="17"/>
      <c r="L26" s="17"/>
      <c r="M26" s="17"/>
    </row>
    <row r="27" customFormat="false" ht="12.8" hidden="false" customHeight="false" outlineLevel="0" collapsed="false">
      <c r="A27" s="13" t="n">
        <v>21</v>
      </c>
      <c r="B27" s="14"/>
      <c r="D27" s="15"/>
      <c r="E27" s="15"/>
      <c r="F27" s="15"/>
      <c r="G27" s="15"/>
      <c r="H27" s="15"/>
      <c r="I27" s="15"/>
      <c r="J27" s="16" t="n">
        <f aca="false">SUM(D27:H27)</f>
        <v>0</v>
      </c>
      <c r="K27" s="17"/>
      <c r="L27" s="17"/>
      <c r="M27" s="17"/>
    </row>
    <row r="28" customFormat="false" ht="12.8" hidden="false" customHeight="false" outlineLevel="0" collapsed="false">
      <c r="A28" s="13" t="n">
        <v>22</v>
      </c>
      <c r="B28" s="14"/>
      <c r="D28" s="15"/>
      <c r="E28" s="15"/>
      <c r="F28" s="15"/>
      <c r="G28" s="15"/>
      <c r="H28" s="15"/>
      <c r="I28" s="15"/>
      <c r="J28" s="16" t="n">
        <f aca="false">SUM(D28:H28)</f>
        <v>0</v>
      </c>
      <c r="K28" s="17"/>
      <c r="L28" s="17"/>
      <c r="M28" s="17"/>
    </row>
    <row r="29" customFormat="false" ht="12.8" hidden="false" customHeight="false" outlineLevel="0" collapsed="false">
      <c r="A29" s="13" t="n">
        <v>23</v>
      </c>
      <c r="B29" s="14"/>
      <c r="D29" s="15"/>
      <c r="E29" s="15"/>
      <c r="F29" s="15"/>
      <c r="G29" s="15"/>
      <c r="H29" s="15"/>
      <c r="I29" s="15"/>
      <c r="J29" s="16" t="n">
        <f aca="false">SUM(D29:H29)</f>
        <v>0</v>
      </c>
      <c r="K29" s="17"/>
      <c r="L29" s="17"/>
      <c r="M29" s="17"/>
    </row>
    <row r="30" customFormat="false" ht="12.8" hidden="false" customHeight="false" outlineLevel="0" collapsed="false">
      <c r="A30" s="13" t="n">
        <v>24</v>
      </c>
      <c r="B30" s="14"/>
      <c r="D30" s="15"/>
      <c r="E30" s="15"/>
      <c r="F30" s="15"/>
      <c r="G30" s="15"/>
      <c r="H30" s="15"/>
      <c r="I30" s="15"/>
      <c r="J30" s="16" t="n">
        <f aca="false">SUM(D30:H30)</f>
        <v>0</v>
      </c>
      <c r="K30" s="17"/>
      <c r="L30" s="17"/>
      <c r="M30" s="17"/>
    </row>
    <row r="31" customFormat="false" ht="12.8" hidden="false" customHeight="false" outlineLevel="0" collapsed="false">
      <c r="A31" s="13" t="n">
        <v>25</v>
      </c>
      <c r="B31" s="14"/>
      <c r="D31" s="15"/>
      <c r="E31" s="15"/>
      <c r="F31" s="15"/>
      <c r="G31" s="15"/>
      <c r="H31" s="15"/>
      <c r="I31" s="15"/>
      <c r="J31" s="16" t="n">
        <f aca="false">SUM(D31:H31)</f>
        <v>0</v>
      </c>
      <c r="K31" s="17"/>
      <c r="L31" s="17"/>
      <c r="M31" s="17"/>
    </row>
    <row r="32" customFormat="false" ht="12.8" hidden="false" customHeight="false" outlineLevel="0" collapsed="false">
      <c r="A32" s="13" t="n">
        <v>26</v>
      </c>
      <c r="B32" s="14"/>
      <c r="D32" s="18"/>
      <c r="E32" s="18"/>
      <c r="F32" s="18"/>
      <c r="G32" s="18"/>
      <c r="H32" s="18"/>
      <c r="I32" s="18"/>
      <c r="J32" s="16" t="n">
        <f aca="false">SUM(D32:H32)</f>
        <v>0</v>
      </c>
    </row>
    <row r="33" customFormat="false" ht="12.8" hidden="false" customHeight="false" outlineLevel="0" collapsed="false">
      <c r="A33" s="13" t="n">
        <v>27</v>
      </c>
      <c r="B33" s="14"/>
      <c r="D33" s="18"/>
      <c r="E33" s="18"/>
      <c r="F33" s="18"/>
      <c r="G33" s="18"/>
      <c r="H33" s="18"/>
      <c r="I33" s="18"/>
      <c r="J33" s="16" t="n">
        <f aca="false">SUM(D33:H33)</f>
        <v>0</v>
      </c>
    </row>
    <row r="34" customFormat="false" ht="12.8" hidden="false" customHeight="false" outlineLevel="0" collapsed="false">
      <c r="A34" s="13" t="n">
        <v>28</v>
      </c>
      <c r="B34" s="14"/>
      <c r="D34" s="18"/>
      <c r="E34" s="18"/>
      <c r="F34" s="18"/>
      <c r="G34" s="18"/>
      <c r="H34" s="18"/>
      <c r="I34" s="18"/>
      <c r="J34" s="16" t="n">
        <f aca="false">SUM(D34:H34)</f>
        <v>0</v>
      </c>
    </row>
    <row r="35" customFormat="false" ht="12.8" hidden="false" customHeight="false" outlineLevel="0" collapsed="false">
      <c r="A35" s="13" t="n">
        <v>29</v>
      </c>
      <c r="B35" s="14"/>
      <c r="D35" s="18"/>
      <c r="E35" s="18"/>
      <c r="F35" s="18"/>
      <c r="G35" s="18"/>
      <c r="H35" s="18"/>
      <c r="I35" s="18"/>
      <c r="J35" s="16" t="n">
        <f aca="false">SUM(D35:H35)</f>
        <v>0</v>
      </c>
    </row>
    <row r="36" customFormat="false" ht="12.8" hidden="false" customHeight="false" outlineLevel="0" collapsed="false">
      <c r="A36" s="13" t="n">
        <v>30</v>
      </c>
      <c r="B36" s="14"/>
      <c r="D36" s="18"/>
      <c r="E36" s="18"/>
      <c r="F36" s="18"/>
      <c r="G36" s="18"/>
      <c r="H36" s="18"/>
      <c r="I36" s="18"/>
      <c r="J36" s="16" t="n">
        <f aca="false">SUM(D36:H36)</f>
        <v>0</v>
      </c>
    </row>
  </sheetData>
  <mergeCells count="2">
    <mergeCell ref="A2:B2"/>
    <mergeCell ref="D2:J2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&amp;C&amp;A</oddHeader>
    <oddFooter>&amp;CPágina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2:3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A1:N32"/>
    </sheetView>
  </sheetViews>
  <sheetFormatPr defaultRowHeight="12.8"/>
  <cols>
    <col collapsed="false" hidden="false" max="1" min="1" style="19" width="19.3571428571429"/>
    <col collapsed="false" hidden="false" max="2" min="2" style="19" width="26.0255102040816"/>
    <col collapsed="false" hidden="false" max="3" min="3" style="20" width="9.62755102040816"/>
    <col collapsed="false" hidden="false" max="4" min="4" style="19" width="8.10204081632653"/>
    <col collapsed="false" hidden="false" max="5" min="5" style="21" width="1.80102040816327"/>
    <col collapsed="false" hidden="false" max="6" min="6" style="22" width="16.0204081632653"/>
    <col collapsed="false" hidden="false" max="7" min="7" style="22" width="12.6785714285714"/>
    <col collapsed="false" hidden="false" max="8" min="8" style="22" width="10.4591836734694"/>
    <col collapsed="false" hidden="false" max="9" min="9" style="21" width="1.80102040816327"/>
    <col collapsed="false" hidden="false" max="10" min="10" style="23" width="8.23469387755102"/>
    <col collapsed="false" hidden="false" max="12" min="11" style="22" width="8.23469387755102"/>
    <col collapsed="false" hidden="false" max="13" min="13" style="22" width="10.4591836734694"/>
    <col collapsed="false" hidden="false" max="14" min="14" style="22" width="9.35204081632653"/>
    <col collapsed="false" hidden="false" max="15" min="15" style="22" width="11.5714285714286"/>
    <col collapsed="false" hidden="false" max="16" min="16" style="22" width="9.35204081632653"/>
    <col collapsed="false" hidden="false" max="17" min="17" style="22" width="8.23469387755102"/>
    <col collapsed="false" hidden="false" max="18" min="18" style="24" width="12.9591836734694"/>
    <col collapsed="false" hidden="false" max="19" min="19" style="21" width="4.71428571428571"/>
    <col collapsed="false" hidden="false" max="20" min="20" style="24" width="17.6836734693878"/>
    <col collapsed="false" hidden="false" max="1025" min="21" style="21" width="11.5204081632653"/>
  </cols>
  <sheetData>
    <row r="2" customFormat="false" ht="24.45" hidden="false" customHeight="false" outlineLevel="0" collapsed="false">
      <c r="A2" s="25" t="s">
        <v>21</v>
      </c>
      <c r="B2" s="25"/>
      <c r="C2" s="25"/>
      <c r="D2" s="25"/>
      <c r="F2" s="26" t="s">
        <v>36</v>
      </c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</row>
    <row r="3" customFormat="false" ht="15" hidden="false" customHeight="false" outlineLevel="0" collapsed="false">
      <c r="F3" s="27" t="s">
        <v>37</v>
      </c>
      <c r="G3" s="27"/>
      <c r="H3" s="27"/>
      <c r="I3" s="28"/>
      <c r="J3" s="27" t="s">
        <v>38</v>
      </c>
      <c r="K3" s="27"/>
      <c r="L3" s="27"/>
      <c r="M3" s="27"/>
      <c r="N3" s="27"/>
      <c r="O3" s="27"/>
      <c r="P3" s="27"/>
      <c r="Q3" s="27"/>
      <c r="R3" s="27"/>
      <c r="S3" s="28"/>
      <c r="T3" s="29"/>
    </row>
    <row r="4" s="30" customFormat="true" ht="20.2" hidden="false" customHeight="true" outlineLevel="0" collapsed="false">
      <c r="C4" s="31"/>
      <c r="F4" s="32" t="s">
        <v>39</v>
      </c>
      <c r="G4" s="32" t="s">
        <v>40</v>
      </c>
      <c r="H4" s="32" t="s">
        <v>28</v>
      </c>
      <c r="I4" s="33"/>
      <c r="J4" s="32" t="s">
        <v>41</v>
      </c>
      <c r="K4" s="32" t="s">
        <v>42</v>
      </c>
      <c r="L4" s="32" t="s">
        <v>43</v>
      </c>
      <c r="M4" s="32" t="s">
        <v>44</v>
      </c>
      <c r="N4" s="32" t="s">
        <v>45</v>
      </c>
      <c r="O4" s="32" t="s">
        <v>46</v>
      </c>
      <c r="P4" s="32" t="s">
        <v>47</v>
      </c>
      <c r="Q4" s="32" t="s">
        <v>48</v>
      </c>
      <c r="R4" s="32" t="s">
        <v>28</v>
      </c>
      <c r="S4" s="33"/>
      <c r="T4" s="32" t="s">
        <v>49</v>
      </c>
    </row>
    <row r="5" s="19" customFormat="true" ht="12.8" hidden="false" customHeight="false" outlineLevel="0" collapsed="false">
      <c r="A5" s="34" t="s">
        <v>29</v>
      </c>
      <c r="B5" s="34" t="s">
        <v>30</v>
      </c>
      <c r="C5" s="35" t="s">
        <v>50</v>
      </c>
      <c r="D5" s="34" t="s">
        <v>51</v>
      </c>
      <c r="F5" s="36" t="n">
        <f aca="false">SUM(F7:F38)</f>
        <v>5400</v>
      </c>
      <c r="G5" s="36" t="n">
        <f aca="false">SUM(G7:G38)</f>
        <v>170</v>
      </c>
      <c r="H5" s="36" t="n">
        <f aca="false">SUM(H7:H38)</f>
        <v>5570</v>
      </c>
      <c r="I5" s="37"/>
      <c r="J5" s="36" t="n">
        <f aca="false">SUM(J7:J38)</f>
        <v>0</v>
      </c>
      <c r="K5" s="36" t="n">
        <f aca="false">SUM(K7:K38)</f>
        <v>538.6</v>
      </c>
      <c r="L5" s="36" t="n">
        <f aca="false">SUM(L7:L38)</f>
        <v>64.125</v>
      </c>
      <c r="M5" s="36" t="n">
        <f aca="false">SUM(M7:M38)</f>
        <v>100</v>
      </c>
      <c r="N5" s="36" t="n">
        <f aca="false">SUM(N7:N38)</f>
        <v>22</v>
      </c>
      <c r="O5" s="36" t="n">
        <f aca="false">SUM(O7:O38)</f>
        <v>104</v>
      </c>
      <c r="P5" s="36" t="n">
        <f aca="false">SUM(P7:P38)</f>
        <v>0</v>
      </c>
      <c r="Q5" s="36" t="n">
        <f aca="false">SUM(Q7:Q38)</f>
        <v>0</v>
      </c>
      <c r="R5" s="36" t="n">
        <f aca="false">SUM(R7:R38)</f>
        <v>828.725</v>
      </c>
      <c r="S5" s="37"/>
      <c r="T5" s="38" t="n">
        <f aca="false">SUM(T7:T38)</f>
        <v>4741.275</v>
      </c>
      <c r="AMJ5" s="21"/>
    </row>
    <row r="6" customFormat="false" ht="12.8" hidden="false" customHeight="false" outlineLevel="0" collapsed="false">
      <c r="J6" s="24"/>
    </row>
    <row r="7" customFormat="false" ht="12.8" hidden="false" customHeight="false" outlineLevel="0" collapsed="false">
      <c r="A7" s="39" t="str">
        <f aca="false">Benefícios!A7</f>
        <v>Kléber Prado</v>
      </c>
      <c r="B7" s="40" t="str">
        <f aca="false">Benefícios!B7</f>
        <v>Vendedor interno</v>
      </c>
      <c r="C7" s="40"/>
      <c r="D7" s="39"/>
      <c r="F7" s="41" t="n">
        <v>1200</v>
      </c>
      <c r="G7" s="41" t="n">
        <v>10</v>
      </c>
      <c r="H7" s="42" t="n">
        <f aca="false">F7+G7</f>
        <v>1210</v>
      </c>
      <c r="J7" s="43" t="n">
        <f aca="false">F7/30*D7</f>
        <v>0</v>
      </c>
      <c r="K7" s="41" t="n">
        <f aca="false">IF((F7+G7-J7)*(VLOOKUP((F7+G7-J7),Tabelas!$B$4:$E$6,4,1))&gt;Tabelas!$F$6,Tabelas!$F$6,(F7+G7-J7)*(VLOOKUP((F7+G7-J7),Tabelas!$B$4:$E$6,4,1)))</f>
        <v>96.8</v>
      </c>
      <c r="L7" s="41" t="n">
        <f aca="false">((F7+G7-J7-K7)-(C7*Tabelas!$E$17))*(VLOOKUP((F7+G7-J7-K7)-(C7*Tabelas!$E$17),Tabelas!$B$12:$E$16,4,1))-VLOOKUP((F7+G7-J7-K7)-(C7*Tabelas!$E$17),Tabelas!$B$12:$F$16,5,1)</f>
        <v>0</v>
      </c>
      <c r="M7" s="41" t="n">
        <f aca="false">IF(Benefícios!D7&gt;0,F7*Tabelas!$D$23,0)</f>
        <v>0</v>
      </c>
      <c r="N7" s="41" t="n">
        <f aca="false">Benefícios!E7*Tabelas!$D$24</f>
        <v>0</v>
      </c>
      <c r="O7" s="41" t="n">
        <f aca="false">Benefícios!F7*Tabelas!$D$25</f>
        <v>0</v>
      </c>
      <c r="P7" s="41" t="n">
        <v>0</v>
      </c>
      <c r="Q7" s="41" t="n">
        <f aca="false">Benefícios!H7</f>
        <v>0</v>
      </c>
      <c r="R7" s="42" t="n">
        <f aca="false">SUM(I7:Q7)</f>
        <v>96.8</v>
      </c>
      <c r="T7" s="42" t="n">
        <f aca="false">H7-R7</f>
        <v>1113.2</v>
      </c>
    </row>
    <row r="8" customFormat="false" ht="12.8" hidden="false" customHeight="false" outlineLevel="0" collapsed="false">
      <c r="A8" s="39" t="str">
        <f aca="false">Benefícios!A8</f>
        <v>Tiago Oliveira</v>
      </c>
      <c r="B8" s="40" t="str">
        <f aca="false">Benefícios!B8</f>
        <v>Vendedor interno</v>
      </c>
      <c r="C8" s="40" t="n">
        <v>1</v>
      </c>
      <c r="D8" s="39"/>
      <c r="F8" s="41" t="n">
        <v>1200</v>
      </c>
      <c r="G8" s="41" t="n">
        <v>60</v>
      </c>
      <c r="H8" s="42" t="n">
        <f aca="false">F8+G8</f>
        <v>1260</v>
      </c>
      <c r="J8" s="43" t="n">
        <f aca="false">F8/30*D8</f>
        <v>0</v>
      </c>
      <c r="K8" s="41" t="n">
        <f aca="false">IF((F8+G8-J8)*(VLOOKUP((F8+G8-J8),Tabelas!$B$4:$E$6,4,1))&gt;Tabelas!$F$6,Tabelas!$F$6,(F8+G8-J8)*(VLOOKUP((F8+G8-J8),Tabelas!$B$4:$E$6,4,1)))</f>
        <v>100.8</v>
      </c>
      <c r="L8" s="41" t="n">
        <f aca="false">((F8+G8-J8-K8)-(C8*Tabelas!$E$17))*(VLOOKUP((F8+G8-J8-K8)-(C8*Tabelas!$E$17),Tabelas!$B$12:$E$16,4,1))-VLOOKUP((F8+G8-J8-K8)-(C8*Tabelas!$E$17),Tabelas!$B$12:$F$16,5,1)</f>
        <v>0</v>
      </c>
      <c r="M8" s="41" t="n">
        <f aca="false">Benefícios!D8</f>
        <v>0</v>
      </c>
      <c r="N8" s="41" t="n">
        <f aca="false">Benefícios!E8*Tabelas!$D$24</f>
        <v>0</v>
      </c>
      <c r="O8" s="41" t="n">
        <f aca="false">Benefícios!F8*Tabelas!$D$25</f>
        <v>0</v>
      </c>
      <c r="P8" s="41" t="n">
        <v>0</v>
      </c>
      <c r="Q8" s="41" t="n">
        <f aca="false">Benefícios!H8</f>
        <v>0</v>
      </c>
      <c r="R8" s="42" t="n">
        <f aca="false">SUM(I8:Q8)</f>
        <v>100.8</v>
      </c>
      <c r="T8" s="42" t="n">
        <f aca="false">H8-R8</f>
        <v>1159.2</v>
      </c>
    </row>
    <row r="9" customFormat="false" ht="12.8" hidden="false" customHeight="false" outlineLevel="0" collapsed="false">
      <c r="A9" s="39" t="str">
        <f aca="false">Benefícios!A9</f>
        <v>Wanclave Pereira</v>
      </c>
      <c r="B9" s="40" t="str">
        <f aca="false">Benefícios!B9</f>
        <v>Gerente</v>
      </c>
      <c r="C9" s="40"/>
      <c r="D9" s="39"/>
      <c r="F9" s="41" t="n">
        <v>3000</v>
      </c>
      <c r="G9" s="41" t="n">
        <v>100</v>
      </c>
      <c r="H9" s="42" t="n">
        <f aca="false">F9+G9</f>
        <v>3100</v>
      </c>
      <c r="J9" s="43" t="n">
        <f aca="false">F9/30*D9</f>
        <v>0</v>
      </c>
      <c r="K9" s="41" t="n">
        <f aca="false">IF((F9+G9-J9)*(VLOOKUP((F9+G9-J9),Tabelas!$B$4:$E$6,4,1))&gt;Tabelas!$F$6,Tabelas!$F$6,(F9+G9-J9)*(VLOOKUP((F9+G9-J9),Tabelas!$B$4:$E$6,4,1)))</f>
        <v>341</v>
      </c>
      <c r="L9" s="41" t="n">
        <f aca="false">((F9+G9-J9-K9)-(C9*Tabelas!$E$17))*(VLOOKUP((F9+G9-J9-K9)-(C9*Tabelas!$E$17),Tabelas!$B$12:$E$16,4,1))-VLOOKUP((F9+G9-J9-K9)-(C9*Tabelas!$E$17),Tabelas!$B$12:$F$16,5,1)</f>
        <v>64.125</v>
      </c>
      <c r="M9" s="41" t="n">
        <f aca="false">Benefícios!D9</f>
        <v>100</v>
      </c>
      <c r="N9" s="41" t="n">
        <f aca="false">Benefícios!E9*Tabelas!$D$24</f>
        <v>22</v>
      </c>
      <c r="O9" s="41" t="n">
        <f aca="false">Benefícios!F9*Tabelas!$D$25</f>
        <v>104</v>
      </c>
      <c r="P9" s="41" t="n">
        <v>0</v>
      </c>
      <c r="Q9" s="41" t="n">
        <f aca="false">Benefícios!H9</f>
        <v>0</v>
      </c>
      <c r="R9" s="42" t="n">
        <f aca="false">SUM(I9:Q9)</f>
        <v>631.125</v>
      </c>
      <c r="T9" s="42" t="n">
        <f aca="false">H9-R9</f>
        <v>2468.875</v>
      </c>
    </row>
    <row r="10" customFormat="false" ht="12.8" hidden="false" customHeight="false" outlineLevel="0" collapsed="false">
      <c r="A10" s="39" t="n">
        <f aca="false">Benefícios!A10</f>
        <v>4</v>
      </c>
      <c r="B10" s="40" t="n">
        <f aca="false">Benefícios!B10</f>
        <v>0</v>
      </c>
      <c r="C10" s="40"/>
      <c r="D10" s="39"/>
      <c r="F10" s="41"/>
      <c r="G10" s="41"/>
      <c r="H10" s="42" t="n">
        <f aca="false">F10+G10</f>
        <v>0</v>
      </c>
      <c r="J10" s="43" t="n">
        <f aca="false">F10/30*D10</f>
        <v>0</v>
      </c>
      <c r="K10" s="41" t="n">
        <f aca="false">IF((F10+G10-J10)*(VLOOKUP((F10+G10-J10),Tabelas!$B$4:$E$6,4,1))&gt;Tabelas!$F$6,Tabelas!$F$6,(F10+G10-J10)*(VLOOKUP((F10+G10-J10),Tabelas!$B$4:$E$6,4,1)))</f>
        <v>0</v>
      </c>
      <c r="L10" s="41" t="n">
        <f aca="false">((F10+G10-J10-K10)-(C10*Tabelas!$E$17))*(VLOOKUP((F10+G10-J10-K10)-(C10*Tabelas!$E$17),Tabelas!$B$12:$E$16,4,1))-VLOOKUP((F10+G10-J10-K10)-(C10*Tabelas!$E$17),Tabelas!$B$12:$F$16,5,1)</f>
        <v>0</v>
      </c>
      <c r="M10" s="41" t="n">
        <f aca="false">Benefícios!D10</f>
        <v>0</v>
      </c>
      <c r="N10" s="41" t="n">
        <f aca="false">Benefícios!E10*Tabelas!$D$24</f>
        <v>0</v>
      </c>
      <c r="O10" s="41" t="n">
        <f aca="false">Benefícios!F10*Tabelas!$D$25</f>
        <v>0</v>
      </c>
      <c r="P10" s="41" t="n">
        <v>0</v>
      </c>
      <c r="Q10" s="41" t="n">
        <f aca="false">Benefícios!H10</f>
        <v>0</v>
      </c>
      <c r="R10" s="42" t="n">
        <f aca="false">SUM(I10:Q10)</f>
        <v>0</v>
      </c>
      <c r="T10" s="42" t="n">
        <f aca="false">H10-R10</f>
        <v>0</v>
      </c>
    </row>
    <row r="11" customFormat="false" ht="12.8" hidden="false" customHeight="false" outlineLevel="0" collapsed="false">
      <c r="A11" s="39" t="n">
        <f aca="false">Benefícios!A11</f>
        <v>5</v>
      </c>
      <c r="B11" s="40" t="n">
        <f aca="false">Benefícios!B11</f>
        <v>0</v>
      </c>
      <c r="C11" s="40"/>
      <c r="D11" s="39"/>
      <c r="F11" s="41"/>
      <c r="G11" s="41"/>
      <c r="H11" s="42" t="n">
        <f aca="false">F11+G11</f>
        <v>0</v>
      </c>
      <c r="J11" s="43" t="n">
        <f aca="false">F11/30*D11</f>
        <v>0</v>
      </c>
      <c r="K11" s="41" t="n">
        <f aca="false">IF((F11+G11-J11)*(VLOOKUP((F11+G11-J11),Tabelas!$B$4:$E$6,4,1))&gt;Tabelas!$F$6,Tabelas!$F$6,(F11+G11-J11)*(VLOOKUP((F11+G11-J11),Tabelas!$B$4:$E$6,4,1)))</f>
        <v>0</v>
      </c>
      <c r="L11" s="41" t="n">
        <f aca="false">((F11+G11-J11-K11)-(C11*Tabelas!$E$17))*(VLOOKUP((F11+G11-J11-K11)-(C11*Tabelas!$E$17),Tabelas!$B$12:$E$16,4,1))-VLOOKUP((F11+G11-J11-K11)-(C11*Tabelas!$E$17),Tabelas!$B$12:$F$16,5,1)</f>
        <v>0</v>
      </c>
      <c r="M11" s="41" t="n">
        <f aca="false">Benefícios!D11</f>
        <v>0</v>
      </c>
      <c r="N11" s="41" t="n">
        <f aca="false">Benefícios!E11*Tabelas!$D$24</f>
        <v>0</v>
      </c>
      <c r="O11" s="41" t="n">
        <f aca="false">Benefícios!F11*Tabelas!$D$25</f>
        <v>0</v>
      </c>
      <c r="P11" s="41" t="n">
        <v>0</v>
      </c>
      <c r="Q11" s="41" t="n">
        <f aca="false">Benefícios!H11</f>
        <v>0</v>
      </c>
      <c r="R11" s="42" t="n">
        <f aca="false">SUM(I11:Q11)</f>
        <v>0</v>
      </c>
      <c r="T11" s="42" t="n">
        <f aca="false">H11-R11</f>
        <v>0</v>
      </c>
    </row>
    <row r="12" customFormat="false" ht="12.8" hidden="false" customHeight="false" outlineLevel="0" collapsed="false">
      <c r="A12" s="39" t="n">
        <f aca="false">Benefícios!A12</f>
        <v>6</v>
      </c>
      <c r="B12" s="40" t="n">
        <f aca="false">Benefícios!B12</f>
        <v>0</v>
      </c>
      <c r="C12" s="40"/>
      <c r="D12" s="39"/>
      <c r="F12" s="41"/>
      <c r="G12" s="41"/>
      <c r="H12" s="42" t="n">
        <f aca="false">F12+G12</f>
        <v>0</v>
      </c>
      <c r="J12" s="43" t="n">
        <f aca="false">F12/30*D12</f>
        <v>0</v>
      </c>
      <c r="K12" s="41" t="n">
        <f aca="false">IF((F12+G12-J12)*(VLOOKUP((F12+G12-J12),Tabelas!$B$4:$E$6,4,1))&gt;Tabelas!$F$6,Tabelas!$F$6,(F12+G12-J12)*(VLOOKUP((F12+G12-J12),Tabelas!$B$4:$E$6,4,1)))</f>
        <v>0</v>
      </c>
      <c r="L12" s="41" t="n">
        <f aca="false">((F12+G12-J12-K12)-(C12*Tabelas!$E$17))*(VLOOKUP((F12+G12-J12-K12)-(C12*Tabelas!$E$17),Tabelas!$B$12:$E$16,4,1))-VLOOKUP((F12+G12-J12-K12)-(C12*Tabelas!$E$17),Tabelas!$B$12:$F$16,5,1)</f>
        <v>0</v>
      </c>
      <c r="M12" s="41" t="n">
        <f aca="false">Benefícios!D12</f>
        <v>0</v>
      </c>
      <c r="N12" s="41" t="n">
        <f aca="false">Benefícios!E12*Tabelas!$D$24</f>
        <v>0</v>
      </c>
      <c r="O12" s="41" t="n">
        <f aca="false">Benefícios!F12*Tabelas!$D$25</f>
        <v>0</v>
      </c>
      <c r="P12" s="41" t="n">
        <v>0</v>
      </c>
      <c r="Q12" s="41" t="n">
        <f aca="false">Benefícios!H12</f>
        <v>0</v>
      </c>
      <c r="R12" s="42" t="n">
        <f aca="false">SUM(I12:Q12)</f>
        <v>0</v>
      </c>
      <c r="T12" s="42" t="n">
        <f aca="false">H12-R12</f>
        <v>0</v>
      </c>
    </row>
    <row r="13" customFormat="false" ht="12.8" hidden="false" customHeight="false" outlineLevel="0" collapsed="false">
      <c r="A13" s="39" t="n">
        <f aca="false">Benefícios!A13</f>
        <v>7</v>
      </c>
      <c r="B13" s="40" t="n">
        <f aca="false">Benefícios!B13</f>
        <v>0</v>
      </c>
      <c r="C13" s="40"/>
      <c r="D13" s="39"/>
      <c r="F13" s="41"/>
      <c r="G13" s="41"/>
      <c r="H13" s="42" t="n">
        <f aca="false">F13+G13</f>
        <v>0</v>
      </c>
      <c r="J13" s="43" t="n">
        <f aca="false">F13/30*D13</f>
        <v>0</v>
      </c>
      <c r="K13" s="41" t="n">
        <f aca="false">IF((F13+G13-J13)*(VLOOKUP((F13+G13-J13),Tabelas!$B$4:$E$6,4,1))&gt;Tabelas!$F$6,Tabelas!$F$6,(F13+G13-J13)*(VLOOKUP((F13+G13-J13),Tabelas!$B$4:$E$6,4,1)))</f>
        <v>0</v>
      </c>
      <c r="L13" s="41" t="n">
        <f aca="false">((F13+G13-J13-K13)-(C13*Tabelas!$E$17))*(VLOOKUP((F13+G13-J13-K13)-(C13*Tabelas!$E$17),Tabelas!$B$12:$E$16,4,1))-VLOOKUP((F13+G13-J13-K13)-(C13*Tabelas!$E$17),Tabelas!$B$12:$F$16,5,1)</f>
        <v>0</v>
      </c>
      <c r="M13" s="41" t="n">
        <f aca="false">Benefícios!D13</f>
        <v>0</v>
      </c>
      <c r="N13" s="41" t="n">
        <f aca="false">Benefícios!E13*Tabelas!$D$24</f>
        <v>0</v>
      </c>
      <c r="O13" s="41" t="n">
        <f aca="false">Benefícios!F13*Tabelas!$D$25</f>
        <v>0</v>
      </c>
      <c r="P13" s="41" t="n">
        <v>0</v>
      </c>
      <c r="Q13" s="41" t="n">
        <f aca="false">Benefícios!H13</f>
        <v>0</v>
      </c>
      <c r="R13" s="42" t="n">
        <f aca="false">SUM(I13:Q13)</f>
        <v>0</v>
      </c>
      <c r="T13" s="42" t="n">
        <f aca="false">H13-R13</f>
        <v>0</v>
      </c>
    </row>
    <row r="14" customFormat="false" ht="12.8" hidden="false" customHeight="false" outlineLevel="0" collapsed="false">
      <c r="A14" s="39" t="n">
        <f aca="false">Benefícios!A14</f>
        <v>8</v>
      </c>
      <c r="B14" s="40" t="n">
        <f aca="false">Benefícios!B14</f>
        <v>0</v>
      </c>
      <c r="C14" s="40"/>
      <c r="D14" s="39"/>
      <c r="F14" s="41"/>
      <c r="G14" s="41"/>
      <c r="H14" s="42" t="n">
        <f aca="false">F14+G14</f>
        <v>0</v>
      </c>
      <c r="J14" s="43" t="n">
        <f aca="false">F14/30*D14</f>
        <v>0</v>
      </c>
      <c r="K14" s="41" t="n">
        <f aca="false">IF((F14+G14-J14)*(VLOOKUP((F14+G14-J14),Tabelas!$B$4:$E$6,4,1))&gt;Tabelas!$F$6,Tabelas!$F$6,(F14+G14-J14)*(VLOOKUP((F14+G14-J14),Tabelas!$B$4:$E$6,4,1)))</f>
        <v>0</v>
      </c>
      <c r="L14" s="41" t="n">
        <f aca="false">((F14+G14-J14-K14)-(C14*Tabelas!$E$17))*(VLOOKUP((F14+G14-J14-K14)-(C14*Tabelas!$E$17),Tabelas!$B$12:$E$16,4,1))-VLOOKUP((F14+G14-J14-K14)-(C14*Tabelas!$E$17),Tabelas!$B$12:$F$16,5,1)</f>
        <v>0</v>
      </c>
      <c r="M14" s="41" t="n">
        <f aca="false">Benefícios!D14</f>
        <v>0</v>
      </c>
      <c r="N14" s="41" t="n">
        <f aca="false">Benefícios!E14*Tabelas!$D$24</f>
        <v>0</v>
      </c>
      <c r="O14" s="41" t="n">
        <f aca="false">Benefícios!F14*Tabelas!$D$25</f>
        <v>0</v>
      </c>
      <c r="P14" s="41" t="n">
        <v>0</v>
      </c>
      <c r="Q14" s="41" t="n">
        <f aca="false">Benefícios!H14</f>
        <v>0</v>
      </c>
      <c r="R14" s="42" t="n">
        <f aca="false">SUM(I14:Q14)</f>
        <v>0</v>
      </c>
      <c r="T14" s="42" t="n">
        <f aca="false">H14-R14</f>
        <v>0</v>
      </c>
    </row>
    <row r="15" customFormat="false" ht="12.8" hidden="false" customHeight="false" outlineLevel="0" collapsed="false">
      <c r="A15" s="39" t="n">
        <f aca="false">Benefícios!A15</f>
        <v>9</v>
      </c>
      <c r="B15" s="40" t="n">
        <f aca="false">Benefícios!B15</f>
        <v>0</v>
      </c>
      <c r="C15" s="40"/>
      <c r="D15" s="39"/>
      <c r="F15" s="41"/>
      <c r="G15" s="41"/>
      <c r="H15" s="42" t="n">
        <f aca="false">F15+G15</f>
        <v>0</v>
      </c>
      <c r="J15" s="43" t="n">
        <f aca="false">F15/30*D15</f>
        <v>0</v>
      </c>
      <c r="K15" s="41" t="n">
        <f aca="false">IF((F15+G15-J15)*(VLOOKUP((F15+G15-J15),Tabelas!$B$4:$E$6,4,1))&gt;Tabelas!$F$6,Tabelas!$F$6,(F15+G15-J15)*(VLOOKUP((F15+G15-J15),Tabelas!$B$4:$E$6,4,1)))</f>
        <v>0</v>
      </c>
      <c r="L15" s="41" t="n">
        <f aca="false">((F15+G15-J15-K15)-(C15*Tabelas!$E$17))*(VLOOKUP((F15+G15-J15-K15)-(C15*Tabelas!$E$17),Tabelas!$B$12:$E$16,4,1))-VLOOKUP((F15+G15-J15-K15)-(C15*Tabelas!$E$17),Tabelas!$B$12:$F$16,5,1)</f>
        <v>0</v>
      </c>
      <c r="M15" s="41" t="n">
        <f aca="false">Benefícios!D15</f>
        <v>0</v>
      </c>
      <c r="N15" s="41" t="n">
        <f aca="false">Benefícios!E15*Tabelas!$D$24</f>
        <v>0</v>
      </c>
      <c r="O15" s="41" t="n">
        <f aca="false">Benefícios!F15*Tabelas!$D$25</f>
        <v>0</v>
      </c>
      <c r="P15" s="41" t="n">
        <v>0</v>
      </c>
      <c r="Q15" s="41" t="n">
        <f aca="false">Benefícios!H15</f>
        <v>0</v>
      </c>
      <c r="R15" s="42" t="n">
        <f aca="false">SUM(I15:Q15)</f>
        <v>0</v>
      </c>
      <c r="T15" s="42" t="n">
        <f aca="false">H15-R15</f>
        <v>0</v>
      </c>
    </row>
    <row r="16" customFormat="false" ht="12.8" hidden="false" customHeight="false" outlineLevel="0" collapsed="false">
      <c r="A16" s="39" t="n">
        <f aca="false">Benefícios!A16</f>
        <v>10</v>
      </c>
      <c r="B16" s="40" t="n">
        <f aca="false">Benefícios!B16</f>
        <v>0</v>
      </c>
      <c r="C16" s="40"/>
      <c r="D16" s="39"/>
      <c r="F16" s="41"/>
      <c r="G16" s="41"/>
      <c r="H16" s="42" t="n">
        <f aca="false">F16+G16</f>
        <v>0</v>
      </c>
      <c r="J16" s="43" t="n">
        <f aca="false">F16/30*D16</f>
        <v>0</v>
      </c>
      <c r="K16" s="41" t="n">
        <f aca="false">IF((F16+G16-J16)*(VLOOKUP((F16+G16-J16),Tabelas!$B$4:$E$6,4,1))&gt;Tabelas!$F$6,Tabelas!$F$6,(F16+G16-J16)*(VLOOKUP((F16+G16-J16),Tabelas!$B$4:$E$6,4,1)))</f>
        <v>0</v>
      </c>
      <c r="L16" s="41" t="n">
        <f aca="false">((F16+G16-J16-K16)-(C16*Tabelas!$E$17))*(VLOOKUP((F16+G16-J16-K16)-(C16*Tabelas!$E$17),Tabelas!$B$12:$E$16,4,1))-VLOOKUP((F16+G16-J16-K16)-(C16*Tabelas!$E$17),Tabelas!$B$12:$F$16,5,1)</f>
        <v>0</v>
      </c>
      <c r="M16" s="41" t="n">
        <f aca="false">Benefícios!D16</f>
        <v>0</v>
      </c>
      <c r="N16" s="41" t="n">
        <f aca="false">Benefícios!E16*Tabelas!$D$24</f>
        <v>0</v>
      </c>
      <c r="O16" s="41" t="n">
        <f aca="false">Benefícios!F16*Tabelas!$D$25</f>
        <v>0</v>
      </c>
      <c r="P16" s="41" t="n">
        <v>0</v>
      </c>
      <c r="Q16" s="41" t="n">
        <f aca="false">Benefícios!H16</f>
        <v>0</v>
      </c>
      <c r="R16" s="42" t="n">
        <f aca="false">SUM(I16:Q16)</f>
        <v>0</v>
      </c>
      <c r="T16" s="42" t="n">
        <f aca="false">H16-R16</f>
        <v>0</v>
      </c>
    </row>
    <row r="17" customFormat="false" ht="12.8" hidden="false" customHeight="false" outlineLevel="0" collapsed="false">
      <c r="A17" s="39" t="n">
        <f aca="false">Benefícios!A17</f>
        <v>11</v>
      </c>
      <c r="B17" s="40" t="n">
        <f aca="false">Benefícios!B17</f>
        <v>0</v>
      </c>
      <c r="C17" s="40"/>
      <c r="D17" s="39"/>
      <c r="F17" s="41"/>
      <c r="G17" s="41"/>
      <c r="H17" s="42" t="n">
        <f aca="false">F17+G17</f>
        <v>0</v>
      </c>
      <c r="J17" s="43" t="n">
        <f aca="false">F17/30*D17</f>
        <v>0</v>
      </c>
      <c r="K17" s="41" t="n">
        <f aca="false">IF((F17+G17-J17)*(VLOOKUP((F17+G17-J17),Tabelas!$B$4:$E$6,4,1))&gt;Tabelas!$F$6,Tabelas!$F$6,(F17+G17-J17)*(VLOOKUP((F17+G17-J17),Tabelas!$B$4:$E$6,4,1)))</f>
        <v>0</v>
      </c>
      <c r="L17" s="41" t="n">
        <f aca="false">((F17+G17-J17-K17)-(C17*Tabelas!$E$17))*(VLOOKUP((F17+G17-J17-K17)-(C17*Tabelas!$E$17),Tabelas!$B$12:$E$16,4,1))-VLOOKUP((F17+G17-J17-K17)-(C17*Tabelas!$E$17),Tabelas!$B$12:$F$16,5,1)</f>
        <v>0</v>
      </c>
      <c r="M17" s="41" t="n">
        <f aca="false">Benefícios!D17</f>
        <v>0</v>
      </c>
      <c r="N17" s="41" t="n">
        <f aca="false">Benefícios!E17*Tabelas!$D$24</f>
        <v>0</v>
      </c>
      <c r="O17" s="41" t="n">
        <f aca="false">Benefícios!F17*Tabelas!$D$25</f>
        <v>0</v>
      </c>
      <c r="P17" s="41" t="n">
        <v>0</v>
      </c>
      <c r="Q17" s="41" t="n">
        <f aca="false">Benefícios!H17</f>
        <v>0</v>
      </c>
      <c r="R17" s="42" t="n">
        <f aca="false">SUM(I17:Q17)</f>
        <v>0</v>
      </c>
      <c r="T17" s="42" t="n">
        <f aca="false">H17-R17</f>
        <v>0</v>
      </c>
    </row>
    <row r="18" customFormat="false" ht="12.8" hidden="false" customHeight="false" outlineLevel="0" collapsed="false">
      <c r="A18" s="39" t="n">
        <f aca="false">Benefícios!A18</f>
        <v>12</v>
      </c>
      <c r="B18" s="40" t="n">
        <f aca="false">Benefícios!B18</f>
        <v>0</v>
      </c>
      <c r="C18" s="40"/>
      <c r="D18" s="39"/>
      <c r="F18" s="41"/>
      <c r="G18" s="41"/>
      <c r="H18" s="42" t="n">
        <f aca="false">F18+G18</f>
        <v>0</v>
      </c>
      <c r="J18" s="43" t="n">
        <f aca="false">F18/30*D18</f>
        <v>0</v>
      </c>
      <c r="K18" s="41" t="n">
        <f aca="false">IF((F18+G18-J18)*(VLOOKUP((F18+G18-J18),Tabelas!$B$4:$E$6,4,1))&gt;Tabelas!$F$6,Tabelas!$F$6,(F18+G18-J18)*(VLOOKUP((F18+G18-J18),Tabelas!$B$4:$E$6,4,1)))</f>
        <v>0</v>
      </c>
      <c r="L18" s="41" t="n">
        <f aca="false">((F18+G18-J18-K18)-(C18*Tabelas!$E$17))*(VLOOKUP((F18+G18-J18-K18)-(C18*Tabelas!$E$17),Tabelas!$B$12:$E$16,4,1))-VLOOKUP((F18+G18-J18-K18)-(C18*Tabelas!$E$17),Tabelas!$B$12:$F$16,5,1)</f>
        <v>0</v>
      </c>
      <c r="M18" s="41" t="n">
        <f aca="false">Benefícios!D18</f>
        <v>0</v>
      </c>
      <c r="N18" s="41" t="n">
        <f aca="false">Benefícios!E18*Tabelas!$D$24</f>
        <v>0</v>
      </c>
      <c r="O18" s="41" t="n">
        <f aca="false">Benefícios!F18*Tabelas!$D$25</f>
        <v>0</v>
      </c>
      <c r="P18" s="41" t="n">
        <v>0</v>
      </c>
      <c r="Q18" s="41" t="n">
        <f aca="false">Benefícios!H18</f>
        <v>0</v>
      </c>
      <c r="R18" s="42" t="n">
        <f aca="false">SUM(I18:Q18)</f>
        <v>0</v>
      </c>
      <c r="T18" s="42" t="n">
        <f aca="false">H18-R18</f>
        <v>0</v>
      </c>
    </row>
    <row r="19" customFormat="false" ht="12.8" hidden="false" customHeight="false" outlineLevel="0" collapsed="false">
      <c r="A19" s="39" t="n">
        <f aca="false">Benefícios!A19</f>
        <v>13</v>
      </c>
      <c r="B19" s="40" t="n">
        <f aca="false">Benefícios!B19</f>
        <v>0</v>
      </c>
      <c r="C19" s="40"/>
      <c r="D19" s="39"/>
      <c r="F19" s="41"/>
      <c r="G19" s="41"/>
      <c r="H19" s="42" t="n">
        <f aca="false">F19+G19</f>
        <v>0</v>
      </c>
      <c r="J19" s="43" t="n">
        <f aca="false">F19/30*D19</f>
        <v>0</v>
      </c>
      <c r="K19" s="41" t="n">
        <f aca="false">IF((F19+G19-J19)*(VLOOKUP((F19+G19-J19),Tabelas!$B$4:$E$6,4,1))&gt;Tabelas!$F$6,Tabelas!$F$6,(F19+G19-J19)*(VLOOKUP((F19+G19-J19),Tabelas!$B$4:$E$6,4,1)))</f>
        <v>0</v>
      </c>
      <c r="L19" s="41" t="n">
        <f aca="false">((F19+G19-J19-K19)-(C19*Tabelas!$E$17))*(VLOOKUP((F19+G19-J19-K19)-(C19*Tabelas!$E$17),Tabelas!$B$12:$E$16,4,1))-VLOOKUP((F19+G19-J19-K19)-(C19*Tabelas!$E$17),Tabelas!$B$12:$F$16,5,1)</f>
        <v>0</v>
      </c>
      <c r="M19" s="41" t="n">
        <f aca="false">Benefícios!D19</f>
        <v>0</v>
      </c>
      <c r="N19" s="41" t="n">
        <f aca="false">Benefícios!E19*Tabelas!$D$24</f>
        <v>0</v>
      </c>
      <c r="O19" s="41" t="n">
        <f aca="false">Benefícios!F19*Tabelas!$D$25</f>
        <v>0</v>
      </c>
      <c r="P19" s="41" t="n">
        <v>0</v>
      </c>
      <c r="Q19" s="41" t="n">
        <f aca="false">Benefícios!H19</f>
        <v>0</v>
      </c>
      <c r="R19" s="42" t="n">
        <f aca="false">SUM(I19:Q19)</f>
        <v>0</v>
      </c>
      <c r="T19" s="42" t="n">
        <f aca="false">H19-R19</f>
        <v>0</v>
      </c>
    </row>
    <row r="20" customFormat="false" ht="12.8" hidden="false" customHeight="false" outlineLevel="0" collapsed="false">
      <c r="A20" s="39" t="n">
        <f aca="false">Benefícios!A20</f>
        <v>14</v>
      </c>
      <c r="B20" s="40" t="n">
        <f aca="false">Benefícios!B20</f>
        <v>0</v>
      </c>
      <c r="C20" s="40"/>
      <c r="D20" s="39"/>
      <c r="F20" s="41"/>
      <c r="G20" s="41"/>
      <c r="H20" s="42" t="n">
        <f aca="false">F20+G20</f>
        <v>0</v>
      </c>
      <c r="J20" s="43" t="n">
        <f aca="false">F20/30*D20</f>
        <v>0</v>
      </c>
      <c r="K20" s="41" t="n">
        <f aca="false">IF((F20+G20-J20)*(VLOOKUP((F20+G20-J20),Tabelas!$B$4:$E$6,4,1))&gt;Tabelas!$F$6,Tabelas!$F$6,(F20+G20-J20)*(VLOOKUP((F20+G20-J20),Tabelas!$B$4:$E$6,4,1)))</f>
        <v>0</v>
      </c>
      <c r="L20" s="41" t="n">
        <f aca="false">((F20+G20-J20-K20)-(C20*Tabelas!$E$17))*(VLOOKUP((F20+G20-J20-K20)-(C20*Tabelas!$E$17),Tabelas!$B$12:$E$16,4,1))-VLOOKUP((F20+G20-J20-K20)-(C20*Tabelas!$E$17),Tabelas!$B$12:$F$16,5,1)</f>
        <v>0</v>
      </c>
      <c r="M20" s="41" t="n">
        <f aca="false">Benefícios!D20</f>
        <v>0</v>
      </c>
      <c r="N20" s="41" t="n">
        <f aca="false">Benefícios!E20*Tabelas!$D$24</f>
        <v>0</v>
      </c>
      <c r="O20" s="41" t="n">
        <f aca="false">Benefícios!F20*Tabelas!$D$25</f>
        <v>0</v>
      </c>
      <c r="P20" s="41" t="n">
        <v>0</v>
      </c>
      <c r="Q20" s="41" t="n">
        <f aca="false">Benefícios!H20</f>
        <v>0</v>
      </c>
      <c r="R20" s="42" t="n">
        <f aca="false">SUM(I20:Q20)</f>
        <v>0</v>
      </c>
      <c r="T20" s="42" t="n">
        <f aca="false">H20-R20</f>
        <v>0</v>
      </c>
    </row>
    <row r="21" customFormat="false" ht="12.8" hidden="false" customHeight="false" outlineLevel="0" collapsed="false">
      <c r="A21" s="39" t="n">
        <f aca="false">Benefícios!A21</f>
        <v>15</v>
      </c>
      <c r="B21" s="40" t="n">
        <f aca="false">Benefícios!B21</f>
        <v>0</v>
      </c>
      <c r="C21" s="40"/>
      <c r="D21" s="39"/>
      <c r="F21" s="41"/>
      <c r="G21" s="41"/>
      <c r="H21" s="42" t="n">
        <f aca="false">F21+G21</f>
        <v>0</v>
      </c>
      <c r="J21" s="43" t="n">
        <f aca="false">F21/30*D21</f>
        <v>0</v>
      </c>
      <c r="K21" s="41" t="n">
        <f aca="false">IF((F21+G21-J21)*(VLOOKUP((F21+G21-J21),Tabelas!$B$4:$E$6,4,1))&gt;Tabelas!$F$6,Tabelas!$F$6,(F21+G21-J21)*(VLOOKUP((F21+G21-J21),Tabelas!$B$4:$E$6,4,1)))</f>
        <v>0</v>
      </c>
      <c r="L21" s="41" t="n">
        <f aca="false">((F21+G21-J21-K21)-(C21*Tabelas!$E$17))*(VLOOKUP((F21+G21-J21-K21)-(C21*Tabelas!$E$17),Tabelas!$B$12:$E$16,4,1))-VLOOKUP((F21+G21-J21-K21)-(C21*Tabelas!$E$17),Tabelas!$B$12:$F$16,5,1)</f>
        <v>0</v>
      </c>
      <c r="M21" s="41" t="n">
        <f aca="false">Benefícios!D21</f>
        <v>0</v>
      </c>
      <c r="N21" s="41" t="n">
        <f aca="false">Benefícios!E21*Tabelas!$D$24</f>
        <v>0</v>
      </c>
      <c r="O21" s="41" t="n">
        <f aca="false">Benefícios!F21*Tabelas!$D$25</f>
        <v>0</v>
      </c>
      <c r="P21" s="41" t="n">
        <v>0</v>
      </c>
      <c r="Q21" s="41" t="n">
        <f aca="false">Benefícios!H21</f>
        <v>0</v>
      </c>
      <c r="R21" s="42" t="n">
        <f aca="false">SUM(I21:Q21)</f>
        <v>0</v>
      </c>
      <c r="T21" s="42" t="n">
        <f aca="false">H21-R21</f>
        <v>0</v>
      </c>
    </row>
    <row r="22" customFormat="false" ht="12.8" hidden="false" customHeight="false" outlineLevel="0" collapsed="false">
      <c r="A22" s="39" t="n">
        <f aca="false">Benefícios!A22</f>
        <v>16</v>
      </c>
      <c r="B22" s="40" t="n">
        <f aca="false">Benefícios!B22</f>
        <v>0</v>
      </c>
      <c r="C22" s="40"/>
      <c r="D22" s="39"/>
      <c r="F22" s="41"/>
      <c r="G22" s="41"/>
      <c r="H22" s="42" t="n">
        <f aca="false">F22+G22</f>
        <v>0</v>
      </c>
      <c r="J22" s="43" t="n">
        <f aca="false">F22/30*D22</f>
        <v>0</v>
      </c>
      <c r="K22" s="41" t="n">
        <f aca="false">IF((F22+G22-J22)*(VLOOKUP((F22+G22-J22),Tabelas!$B$4:$E$6,4,1))&gt;Tabelas!$F$6,Tabelas!$F$6,(F22+G22-J22)*(VLOOKUP((F22+G22-J22),Tabelas!$B$4:$E$6,4,1)))</f>
        <v>0</v>
      </c>
      <c r="L22" s="41" t="n">
        <f aca="false">((F22+G22-J22-K22)-(C22*Tabelas!$E$17))*(VLOOKUP((F22+G22-J22-K22)-(C22*Tabelas!$E$17),Tabelas!$B$12:$E$16,4,1))-VLOOKUP((F22+G22-J22-K22)-(C22*Tabelas!$E$17),Tabelas!$B$12:$F$16,5,1)</f>
        <v>0</v>
      </c>
      <c r="M22" s="41" t="n">
        <f aca="false">Benefícios!D22</f>
        <v>0</v>
      </c>
      <c r="N22" s="41" t="n">
        <f aca="false">Benefícios!E22*Tabelas!$D$24</f>
        <v>0</v>
      </c>
      <c r="O22" s="41" t="n">
        <f aca="false">Benefícios!F22*Tabelas!$D$25</f>
        <v>0</v>
      </c>
      <c r="P22" s="41" t="n">
        <v>0</v>
      </c>
      <c r="Q22" s="41" t="n">
        <f aca="false">Benefícios!H22</f>
        <v>0</v>
      </c>
      <c r="R22" s="42" t="n">
        <f aca="false">SUM(I22:Q22)</f>
        <v>0</v>
      </c>
      <c r="T22" s="42" t="n">
        <f aca="false">H22-R22</f>
        <v>0</v>
      </c>
    </row>
    <row r="23" customFormat="false" ht="12.8" hidden="false" customHeight="false" outlineLevel="0" collapsed="false">
      <c r="A23" s="39" t="n">
        <f aca="false">Benefícios!A23</f>
        <v>17</v>
      </c>
      <c r="B23" s="40" t="n">
        <f aca="false">Benefícios!B23</f>
        <v>0</v>
      </c>
      <c r="C23" s="40"/>
      <c r="D23" s="39"/>
      <c r="F23" s="41"/>
      <c r="G23" s="41"/>
      <c r="H23" s="42" t="n">
        <f aca="false">F23+G23</f>
        <v>0</v>
      </c>
      <c r="J23" s="43" t="n">
        <f aca="false">F23/30*D23</f>
        <v>0</v>
      </c>
      <c r="K23" s="41" t="n">
        <f aca="false">IF((F23+G23-J23)*(VLOOKUP((F23+G23-J23),Tabelas!$B$4:$E$6,4,1))&gt;Tabelas!$F$6,Tabelas!$F$6,(F23+G23-J23)*(VLOOKUP((F23+G23-J23),Tabelas!$B$4:$E$6,4,1)))</f>
        <v>0</v>
      </c>
      <c r="L23" s="41" t="n">
        <f aca="false">((F23+G23-J23-K23)-(C23*Tabelas!$E$17))*(VLOOKUP((F23+G23-J23-K23)-(C23*Tabelas!$E$17),Tabelas!$B$12:$E$16,4,1))-VLOOKUP((F23+G23-J23-K23)-(C23*Tabelas!$E$17),Tabelas!$B$12:$F$16,5,1)</f>
        <v>0</v>
      </c>
      <c r="M23" s="41" t="n">
        <f aca="false">Benefícios!D23</f>
        <v>0</v>
      </c>
      <c r="N23" s="41" t="n">
        <f aca="false">Benefícios!E23*Tabelas!$D$24</f>
        <v>0</v>
      </c>
      <c r="O23" s="41" t="n">
        <f aca="false">Benefícios!F23*Tabelas!$D$25</f>
        <v>0</v>
      </c>
      <c r="P23" s="41" t="n">
        <v>0</v>
      </c>
      <c r="Q23" s="41" t="n">
        <f aca="false">Benefícios!H23</f>
        <v>0</v>
      </c>
      <c r="R23" s="42" t="n">
        <f aca="false">SUM(I23:Q23)</f>
        <v>0</v>
      </c>
      <c r="T23" s="42" t="n">
        <f aca="false">H23-R23</f>
        <v>0</v>
      </c>
    </row>
    <row r="24" customFormat="false" ht="12.8" hidden="false" customHeight="false" outlineLevel="0" collapsed="false">
      <c r="A24" s="39" t="n">
        <f aca="false">Benefícios!A24</f>
        <v>18</v>
      </c>
      <c r="B24" s="40" t="n">
        <f aca="false">Benefícios!B24</f>
        <v>0</v>
      </c>
      <c r="C24" s="40"/>
      <c r="D24" s="39"/>
      <c r="F24" s="41"/>
      <c r="G24" s="41"/>
      <c r="H24" s="42" t="n">
        <f aca="false">F24+G24</f>
        <v>0</v>
      </c>
      <c r="J24" s="43" t="n">
        <f aca="false">F24/30*D24</f>
        <v>0</v>
      </c>
      <c r="K24" s="41" t="n">
        <f aca="false">IF((F24+G24-J24)*(VLOOKUP((F24+G24-J24),Tabelas!$B$4:$E$6,4,1))&gt;Tabelas!$F$6,Tabelas!$F$6,(F24+G24-J24)*(VLOOKUP((F24+G24-J24),Tabelas!$B$4:$E$6,4,1)))</f>
        <v>0</v>
      </c>
      <c r="L24" s="41" t="n">
        <f aca="false">((F24+G24-J24-K24)-(C24*Tabelas!$E$17))*(VLOOKUP((F24+G24-J24-K24)-(C24*Tabelas!$E$17),Tabelas!$B$12:$E$16,4,1))-VLOOKUP((F24+G24-J24-K24)-(C24*Tabelas!$E$17),Tabelas!$B$12:$F$16,5,1)</f>
        <v>0</v>
      </c>
      <c r="M24" s="41" t="n">
        <f aca="false">Benefícios!D24</f>
        <v>0</v>
      </c>
      <c r="N24" s="41" t="n">
        <f aca="false">Benefícios!E24*Tabelas!$D$24</f>
        <v>0</v>
      </c>
      <c r="O24" s="41" t="n">
        <f aca="false">Benefícios!F24*Tabelas!$D$25</f>
        <v>0</v>
      </c>
      <c r="P24" s="41" t="n">
        <v>0</v>
      </c>
      <c r="Q24" s="41" t="n">
        <f aca="false">Benefícios!H24</f>
        <v>0</v>
      </c>
      <c r="R24" s="42" t="n">
        <f aca="false">SUM(I24:Q24)</f>
        <v>0</v>
      </c>
      <c r="T24" s="42" t="n">
        <f aca="false">H24-R24</f>
        <v>0</v>
      </c>
    </row>
    <row r="25" customFormat="false" ht="12.8" hidden="false" customHeight="false" outlineLevel="0" collapsed="false">
      <c r="A25" s="39" t="n">
        <f aca="false">Benefícios!A25</f>
        <v>19</v>
      </c>
      <c r="B25" s="40" t="n">
        <f aca="false">Benefícios!B25</f>
        <v>0</v>
      </c>
      <c r="C25" s="40"/>
      <c r="D25" s="39"/>
      <c r="F25" s="41"/>
      <c r="G25" s="41"/>
      <c r="H25" s="42" t="n">
        <f aca="false">F25+G25</f>
        <v>0</v>
      </c>
      <c r="J25" s="43" t="n">
        <f aca="false">F25/30*D25</f>
        <v>0</v>
      </c>
      <c r="K25" s="41" t="n">
        <f aca="false">IF((F25+G25-J25)*(VLOOKUP((F25+G25-J25),Tabelas!$B$4:$E$6,4,1))&gt;Tabelas!$F$6,Tabelas!$F$6,(F25+G25-J25)*(VLOOKUP((F25+G25-J25),Tabelas!$B$4:$E$6,4,1)))</f>
        <v>0</v>
      </c>
      <c r="L25" s="41" t="n">
        <f aca="false">((F25+G25-J25-K25)-(C25*Tabelas!$E$17))*(VLOOKUP((F25+G25-J25-K25)-(C25*Tabelas!$E$17),Tabelas!$B$12:$E$16,4,1))-VLOOKUP((F25+G25-J25-K25)-(C25*Tabelas!$E$17),Tabelas!$B$12:$F$16,5,1)</f>
        <v>0</v>
      </c>
      <c r="M25" s="41" t="n">
        <f aca="false">Benefícios!D25</f>
        <v>0</v>
      </c>
      <c r="N25" s="41" t="n">
        <f aca="false">Benefícios!E25*Tabelas!$D$24</f>
        <v>0</v>
      </c>
      <c r="O25" s="41" t="n">
        <f aca="false">Benefícios!F25*Tabelas!$D$25</f>
        <v>0</v>
      </c>
      <c r="P25" s="41" t="n">
        <v>0</v>
      </c>
      <c r="Q25" s="41" t="n">
        <f aca="false">Benefícios!H25</f>
        <v>0</v>
      </c>
      <c r="R25" s="42" t="n">
        <f aca="false">SUM(I25:Q25)</f>
        <v>0</v>
      </c>
      <c r="T25" s="42" t="n">
        <f aca="false">H25-R25</f>
        <v>0</v>
      </c>
    </row>
    <row r="26" customFormat="false" ht="12.8" hidden="false" customHeight="false" outlineLevel="0" collapsed="false">
      <c r="A26" s="39" t="n">
        <f aca="false">Benefícios!A26</f>
        <v>20</v>
      </c>
      <c r="B26" s="40" t="n">
        <f aca="false">Benefícios!B26</f>
        <v>0</v>
      </c>
      <c r="C26" s="40"/>
      <c r="D26" s="39"/>
      <c r="F26" s="41"/>
      <c r="G26" s="41"/>
      <c r="H26" s="42" t="n">
        <f aca="false">F26+G26</f>
        <v>0</v>
      </c>
      <c r="J26" s="43" t="n">
        <f aca="false">F26/30*D26</f>
        <v>0</v>
      </c>
      <c r="K26" s="41" t="n">
        <f aca="false">IF((F26+G26-J26)*(VLOOKUP((F26+G26-J26),Tabelas!$B$4:$E$6,4,1))&gt;Tabelas!$F$6,Tabelas!$F$6,(F26+G26-J26)*(VLOOKUP((F26+G26-J26),Tabelas!$B$4:$E$6,4,1)))</f>
        <v>0</v>
      </c>
      <c r="L26" s="41" t="n">
        <f aca="false">((F26+G26-J26-K26)-(C26*Tabelas!$E$17))*(VLOOKUP((F26+G26-J26-K26)-(C26*Tabelas!$E$17),Tabelas!$B$12:$E$16,4,1))-VLOOKUP((F26+G26-J26-K26)-(C26*Tabelas!$E$17),Tabelas!$B$12:$F$16,5,1)</f>
        <v>0</v>
      </c>
      <c r="M26" s="41" t="n">
        <f aca="false">Benefícios!D26</f>
        <v>0</v>
      </c>
      <c r="N26" s="41" t="n">
        <f aca="false">Benefícios!E26*Tabelas!$D$24</f>
        <v>0</v>
      </c>
      <c r="O26" s="41" t="n">
        <f aca="false">Benefícios!F26*Tabelas!$D$25</f>
        <v>0</v>
      </c>
      <c r="P26" s="41" t="n">
        <v>0</v>
      </c>
      <c r="Q26" s="41" t="n">
        <f aca="false">Benefícios!H26</f>
        <v>0</v>
      </c>
      <c r="R26" s="42" t="n">
        <f aca="false">SUM(I26:Q26)</f>
        <v>0</v>
      </c>
      <c r="T26" s="42" t="n">
        <f aca="false">H26-R26</f>
        <v>0</v>
      </c>
    </row>
    <row r="27" customFormat="false" ht="12.8" hidden="false" customHeight="false" outlineLevel="0" collapsed="false">
      <c r="A27" s="39" t="n">
        <f aca="false">Benefícios!A27</f>
        <v>21</v>
      </c>
      <c r="B27" s="40" t="n">
        <f aca="false">Benefícios!B27</f>
        <v>0</v>
      </c>
      <c r="C27" s="40"/>
      <c r="D27" s="39"/>
      <c r="F27" s="41"/>
      <c r="G27" s="41"/>
      <c r="H27" s="42" t="n">
        <f aca="false">F27+G27</f>
        <v>0</v>
      </c>
      <c r="J27" s="43" t="n">
        <f aca="false">F27/30*D27</f>
        <v>0</v>
      </c>
      <c r="K27" s="41" t="n">
        <f aca="false">IF((F27+G27-J27)*(VLOOKUP((F27+G27-J27),Tabelas!$B$4:$E$6,4,1))&gt;Tabelas!$F$6,Tabelas!$F$6,(F27+G27-J27)*(VLOOKUP((F27+G27-J27),Tabelas!$B$4:$E$6,4,1)))</f>
        <v>0</v>
      </c>
      <c r="L27" s="41" t="n">
        <f aca="false">((F27+G27-J27-K27)-(C27*Tabelas!$E$17))*(VLOOKUP((F27+G27-J27-K27)-(C27*Tabelas!$E$17),Tabelas!$B$12:$E$16,4,1))-VLOOKUP((F27+G27-J27-K27)-(C27*Tabelas!$E$17),Tabelas!$B$12:$F$16,5,1)</f>
        <v>0</v>
      </c>
      <c r="M27" s="41" t="n">
        <f aca="false">Benefícios!D27</f>
        <v>0</v>
      </c>
      <c r="N27" s="41" t="n">
        <f aca="false">Benefícios!E27*Tabelas!$D$24</f>
        <v>0</v>
      </c>
      <c r="O27" s="41" t="n">
        <f aca="false">Benefícios!F27*Tabelas!$D$25</f>
        <v>0</v>
      </c>
      <c r="P27" s="41" t="n">
        <v>0</v>
      </c>
      <c r="Q27" s="41" t="n">
        <f aca="false">Benefícios!H27</f>
        <v>0</v>
      </c>
      <c r="R27" s="42" t="n">
        <f aca="false">SUM(I27:Q27)</f>
        <v>0</v>
      </c>
      <c r="T27" s="42" t="n">
        <f aca="false">H27-R27</f>
        <v>0</v>
      </c>
    </row>
    <row r="28" customFormat="false" ht="12.8" hidden="false" customHeight="false" outlineLevel="0" collapsed="false">
      <c r="A28" s="39" t="n">
        <f aca="false">Benefícios!A28</f>
        <v>22</v>
      </c>
      <c r="B28" s="40" t="n">
        <f aca="false">Benefícios!B28</f>
        <v>0</v>
      </c>
      <c r="C28" s="40"/>
      <c r="D28" s="39"/>
      <c r="F28" s="41"/>
      <c r="G28" s="41"/>
      <c r="H28" s="42" t="n">
        <f aca="false">F28+G28</f>
        <v>0</v>
      </c>
      <c r="J28" s="43" t="n">
        <f aca="false">F28/30*D28</f>
        <v>0</v>
      </c>
      <c r="K28" s="41" t="n">
        <f aca="false">IF((F28+G28-J28)*(VLOOKUP((F28+G28-J28),Tabelas!$B$4:$E$6,4,1))&gt;Tabelas!$F$6,Tabelas!$F$6,(F28+G28-J28)*(VLOOKUP((F28+G28-J28),Tabelas!$B$4:$E$6,4,1)))</f>
        <v>0</v>
      </c>
      <c r="L28" s="41" t="n">
        <f aca="false">((F28+G28-J28-K28)-(C28*Tabelas!$E$17))*(VLOOKUP((F28+G28-J28-K28)-(C28*Tabelas!$E$17),Tabelas!$B$12:$E$16,4,1))-VLOOKUP((F28+G28-J28-K28)-(C28*Tabelas!$E$17),Tabelas!$B$12:$F$16,5,1)</f>
        <v>0</v>
      </c>
      <c r="M28" s="41" t="n">
        <f aca="false">Benefícios!D28</f>
        <v>0</v>
      </c>
      <c r="N28" s="41" t="n">
        <f aca="false">Benefícios!E28*Tabelas!$D$24</f>
        <v>0</v>
      </c>
      <c r="O28" s="41" t="n">
        <f aca="false">Benefícios!F28*Tabelas!$D$25</f>
        <v>0</v>
      </c>
      <c r="P28" s="41" t="n">
        <v>0</v>
      </c>
      <c r="Q28" s="41" t="n">
        <f aca="false">Benefícios!H28</f>
        <v>0</v>
      </c>
      <c r="R28" s="42" t="n">
        <f aca="false">SUM(I28:Q28)</f>
        <v>0</v>
      </c>
      <c r="T28" s="42" t="n">
        <f aca="false">H28-R28</f>
        <v>0</v>
      </c>
    </row>
    <row r="29" customFormat="false" ht="12.8" hidden="false" customHeight="false" outlineLevel="0" collapsed="false">
      <c r="A29" s="39" t="n">
        <f aca="false">Benefícios!A29</f>
        <v>23</v>
      </c>
      <c r="B29" s="40" t="n">
        <f aca="false">Benefícios!B29</f>
        <v>0</v>
      </c>
      <c r="C29" s="40"/>
      <c r="D29" s="39"/>
      <c r="F29" s="41"/>
      <c r="G29" s="41"/>
      <c r="H29" s="42" t="n">
        <f aca="false">F29+G29</f>
        <v>0</v>
      </c>
      <c r="J29" s="43" t="n">
        <f aca="false">F29/30*D29</f>
        <v>0</v>
      </c>
      <c r="K29" s="41" t="n">
        <f aca="false">IF((F29+G29-J29)*(VLOOKUP((F29+G29-J29),Tabelas!$B$4:$E$6,4,1))&gt;Tabelas!$F$6,Tabelas!$F$6,(F29+G29-J29)*(VLOOKUP((F29+G29-J29),Tabelas!$B$4:$E$6,4,1)))</f>
        <v>0</v>
      </c>
      <c r="L29" s="41" t="n">
        <f aca="false">((F29+G29-J29-K29)-(C29*Tabelas!$E$17))*(VLOOKUP((F29+G29-J29-K29)-(C29*Tabelas!$E$17),Tabelas!$B$12:$E$16,4,1))-VLOOKUP((F29+G29-J29-K29)-(C29*Tabelas!$E$17),Tabelas!$B$12:$F$16,5,1)</f>
        <v>0</v>
      </c>
      <c r="M29" s="41" t="n">
        <f aca="false">Benefícios!D29</f>
        <v>0</v>
      </c>
      <c r="N29" s="41" t="n">
        <f aca="false">Benefícios!E29*Tabelas!$D$24</f>
        <v>0</v>
      </c>
      <c r="O29" s="41" t="n">
        <f aca="false">Benefícios!F29*Tabelas!$D$25</f>
        <v>0</v>
      </c>
      <c r="P29" s="41" t="n">
        <v>0</v>
      </c>
      <c r="Q29" s="41" t="n">
        <f aca="false">Benefícios!H29</f>
        <v>0</v>
      </c>
      <c r="R29" s="42" t="n">
        <f aca="false">SUM(I29:Q29)</f>
        <v>0</v>
      </c>
      <c r="T29" s="42" t="n">
        <f aca="false">H29-R29</f>
        <v>0</v>
      </c>
    </row>
    <row r="30" customFormat="false" ht="12.8" hidden="false" customHeight="false" outlineLevel="0" collapsed="false">
      <c r="A30" s="39" t="n">
        <f aca="false">Benefícios!A30</f>
        <v>24</v>
      </c>
      <c r="B30" s="40" t="n">
        <f aca="false">Benefícios!B30</f>
        <v>0</v>
      </c>
      <c r="C30" s="40"/>
      <c r="D30" s="39"/>
      <c r="F30" s="41"/>
      <c r="G30" s="41"/>
      <c r="H30" s="42" t="n">
        <f aca="false">F30+G30</f>
        <v>0</v>
      </c>
      <c r="J30" s="43" t="n">
        <f aca="false">F30/30*D30</f>
        <v>0</v>
      </c>
      <c r="K30" s="41" t="n">
        <f aca="false">IF((F30+G30-J30)*(VLOOKUP((F30+G30-J30),Tabelas!$B$4:$E$6,4,1))&gt;Tabelas!$F$6,Tabelas!$F$6,(F30+G30-J30)*(VLOOKUP((F30+G30-J30),Tabelas!$B$4:$E$6,4,1)))</f>
        <v>0</v>
      </c>
      <c r="L30" s="41" t="n">
        <f aca="false">((F30+G30-J30-K30)-(C30*Tabelas!$E$17))*(VLOOKUP((F30+G30-J30-K30)-(C30*Tabelas!$E$17),Tabelas!$B$12:$E$16,4,1))-VLOOKUP((F30+G30-J30-K30)-(C30*Tabelas!$E$17),Tabelas!$B$12:$F$16,5,1)</f>
        <v>0</v>
      </c>
      <c r="M30" s="41" t="n">
        <f aca="false">Benefícios!D30</f>
        <v>0</v>
      </c>
      <c r="N30" s="41" t="n">
        <f aca="false">Benefícios!E30*Tabelas!$D$24</f>
        <v>0</v>
      </c>
      <c r="O30" s="41" t="n">
        <f aca="false">Benefícios!F30*Tabelas!$D$25</f>
        <v>0</v>
      </c>
      <c r="P30" s="41" t="n">
        <v>0</v>
      </c>
      <c r="Q30" s="41" t="n">
        <f aca="false">Benefícios!H30</f>
        <v>0</v>
      </c>
      <c r="R30" s="42" t="n">
        <f aca="false">SUM(I30:Q30)</f>
        <v>0</v>
      </c>
      <c r="T30" s="42" t="n">
        <f aca="false">H30-R30</f>
        <v>0</v>
      </c>
    </row>
    <row r="31" customFormat="false" ht="12.8" hidden="false" customHeight="false" outlineLevel="0" collapsed="false">
      <c r="A31" s="39" t="n">
        <f aca="false">Benefícios!A31</f>
        <v>25</v>
      </c>
      <c r="B31" s="40" t="n">
        <f aca="false">Benefícios!B31</f>
        <v>0</v>
      </c>
      <c r="C31" s="40"/>
      <c r="D31" s="39"/>
      <c r="F31" s="41"/>
      <c r="G31" s="41"/>
      <c r="H31" s="42" t="n">
        <f aca="false">F31+G31</f>
        <v>0</v>
      </c>
      <c r="J31" s="43" t="n">
        <f aca="false">F31/30*D31</f>
        <v>0</v>
      </c>
      <c r="K31" s="41" t="n">
        <f aca="false">IF((F31+G31-J31)*(VLOOKUP((F31+G31-J31),Tabelas!$B$4:$E$6,4,1))&gt;Tabelas!$F$6,Tabelas!$F$6,(F31+G31-J31)*(VLOOKUP((F31+G31-J31),Tabelas!$B$4:$E$6,4,1)))</f>
        <v>0</v>
      </c>
      <c r="L31" s="41" t="n">
        <f aca="false">((F31+G31-J31-K31)-(C31*Tabelas!$E$17))*(VLOOKUP((F31+G31-J31-K31)-(C31*Tabelas!$E$17),Tabelas!$B$12:$E$16,4,1))-VLOOKUP((F31+G31-J31-K31)-(C31*Tabelas!$E$17),Tabelas!$B$12:$F$16,5,1)</f>
        <v>0</v>
      </c>
      <c r="M31" s="41" t="n">
        <f aca="false">Benefícios!D31</f>
        <v>0</v>
      </c>
      <c r="N31" s="41" t="n">
        <f aca="false">Benefícios!E31*Tabelas!$D$24</f>
        <v>0</v>
      </c>
      <c r="O31" s="41" t="n">
        <f aca="false">Benefícios!F31*Tabelas!$D$25</f>
        <v>0</v>
      </c>
      <c r="P31" s="41" t="n">
        <v>0</v>
      </c>
      <c r="Q31" s="41" t="n">
        <f aca="false">Benefícios!H31</f>
        <v>0</v>
      </c>
      <c r="R31" s="42" t="n">
        <f aca="false">SUM(I31:Q31)</f>
        <v>0</v>
      </c>
      <c r="T31" s="42" t="n">
        <f aca="false">H31-R31</f>
        <v>0</v>
      </c>
    </row>
    <row r="32" customFormat="false" ht="12.8" hidden="false" customHeight="false" outlineLevel="0" collapsed="false">
      <c r="A32" s="39" t="n">
        <f aca="false">Benefícios!A32</f>
        <v>26</v>
      </c>
      <c r="B32" s="40" t="n">
        <f aca="false">Benefícios!B32</f>
        <v>0</v>
      </c>
      <c r="C32" s="40"/>
      <c r="D32" s="39"/>
      <c r="F32" s="41"/>
      <c r="G32" s="41"/>
      <c r="H32" s="42" t="n">
        <f aca="false">F32+G32</f>
        <v>0</v>
      </c>
      <c r="J32" s="43" t="n">
        <f aca="false">F32/30*D32</f>
        <v>0</v>
      </c>
      <c r="K32" s="41" t="n">
        <f aca="false">IF((F32+G32-J32)*(VLOOKUP((F32+G32-J32),Tabelas!$B$4:$E$6,4,1))&gt;Tabelas!$F$6,Tabelas!$F$6,(F32+G32-J32)*(VLOOKUP((F32+G32-J32),Tabelas!$B$4:$E$6,4,1)))</f>
        <v>0</v>
      </c>
      <c r="L32" s="41" t="n">
        <f aca="false">((F32+G32-J32-K32)-(C32*Tabelas!$E$17))*(VLOOKUP((F32+G32-J32-K32)-(C32*Tabelas!$E$17),Tabelas!$B$12:$E$16,4,1))-VLOOKUP((F32+G32-J32-K32)-(C32*Tabelas!$E$17),Tabelas!$B$12:$F$16,5,1)</f>
        <v>0</v>
      </c>
      <c r="M32" s="41" t="n">
        <f aca="false">Benefícios!D32</f>
        <v>0</v>
      </c>
      <c r="N32" s="41" t="n">
        <f aca="false">Benefícios!E32*Tabelas!$D$24</f>
        <v>0</v>
      </c>
      <c r="O32" s="41" t="n">
        <f aca="false">Benefícios!F32*Tabelas!$D$25</f>
        <v>0</v>
      </c>
      <c r="P32" s="41" t="n">
        <v>0</v>
      </c>
      <c r="Q32" s="41" t="n">
        <f aca="false">Benefícios!H32</f>
        <v>0</v>
      </c>
      <c r="R32" s="42" t="n">
        <f aca="false">SUM(I32:Q32)</f>
        <v>0</v>
      </c>
      <c r="T32" s="42" t="n">
        <f aca="false">H32-R32</f>
        <v>0</v>
      </c>
    </row>
    <row r="33" customFormat="false" ht="12.8" hidden="false" customHeight="false" outlineLevel="0" collapsed="false">
      <c r="A33" s="39" t="n">
        <f aca="false">Benefícios!A33</f>
        <v>27</v>
      </c>
      <c r="B33" s="40" t="n">
        <f aca="false">Benefícios!B33</f>
        <v>0</v>
      </c>
      <c r="C33" s="40"/>
      <c r="D33" s="39"/>
      <c r="F33" s="41"/>
      <c r="G33" s="41"/>
      <c r="H33" s="42" t="n">
        <f aca="false">F33+G33</f>
        <v>0</v>
      </c>
      <c r="J33" s="43" t="n">
        <f aca="false">F33/30*D33</f>
        <v>0</v>
      </c>
      <c r="K33" s="41" t="n">
        <f aca="false">IF((F33+G33-J33)*(VLOOKUP((F33+G33-J33),Tabelas!$B$4:$E$6,4,1))&gt;Tabelas!$F$6,Tabelas!$F$6,(F33+G33-J33)*(VLOOKUP((F33+G33-J33),Tabelas!$B$4:$E$6,4,1)))</f>
        <v>0</v>
      </c>
      <c r="L33" s="41" t="n">
        <f aca="false">((F33+G33-J33-K33)-(C33*Tabelas!$E$17))*(VLOOKUP((F33+G33-J33-K33)-(C33*Tabelas!$E$17),Tabelas!$B$12:$E$16,4,1))-VLOOKUP((F33+G33-J33-K33)-(C33*Tabelas!$E$17),Tabelas!$B$12:$F$16,5,1)</f>
        <v>0</v>
      </c>
      <c r="M33" s="41" t="n">
        <f aca="false">Benefícios!D33</f>
        <v>0</v>
      </c>
      <c r="N33" s="41" t="n">
        <f aca="false">Benefícios!E33*Tabelas!$D$24</f>
        <v>0</v>
      </c>
      <c r="O33" s="41" t="n">
        <f aca="false">Benefícios!F33*Tabelas!$D$25</f>
        <v>0</v>
      </c>
      <c r="P33" s="41" t="n">
        <v>0</v>
      </c>
      <c r="Q33" s="41" t="n">
        <f aca="false">Benefícios!H33</f>
        <v>0</v>
      </c>
      <c r="R33" s="42" t="n">
        <f aca="false">SUM(I33:Q33)</f>
        <v>0</v>
      </c>
      <c r="T33" s="42" t="n">
        <f aca="false">H33-R33</f>
        <v>0</v>
      </c>
    </row>
    <row r="34" customFormat="false" ht="12.8" hidden="false" customHeight="false" outlineLevel="0" collapsed="false">
      <c r="A34" s="39" t="n">
        <f aca="false">Benefícios!A34</f>
        <v>28</v>
      </c>
      <c r="B34" s="40" t="n">
        <f aca="false">Benefícios!B34</f>
        <v>0</v>
      </c>
      <c r="C34" s="40"/>
      <c r="D34" s="39"/>
      <c r="F34" s="41"/>
      <c r="G34" s="41"/>
      <c r="H34" s="42" t="n">
        <f aca="false">F34+G34</f>
        <v>0</v>
      </c>
      <c r="J34" s="43" t="n">
        <f aca="false">F34/30*D34</f>
        <v>0</v>
      </c>
      <c r="K34" s="41" t="n">
        <f aca="false">IF((F34+G34-J34)*(VLOOKUP((F34+G34-J34),Tabelas!$B$4:$E$6,4,1))&gt;Tabelas!$F$6,Tabelas!$F$6,(F34+G34-J34)*(VLOOKUP((F34+G34-J34),Tabelas!$B$4:$E$6,4,1)))</f>
        <v>0</v>
      </c>
      <c r="L34" s="41" t="n">
        <f aca="false">((F34+G34-J34-K34)-(C34*Tabelas!$E$17))*(VLOOKUP((F34+G34-J34-K34)-(C34*Tabelas!$E$17),Tabelas!$B$12:$E$16,4,1))-VLOOKUP((F34+G34-J34-K34)-(C34*Tabelas!$E$17),Tabelas!$B$12:$F$16,5,1)</f>
        <v>0</v>
      </c>
      <c r="M34" s="41" t="n">
        <f aca="false">Benefícios!D34</f>
        <v>0</v>
      </c>
      <c r="N34" s="41" t="n">
        <f aca="false">Benefícios!E34*Tabelas!$D$24</f>
        <v>0</v>
      </c>
      <c r="O34" s="41" t="n">
        <f aca="false">Benefícios!F34*Tabelas!$D$25</f>
        <v>0</v>
      </c>
      <c r="P34" s="41" t="n">
        <v>0</v>
      </c>
      <c r="Q34" s="41" t="n">
        <f aca="false">Benefícios!H34</f>
        <v>0</v>
      </c>
      <c r="R34" s="42" t="n">
        <f aca="false">SUM(I34:Q34)</f>
        <v>0</v>
      </c>
      <c r="T34" s="42" t="n">
        <f aca="false">H34-R34</f>
        <v>0</v>
      </c>
    </row>
    <row r="35" customFormat="false" ht="12.8" hidden="false" customHeight="false" outlineLevel="0" collapsed="false">
      <c r="A35" s="39" t="n">
        <f aca="false">Benefícios!A35</f>
        <v>29</v>
      </c>
      <c r="B35" s="40" t="n">
        <f aca="false">Benefícios!B35</f>
        <v>0</v>
      </c>
      <c r="C35" s="40"/>
      <c r="D35" s="39"/>
      <c r="F35" s="41"/>
      <c r="G35" s="41"/>
      <c r="H35" s="42" t="n">
        <f aca="false">F35+G35</f>
        <v>0</v>
      </c>
      <c r="J35" s="43" t="n">
        <f aca="false">F35/30*D35</f>
        <v>0</v>
      </c>
      <c r="K35" s="41" t="n">
        <f aca="false">IF((F35+G35-J35)*(VLOOKUP((F35+G35-J35),Tabelas!$B$4:$E$6,4,1))&gt;Tabelas!$F$6,Tabelas!$F$6,(F35+G35-J35)*(VLOOKUP((F35+G35-J35),Tabelas!$B$4:$E$6,4,1)))</f>
        <v>0</v>
      </c>
      <c r="L35" s="41" t="n">
        <f aca="false">((F35+G35-J35-K35)-(C35*Tabelas!$E$17))*(VLOOKUP((F35+G35-J35-K35)-(C35*Tabelas!$E$17),Tabelas!$B$12:$E$16,4,1))-VLOOKUP((F35+G35-J35-K35)-(C35*Tabelas!$E$17),Tabelas!$B$12:$F$16,5,1)</f>
        <v>0</v>
      </c>
      <c r="M35" s="41" t="n">
        <f aca="false">Benefícios!D35</f>
        <v>0</v>
      </c>
      <c r="N35" s="41" t="n">
        <f aca="false">Benefícios!E35*Tabelas!$D$24</f>
        <v>0</v>
      </c>
      <c r="O35" s="41" t="n">
        <f aca="false">Benefícios!F35*Tabelas!$D$25</f>
        <v>0</v>
      </c>
      <c r="P35" s="41" t="n">
        <v>0</v>
      </c>
      <c r="Q35" s="41" t="n">
        <f aca="false">Benefícios!H35</f>
        <v>0</v>
      </c>
      <c r="R35" s="42" t="n">
        <f aca="false">SUM(I35:Q35)</f>
        <v>0</v>
      </c>
      <c r="T35" s="42" t="n">
        <f aca="false">H35-R35</f>
        <v>0</v>
      </c>
    </row>
    <row r="36" customFormat="false" ht="12.8" hidden="false" customHeight="false" outlineLevel="0" collapsed="false">
      <c r="A36" s="39" t="n">
        <f aca="false">Benefícios!A36</f>
        <v>30</v>
      </c>
      <c r="B36" s="40" t="n">
        <f aca="false">Benefícios!B36</f>
        <v>0</v>
      </c>
      <c r="C36" s="40"/>
      <c r="D36" s="39"/>
      <c r="F36" s="41"/>
      <c r="G36" s="41"/>
      <c r="H36" s="42" t="n">
        <f aca="false">F36+G36</f>
        <v>0</v>
      </c>
      <c r="J36" s="43" t="n">
        <f aca="false">F36/30*D36</f>
        <v>0</v>
      </c>
      <c r="K36" s="41" t="n">
        <f aca="false">IF((F36+G36-J36)*(VLOOKUP((F36+G36-J36),Tabelas!$B$4:$E$6,4,1))&gt;Tabelas!$F$6,Tabelas!$F$6,(F36+G36-J36)*(VLOOKUP((F36+G36-J36),Tabelas!$B$4:$E$6,4,1)))</f>
        <v>0</v>
      </c>
      <c r="L36" s="41" t="n">
        <f aca="false">((F36+G36-J36-K36)-(C36*Tabelas!$E$17))*(VLOOKUP((F36+G36-J36-K36)-(C36*Tabelas!$E$17),Tabelas!$B$12:$E$16,4,1))-VLOOKUP((F36+G36-J36-K36)-(C36*Tabelas!$E$17),Tabelas!$B$12:$F$16,5,1)</f>
        <v>0</v>
      </c>
      <c r="M36" s="41" t="n">
        <f aca="false">Benefícios!D36</f>
        <v>0</v>
      </c>
      <c r="N36" s="41" t="n">
        <f aca="false">Benefícios!E36*Tabelas!$D$24</f>
        <v>0</v>
      </c>
      <c r="O36" s="41" t="n">
        <f aca="false">Benefícios!F36*Tabelas!$D$25</f>
        <v>0</v>
      </c>
      <c r="P36" s="41" t="n">
        <v>0</v>
      </c>
      <c r="Q36" s="41" t="n">
        <f aca="false">Benefícios!H36</f>
        <v>0</v>
      </c>
      <c r="R36" s="42" t="n">
        <f aca="false">SUM(I36:Q36)</f>
        <v>0</v>
      </c>
      <c r="T36" s="42" t="n">
        <f aca="false">H36-R36</f>
        <v>0</v>
      </c>
    </row>
  </sheetData>
  <mergeCells count="4">
    <mergeCell ref="A2:D2"/>
    <mergeCell ref="F2:T2"/>
    <mergeCell ref="F3:H3"/>
    <mergeCell ref="J3:R3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&amp;C&amp;A</oddHeader>
    <oddFooter>&amp;CPágina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2:3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1:N32"/>
    </sheetView>
  </sheetViews>
  <sheetFormatPr defaultRowHeight="12.8"/>
  <cols>
    <col collapsed="false" hidden="false" max="2" min="1" style="19" width="19.3571428571429"/>
    <col collapsed="false" hidden="false" max="3" min="3" style="19" width="9.62755102040816"/>
    <col collapsed="false" hidden="false" max="4" min="4" style="19" width="8.10204081632653"/>
    <col collapsed="false" hidden="false" max="5" min="5" style="21" width="1.80102040816327"/>
    <col collapsed="false" hidden="false" max="17" min="6" style="30" width="11.9438775510204"/>
    <col collapsed="false" hidden="false" max="18" min="18" style="30" width="1.80102040816327"/>
    <col collapsed="false" hidden="false" max="19" min="19" style="30" width="11.9438775510204"/>
    <col collapsed="false" hidden="false" max="956" min="20" style="21" width="11.5204081632653"/>
    <col collapsed="false" hidden="false" max="1025" min="957" style="0" width="11.5204081632653"/>
  </cols>
  <sheetData>
    <row r="2" customFormat="false" ht="17.35" hidden="false" customHeight="false" outlineLevel="0" collapsed="false">
      <c r="A2" s="25" t="s">
        <v>21</v>
      </c>
      <c r="B2" s="25"/>
      <c r="C2" s="25"/>
      <c r="D2" s="25"/>
      <c r="F2" s="44" t="s">
        <v>52</v>
      </c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</row>
    <row r="3" customFormat="false" ht="12.8" hidden="false" customHeight="false" outlineLevel="0" collapsed="false">
      <c r="C3" s="45"/>
      <c r="F3" s="46" t="s">
        <v>53</v>
      </c>
      <c r="G3" s="46" t="s">
        <v>54</v>
      </c>
      <c r="H3" s="46" t="s">
        <v>55</v>
      </c>
      <c r="I3" s="46" t="s">
        <v>55</v>
      </c>
      <c r="J3" s="46" t="s">
        <v>56</v>
      </c>
      <c r="K3" s="46" t="s">
        <v>57</v>
      </c>
      <c r="L3" s="46" t="s">
        <v>48</v>
      </c>
      <c r="M3" s="46" t="s">
        <v>58</v>
      </c>
      <c r="N3" s="46" t="s">
        <v>59</v>
      </c>
      <c r="O3" s="46" t="s">
        <v>60</v>
      </c>
      <c r="P3" s="46" t="s">
        <v>61</v>
      </c>
      <c r="Q3" s="46" t="s">
        <v>62</v>
      </c>
      <c r="R3" s="46"/>
      <c r="S3" s="47" t="s">
        <v>28</v>
      </c>
    </row>
    <row r="4" s="30" customFormat="true" ht="20.2" hidden="false" customHeight="true" outlineLevel="0" collapsed="false">
      <c r="C4" s="48"/>
      <c r="F4" s="49" t="s">
        <v>63</v>
      </c>
      <c r="G4" s="49" t="s">
        <v>64</v>
      </c>
      <c r="H4" s="49" t="s">
        <v>65</v>
      </c>
      <c r="I4" s="49" t="s">
        <v>66</v>
      </c>
      <c r="J4" s="49" t="s">
        <v>67</v>
      </c>
      <c r="K4" s="49" t="s">
        <v>68</v>
      </c>
      <c r="L4" s="49" t="s">
        <v>69</v>
      </c>
      <c r="M4" s="49"/>
      <c r="N4" s="49" t="s">
        <v>58</v>
      </c>
      <c r="O4" s="49"/>
      <c r="P4" s="49"/>
      <c r="Q4" s="49" t="s">
        <v>70</v>
      </c>
      <c r="R4" s="49"/>
      <c r="S4" s="49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r="5" s="19" customFormat="true" ht="12.8" hidden="false" customHeight="false" outlineLevel="0" collapsed="false">
      <c r="A5" s="34" t="s">
        <v>29</v>
      </c>
      <c r="B5" s="34" t="s">
        <v>30</v>
      </c>
      <c r="C5" s="50" t="s">
        <v>50</v>
      </c>
      <c r="D5" s="34" t="s">
        <v>51</v>
      </c>
      <c r="F5" s="29" t="n">
        <f aca="false">SUM(F7:F36)</f>
        <v>5400</v>
      </c>
      <c r="G5" s="29" t="n">
        <f aca="false">SUM(G7:G36)</f>
        <v>170</v>
      </c>
      <c r="H5" s="29" t="n">
        <f aca="false">SUM(H7:H36)</f>
        <v>0</v>
      </c>
      <c r="I5" s="29" t="n">
        <f aca="false">SUM(I7:I36)</f>
        <v>198</v>
      </c>
      <c r="J5" s="29" t="n">
        <f aca="false">SUM(J7:J36)</f>
        <v>26</v>
      </c>
      <c r="K5" s="29" t="n">
        <f aca="false">SUM(K7:K36)</f>
        <v>0</v>
      </c>
      <c r="L5" s="29" t="n">
        <f aca="false">SUM(L7:L36)</f>
        <v>0</v>
      </c>
      <c r="M5" s="29" t="n">
        <f aca="false">SUM(M7:M36)</f>
        <v>445.6</v>
      </c>
      <c r="N5" s="29" t="n">
        <f aca="false">SUM(N7:N36)</f>
        <v>222.8</v>
      </c>
      <c r="O5" s="29" t="n">
        <f aca="false">SUM(O7:O36)</f>
        <v>450</v>
      </c>
      <c r="P5" s="29" t="n">
        <f aca="false">SUM(P7:P36)</f>
        <v>600</v>
      </c>
      <c r="Q5" s="29" t="n">
        <f aca="false">SUM(Q7:Q36)</f>
        <v>84</v>
      </c>
      <c r="R5" s="29"/>
      <c r="S5" s="29" t="n">
        <f aca="false">SUM(S7:S36)</f>
        <v>7596.4</v>
      </c>
      <c r="AJT5" s="21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r="6" customFormat="false" ht="12.8" hidden="false" customHeight="false" outlineLevel="0" collapsed="false">
      <c r="C6" s="45"/>
    </row>
    <row r="7" customFormat="false" ht="12.8" hidden="false" customHeight="false" outlineLevel="0" collapsed="false">
      <c r="A7" s="39" t="str">
        <f aca="false">'Resumo folha pagamento'!A7</f>
        <v>Kléber Prado</v>
      </c>
      <c r="B7" s="39" t="str">
        <f aca="false">Benefícios!B7</f>
        <v>Vendedor interno</v>
      </c>
      <c r="C7" s="40" t="n">
        <f aca="false">'Resumo folha pagamento'!C7</f>
        <v>0</v>
      </c>
      <c r="D7" s="39" t="n">
        <f aca="false">'Resumo folha pagamento'!D7</f>
        <v>0</v>
      </c>
      <c r="F7" s="51" t="n">
        <f aca="false">'Resumo folha pagamento'!F7</f>
        <v>1200</v>
      </c>
      <c r="G7" s="51" t="n">
        <f aca="false">'Resumo folha pagamento'!G7</f>
        <v>10</v>
      </c>
      <c r="H7" s="51" t="n">
        <f aca="false">Benefícios!D7-'Resumo folha pagamento'!M7</f>
        <v>0</v>
      </c>
      <c r="I7" s="51" t="n">
        <f aca="false">Benefícios!E7-'Resumo folha pagamento'!N7</f>
        <v>0</v>
      </c>
      <c r="J7" s="51" t="n">
        <f aca="false">Benefícios!F7-'Resumo folha pagamento'!O7</f>
        <v>0</v>
      </c>
      <c r="K7" s="51" t="n">
        <f aca="false">Benefícios!G7</f>
        <v>0</v>
      </c>
      <c r="L7" s="51" t="n">
        <f aca="false">Benefícios!H7</f>
        <v>0</v>
      </c>
      <c r="M7" s="51" t="n">
        <f aca="false">(F7+G7)*0.08</f>
        <v>96.8</v>
      </c>
      <c r="N7" s="51" t="n">
        <f aca="false">M7*0.5</f>
        <v>48.4</v>
      </c>
      <c r="O7" s="51" t="n">
        <f aca="false">F7/12</f>
        <v>100</v>
      </c>
      <c r="P7" s="51" t="n">
        <f aca="false">(F7+(F7/3))/12</f>
        <v>133.333333333333</v>
      </c>
      <c r="Q7" s="51" t="n">
        <f aca="false">(O7+P7)*0.08</f>
        <v>18.6666666666667</v>
      </c>
      <c r="R7" s="52"/>
      <c r="S7" s="51" t="n">
        <f aca="false">SUM(F7:Q7)</f>
        <v>1607.2</v>
      </c>
    </row>
    <row r="8" customFormat="false" ht="12.8" hidden="false" customHeight="false" outlineLevel="0" collapsed="false">
      <c r="A8" s="39" t="str">
        <f aca="false">'Resumo folha pagamento'!A8</f>
        <v>Tiago Oliveira</v>
      </c>
      <c r="B8" s="40" t="str">
        <f aca="false">Benefícios!B8</f>
        <v>Vendedor interno</v>
      </c>
      <c r="C8" s="40" t="n">
        <f aca="false">'Resumo folha pagamento'!C8</f>
        <v>1</v>
      </c>
      <c r="D8" s="39" t="n">
        <f aca="false">'Resumo folha pagamento'!D8</f>
        <v>0</v>
      </c>
      <c r="F8" s="51" t="n">
        <f aca="false">'Resumo folha pagamento'!F8</f>
        <v>1200</v>
      </c>
      <c r="G8" s="51" t="n">
        <f aca="false">'Resumo folha pagamento'!G8</f>
        <v>60</v>
      </c>
      <c r="H8" s="51" t="n">
        <f aca="false">Benefícios!D8-'Resumo folha pagamento'!M8</f>
        <v>0</v>
      </c>
      <c r="I8" s="51" t="n">
        <f aca="false">Benefícios!E8-'Resumo folha pagamento'!N8</f>
        <v>0</v>
      </c>
      <c r="J8" s="51" t="n">
        <f aca="false">Benefícios!F8-'Resumo folha pagamento'!O8</f>
        <v>0</v>
      </c>
      <c r="K8" s="51" t="n">
        <f aca="false">Benefícios!G8</f>
        <v>0</v>
      </c>
      <c r="L8" s="51" t="n">
        <f aca="false">Benefícios!H8</f>
        <v>0</v>
      </c>
      <c r="M8" s="51" t="n">
        <f aca="false">(F8+G8)*0.08</f>
        <v>100.8</v>
      </c>
      <c r="N8" s="51" t="n">
        <f aca="false">M8*0.5</f>
        <v>50.4</v>
      </c>
      <c r="O8" s="51" t="n">
        <f aca="false">F8/12</f>
        <v>100</v>
      </c>
      <c r="P8" s="51" t="n">
        <f aca="false">(F8+(F8/3))/12</f>
        <v>133.333333333333</v>
      </c>
      <c r="Q8" s="51" t="n">
        <f aca="false">(O8+P8)*0.08</f>
        <v>18.6666666666667</v>
      </c>
      <c r="R8" s="52"/>
      <c r="S8" s="51" t="n">
        <f aca="false">SUM(F8:Q8)</f>
        <v>1663.2</v>
      </c>
    </row>
    <row r="9" customFormat="false" ht="12.8" hidden="false" customHeight="false" outlineLevel="0" collapsed="false">
      <c r="A9" s="39" t="str">
        <f aca="false">'Resumo folha pagamento'!A9</f>
        <v>Wanclave Pereira</v>
      </c>
      <c r="B9" s="40" t="str">
        <f aca="false">Benefícios!B9</f>
        <v>Gerente</v>
      </c>
      <c r="C9" s="40" t="n">
        <f aca="false">'Resumo folha pagamento'!C9</f>
        <v>0</v>
      </c>
      <c r="D9" s="39" t="n">
        <f aca="false">'Resumo folha pagamento'!D9</f>
        <v>0</v>
      </c>
      <c r="F9" s="51" t="n">
        <f aca="false">'Resumo folha pagamento'!F9</f>
        <v>3000</v>
      </c>
      <c r="G9" s="51" t="n">
        <f aca="false">'Resumo folha pagamento'!G9</f>
        <v>100</v>
      </c>
      <c r="H9" s="51" t="n">
        <f aca="false">Benefícios!D9-'Resumo folha pagamento'!M9</f>
        <v>0</v>
      </c>
      <c r="I9" s="51" t="n">
        <f aca="false">Benefícios!E9-'Resumo folha pagamento'!N9</f>
        <v>198</v>
      </c>
      <c r="J9" s="51" t="n">
        <f aca="false">Benefícios!F9-'Resumo folha pagamento'!O9</f>
        <v>26</v>
      </c>
      <c r="K9" s="51" t="n">
        <f aca="false">Benefícios!G9</f>
        <v>0</v>
      </c>
      <c r="L9" s="51" t="n">
        <f aca="false">Benefícios!H9</f>
        <v>0</v>
      </c>
      <c r="M9" s="51" t="n">
        <f aca="false">(F9+G9)*0.08</f>
        <v>248</v>
      </c>
      <c r="N9" s="51" t="n">
        <f aca="false">M9*0.5</f>
        <v>124</v>
      </c>
      <c r="O9" s="51" t="n">
        <f aca="false">F9/12</f>
        <v>250</v>
      </c>
      <c r="P9" s="51" t="n">
        <f aca="false">(F9+(F9/3))/12</f>
        <v>333.333333333333</v>
      </c>
      <c r="Q9" s="51" t="n">
        <f aca="false">(O9+P9)*0.08</f>
        <v>46.6666666666667</v>
      </c>
      <c r="R9" s="52"/>
      <c r="S9" s="51" t="n">
        <f aca="false">SUM(F9:Q9)</f>
        <v>4326</v>
      </c>
    </row>
    <row r="10" customFormat="false" ht="12.8" hidden="false" customHeight="false" outlineLevel="0" collapsed="false">
      <c r="A10" s="39" t="n">
        <f aca="false">'Resumo folha pagamento'!A10</f>
        <v>4</v>
      </c>
      <c r="B10" s="40" t="n">
        <f aca="false">Benefícios!B10</f>
        <v>0</v>
      </c>
      <c r="C10" s="40" t="n">
        <f aca="false">'Resumo folha pagamento'!C10</f>
        <v>0</v>
      </c>
      <c r="D10" s="39" t="n">
        <f aca="false">'Resumo folha pagamento'!D10</f>
        <v>0</v>
      </c>
      <c r="F10" s="51" t="n">
        <f aca="false">'Resumo folha pagamento'!F10</f>
        <v>0</v>
      </c>
      <c r="G10" s="51" t="n">
        <f aca="false">'Resumo folha pagamento'!G10</f>
        <v>0</v>
      </c>
      <c r="H10" s="51" t="n">
        <f aca="false">Benefícios!D10-'Resumo folha pagamento'!M10</f>
        <v>0</v>
      </c>
      <c r="I10" s="51" t="n">
        <f aca="false">Benefícios!E10-'Resumo folha pagamento'!N10</f>
        <v>0</v>
      </c>
      <c r="J10" s="51" t="n">
        <f aca="false">Benefícios!F10-'Resumo folha pagamento'!O10</f>
        <v>0</v>
      </c>
      <c r="K10" s="51" t="n">
        <f aca="false">Benefícios!G10</f>
        <v>0</v>
      </c>
      <c r="L10" s="51" t="n">
        <f aca="false">Benefícios!H10</f>
        <v>0</v>
      </c>
      <c r="M10" s="51" t="n">
        <f aca="false">(F10+G10)*0.08</f>
        <v>0</v>
      </c>
      <c r="N10" s="51" t="n">
        <f aca="false">M10*0.5</f>
        <v>0</v>
      </c>
      <c r="O10" s="51" t="n">
        <f aca="false">F10/12</f>
        <v>0</v>
      </c>
      <c r="P10" s="51" t="n">
        <f aca="false">(F10+(F10/3))/12</f>
        <v>0</v>
      </c>
      <c r="Q10" s="51" t="n">
        <f aca="false">(O10+P10)*0.08</f>
        <v>0</v>
      </c>
      <c r="R10" s="52"/>
      <c r="S10" s="51" t="n">
        <f aca="false">SUM(F10:Q10)</f>
        <v>0</v>
      </c>
    </row>
    <row r="11" customFormat="false" ht="12.8" hidden="false" customHeight="false" outlineLevel="0" collapsed="false">
      <c r="A11" s="39" t="n">
        <f aca="false">'Resumo folha pagamento'!A11</f>
        <v>5</v>
      </c>
      <c r="B11" s="40" t="n">
        <f aca="false">Benefícios!B11</f>
        <v>0</v>
      </c>
      <c r="C11" s="40" t="n">
        <f aca="false">'Resumo folha pagamento'!C11</f>
        <v>0</v>
      </c>
      <c r="D11" s="39" t="n">
        <f aca="false">'Resumo folha pagamento'!D11</f>
        <v>0</v>
      </c>
      <c r="F11" s="51" t="n">
        <f aca="false">'Resumo folha pagamento'!F11</f>
        <v>0</v>
      </c>
      <c r="G11" s="51" t="n">
        <f aca="false">'Resumo folha pagamento'!G11</f>
        <v>0</v>
      </c>
      <c r="H11" s="51" t="n">
        <f aca="false">Benefícios!D11-'Resumo folha pagamento'!M11</f>
        <v>0</v>
      </c>
      <c r="I11" s="51" t="n">
        <f aca="false">Benefícios!E11-'Resumo folha pagamento'!N11</f>
        <v>0</v>
      </c>
      <c r="J11" s="51" t="n">
        <f aca="false">Benefícios!F11-'Resumo folha pagamento'!O11</f>
        <v>0</v>
      </c>
      <c r="K11" s="51" t="n">
        <f aca="false">Benefícios!G11</f>
        <v>0</v>
      </c>
      <c r="L11" s="51" t="n">
        <f aca="false">Benefícios!H11</f>
        <v>0</v>
      </c>
      <c r="M11" s="51" t="n">
        <f aca="false">(F11+G11)*0.08</f>
        <v>0</v>
      </c>
      <c r="N11" s="51" t="n">
        <f aca="false">M11*0.5</f>
        <v>0</v>
      </c>
      <c r="O11" s="51" t="n">
        <f aca="false">F11/12</f>
        <v>0</v>
      </c>
      <c r="P11" s="51" t="n">
        <f aca="false">(F11+(F11/3))/12</f>
        <v>0</v>
      </c>
      <c r="Q11" s="51" t="n">
        <f aca="false">(O11+P11)*0.08</f>
        <v>0</v>
      </c>
      <c r="R11" s="52"/>
      <c r="S11" s="51" t="n">
        <f aca="false">SUM(F11:Q11)</f>
        <v>0</v>
      </c>
    </row>
    <row r="12" customFormat="false" ht="12.8" hidden="false" customHeight="false" outlineLevel="0" collapsed="false">
      <c r="A12" s="39" t="n">
        <f aca="false">'Resumo folha pagamento'!A12</f>
        <v>6</v>
      </c>
      <c r="B12" s="40" t="n">
        <f aca="false">Benefícios!B12</f>
        <v>0</v>
      </c>
      <c r="C12" s="40" t="n">
        <f aca="false">'Resumo folha pagamento'!C12</f>
        <v>0</v>
      </c>
      <c r="D12" s="39" t="n">
        <f aca="false">'Resumo folha pagamento'!D12</f>
        <v>0</v>
      </c>
      <c r="F12" s="51" t="n">
        <f aca="false">'Resumo folha pagamento'!F12</f>
        <v>0</v>
      </c>
      <c r="G12" s="51" t="n">
        <f aca="false">'Resumo folha pagamento'!G12</f>
        <v>0</v>
      </c>
      <c r="H12" s="51" t="n">
        <f aca="false">Benefícios!D12-'Resumo folha pagamento'!M12</f>
        <v>0</v>
      </c>
      <c r="I12" s="51" t="n">
        <f aca="false">Benefícios!E12-'Resumo folha pagamento'!N12</f>
        <v>0</v>
      </c>
      <c r="J12" s="51" t="n">
        <f aca="false">Benefícios!F12-'Resumo folha pagamento'!O12</f>
        <v>0</v>
      </c>
      <c r="K12" s="51" t="n">
        <f aca="false">Benefícios!G12</f>
        <v>0</v>
      </c>
      <c r="L12" s="51" t="n">
        <f aca="false">Benefícios!H12</f>
        <v>0</v>
      </c>
      <c r="M12" s="51" t="n">
        <f aca="false">(F12+G12)*0.08</f>
        <v>0</v>
      </c>
      <c r="N12" s="51" t="n">
        <f aca="false">M12*0.5</f>
        <v>0</v>
      </c>
      <c r="O12" s="51" t="n">
        <f aca="false">F12/12</f>
        <v>0</v>
      </c>
      <c r="P12" s="51" t="n">
        <f aca="false">(F12+(F12/3))/12</f>
        <v>0</v>
      </c>
      <c r="Q12" s="51" t="n">
        <f aca="false">(O12+P12)*0.08</f>
        <v>0</v>
      </c>
      <c r="R12" s="52"/>
      <c r="S12" s="51" t="n">
        <f aca="false">SUM(F12:Q12)</f>
        <v>0</v>
      </c>
    </row>
    <row r="13" customFormat="false" ht="12.8" hidden="false" customHeight="false" outlineLevel="0" collapsed="false">
      <c r="A13" s="39" t="n">
        <f aca="false">'Resumo folha pagamento'!A13</f>
        <v>7</v>
      </c>
      <c r="B13" s="40" t="n">
        <f aca="false">Benefícios!B13</f>
        <v>0</v>
      </c>
      <c r="C13" s="40" t="n">
        <f aca="false">'Resumo folha pagamento'!C13</f>
        <v>0</v>
      </c>
      <c r="D13" s="39" t="n">
        <f aca="false">'Resumo folha pagamento'!D13</f>
        <v>0</v>
      </c>
      <c r="F13" s="51" t="n">
        <f aca="false">'Resumo folha pagamento'!F13</f>
        <v>0</v>
      </c>
      <c r="G13" s="51" t="n">
        <f aca="false">'Resumo folha pagamento'!G13</f>
        <v>0</v>
      </c>
      <c r="H13" s="51" t="n">
        <f aca="false">Benefícios!D13-'Resumo folha pagamento'!M13</f>
        <v>0</v>
      </c>
      <c r="I13" s="51" t="n">
        <f aca="false">Benefícios!E13-'Resumo folha pagamento'!N13</f>
        <v>0</v>
      </c>
      <c r="J13" s="51" t="n">
        <f aca="false">Benefícios!F13-'Resumo folha pagamento'!O13</f>
        <v>0</v>
      </c>
      <c r="K13" s="51" t="n">
        <f aca="false">Benefícios!G13</f>
        <v>0</v>
      </c>
      <c r="L13" s="51" t="n">
        <f aca="false">Benefícios!H13</f>
        <v>0</v>
      </c>
      <c r="M13" s="51" t="n">
        <f aca="false">(F13+G13)*0.08</f>
        <v>0</v>
      </c>
      <c r="N13" s="51" t="n">
        <f aca="false">M13*0.5</f>
        <v>0</v>
      </c>
      <c r="O13" s="51" t="n">
        <f aca="false">F13/12</f>
        <v>0</v>
      </c>
      <c r="P13" s="51" t="n">
        <f aca="false">(F13+(F13/3))/12</f>
        <v>0</v>
      </c>
      <c r="Q13" s="51" t="n">
        <f aca="false">(O13+P13)*0.08</f>
        <v>0</v>
      </c>
      <c r="R13" s="52"/>
      <c r="S13" s="51" t="n">
        <f aca="false">SUM(F13:Q13)</f>
        <v>0</v>
      </c>
    </row>
    <row r="14" customFormat="false" ht="12.8" hidden="false" customHeight="false" outlineLevel="0" collapsed="false">
      <c r="A14" s="39" t="n">
        <f aca="false">'Resumo folha pagamento'!A14</f>
        <v>8</v>
      </c>
      <c r="B14" s="40" t="n">
        <f aca="false">Benefícios!B14</f>
        <v>0</v>
      </c>
      <c r="C14" s="40" t="n">
        <f aca="false">'Resumo folha pagamento'!C14</f>
        <v>0</v>
      </c>
      <c r="D14" s="39" t="n">
        <f aca="false">'Resumo folha pagamento'!D14</f>
        <v>0</v>
      </c>
      <c r="F14" s="51" t="n">
        <f aca="false">'Resumo folha pagamento'!F14</f>
        <v>0</v>
      </c>
      <c r="G14" s="51" t="n">
        <f aca="false">'Resumo folha pagamento'!G14</f>
        <v>0</v>
      </c>
      <c r="H14" s="51" t="n">
        <f aca="false">Benefícios!D14-'Resumo folha pagamento'!M14</f>
        <v>0</v>
      </c>
      <c r="I14" s="51" t="n">
        <f aca="false">Benefícios!E14-'Resumo folha pagamento'!N14</f>
        <v>0</v>
      </c>
      <c r="J14" s="51" t="n">
        <f aca="false">Benefícios!F14-'Resumo folha pagamento'!O14</f>
        <v>0</v>
      </c>
      <c r="K14" s="51" t="n">
        <f aca="false">Benefícios!G14</f>
        <v>0</v>
      </c>
      <c r="L14" s="51" t="n">
        <f aca="false">Benefícios!H14</f>
        <v>0</v>
      </c>
      <c r="M14" s="51" t="n">
        <f aca="false">(F14+G14)*0.08</f>
        <v>0</v>
      </c>
      <c r="N14" s="51" t="n">
        <f aca="false">M14*0.5</f>
        <v>0</v>
      </c>
      <c r="O14" s="51" t="n">
        <f aca="false">F14/12</f>
        <v>0</v>
      </c>
      <c r="P14" s="51" t="n">
        <f aca="false">(F14+(F14/3))/12</f>
        <v>0</v>
      </c>
      <c r="Q14" s="51" t="n">
        <f aca="false">(O14+P14)*0.08</f>
        <v>0</v>
      </c>
      <c r="R14" s="52"/>
      <c r="S14" s="51" t="n">
        <f aca="false">SUM(F14:Q14)</f>
        <v>0</v>
      </c>
    </row>
    <row r="15" customFormat="false" ht="12.8" hidden="false" customHeight="false" outlineLevel="0" collapsed="false">
      <c r="A15" s="39" t="n">
        <f aca="false">'Resumo folha pagamento'!A15</f>
        <v>9</v>
      </c>
      <c r="B15" s="40" t="n">
        <f aca="false">Benefícios!B15</f>
        <v>0</v>
      </c>
      <c r="C15" s="40" t="n">
        <f aca="false">'Resumo folha pagamento'!C15</f>
        <v>0</v>
      </c>
      <c r="D15" s="39" t="n">
        <f aca="false">'Resumo folha pagamento'!D15</f>
        <v>0</v>
      </c>
      <c r="F15" s="51" t="n">
        <f aca="false">'Resumo folha pagamento'!F15</f>
        <v>0</v>
      </c>
      <c r="G15" s="51" t="n">
        <f aca="false">'Resumo folha pagamento'!G15</f>
        <v>0</v>
      </c>
      <c r="H15" s="51" t="n">
        <f aca="false">Benefícios!D15-'Resumo folha pagamento'!M15</f>
        <v>0</v>
      </c>
      <c r="I15" s="51" t="n">
        <f aca="false">Benefícios!E15-'Resumo folha pagamento'!N15</f>
        <v>0</v>
      </c>
      <c r="J15" s="51" t="n">
        <f aca="false">Benefícios!F15-'Resumo folha pagamento'!O15</f>
        <v>0</v>
      </c>
      <c r="K15" s="51" t="n">
        <f aca="false">Benefícios!G15</f>
        <v>0</v>
      </c>
      <c r="L15" s="51" t="n">
        <f aca="false">Benefícios!H15</f>
        <v>0</v>
      </c>
      <c r="M15" s="51" t="n">
        <f aca="false">(F15+G15)*0.08</f>
        <v>0</v>
      </c>
      <c r="N15" s="51" t="n">
        <f aca="false">M15*0.5</f>
        <v>0</v>
      </c>
      <c r="O15" s="51" t="n">
        <f aca="false">F15/12</f>
        <v>0</v>
      </c>
      <c r="P15" s="51" t="n">
        <f aca="false">(F15+(F15/3))/12</f>
        <v>0</v>
      </c>
      <c r="Q15" s="51" t="n">
        <f aca="false">(O15+P15)*0.08</f>
        <v>0</v>
      </c>
      <c r="R15" s="52"/>
      <c r="S15" s="51" t="n">
        <f aca="false">SUM(F15:Q15)</f>
        <v>0</v>
      </c>
    </row>
    <row r="16" customFormat="false" ht="12.8" hidden="false" customHeight="false" outlineLevel="0" collapsed="false">
      <c r="A16" s="39" t="n">
        <f aca="false">'Resumo folha pagamento'!A16</f>
        <v>10</v>
      </c>
      <c r="B16" s="40" t="n">
        <f aca="false">Benefícios!B16</f>
        <v>0</v>
      </c>
      <c r="C16" s="40" t="n">
        <f aca="false">'Resumo folha pagamento'!C16</f>
        <v>0</v>
      </c>
      <c r="D16" s="39" t="n">
        <f aca="false">'Resumo folha pagamento'!D16</f>
        <v>0</v>
      </c>
      <c r="F16" s="51" t="n">
        <f aca="false">'Resumo folha pagamento'!F16</f>
        <v>0</v>
      </c>
      <c r="G16" s="51" t="n">
        <f aca="false">'Resumo folha pagamento'!G16</f>
        <v>0</v>
      </c>
      <c r="H16" s="51" t="n">
        <f aca="false">Benefícios!D16-'Resumo folha pagamento'!M16</f>
        <v>0</v>
      </c>
      <c r="I16" s="51" t="n">
        <f aca="false">Benefícios!E16-'Resumo folha pagamento'!N16</f>
        <v>0</v>
      </c>
      <c r="J16" s="51" t="n">
        <f aca="false">Benefícios!F16-'Resumo folha pagamento'!O16</f>
        <v>0</v>
      </c>
      <c r="K16" s="51" t="n">
        <f aca="false">Benefícios!G16</f>
        <v>0</v>
      </c>
      <c r="L16" s="51" t="n">
        <f aca="false">Benefícios!H16</f>
        <v>0</v>
      </c>
      <c r="M16" s="51" t="n">
        <f aca="false">(F16+G16)*0.08</f>
        <v>0</v>
      </c>
      <c r="N16" s="51" t="n">
        <f aca="false">M16*0.5</f>
        <v>0</v>
      </c>
      <c r="O16" s="51" t="n">
        <f aca="false">F16/12</f>
        <v>0</v>
      </c>
      <c r="P16" s="51" t="n">
        <f aca="false">(F16+(F16/3))/12</f>
        <v>0</v>
      </c>
      <c r="Q16" s="51" t="n">
        <f aca="false">(O16+P16)*0.08</f>
        <v>0</v>
      </c>
      <c r="R16" s="52"/>
      <c r="S16" s="51" t="n">
        <f aca="false">SUM(F16:Q16)</f>
        <v>0</v>
      </c>
    </row>
    <row r="17" customFormat="false" ht="12.8" hidden="false" customHeight="false" outlineLevel="0" collapsed="false">
      <c r="A17" s="39" t="n">
        <f aca="false">'Resumo folha pagamento'!A17</f>
        <v>11</v>
      </c>
      <c r="B17" s="40" t="n">
        <f aca="false">Benefícios!B17</f>
        <v>0</v>
      </c>
      <c r="C17" s="40" t="n">
        <f aca="false">'Resumo folha pagamento'!C17</f>
        <v>0</v>
      </c>
      <c r="D17" s="39" t="n">
        <f aca="false">'Resumo folha pagamento'!D17</f>
        <v>0</v>
      </c>
      <c r="F17" s="51" t="n">
        <f aca="false">'Resumo folha pagamento'!F17</f>
        <v>0</v>
      </c>
      <c r="G17" s="51" t="n">
        <f aca="false">'Resumo folha pagamento'!G17</f>
        <v>0</v>
      </c>
      <c r="H17" s="51" t="n">
        <f aca="false">Benefícios!D17-'Resumo folha pagamento'!M17</f>
        <v>0</v>
      </c>
      <c r="I17" s="51" t="n">
        <f aca="false">Benefícios!E17-'Resumo folha pagamento'!N17</f>
        <v>0</v>
      </c>
      <c r="J17" s="51" t="n">
        <f aca="false">Benefícios!F17-'Resumo folha pagamento'!O17</f>
        <v>0</v>
      </c>
      <c r="K17" s="51" t="n">
        <f aca="false">Benefícios!G17</f>
        <v>0</v>
      </c>
      <c r="L17" s="51" t="n">
        <f aca="false">Benefícios!H17</f>
        <v>0</v>
      </c>
      <c r="M17" s="51" t="n">
        <f aca="false">(F17+G17)*0.08</f>
        <v>0</v>
      </c>
      <c r="N17" s="51" t="n">
        <f aca="false">M17*0.5</f>
        <v>0</v>
      </c>
      <c r="O17" s="51" t="n">
        <f aca="false">F17/12</f>
        <v>0</v>
      </c>
      <c r="P17" s="51" t="n">
        <f aca="false">(F17+(F17/3))/12</f>
        <v>0</v>
      </c>
      <c r="Q17" s="51" t="n">
        <f aca="false">(O17+P17)*0.08</f>
        <v>0</v>
      </c>
      <c r="R17" s="52"/>
      <c r="S17" s="51" t="n">
        <f aca="false">SUM(F17:Q17)</f>
        <v>0</v>
      </c>
    </row>
    <row r="18" customFormat="false" ht="12.8" hidden="false" customHeight="false" outlineLevel="0" collapsed="false">
      <c r="A18" s="39" t="n">
        <f aca="false">'Resumo folha pagamento'!A18</f>
        <v>12</v>
      </c>
      <c r="B18" s="40" t="n">
        <f aca="false">Benefícios!B18</f>
        <v>0</v>
      </c>
      <c r="C18" s="40" t="n">
        <f aca="false">'Resumo folha pagamento'!C18</f>
        <v>0</v>
      </c>
      <c r="D18" s="39" t="n">
        <f aca="false">'Resumo folha pagamento'!D18</f>
        <v>0</v>
      </c>
      <c r="F18" s="51" t="n">
        <f aca="false">'Resumo folha pagamento'!F18</f>
        <v>0</v>
      </c>
      <c r="G18" s="51" t="n">
        <f aca="false">'Resumo folha pagamento'!G18</f>
        <v>0</v>
      </c>
      <c r="H18" s="51" t="n">
        <f aca="false">Benefícios!D18-'Resumo folha pagamento'!M18</f>
        <v>0</v>
      </c>
      <c r="I18" s="51" t="n">
        <f aca="false">Benefícios!E18-'Resumo folha pagamento'!N18</f>
        <v>0</v>
      </c>
      <c r="J18" s="51" t="n">
        <f aca="false">Benefícios!F18-'Resumo folha pagamento'!O18</f>
        <v>0</v>
      </c>
      <c r="K18" s="51" t="n">
        <f aca="false">Benefícios!G18</f>
        <v>0</v>
      </c>
      <c r="L18" s="51" t="n">
        <f aca="false">Benefícios!H18</f>
        <v>0</v>
      </c>
      <c r="M18" s="51" t="n">
        <f aca="false">(F18+G18)*0.08</f>
        <v>0</v>
      </c>
      <c r="N18" s="51" t="n">
        <f aca="false">M18*0.5</f>
        <v>0</v>
      </c>
      <c r="O18" s="51" t="n">
        <f aca="false">F18/12</f>
        <v>0</v>
      </c>
      <c r="P18" s="51" t="n">
        <f aca="false">(F18+(F18/3))/12</f>
        <v>0</v>
      </c>
      <c r="Q18" s="51" t="n">
        <f aca="false">(O18+P18)*0.08</f>
        <v>0</v>
      </c>
      <c r="R18" s="52"/>
      <c r="S18" s="51" t="n">
        <f aca="false">SUM(F18:Q18)</f>
        <v>0</v>
      </c>
    </row>
    <row r="19" customFormat="false" ht="12.8" hidden="false" customHeight="false" outlineLevel="0" collapsed="false">
      <c r="A19" s="39" t="n">
        <f aca="false">'Resumo folha pagamento'!A19</f>
        <v>13</v>
      </c>
      <c r="B19" s="40" t="n">
        <f aca="false">Benefícios!B19</f>
        <v>0</v>
      </c>
      <c r="C19" s="40" t="n">
        <f aca="false">'Resumo folha pagamento'!C19</f>
        <v>0</v>
      </c>
      <c r="D19" s="39" t="n">
        <f aca="false">'Resumo folha pagamento'!D19</f>
        <v>0</v>
      </c>
      <c r="F19" s="51" t="n">
        <f aca="false">'Resumo folha pagamento'!F19</f>
        <v>0</v>
      </c>
      <c r="G19" s="51" t="n">
        <f aca="false">'Resumo folha pagamento'!G19</f>
        <v>0</v>
      </c>
      <c r="H19" s="51" t="n">
        <f aca="false">Benefícios!D19-'Resumo folha pagamento'!M19</f>
        <v>0</v>
      </c>
      <c r="I19" s="51" t="n">
        <f aca="false">Benefícios!E19-'Resumo folha pagamento'!N19</f>
        <v>0</v>
      </c>
      <c r="J19" s="51" t="n">
        <f aca="false">Benefícios!F19-'Resumo folha pagamento'!O19</f>
        <v>0</v>
      </c>
      <c r="K19" s="51" t="n">
        <f aca="false">Benefícios!G19</f>
        <v>0</v>
      </c>
      <c r="L19" s="51" t="n">
        <f aca="false">Benefícios!H19</f>
        <v>0</v>
      </c>
      <c r="M19" s="51" t="n">
        <f aca="false">(F19+G19)*0.08</f>
        <v>0</v>
      </c>
      <c r="N19" s="51" t="n">
        <f aca="false">M19*0.5</f>
        <v>0</v>
      </c>
      <c r="O19" s="51" t="n">
        <f aca="false">F19/12</f>
        <v>0</v>
      </c>
      <c r="P19" s="51" t="n">
        <f aca="false">(F19+(F19/3))/12</f>
        <v>0</v>
      </c>
      <c r="Q19" s="51" t="n">
        <f aca="false">(O19+P19)*0.08</f>
        <v>0</v>
      </c>
      <c r="R19" s="52"/>
      <c r="S19" s="51" t="n">
        <f aca="false">SUM(F19:Q19)</f>
        <v>0</v>
      </c>
    </row>
    <row r="20" customFormat="false" ht="12.8" hidden="false" customHeight="false" outlineLevel="0" collapsed="false">
      <c r="A20" s="39" t="n">
        <f aca="false">'Resumo folha pagamento'!A20</f>
        <v>14</v>
      </c>
      <c r="B20" s="40" t="n">
        <f aca="false">Benefícios!B20</f>
        <v>0</v>
      </c>
      <c r="C20" s="40" t="n">
        <f aca="false">'Resumo folha pagamento'!C20</f>
        <v>0</v>
      </c>
      <c r="D20" s="39" t="n">
        <f aca="false">'Resumo folha pagamento'!D20</f>
        <v>0</v>
      </c>
      <c r="F20" s="51" t="n">
        <f aca="false">'Resumo folha pagamento'!F20</f>
        <v>0</v>
      </c>
      <c r="G20" s="51" t="n">
        <f aca="false">'Resumo folha pagamento'!G20</f>
        <v>0</v>
      </c>
      <c r="H20" s="51" t="n">
        <f aca="false">Benefícios!D20-'Resumo folha pagamento'!M20</f>
        <v>0</v>
      </c>
      <c r="I20" s="51" t="n">
        <f aca="false">Benefícios!E20-'Resumo folha pagamento'!N20</f>
        <v>0</v>
      </c>
      <c r="J20" s="51" t="n">
        <f aca="false">Benefícios!F20-'Resumo folha pagamento'!O20</f>
        <v>0</v>
      </c>
      <c r="K20" s="51" t="n">
        <f aca="false">Benefícios!G20</f>
        <v>0</v>
      </c>
      <c r="L20" s="51" t="n">
        <f aca="false">Benefícios!H20</f>
        <v>0</v>
      </c>
      <c r="M20" s="51" t="n">
        <f aca="false">(F20+G20)*0.08</f>
        <v>0</v>
      </c>
      <c r="N20" s="51" t="n">
        <f aca="false">M20*0.5</f>
        <v>0</v>
      </c>
      <c r="O20" s="51" t="n">
        <f aca="false">F20/12</f>
        <v>0</v>
      </c>
      <c r="P20" s="51" t="n">
        <f aca="false">(F20+(F20/3))/12</f>
        <v>0</v>
      </c>
      <c r="Q20" s="51" t="n">
        <f aca="false">(O20+P20)*0.08</f>
        <v>0</v>
      </c>
      <c r="R20" s="52"/>
      <c r="S20" s="51" t="n">
        <f aca="false">SUM(F20:Q20)</f>
        <v>0</v>
      </c>
    </row>
    <row r="21" customFormat="false" ht="12.8" hidden="false" customHeight="false" outlineLevel="0" collapsed="false">
      <c r="A21" s="39" t="n">
        <f aca="false">'Resumo folha pagamento'!A21</f>
        <v>15</v>
      </c>
      <c r="B21" s="40" t="n">
        <f aca="false">Benefícios!B21</f>
        <v>0</v>
      </c>
      <c r="C21" s="40" t="n">
        <f aca="false">'Resumo folha pagamento'!C21</f>
        <v>0</v>
      </c>
      <c r="D21" s="39" t="n">
        <f aca="false">'Resumo folha pagamento'!D21</f>
        <v>0</v>
      </c>
      <c r="F21" s="51" t="n">
        <f aca="false">'Resumo folha pagamento'!F21</f>
        <v>0</v>
      </c>
      <c r="G21" s="51" t="n">
        <f aca="false">'Resumo folha pagamento'!G21</f>
        <v>0</v>
      </c>
      <c r="H21" s="51" t="n">
        <f aca="false">Benefícios!D21-'Resumo folha pagamento'!M21</f>
        <v>0</v>
      </c>
      <c r="I21" s="51" t="n">
        <f aca="false">Benefícios!E21-'Resumo folha pagamento'!N21</f>
        <v>0</v>
      </c>
      <c r="J21" s="51" t="n">
        <f aca="false">Benefícios!F21-'Resumo folha pagamento'!O21</f>
        <v>0</v>
      </c>
      <c r="K21" s="51" t="n">
        <f aca="false">Benefícios!G21</f>
        <v>0</v>
      </c>
      <c r="L21" s="51" t="n">
        <f aca="false">Benefícios!H21</f>
        <v>0</v>
      </c>
      <c r="M21" s="51" t="n">
        <f aca="false">(F21+G21)*0.08</f>
        <v>0</v>
      </c>
      <c r="N21" s="51" t="n">
        <f aca="false">M21*0.5</f>
        <v>0</v>
      </c>
      <c r="O21" s="51" t="n">
        <f aca="false">F21/12</f>
        <v>0</v>
      </c>
      <c r="P21" s="51" t="n">
        <f aca="false">(F21+(F21/3))/12</f>
        <v>0</v>
      </c>
      <c r="Q21" s="51" t="n">
        <f aca="false">(O21+P21)*0.08</f>
        <v>0</v>
      </c>
      <c r="R21" s="52"/>
      <c r="S21" s="51" t="n">
        <f aca="false">SUM(F21:Q21)</f>
        <v>0</v>
      </c>
    </row>
    <row r="22" customFormat="false" ht="12.8" hidden="false" customHeight="false" outlineLevel="0" collapsed="false">
      <c r="A22" s="39" t="n">
        <f aca="false">'Resumo folha pagamento'!A22</f>
        <v>16</v>
      </c>
      <c r="B22" s="40" t="n">
        <f aca="false">Benefícios!B22</f>
        <v>0</v>
      </c>
      <c r="C22" s="40" t="n">
        <f aca="false">'Resumo folha pagamento'!C22</f>
        <v>0</v>
      </c>
      <c r="D22" s="39" t="n">
        <f aca="false">'Resumo folha pagamento'!D22</f>
        <v>0</v>
      </c>
      <c r="F22" s="51" t="n">
        <f aca="false">'Resumo folha pagamento'!F22</f>
        <v>0</v>
      </c>
      <c r="G22" s="51" t="n">
        <f aca="false">'Resumo folha pagamento'!G22</f>
        <v>0</v>
      </c>
      <c r="H22" s="51" t="n">
        <f aca="false">Benefícios!D22-'Resumo folha pagamento'!M22</f>
        <v>0</v>
      </c>
      <c r="I22" s="51" t="n">
        <f aca="false">Benefícios!E22-'Resumo folha pagamento'!N22</f>
        <v>0</v>
      </c>
      <c r="J22" s="51" t="n">
        <f aca="false">Benefícios!F22-'Resumo folha pagamento'!O22</f>
        <v>0</v>
      </c>
      <c r="K22" s="51" t="n">
        <f aca="false">Benefícios!G22</f>
        <v>0</v>
      </c>
      <c r="L22" s="51" t="n">
        <f aca="false">Benefícios!H22</f>
        <v>0</v>
      </c>
      <c r="M22" s="51" t="n">
        <f aca="false">(F22+G22)*0.08</f>
        <v>0</v>
      </c>
      <c r="N22" s="51" t="n">
        <f aca="false">M22*0.5</f>
        <v>0</v>
      </c>
      <c r="O22" s="51" t="n">
        <f aca="false">F22/12</f>
        <v>0</v>
      </c>
      <c r="P22" s="51" t="n">
        <f aca="false">(F22+(F22/3))/12</f>
        <v>0</v>
      </c>
      <c r="Q22" s="51" t="n">
        <f aca="false">(O22+P22)*0.08</f>
        <v>0</v>
      </c>
      <c r="R22" s="52"/>
      <c r="S22" s="51" t="n">
        <f aca="false">SUM(F22:Q22)</f>
        <v>0</v>
      </c>
    </row>
    <row r="23" customFormat="false" ht="12.8" hidden="false" customHeight="false" outlineLevel="0" collapsed="false">
      <c r="A23" s="39" t="n">
        <f aca="false">'Resumo folha pagamento'!A23</f>
        <v>17</v>
      </c>
      <c r="B23" s="40" t="n">
        <f aca="false">Benefícios!B23</f>
        <v>0</v>
      </c>
      <c r="C23" s="40" t="n">
        <f aca="false">'Resumo folha pagamento'!C23</f>
        <v>0</v>
      </c>
      <c r="D23" s="39" t="n">
        <f aca="false">'Resumo folha pagamento'!D23</f>
        <v>0</v>
      </c>
      <c r="F23" s="51" t="n">
        <f aca="false">'Resumo folha pagamento'!F23</f>
        <v>0</v>
      </c>
      <c r="G23" s="51" t="n">
        <f aca="false">'Resumo folha pagamento'!G23</f>
        <v>0</v>
      </c>
      <c r="H23" s="51" t="n">
        <f aca="false">Benefícios!D23-'Resumo folha pagamento'!M23</f>
        <v>0</v>
      </c>
      <c r="I23" s="51" t="n">
        <f aca="false">Benefícios!E23-'Resumo folha pagamento'!N23</f>
        <v>0</v>
      </c>
      <c r="J23" s="51" t="n">
        <f aca="false">Benefícios!F23-'Resumo folha pagamento'!O23</f>
        <v>0</v>
      </c>
      <c r="K23" s="51" t="n">
        <f aca="false">Benefícios!G23</f>
        <v>0</v>
      </c>
      <c r="L23" s="51" t="n">
        <f aca="false">Benefícios!H23</f>
        <v>0</v>
      </c>
      <c r="M23" s="51" t="n">
        <f aca="false">(F23+G23)*0.08</f>
        <v>0</v>
      </c>
      <c r="N23" s="51" t="n">
        <f aca="false">M23*0.5</f>
        <v>0</v>
      </c>
      <c r="O23" s="51" t="n">
        <f aca="false">F23/12</f>
        <v>0</v>
      </c>
      <c r="P23" s="51" t="n">
        <f aca="false">(F23+(F23/3))/12</f>
        <v>0</v>
      </c>
      <c r="Q23" s="51" t="n">
        <f aca="false">(O23+P23)*0.08</f>
        <v>0</v>
      </c>
      <c r="R23" s="52"/>
      <c r="S23" s="51" t="n">
        <f aca="false">SUM(F23:Q23)</f>
        <v>0</v>
      </c>
    </row>
    <row r="24" customFormat="false" ht="12.8" hidden="false" customHeight="false" outlineLevel="0" collapsed="false">
      <c r="A24" s="39" t="n">
        <f aca="false">'Resumo folha pagamento'!A24</f>
        <v>18</v>
      </c>
      <c r="B24" s="40" t="n">
        <f aca="false">Benefícios!B24</f>
        <v>0</v>
      </c>
      <c r="C24" s="40" t="n">
        <f aca="false">'Resumo folha pagamento'!C24</f>
        <v>0</v>
      </c>
      <c r="D24" s="39" t="n">
        <f aca="false">'Resumo folha pagamento'!D24</f>
        <v>0</v>
      </c>
      <c r="F24" s="51" t="n">
        <f aca="false">'Resumo folha pagamento'!F24</f>
        <v>0</v>
      </c>
      <c r="G24" s="51" t="n">
        <f aca="false">'Resumo folha pagamento'!G24</f>
        <v>0</v>
      </c>
      <c r="H24" s="51" t="n">
        <f aca="false">Benefícios!D24-'Resumo folha pagamento'!M24</f>
        <v>0</v>
      </c>
      <c r="I24" s="51" t="n">
        <f aca="false">Benefícios!E24-'Resumo folha pagamento'!N24</f>
        <v>0</v>
      </c>
      <c r="J24" s="51" t="n">
        <f aca="false">Benefícios!F24-'Resumo folha pagamento'!O24</f>
        <v>0</v>
      </c>
      <c r="K24" s="51" t="n">
        <f aca="false">Benefícios!G24</f>
        <v>0</v>
      </c>
      <c r="L24" s="51" t="n">
        <f aca="false">Benefícios!H24</f>
        <v>0</v>
      </c>
      <c r="M24" s="51" t="n">
        <f aca="false">(F24+G24)*0.08</f>
        <v>0</v>
      </c>
      <c r="N24" s="51" t="n">
        <f aca="false">M24*0.5</f>
        <v>0</v>
      </c>
      <c r="O24" s="51" t="n">
        <f aca="false">F24/12</f>
        <v>0</v>
      </c>
      <c r="P24" s="51" t="n">
        <f aca="false">(F24+(F24/3))/12</f>
        <v>0</v>
      </c>
      <c r="Q24" s="51" t="n">
        <f aca="false">(O24+P24)*0.08</f>
        <v>0</v>
      </c>
      <c r="R24" s="52"/>
      <c r="S24" s="51" t="n">
        <f aca="false">SUM(F24:Q24)</f>
        <v>0</v>
      </c>
    </row>
    <row r="25" customFormat="false" ht="12.8" hidden="false" customHeight="false" outlineLevel="0" collapsed="false">
      <c r="A25" s="39" t="n">
        <f aca="false">'Resumo folha pagamento'!A25</f>
        <v>19</v>
      </c>
      <c r="B25" s="40" t="n">
        <f aca="false">Benefícios!B25</f>
        <v>0</v>
      </c>
      <c r="C25" s="40" t="n">
        <f aca="false">'Resumo folha pagamento'!C25</f>
        <v>0</v>
      </c>
      <c r="D25" s="39" t="n">
        <f aca="false">'Resumo folha pagamento'!D25</f>
        <v>0</v>
      </c>
      <c r="F25" s="51" t="n">
        <f aca="false">'Resumo folha pagamento'!F25</f>
        <v>0</v>
      </c>
      <c r="G25" s="51" t="n">
        <f aca="false">'Resumo folha pagamento'!G25</f>
        <v>0</v>
      </c>
      <c r="H25" s="51" t="n">
        <f aca="false">Benefícios!D25-'Resumo folha pagamento'!M25</f>
        <v>0</v>
      </c>
      <c r="I25" s="51" t="n">
        <f aca="false">Benefícios!E25-'Resumo folha pagamento'!N25</f>
        <v>0</v>
      </c>
      <c r="J25" s="51" t="n">
        <f aca="false">Benefícios!F25-'Resumo folha pagamento'!O25</f>
        <v>0</v>
      </c>
      <c r="K25" s="51" t="n">
        <f aca="false">Benefícios!G25</f>
        <v>0</v>
      </c>
      <c r="L25" s="51" t="n">
        <f aca="false">Benefícios!H25</f>
        <v>0</v>
      </c>
      <c r="M25" s="51" t="n">
        <f aca="false">(F25+G25)*0.08</f>
        <v>0</v>
      </c>
      <c r="N25" s="51" t="n">
        <f aca="false">M25*0.5</f>
        <v>0</v>
      </c>
      <c r="O25" s="51" t="n">
        <f aca="false">F25/12</f>
        <v>0</v>
      </c>
      <c r="P25" s="51" t="n">
        <f aca="false">(F25+(F25/3))/12</f>
        <v>0</v>
      </c>
      <c r="Q25" s="51" t="n">
        <f aca="false">(O25+P25)*0.08</f>
        <v>0</v>
      </c>
      <c r="R25" s="52"/>
      <c r="S25" s="51" t="n">
        <f aca="false">SUM(F25:Q25)</f>
        <v>0</v>
      </c>
    </row>
    <row r="26" customFormat="false" ht="12.8" hidden="false" customHeight="false" outlineLevel="0" collapsed="false">
      <c r="A26" s="39" t="n">
        <f aca="false">'Resumo folha pagamento'!A26</f>
        <v>20</v>
      </c>
      <c r="B26" s="40" t="n">
        <f aca="false">Benefícios!B26</f>
        <v>0</v>
      </c>
      <c r="C26" s="40" t="n">
        <f aca="false">'Resumo folha pagamento'!C26</f>
        <v>0</v>
      </c>
      <c r="D26" s="39" t="n">
        <f aca="false">'Resumo folha pagamento'!D26</f>
        <v>0</v>
      </c>
      <c r="F26" s="51" t="n">
        <f aca="false">'Resumo folha pagamento'!F26</f>
        <v>0</v>
      </c>
      <c r="G26" s="51" t="n">
        <f aca="false">'Resumo folha pagamento'!G26</f>
        <v>0</v>
      </c>
      <c r="H26" s="51" t="n">
        <f aca="false">Benefícios!D26-'Resumo folha pagamento'!M26</f>
        <v>0</v>
      </c>
      <c r="I26" s="51" t="n">
        <f aca="false">Benefícios!E26-'Resumo folha pagamento'!N26</f>
        <v>0</v>
      </c>
      <c r="J26" s="51" t="n">
        <f aca="false">Benefícios!F26-'Resumo folha pagamento'!O26</f>
        <v>0</v>
      </c>
      <c r="K26" s="51" t="n">
        <f aca="false">Benefícios!G26</f>
        <v>0</v>
      </c>
      <c r="L26" s="51" t="n">
        <f aca="false">Benefícios!H26</f>
        <v>0</v>
      </c>
      <c r="M26" s="51" t="n">
        <f aca="false">(F26+G26)*0.08</f>
        <v>0</v>
      </c>
      <c r="N26" s="51" t="n">
        <f aca="false">M26*0.5</f>
        <v>0</v>
      </c>
      <c r="O26" s="51" t="n">
        <f aca="false">F26/12</f>
        <v>0</v>
      </c>
      <c r="P26" s="51" t="n">
        <f aca="false">(F26+(F26/3))/12</f>
        <v>0</v>
      </c>
      <c r="Q26" s="51" t="n">
        <f aca="false">(O26+P26)*0.08</f>
        <v>0</v>
      </c>
      <c r="R26" s="52"/>
      <c r="S26" s="51" t="n">
        <f aca="false">SUM(F26:Q26)</f>
        <v>0</v>
      </c>
    </row>
    <row r="27" customFormat="false" ht="12.8" hidden="false" customHeight="false" outlineLevel="0" collapsed="false">
      <c r="A27" s="39" t="n">
        <f aca="false">'Resumo folha pagamento'!A27</f>
        <v>21</v>
      </c>
      <c r="B27" s="40" t="n">
        <f aca="false">Benefícios!B27</f>
        <v>0</v>
      </c>
      <c r="C27" s="40" t="n">
        <f aca="false">'Resumo folha pagamento'!C27</f>
        <v>0</v>
      </c>
      <c r="D27" s="39" t="n">
        <f aca="false">'Resumo folha pagamento'!D27</f>
        <v>0</v>
      </c>
      <c r="F27" s="51" t="n">
        <f aca="false">'Resumo folha pagamento'!F27</f>
        <v>0</v>
      </c>
      <c r="G27" s="51" t="n">
        <f aca="false">'Resumo folha pagamento'!G27</f>
        <v>0</v>
      </c>
      <c r="H27" s="51" t="n">
        <f aca="false">Benefícios!D27-'Resumo folha pagamento'!M27</f>
        <v>0</v>
      </c>
      <c r="I27" s="51" t="n">
        <f aca="false">Benefícios!E27-'Resumo folha pagamento'!N27</f>
        <v>0</v>
      </c>
      <c r="J27" s="51" t="n">
        <f aca="false">Benefícios!F27-'Resumo folha pagamento'!O27</f>
        <v>0</v>
      </c>
      <c r="K27" s="51" t="n">
        <f aca="false">Benefícios!G27</f>
        <v>0</v>
      </c>
      <c r="L27" s="51" t="n">
        <f aca="false">Benefícios!H27</f>
        <v>0</v>
      </c>
      <c r="M27" s="51" t="n">
        <f aca="false">(F27+G27)*0.08</f>
        <v>0</v>
      </c>
      <c r="N27" s="51" t="n">
        <f aca="false">M27*0.5</f>
        <v>0</v>
      </c>
      <c r="O27" s="51" t="n">
        <f aca="false">F27/12</f>
        <v>0</v>
      </c>
      <c r="P27" s="51" t="n">
        <f aca="false">(F27+(F27/3))/12</f>
        <v>0</v>
      </c>
      <c r="Q27" s="51" t="n">
        <f aca="false">(O27+P27)*0.08</f>
        <v>0</v>
      </c>
      <c r="R27" s="52"/>
      <c r="S27" s="51" t="n">
        <f aca="false">SUM(F27:Q27)</f>
        <v>0</v>
      </c>
    </row>
    <row r="28" customFormat="false" ht="12.8" hidden="false" customHeight="false" outlineLevel="0" collapsed="false">
      <c r="A28" s="39" t="n">
        <f aca="false">'Resumo folha pagamento'!A28</f>
        <v>22</v>
      </c>
      <c r="B28" s="40" t="n">
        <f aca="false">Benefícios!B28</f>
        <v>0</v>
      </c>
      <c r="C28" s="40" t="n">
        <f aca="false">'Resumo folha pagamento'!C28</f>
        <v>0</v>
      </c>
      <c r="D28" s="39" t="n">
        <f aca="false">'Resumo folha pagamento'!D28</f>
        <v>0</v>
      </c>
      <c r="F28" s="51" t="n">
        <f aca="false">'Resumo folha pagamento'!F28</f>
        <v>0</v>
      </c>
      <c r="G28" s="51" t="n">
        <f aca="false">'Resumo folha pagamento'!G28</f>
        <v>0</v>
      </c>
      <c r="H28" s="51" t="n">
        <f aca="false">Benefícios!D28-'Resumo folha pagamento'!M28</f>
        <v>0</v>
      </c>
      <c r="I28" s="51" t="n">
        <f aca="false">Benefícios!E28-'Resumo folha pagamento'!N28</f>
        <v>0</v>
      </c>
      <c r="J28" s="51" t="n">
        <f aca="false">Benefícios!F28-'Resumo folha pagamento'!O28</f>
        <v>0</v>
      </c>
      <c r="K28" s="51" t="n">
        <f aca="false">Benefícios!G28</f>
        <v>0</v>
      </c>
      <c r="L28" s="51" t="n">
        <f aca="false">Benefícios!H28</f>
        <v>0</v>
      </c>
      <c r="M28" s="51" t="n">
        <f aca="false">(F28+G28)*0.08</f>
        <v>0</v>
      </c>
      <c r="N28" s="51" t="n">
        <f aca="false">M28*0.5</f>
        <v>0</v>
      </c>
      <c r="O28" s="51" t="n">
        <f aca="false">F28/12</f>
        <v>0</v>
      </c>
      <c r="P28" s="51" t="n">
        <f aca="false">(F28+(F28/3))/12</f>
        <v>0</v>
      </c>
      <c r="Q28" s="51" t="n">
        <f aca="false">(O28+P28)*0.08</f>
        <v>0</v>
      </c>
      <c r="R28" s="52"/>
      <c r="S28" s="51" t="n">
        <f aca="false">SUM(F28:Q28)</f>
        <v>0</v>
      </c>
    </row>
    <row r="29" customFormat="false" ht="12.8" hidden="false" customHeight="false" outlineLevel="0" collapsed="false">
      <c r="A29" s="39" t="n">
        <f aca="false">'Resumo folha pagamento'!A29</f>
        <v>23</v>
      </c>
      <c r="B29" s="40" t="n">
        <f aca="false">Benefícios!B29</f>
        <v>0</v>
      </c>
      <c r="C29" s="40" t="n">
        <f aca="false">'Resumo folha pagamento'!C29</f>
        <v>0</v>
      </c>
      <c r="D29" s="39" t="n">
        <f aca="false">'Resumo folha pagamento'!D29</f>
        <v>0</v>
      </c>
      <c r="F29" s="51" t="n">
        <f aca="false">'Resumo folha pagamento'!F29</f>
        <v>0</v>
      </c>
      <c r="G29" s="51" t="n">
        <f aca="false">'Resumo folha pagamento'!G29</f>
        <v>0</v>
      </c>
      <c r="H29" s="51" t="n">
        <f aca="false">Benefícios!D29-'Resumo folha pagamento'!M29</f>
        <v>0</v>
      </c>
      <c r="I29" s="51" t="n">
        <f aca="false">Benefícios!E29-'Resumo folha pagamento'!N29</f>
        <v>0</v>
      </c>
      <c r="J29" s="51" t="n">
        <f aca="false">Benefícios!F29-'Resumo folha pagamento'!O29</f>
        <v>0</v>
      </c>
      <c r="K29" s="51" t="n">
        <f aca="false">Benefícios!G29</f>
        <v>0</v>
      </c>
      <c r="L29" s="51" t="n">
        <f aca="false">Benefícios!H29</f>
        <v>0</v>
      </c>
      <c r="M29" s="51" t="n">
        <f aca="false">(F29+G29)*0.08</f>
        <v>0</v>
      </c>
      <c r="N29" s="51" t="n">
        <f aca="false">M29*0.5</f>
        <v>0</v>
      </c>
      <c r="O29" s="51" t="n">
        <f aca="false">F29/12</f>
        <v>0</v>
      </c>
      <c r="P29" s="51" t="n">
        <f aca="false">(F29+(F29/3))/12</f>
        <v>0</v>
      </c>
      <c r="Q29" s="51" t="n">
        <f aca="false">(O29+P29)*0.08</f>
        <v>0</v>
      </c>
      <c r="R29" s="52"/>
      <c r="S29" s="51" t="n">
        <f aca="false">SUM(F29:Q29)</f>
        <v>0</v>
      </c>
    </row>
    <row r="30" customFormat="false" ht="12.8" hidden="false" customHeight="false" outlineLevel="0" collapsed="false">
      <c r="A30" s="39" t="n">
        <f aca="false">'Resumo folha pagamento'!A30</f>
        <v>24</v>
      </c>
      <c r="B30" s="40" t="n">
        <f aca="false">Benefícios!B30</f>
        <v>0</v>
      </c>
      <c r="C30" s="40" t="n">
        <f aca="false">'Resumo folha pagamento'!C30</f>
        <v>0</v>
      </c>
      <c r="D30" s="39" t="n">
        <f aca="false">'Resumo folha pagamento'!D30</f>
        <v>0</v>
      </c>
      <c r="F30" s="51" t="n">
        <f aca="false">'Resumo folha pagamento'!F30</f>
        <v>0</v>
      </c>
      <c r="G30" s="51" t="n">
        <f aca="false">'Resumo folha pagamento'!G30</f>
        <v>0</v>
      </c>
      <c r="H30" s="51" t="n">
        <f aca="false">Benefícios!D30-'Resumo folha pagamento'!M30</f>
        <v>0</v>
      </c>
      <c r="I30" s="51" t="n">
        <f aca="false">Benefícios!E30-'Resumo folha pagamento'!N30</f>
        <v>0</v>
      </c>
      <c r="J30" s="51" t="n">
        <f aca="false">Benefícios!F30-'Resumo folha pagamento'!O30</f>
        <v>0</v>
      </c>
      <c r="K30" s="51" t="n">
        <f aca="false">Benefícios!G30</f>
        <v>0</v>
      </c>
      <c r="L30" s="51" t="n">
        <f aca="false">Benefícios!H30</f>
        <v>0</v>
      </c>
      <c r="M30" s="51" t="n">
        <f aca="false">(F30+G30)*0.08</f>
        <v>0</v>
      </c>
      <c r="N30" s="51" t="n">
        <f aca="false">M30*0.5</f>
        <v>0</v>
      </c>
      <c r="O30" s="51" t="n">
        <f aca="false">F30/12</f>
        <v>0</v>
      </c>
      <c r="P30" s="51" t="n">
        <f aca="false">(F30+(F30/3))/12</f>
        <v>0</v>
      </c>
      <c r="Q30" s="51" t="n">
        <f aca="false">(O30+P30)*0.08</f>
        <v>0</v>
      </c>
      <c r="R30" s="52"/>
      <c r="S30" s="51" t="n">
        <f aca="false">SUM(F30:Q30)</f>
        <v>0</v>
      </c>
    </row>
    <row r="31" customFormat="false" ht="12.8" hidden="false" customHeight="false" outlineLevel="0" collapsed="false">
      <c r="A31" s="39" t="n">
        <f aca="false">'Resumo folha pagamento'!A31</f>
        <v>25</v>
      </c>
      <c r="B31" s="40" t="n">
        <f aca="false">Benefícios!B31</f>
        <v>0</v>
      </c>
      <c r="C31" s="40" t="n">
        <f aca="false">'Resumo folha pagamento'!C31</f>
        <v>0</v>
      </c>
      <c r="D31" s="39" t="n">
        <f aca="false">'Resumo folha pagamento'!D31</f>
        <v>0</v>
      </c>
      <c r="F31" s="51" t="n">
        <f aca="false">'Resumo folha pagamento'!F31</f>
        <v>0</v>
      </c>
      <c r="G31" s="51" t="n">
        <f aca="false">'Resumo folha pagamento'!G31</f>
        <v>0</v>
      </c>
      <c r="H31" s="51" t="n">
        <f aca="false">Benefícios!D31-'Resumo folha pagamento'!M31</f>
        <v>0</v>
      </c>
      <c r="I31" s="51" t="n">
        <f aca="false">Benefícios!E31-'Resumo folha pagamento'!N31</f>
        <v>0</v>
      </c>
      <c r="J31" s="51" t="n">
        <f aca="false">Benefícios!F31-'Resumo folha pagamento'!O31</f>
        <v>0</v>
      </c>
      <c r="K31" s="51" t="n">
        <f aca="false">Benefícios!G31</f>
        <v>0</v>
      </c>
      <c r="L31" s="51" t="n">
        <f aca="false">Benefícios!H31</f>
        <v>0</v>
      </c>
      <c r="M31" s="51" t="n">
        <f aca="false">(F31+G31)*0.08</f>
        <v>0</v>
      </c>
      <c r="N31" s="51" t="n">
        <f aca="false">M31*0.5</f>
        <v>0</v>
      </c>
      <c r="O31" s="51" t="n">
        <f aca="false">F31/12</f>
        <v>0</v>
      </c>
      <c r="P31" s="51" t="n">
        <f aca="false">(F31+(F31/3))/12</f>
        <v>0</v>
      </c>
      <c r="Q31" s="51" t="n">
        <f aca="false">(O31+P31)*0.08</f>
        <v>0</v>
      </c>
      <c r="R31" s="52"/>
      <c r="S31" s="51" t="n">
        <f aca="false">SUM(F31:Q31)</f>
        <v>0</v>
      </c>
    </row>
    <row r="32" customFormat="false" ht="12.8" hidden="false" customHeight="false" outlineLevel="0" collapsed="false">
      <c r="A32" s="39" t="n">
        <f aca="false">'Resumo folha pagamento'!A32</f>
        <v>26</v>
      </c>
      <c r="B32" s="40" t="n">
        <f aca="false">Benefícios!B32</f>
        <v>0</v>
      </c>
      <c r="C32" s="40" t="n">
        <f aca="false">'Resumo folha pagamento'!C32</f>
        <v>0</v>
      </c>
      <c r="D32" s="39" t="n">
        <f aca="false">'Resumo folha pagamento'!D32</f>
        <v>0</v>
      </c>
      <c r="F32" s="51" t="n">
        <f aca="false">'Resumo folha pagamento'!F32</f>
        <v>0</v>
      </c>
      <c r="G32" s="51" t="n">
        <f aca="false">'Resumo folha pagamento'!G32</f>
        <v>0</v>
      </c>
      <c r="H32" s="51" t="n">
        <f aca="false">Benefícios!D32-'Resumo folha pagamento'!M32</f>
        <v>0</v>
      </c>
      <c r="I32" s="51" t="n">
        <f aca="false">Benefícios!E32-'Resumo folha pagamento'!N32</f>
        <v>0</v>
      </c>
      <c r="J32" s="51" t="n">
        <f aca="false">Benefícios!F32-'Resumo folha pagamento'!O32</f>
        <v>0</v>
      </c>
      <c r="K32" s="51" t="n">
        <f aca="false">Benefícios!G32</f>
        <v>0</v>
      </c>
      <c r="L32" s="51" t="n">
        <f aca="false">Benefícios!H32</f>
        <v>0</v>
      </c>
      <c r="M32" s="51" t="n">
        <f aca="false">(F32+G32)*0.08</f>
        <v>0</v>
      </c>
      <c r="N32" s="51" t="n">
        <f aca="false">M32*0.5</f>
        <v>0</v>
      </c>
      <c r="O32" s="51" t="n">
        <f aca="false">F32/12</f>
        <v>0</v>
      </c>
      <c r="P32" s="51" t="n">
        <f aca="false">(F32+(F32/3))/12</f>
        <v>0</v>
      </c>
      <c r="Q32" s="51" t="n">
        <f aca="false">(O32+P32)*0.08</f>
        <v>0</v>
      </c>
      <c r="R32" s="52"/>
      <c r="S32" s="51" t="n">
        <f aca="false">SUM(F32:Q32)</f>
        <v>0</v>
      </c>
    </row>
    <row r="33" customFormat="false" ht="12.8" hidden="false" customHeight="false" outlineLevel="0" collapsed="false">
      <c r="A33" s="39" t="n">
        <f aca="false">'Resumo folha pagamento'!A33</f>
        <v>27</v>
      </c>
      <c r="B33" s="40" t="n">
        <f aca="false">Benefícios!B33</f>
        <v>0</v>
      </c>
      <c r="C33" s="40" t="n">
        <f aca="false">'Resumo folha pagamento'!C33</f>
        <v>0</v>
      </c>
      <c r="D33" s="39" t="n">
        <f aca="false">'Resumo folha pagamento'!D33</f>
        <v>0</v>
      </c>
      <c r="F33" s="51" t="n">
        <f aca="false">'Resumo folha pagamento'!F33</f>
        <v>0</v>
      </c>
      <c r="G33" s="51" t="n">
        <f aca="false">'Resumo folha pagamento'!G33</f>
        <v>0</v>
      </c>
      <c r="H33" s="51" t="n">
        <f aca="false">Benefícios!D33-'Resumo folha pagamento'!M33</f>
        <v>0</v>
      </c>
      <c r="I33" s="51" t="n">
        <f aca="false">Benefícios!E33-'Resumo folha pagamento'!N33</f>
        <v>0</v>
      </c>
      <c r="J33" s="51" t="n">
        <f aca="false">Benefícios!F33-'Resumo folha pagamento'!O33</f>
        <v>0</v>
      </c>
      <c r="K33" s="51" t="n">
        <f aca="false">Benefícios!G33</f>
        <v>0</v>
      </c>
      <c r="L33" s="51" t="n">
        <f aca="false">Benefícios!H33</f>
        <v>0</v>
      </c>
      <c r="M33" s="51" t="n">
        <f aca="false">(F33+G33)*0.08</f>
        <v>0</v>
      </c>
      <c r="N33" s="51" t="n">
        <f aca="false">M33*0.5</f>
        <v>0</v>
      </c>
      <c r="O33" s="51" t="n">
        <f aca="false">F33/12</f>
        <v>0</v>
      </c>
      <c r="P33" s="51" t="n">
        <f aca="false">(F33+(F33/3))/12</f>
        <v>0</v>
      </c>
      <c r="Q33" s="51" t="n">
        <f aca="false">(O33+P33)*0.08</f>
        <v>0</v>
      </c>
      <c r="R33" s="52"/>
      <c r="S33" s="51" t="n">
        <f aca="false">SUM(F33:Q33)</f>
        <v>0</v>
      </c>
    </row>
    <row r="34" customFormat="false" ht="12.8" hidden="false" customHeight="false" outlineLevel="0" collapsed="false">
      <c r="A34" s="39" t="n">
        <f aca="false">'Resumo folha pagamento'!A34</f>
        <v>28</v>
      </c>
      <c r="B34" s="40" t="n">
        <f aca="false">Benefícios!B34</f>
        <v>0</v>
      </c>
      <c r="C34" s="40" t="n">
        <f aca="false">'Resumo folha pagamento'!C34</f>
        <v>0</v>
      </c>
      <c r="D34" s="39" t="n">
        <f aca="false">'Resumo folha pagamento'!D34</f>
        <v>0</v>
      </c>
      <c r="F34" s="51" t="n">
        <f aca="false">'Resumo folha pagamento'!F34</f>
        <v>0</v>
      </c>
      <c r="G34" s="51" t="n">
        <f aca="false">'Resumo folha pagamento'!G34</f>
        <v>0</v>
      </c>
      <c r="H34" s="51" t="n">
        <f aca="false">Benefícios!D34-'Resumo folha pagamento'!M34</f>
        <v>0</v>
      </c>
      <c r="I34" s="51" t="n">
        <f aca="false">Benefícios!E34-'Resumo folha pagamento'!N34</f>
        <v>0</v>
      </c>
      <c r="J34" s="51" t="n">
        <f aca="false">Benefícios!F34-'Resumo folha pagamento'!O34</f>
        <v>0</v>
      </c>
      <c r="K34" s="51" t="n">
        <f aca="false">Benefícios!G34</f>
        <v>0</v>
      </c>
      <c r="L34" s="51" t="n">
        <f aca="false">Benefícios!H34</f>
        <v>0</v>
      </c>
      <c r="M34" s="51" t="n">
        <f aca="false">(F34+G34)*0.08</f>
        <v>0</v>
      </c>
      <c r="N34" s="51" t="n">
        <f aca="false">M34*0.5</f>
        <v>0</v>
      </c>
      <c r="O34" s="51" t="n">
        <f aca="false">F34/12</f>
        <v>0</v>
      </c>
      <c r="P34" s="51" t="n">
        <f aca="false">(F34+(F34/3))/12</f>
        <v>0</v>
      </c>
      <c r="Q34" s="51" t="n">
        <f aca="false">(O34+P34)*0.08</f>
        <v>0</v>
      </c>
      <c r="R34" s="52"/>
      <c r="S34" s="51" t="n">
        <f aca="false">SUM(F34:Q34)</f>
        <v>0</v>
      </c>
    </row>
    <row r="35" customFormat="false" ht="12.8" hidden="false" customHeight="false" outlineLevel="0" collapsed="false">
      <c r="A35" s="39" t="n">
        <f aca="false">'Resumo folha pagamento'!A35</f>
        <v>29</v>
      </c>
      <c r="B35" s="40" t="n">
        <f aca="false">Benefícios!B35</f>
        <v>0</v>
      </c>
      <c r="C35" s="40" t="n">
        <f aca="false">'Resumo folha pagamento'!C35</f>
        <v>0</v>
      </c>
      <c r="D35" s="39" t="n">
        <f aca="false">'Resumo folha pagamento'!D35</f>
        <v>0</v>
      </c>
      <c r="F35" s="51" t="n">
        <f aca="false">'Resumo folha pagamento'!F35</f>
        <v>0</v>
      </c>
      <c r="G35" s="51" t="n">
        <f aca="false">'Resumo folha pagamento'!G35</f>
        <v>0</v>
      </c>
      <c r="H35" s="51" t="n">
        <f aca="false">Benefícios!D35-'Resumo folha pagamento'!M35</f>
        <v>0</v>
      </c>
      <c r="I35" s="51" t="n">
        <f aca="false">Benefícios!E35-'Resumo folha pagamento'!N35</f>
        <v>0</v>
      </c>
      <c r="J35" s="51" t="n">
        <f aca="false">Benefícios!F35-'Resumo folha pagamento'!O35</f>
        <v>0</v>
      </c>
      <c r="K35" s="51" t="n">
        <f aca="false">Benefícios!G35</f>
        <v>0</v>
      </c>
      <c r="L35" s="51" t="n">
        <f aca="false">Benefícios!H35</f>
        <v>0</v>
      </c>
      <c r="M35" s="51" t="n">
        <f aca="false">(F35+G35)*0.08</f>
        <v>0</v>
      </c>
      <c r="N35" s="51" t="n">
        <f aca="false">M35*0.5</f>
        <v>0</v>
      </c>
      <c r="O35" s="51" t="n">
        <f aca="false">F35/12</f>
        <v>0</v>
      </c>
      <c r="P35" s="51" t="n">
        <f aca="false">(F35+(F35/3))/12</f>
        <v>0</v>
      </c>
      <c r="Q35" s="51" t="n">
        <f aca="false">(O35+P35)*0.08</f>
        <v>0</v>
      </c>
      <c r="R35" s="52"/>
      <c r="S35" s="51" t="n">
        <f aca="false">SUM(F35:Q35)</f>
        <v>0</v>
      </c>
    </row>
    <row r="36" customFormat="false" ht="12.8" hidden="false" customHeight="false" outlineLevel="0" collapsed="false">
      <c r="A36" s="39" t="n">
        <f aca="false">'Resumo folha pagamento'!A36</f>
        <v>30</v>
      </c>
      <c r="B36" s="40" t="n">
        <f aca="false">Benefícios!B36</f>
        <v>0</v>
      </c>
      <c r="C36" s="40" t="n">
        <f aca="false">'Resumo folha pagamento'!C36</f>
        <v>0</v>
      </c>
      <c r="D36" s="39" t="n">
        <f aca="false">'Resumo folha pagamento'!D36</f>
        <v>0</v>
      </c>
      <c r="F36" s="51" t="n">
        <f aca="false">'Resumo folha pagamento'!F36</f>
        <v>0</v>
      </c>
      <c r="G36" s="51" t="n">
        <f aca="false">'Resumo folha pagamento'!G36</f>
        <v>0</v>
      </c>
      <c r="H36" s="51" t="n">
        <f aca="false">Benefícios!D36-'Resumo folha pagamento'!M36</f>
        <v>0</v>
      </c>
      <c r="I36" s="51" t="n">
        <f aca="false">Benefícios!E36-'Resumo folha pagamento'!N36</f>
        <v>0</v>
      </c>
      <c r="J36" s="51" t="n">
        <f aca="false">Benefícios!F36-'Resumo folha pagamento'!O36</f>
        <v>0</v>
      </c>
      <c r="K36" s="51" t="n">
        <f aca="false">Benefícios!G36</f>
        <v>0</v>
      </c>
      <c r="L36" s="51" t="n">
        <f aca="false">Benefícios!H36</f>
        <v>0</v>
      </c>
      <c r="M36" s="51" t="n">
        <f aca="false">(F36+G36)*0.08</f>
        <v>0</v>
      </c>
      <c r="N36" s="51" t="n">
        <f aca="false">M36*0.5</f>
        <v>0</v>
      </c>
      <c r="O36" s="51" t="n">
        <f aca="false">F36/12</f>
        <v>0</v>
      </c>
      <c r="P36" s="51" t="n">
        <f aca="false">(F36+(F36/3))/12</f>
        <v>0</v>
      </c>
      <c r="Q36" s="51" t="n">
        <f aca="false">(O36+P36)*0.08</f>
        <v>0</v>
      </c>
      <c r="R36" s="52"/>
      <c r="S36" s="51" t="n">
        <f aca="false">SUM(F36:Q36)</f>
        <v>0</v>
      </c>
    </row>
  </sheetData>
  <mergeCells count="2">
    <mergeCell ref="A2:D2"/>
    <mergeCell ref="F2:S2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&amp;C&amp;A</oddHeader>
    <oddFooter>&amp;CPágina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2:F2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2" activeCellId="0" sqref="A1:N32"/>
    </sheetView>
  </sheetViews>
  <sheetFormatPr defaultRowHeight="12.8"/>
  <cols>
    <col collapsed="false" hidden="false" max="1" min="1" style="9" width="3.88775510204082"/>
    <col collapsed="false" hidden="false" max="2" min="2" style="9" width="11.5204081632653"/>
    <col collapsed="false" hidden="false" max="3" min="3" style="9" width="16.530612244898"/>
    <col collapsed="false" hidden="false" max="1025" min="4" style="9" width="11.5204081632653"/>
  </cols>
  <sheetData>
    <row r="2" customFormat="false" ht="12.8" hidden="false" customHeight="false" outlineLevel="0" collapsed="false">
      <c r="B2" s="53" t="s">
        <v>71</v>
      </c>
      <c r="C2" s="53"/>
      <c r="D2" s="53"/>
      <c r="E2" s="53"/>
    </row>
    <row r="3" customFormat="false" ht="12.8" hidden="false" customHeight="false" outlineLevel="0" collapsed="false">
      <c r="B3" s="18"/>
      <c r="C3" s="18"/>
      <c r="D3" s="18"/>
      <c r="E3" s="18"/>
    </row>
    <row r="4" customFormat="false" ht="12.8" hidden="false" customHeight="false" outlineLevel="0" collapsed="false">
      <c r="B4" s="15" t="n">
        <v>0</v>
      </c>
      <c r="C4" s="13" t="s">
        <v>72</v>
      </c>
      <c r="D4" s="15" t="n">
        <v>1659.38</v>
      </c>
      <c r="E4" s="54" t="n">
        <v>0.08</v>
      </c>
    </row>
    <row r="5" customFormat="false" ht="12.8" hidden="false" customHeight="false" outlineLevel="0" collapsed="false">
      <c r="B5" s="15" t="n">
        <v>1659.39</v>
      </c>
      <c r="C5" s="13" t="s">
        <v>72</v>
      </c>
      <c r="D5" s="15" t="n">
        <v>2765.66</v>
      </c>
      <c r="E5" s="54" t="n">
        <v>0.09</v>
      </c>
    </row>
    <row r="6" customFormat="false" ht="12.8" hidden="false" customHeight="false" outlineLevel="0" collapsed="false">
      <c r="B6" s="15" t="n">
        <v>2765.67</v>
      </c>
      <c r="C6" s="13" t="s">
        <v>72</v>
      </c>
      <c r="D6" s="15" t="n">
        <v>5531.31</v>
      </c>
      <c r="E6" s="54" t="n">
        <v>0.11</v>
      </c>
      <c r="F6" s="55" t="n">
        <v>50000</v>
      </c>
    </row>
    <row r="10" customFormat="false" ht="12.8" hidden="false" customHeight="false" outlineLevel="0" collapsed="false">
      <c r="B10" s="53" t="s">
        <v>73</v>
      </c>
      <c r="C10" s="53"/>
      <c r="D10" s="53"/>
      <c r="E10" s="53"/>
      <c r="F10" s="53"/>
    </row>
    <row r="11" customFormat="false" ht="12.8" hidden="false" customHeight="false" outlineLevel="0" collapsed="false">
      <c r="B11" s="18"/>
      <c r="C11" s="18"/>
      <c r="D11" s="18"/>
      <c r="E11" s="18"/>
      <c r="F11" s="18"/>
    </row>
    <row r="12" customFormat="false" ht="12.8" hidden="false" customHeight="false" outlineLevel="0" collapsed="false">
      <c r="B12" s="15" t="n">
        <v>0</v>
      </c>
      <c r="C12" s="13" t="s">
        <v>72</v>
      </c>
      <c r="D12" s="15" t="n">
        <v>1903.98</v>
      </c>
      <c r="E12" s="54" t="n">
        <v>0</v>
      </c>
      <c r="F12" s="15" t="n">
        <v>0</v>
      </c>
    </row>
    <row r="13" customFormat="false" ht="12.8" hidden="false" customHeight="false" outlineLevel="0" collapsed="false">
      <c r="B13" s="15" t="n">
        <v>1903.99</v>
      </c>
      <c r="C13" s="13" t="s">
        <v>72</v>
      </c>
      <c r="D13" s="15" t="n">
        <v>2826.65</v>
      </c>
      <c r="E13" s="54" t="n">
        <v>0.075</v>
      </c>
      <c r="F13" s="15" t="n">
        <v>142.8</v>
      </c>
    </row>
    <row r="14" customFormat="false" ht="12.8" hidden="false" customHeight="false" outlineLevel="0" collapsed="false">
      <c r="B14" s="15" t="n">
        <v>2826.66</v>
      </c>
      <c r="C14" s="13" t="s">
        <v>72</v>
      </c>
      <c r="D14" s="15" t="n">
        <v>3751.05</v>
      </c>
      <c r="E14" s="54" t="n">
        <v>0.15</v>
      </c>
      <c r="F14" s="15" t="n">
        <v>354.8</v>
      </c>
    </row>
    <row r="15" customFormat="false" ht="12.8" hidden="false" customHeight="false" outlineLevel="0" collapsed="false">
      <c r="B15" s="15" t="n">
        <v>3751.06</v>
      </c>
      <c r="C15" s="13" t="s">
        <v>72</v>
      </c>
      <c r="D15" s="15" t="n">
        <v>4664.68</v>
      </c>
      <c r="E15" s="54" t="n">
        <v>0.225</v>
      </c>
      <c r="F15" s="15" t="n">
        <v>636.13</v>
      </c>
    </row>
    <row r="16" customFormat="false" ht="12.8" hidden="false" customHeight="false" outlineLevel="0" collapsed="false">
      <c r="B16" s="15" t="n">
        <v>4664.68</v>
      </c>
      <c r="C16" s="56" t="s">
        <v>72</v>
      </c>
      <c r="D16" s="57" t="n">
        <v>100000</v>
      </c>
      <c r="E16" s="54" t="n">
        <v>0.275</v>
      </c>
      <c r="F16" s="15" t="n">
        <v>869.36</v>
      </c>
    </row>
    <row r="17" customFormat="false" ht="12.8" hidden="false" customHeight="false" outlineLevel="0" collapsed="false">
      <c r="B17" s="58" t="s">
        <v>74</v>
      </c>
      <c r="C17" s="58"/>
      <c r="D17" s="58"/>
      <c r="E17" s="59" t="n">
        <v>189.59</v>
      </c>
      <c r="F17" s="59"/>
    </row>
    <row r="21" customFormat="false" ht="12.8" hidden="false" customHeight="false" outlineLevel="0" collapsed="false">
      <c r="B21" s="0"/>
      <c r="C21" s="53" t="s">
        <v>75</v>
      </c>
      <c r="D21" s="53"/>
    </row>
    <row r="22" customFormat="false" ht="12.8" hidden="false" customHeight="false" outlineLevel="0" collapsed="false">
      <c r="C22" s="18"/>
      <c r="D22" s="18"/>
    </row>
    <row r="23" customFormat="false" ht="12.8" hidden="false" customHeight="false" outlineLevel="0" collapsed="false">
      <c r="C23" s="18" t="s">
        <v>23</v>
      </c>
      <c r="D23" s="54" t="n">
        <v>0.06</v>
      </c>
    </row>
    <row r="24" customFormat="false" ht="12.8" hidden="false" customHeight="false" outlineLevel="0" collapsed="false">
      <c r="C24" s="18" t="s">
        <v>24</v>
      </c>
      <c r="D24" s="54" t="n">
        <v>0.1</v>
      </c>
    </row>
    <row r="25" customFormat="false" ht="12.8" hidden="false" customHeight="false" outlineLevel="0" collapsed="false">
      <c r="C25" s="18" t="s">
        <v>25</v>
      </c>
      <c r="D25" s="54" t="n">
        <v>0.8</v>
      </c>
    </row>
  </sheetData>
  <mergeCells count="5">
    <mergeCell ref="B2:E2"/>
    <mergeCell ref="B10:F10"/>
    <mergeCell ref="B17:D17"/>
    <mergeCell ref="E17:F17"/>
    <mergeCell ref="C21:D2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2017-05-24T15:24:28Z</dcterms:created>
  <dc:creator/>
  <dc:description/>
  <dc:language>pt-BR</dc:language>
  <cp:lastModifiedBy/>
  <dcterms:modified xsi:type="dcterms:W3CDTF">2017-05-25T16:17:00Z</dcterms:modified>
  <cp:revision>8</cp:revision>
  <dc:subject/>
  <dc:title/>
</cp:coreProperties>
</file>