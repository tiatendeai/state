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codeName="EstaPasta_de_trabalho" defaultThemeVersion="124226"/>
  <bookViews>
    <workbookView xWindow="240" yWindow="90" windowWidth="20115" windowHeight="9270" activeTab="1"/>
  </bookViews>
  <sheets>
    <sheet name="TABELA" sheetId="2" r:id="rId1"/>
    <sheet name="GRAFICO" sheetId="3" r:id="rId2"/>
  </sheets>
  <definedNames>
    <definedName name="_xlnm.Print_Area" localSheetId="1">GRAFICO!$B$1:$B$40</definedName>
    <definedName name="_xlnm.Print_Area" localSheetId="0">TABELA!$B$1:$I$33</definedName>
    <definedName name="_xlnm.Print_Titles" localSheetId="0">TABELA!$B:$B,TABELA!$3:$11</definedName>
  </definedNames>
  <calcPr calcId="145621"/>
  <pivotCaches>
    <pivotCache cacheId="54" r:id="rId3"/>
  </pivotCaches>
</workbook>
</file>

<file path=xl/calcChain.xml><?xml version="1.0" encoding="utf-8"?>
<calcChain xmlns="http://schemas.openxmlformats.org/spreadsheetml/2006/main">
  <c r="D2" i="2" l="1"/>
  <c r="B2" i="3" s="1"/>
  <c r="D1" i="2"/>
</calcChain>
</file>

<file path=xl/sharedStrings.xml><?xml version="1.0" encoding="utf-8"?>
<sst xmlns="http://schemas.openxmlformats.org/spreadsheetml/2006/main" count="38" uniqueCount="32">
  <si>
    <t>SAÍDAS</t>
  </si>
  <si>
    <t>ENTRADAS</t>
  </si>
  <si>
    <t>Rótulos de Linha</t>
  </si>
  <si>
    <t>SALDO MENSAL</t>
  </si>
  <si>
    <t>ANO</t>
  </si>
  <si>
    <t>(Tudo)</t>
  </si>
  <si>
    <t>SEMESTRE</t>
  </si>
  <si>
    <t>TRIMESTRE</t>
  </si>
  <si>
    <t>FILTROS</t>
  </si>
  <si>
    <t>01 (JAN)</t>
  </si>
  <si>
    <t>Rótulos de Coluna</t>
  </si>
  <si>
    <t>02 (FEV)</t>
  </si>
  <si>
    <t>03 (MAR)</t>
  </si>
  <si>
    <t>04 (ABR)</t>
  </si>
  <si>
    <t>05 (MAI)</t>
  </si>
  <si>
    <t>06 (JUN)</t>
  </si>
  <si>
    <t>07 (JUL)</t>
  </si>
  <si>
    <t>08 (AGO)</t>
  </si>
  <si>
    <t>09 (SET)</t>
  </si>
  <si>
    <t>10 (OUT)</t>
  </si>
  <si>
    <t>11 (NOV)</t>
  </si>
  <si>
    <t>12 (DEZ)</t>
  </si>
  <si>
    <t>PREVISTO</t>
  </si>
  <si>
    <t>REALIZADO</t>
  </si>
  <si>
    <t>CONTA</t>
  </si>
  <si>
    <t>VER GRÁFICO</t>
  </si>
  <si>
    <t>VER TABELA</t>
  </si>
  <si>
    <t>GRUPO</t>
  </si>
  <si>
    <t>ENTRADAS Total</t>
  </si>
  <si>
    <t>SAÍDAS Total</t>
  </si>
  <si>
    <t>Total Geral</t>
  </si>
  <si>
    <t>FLUXO DE CAIXA 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</si>
</sst>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i/>
      <sz val="12"/>
      <color theme="1" tint="0.34998626667073579"/>
      <name val="Calibri"/>
      <family val="2"/>
      <scheme val="minor"/>
    </font>
    <font>
      <i/>
      <sz val="12"/>
      <color theme="1"/>
      <name val="Calibri"/>
      <family val="2"/>
      <scheme val="minor"/>
    </font>
    <font>
      <u/>
      <sz val="7.7"/>
      <color theme="10"/>
      <name val="Calibri"/>
      <family val="2"/>
    </font>
    <font>
      <u/>
      <sz val="11"/>
      <color theme="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43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0" fontId="1" fillId="0" borderId="0" xfId="0" applyFont="1"/>
    <xf numFmtId="0" fontId="2" fillId="3" borderId="0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1" applyFont="1" applyAlignment="1" applyProtection="1">
      <alignment horizontal="right"/>
    </xf>
    <xf numFmtId="0" fontId="1" fillId="0" borderId="0" xfId="0" applyFont="1" applyAlignment="1">
      <alignment horizontal="center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wrapText="1"/>
    </xf>
    <xf numFmtId="0" fontId="2" fillId="3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6" fillId="0" borderId="0" xfId="1" applyFont="1" applyAlignment="1" applyProtection="1">
      <alignment horizontal="right" vertical="center"/>
    </xf>
  </cellXfs>
  <cellStyles count="2">
    <cellStyle name="Hiperlink" xfId="1" builtinId="8"/>
    <cellStyle name="Normal" xfId="0" builtinId="0"/>
  </cellStyles>
  <dxfs count="11"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</dxfs>
  <tableStyles count="0" defaultTableStyle="TableStyleMedium2" defaultPivotStyle="PivotStyleLight16"/>
  <colors>
    <mruColors>
      <color rgb="FF37FF91"/>
      <color rgb="FF09FF78"/>
      <color rgb="FFFF9393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pivotSource>
    <c:name>[reidasplanilhas-R002-Fluxo-Caixa-Mensal-Acumulado.xlsx]TABELA!Tabela dinâmica1</c:name>
    <c:fmtId val="18"/>
  </c:pivotSource>
  <c:chart>
    <c:autoTitleDeleted val="1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</c:pivotFmt>
      <c:pivotFmt>
        <c:idx val="51"/>
      </c:pivotFmt>
      <c:pivotFmt>
        <c:idx val="52"/>
      </c:pivotFmt>
      <c:pivotFmt>
        <c:idx val="53"/>
      </c:pivotFmt>
      <c:pivotFmt>
        <c:idx val="54"/>
      </c:pivotFmt>
      <c:pivotFmt>
        <c:idx val="55"/>
      </c:pivotFmt>
      <c:pivotFmt>
        <c:idx val="56"/>
      </c:pivotFmt>
      <c:pivotFmt>
        <c:idx val="57"/>
      </c:pivotFmt>
      <c:pivotFmt>
        <c:idx val="58"/>
      </c:pivotFmt>
      <c:pivotFmt>
        <c:idx val="59"/>
      </c:pivotFmt>
      <c:pivotFmt>
        <c:idx val="60"/>
      </c:pivotFmt>
      <c:pivotFmt>
        <c:idx val="61"/>
      </c:pivotFmt>
      <c:pivotFmt>
        <c:idx val="62"/>
      </c:pivotFmt>
      <c:pivotFmt>
        <c:idx val="63"/>
      </c:pivotFmt>
      <c:pivotFmt>
        <c:idx val="64"/>
      </c:pivotFmt>
      <c:pivotFmt>
        <c:idx val="65"/>
      </c:pivotFmt>
      <c:pivotFmt>
        <c:idx val="66"/>
      </c:pivotFmt>
      <c:pivotFmt>
        <c:idx val="67"/>
      </c:pivotFmt>
      <c:pivotFmt>
        <c:idx val="68"/>
      </c:pivotFmt>
      <c:pivotFmt>
        <c:idx val="69"/>
      </c:pivotFmt>
      <c:pivotFmt>
        <c:idx val="70"/>
      </c:pivotFmt>
      <c:pivotFmt>
        <c:idx val="71"/>
      </c:pivotFmt>
      <c:pivotFmt>
        <c:idx val="72"/>
      </c:pivotFmt>
      <c:pivotFmt>
        <c:idx val="73"/>
      </c:pivotFmt>
      <c:pivotFmt>
        <c:idx val="74"/>
      </c:pivotFmt>
      <c:pivotFmt>
        <c:idx val="75"/>
      </c:pivotFmt>
      <c:pivotFmt>
        <c:idx val="76"/>
      </c:pivotFmt>
      <c:pivotFmt>
        <c:idx val="77"/>
      </c:pivotFmt>
      <c:pivotFmt>
        <c:idx val="78"/>
      </c:pivotFmt>
      <c:pivotFmt>
        <c:idx val="79"/>
      </c:pivotFmt>
      <c:pivotFmt>
        <c:idx val="80"/>
      </c:pivotFmt>
      <c:pivotFmt>
        <c:idx val="81"/>
      </c:pivotFmt>
      <c:pivotFmt>
        <c:idx val="82"/>
      </c:pivotFmt>
      <c:pivotFmt>
        <c:idx val="83"/>
      </c:pivotFmt>
      <c:pivotFmt>
        <c:idx val="84"/>
      </c:pivotFmt>
      <c:pivotFmt>
        <c:idx val="85"/>
      </c:pivotFmt>
      <c:pivotFmt>
        <c:idx val="86"/>
      </c:pivotFmt>
      <c:pivotFmt>
        <c:idx val="87"/>
      </c:pivotFmt>
      <c:pivotFmt>
        <c:idx val="88"/>
      </c:pivotFmt>
      <c:pivotFmt>
        <c:idx val="89"/>
      </c:pivotFmt>
      <c:pivotFmt>
        <c:idx val="90"/>
      </c:pivotFmt>
      <c:pivotFmt>
        <c:idx val="91"/>
      </c:pivotFmt>
      <c:pivotFmt>
        <c:idx val="92"/>
      </c:pivotFmt>
      <c:pivotFmt>
        <c:idx val="93"/>
      </c:pivotFmt>
      <c:pivotFmt>
        <c:idx val="94"/>
      </c:pivotFmt>
      <c:pivotFmt>
        <c:idx val="95"/>
      </c:pivotFmt>
      <c:pivotFmt>
        <c:idx val="96"/>
      </c:pivotFmt>
      <c:pivotFmt>
        <c:idx val="97"/>
      </c:pivotFmt>
      <c:pivotFmt>
        <c:idx val="98"/>
      </c:pivotFmt>
      <c:pivotFmt>
        <c:idx val="99"/>
      </c:pivotFmt>
      <c:pivotFmt>
        <c:idx val="100"/>
      </c:pivotFmt>
      <c:pivotFmt>
        <c:idx val="101"/>
      </c:pivotFmt>
      <c:pivotFmt>
        <c:idx val="102"/>
      </c:pivotFmt>
      <c:pivotFmt>
        <c:idx val="103"/>
      </c:pivotFmt>
      <c:pivotFmt>
        <c:idx val="104"/>
      </c:pivotFmt>
      <c:pivotFmt>
        <c:idx val="105"/>
      </c:pivotFmt>
      <c:pivotFmt>
        <c:idx val="106"/>
      </c:pivotFmt>
      <c:pivotFmt>
        <c:idx val="107"/>
      </c:pivotFmt>
      <c:pivotFmt>
        <c:idx val="108"/>
      </c:pivotFmt>
      <c:pivotFmt>
        <c:idx val="109"/>
      </c:pivotFmt>
      <c:pivotFmt>
        <c:idx val="110"/>
      </c:pivotFmt>
      <c:pivotFmt>
        <c:idx val="111"/>
      </c:pivotFmt>
      <c:pivotFmt>
        <c:idx val="112"/>
      </c:pivotFmt>
      <c:pivotFmt>
        <c:idx val="113"/>
      </c:pivotFmt>
      <c:pivotFmt>
        <c:idx val="114"/>
      </c:pivotFmt>
      <c:pivotFmt>
        <c:idx val="115"/>
      </c:pivotFmt>
      <c:pivotFmt>
        <c:idx val="116"/>
      </c:pivotFmt>
      <c:pivotFmt>
        <c:idx val="117"/>
      </c:pivotFmt>
      <c:pivotFmt>
        <c:idx val="118"/>
      </c:pivotFmt>
      <c:pivotFmt>
        <c:idx val="119"/>
      </c:pivotFmt>
      <c:pivotFmt>
        <c:idx val="120"/>
      </c:pivotFmt>
      <c:pivotFmt>
        <c:idx val="121"/>
      </c:pivotFmt>
      <c:pivotFmt>
        <c:idx val="122"/>
      </c:pivotFmt>
      <c:pivotFmt>
        <c:idx val="123"/>
      </c:pivotFmt>
      <c:pivotFmt>
        <c:idx val="124"/>
      </c:pivotFmt>
      <c:pivotFmt>
        <c:idx val="125"/>
      </c:pivotFmt>
      <c:pivotFmt>
        <c:idx val="126"/>
      </c:pivotFmt>
      <c:pivotFmt>
        <c:idx val="127"/>
      </c:pivotFmt>
      <c:pivotFmt>
        <c:idx val="128"/>
      </c:pivotFmt>
      <c:pivotFmt>
        <c:idx val="129"/>
      </c:pivotFmt>
      <c:pivotFmt>
        <c:idx val="130"/>
      </c:pivotFmt>
      <c:pivotFmt>
        <c:idx val="131"/>
      </c:pivotFmt>
      <c:pivotFmt>
        <c:idx val="132"/>
      </c:pivotFmt>
      <c:pivotFmt>
        <c:idx val="133"/>
      </c:pivotFmt>
      <c:pivotFmt>
        <c:idx val="134"/>
      </c:pivotFmt>
      <c:pivotFmt>
        <c:idx val="135"/>
      </c:pivotFmt>
      <c:pivotFmt>
        <c:idx val="136"/>
      </c:pivotFmt>
      <c:pivotFmt>
        <c:idx val="137"/>
      </c:pivotFmt>
      <c:pivotFmt>
        <c:idx val="138"/>
      </c:pivotFmt>
      <c:pivotFmt>
        <c:idx val="139"/>
      </c:pivotFmt>
      <c:pivotFmt>
        <c:idx val="140"/>
      </c:pivotFmt>
      <c:pivotFmt>
        <c:idx val="141"/>
      </c:pivotFmt>
      <c:pivotFmt>
        <c:idx val="142"/>
      </c:pivotFmt>
      <c:pivotFmt>
        <c:idx val="143"/>
      </c:pivotFmt>
      <c:pivotFmt>
        <c:idx val="144"/>
      </c:pivotFmt>
      <c:pivotFmt>
        <c:idx val="145"/>
      </c:pivotFmt>
      <c:pivotFmt>
        <c:idx val="146"/>
      </c:pivotFmt>
      <c:pivotFmt>
        <c:idx val="147"/>
      </c:pivotFmt>
      <c:pivotFmt>
        <c:idx val="148"/>
      </c:pivotFmt>
      <c:pivotFmt>
        <c:idx val="149"/>
      </c:pivotFmt>
      <c:pivotFmt>
        <c:idx val="150"/>
      </c:pivotFmt>
      <c:pivotFmt>
        <c:idx val="151"/>
      </c:pivotFmt>
      <c:pivotFmt>
        <c:idx val="152"/>
      </c:pivotFmt>
      <c:pivotFmt>
        <c:idx val="153"/>
      </c:pivotFmt>
      <c:pivotFmt>
        <c:idx val="154"/>
      </c:pivotFmt>
      <c:pivotFmt>
        <c:idx val="155"/>
      </c:pivotFmt>
      <c:pivotFmt>
        <c:idx val="156"/>
      </c:pivotFmt>
      <c:pivotFmt>
        <c:idx val="157"/>
      </c:pivotFmt>
      <c:pivotFmt>
        <c:idx val="158"/>
      </c:pivotFmt>
      <c:pivotFmt>
        <c:idx val="159"/>
      </c:pivotFmt>
      <c:pivotFmt>
        <c:idx val="160"/>
      </c:pivotFmt>
      <c:pivotFmt>
        <c:idx val="161"/>
      </c:pivotFmt>
      <c:pivotFmt>
        <c:idx val="162"/>
      </c:pivotFmt>
      <c:pivotFmt>
        <c:idx val="163"/>
      </c:pivotFmt>
      <c:pivotFmt>
        <c:idx val="164"/>
      </c:pivotFmt>
      <c:pivotFmt>
        <c:idx val="165"/>
      </c:pivotFmt>
      <c:pivotFmt>
        <c:idx val="166"/>
      </c:pivotFmt>
      <c:pivotFmt>
        <c:idx val="167"/>
      </c:pivotFmt>
      <c:pivotFmt>
        <c:idx val="168"/>
      </c:pivotFmt>
      <c:pivotFmt>
        <c:idx val="169"/>
      </c:pivotFmt>
      <c:pivotFmt>
        <c:idx val="170"/>
      </c:pivotFmt>
      <c:pivotFmt>
        <c:idx val="171"/>
      </c:pivotFmt>
      <c:pivotFmt>
        <c:idx val="172"/>
      </c:pivotFmt>
      <c:pivotFmt>
        <c:idx val="173"/>
      </c:pivotFmt>
      <c:pivotFmt>
        <c:idx val="174"/>
      </c:pivotFmt>
      <c:pivotFmt>
        <c:idx val="175"/>
      </c:pivotFmt>
      <c:pivotFmt>
        <c:idx val="176"/>
      </c:pivotFmt>
      <c:pivotFmt>
        <c:idx val="177"/>
      </c:pivotFmt>
      <c:pivotFmt>
        <c:idx val="178"/>
      </c:pivotFmt>
      <c:pivotFmt>
        <c:idx val="179"/>
      </c:pivotFmt>
      <c:pivotFmt>
        <c:idx val="180"/>
      </c:pivotFmt>
      <c:pivotFmt>
        <c:idx val="181"/>
      </c:pivotFmt>
      <c:pivotFmt>
        <c:idx val="182"/>
      </c:pivotFmt>
      <c:pivotFmt>
        <c:idx val="183"/>
      </c:pivotFmt>
      <c:pivotFmt>
        <c:idx val="184"/>
      </c:pivotFmt>
      <c:pivotFmt>
        <c:idx val="185"/>
      </c:pivotFmt>
      <c:pivotFmt>
        <c:idx val="186"/>
      </c:pivotFmt>
      <c:pivotFmt>
        <c:idx val="187"/>
      </c:pivotFmt>
      <c:pivotFmt>
        <c:idx val="188"/>
      </c:pivotFmt>
      <c:pivotFmt>
        <c:idx val="189"/>
      </c:pivotFmt>
      <c:pivotFmt>
        <c:idx val="190"/>
      </c:pivotFmt>
      <c:pivotFmt>
        <c:idx val="191"/>
      </c:pivotFmt>
      <c:pivotFmt>
        <c:idx val="192"/>
      </c:pivotFmt>
      <c:pivotFmt>
        <c:idx val="193"/>
      </c:pivotFmt>
      <c:pivotFmt>
        <c:idx val="194"/>
      </c:pivotFmt>
      <c:pivotFmt>
        <c:idx val="195"/>
      </c:pivotFmt>
      <c:pivotFmt>
        <c:idx val="196"/>
      </c:pivotFmt>
      <c:pivotFmt>
        <c:idx val="197"/>
      </c:pivotFmt>
      <c:pivotFmt>
        <c:idx val="198"/>
      </c:pivotFmt>
      <c:pivotFmt>
        <c:idx val="199"/>
        <c:spPr>
          <a:ln>
            <a:solidFill>
              <a:srgbClr val="0070C0"/>
            </a:solidFill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square"/>
          <c:size val="12"/>
          <c:spPr>
            <a:solidFill>
              <a:srgbClr val="0070C0"/>
            </a:solidFill>
            <a:ln>
              <a:solidFill>
                <a:srgbClr val="0070C0"/>
              </a:solidFill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</c:pivotFmt>
      <c:pivotFmt>
        <c:idx val="200"/>
        <c:spPr>
          <a:ln>
            <a:solidFill>
              <a:schemeClr val="tx2"/>
            </a:solidFill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square"/>
          <c:size val="12"/>
          <c:spPr>
            <a:solidFill>
              <a:schemeClr val="tx2"/>
            </a:solidFill>
            <a:ln>
              <a:solidFill>
                <a:schemeClr val="tx2"/>
              </a:solidFill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</c:pivotFmt>
      <c:pivotFmt>
        <c:idx val="201"/>
        <c:spPr>
          <a:ln>
            <a:solidFill>
              <a:schemeClr val="accent2"/>
            </a:solidFill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square"/>
          <c:size val="12"/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</c:pivotFmt>
      <c:pivotFmt>
        <c:idx val="202"/>
        <c:spPr>
          <a:ln>
            <a:solidFill>
              <a:srgbClr val="C00000"/>
            </a:solidFill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square"/>
          <c:size val="12"/>
          <c:spPr>
            <a:solidFill>
              <a:srgbClr val="C00000"/>
            </a:solidFill>
            <a:ln>
              <a:solidFill>
                <a:srgbClr val="C00000"/>
              </a:solidFill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</c:pivotFmt>
    </c:pivotFmts>
    <c:plotArea>
      <c:layout>
        <c:manualLayout>
          <c:layoutTarget val="inner"/>
          <c:xMode val="edge"/>
          <c:yMode val="edge"/>
          <c:x val="0.18176168512463839"/>
          <c:y val="4.2770053371581372E-2"/>
          <c:w val="0.79588674382684499"/>
          <c:h val="0.72905822900979611"/>
        </c:manualLayout>
      </c:layout>
      <c:lineChart>
        <c:grouping val="standard"/>
        <c:varyColors val="1"/>
        <c:ser>
          <c:idx val="0"/>
          <c:order val="0"/>
          <c:tx>
            <c:strRef>
              <c:f>TABELA!$C$9:$C$11</c:f>
              <c:strCache>
                <c:ptCount val="1"/>
                <c:pt idx="0">
                  <c:v>ENTRADAS - PREVISTO</c:v>
                </c:pt>
              </c:strCache>
            </c:strRef>
          </c:tx>
          <c:spPr>
            <a:ln>
              <a:solidFill>
                <a:srgbClr val="0070C0"/>
              </a:solidFill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square"/>
            <c:size val="12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TABELA!$B$12:$B$24</c:f>
              <c:strCache>
                <c:ptCount val="12"/>
                <c:pt idx="0">
                  <c:v>01 (JAN)</c:v>
                </c:pt>
                <c:pt idx="1">
                  <c:v>02 (FEV)</c:v>
                </c:pt>
                <c:pt idx="2">
                  <c:v>03 (MAR)</c:v>
                </c:pt>
                <c:pt idx="3">
                  <c:v>04 (ABR)</c:v>
                </c:pt>
                <c:pt idx="4">
                  <c:v>05 (MAI)</c:v>
                </c:pt>
                <c:pt idx="5">
                  <c:v>06 (JUN)</c:v>
                </c:pt>
                <c:pt idx="6">
                  <c:v>07 (JUL)</c:v>
                </c:pt>
                <c:pt idx="7">
                  <c:v>08 (AGO)</c:v>
                </c:pt>
                <c:pt idx="8">
                  <c:v>09 (SET)</c:v>
                </c:pt>
                <c:pt idx="9">
                  <c:v>10 (OUT)</c:v>
                </c:pt>
                <c:pt idx="10">
                  <c:v>11 (NOV)</c:v>
                </c:pt>
                <c:pt idx="11">
                  <c:v>12 (DEZ)</c:v>
                </c:pt>
              </c:strCache>
            </c:strRef>
          </c:cat>
          <c:val>
            <c:numRef>
              <c:f>TABELA!$C$12:$C$24</c:f>
              <c:numCache>
                <c:formatCode>_(* #,##0.00_);_(* \(#,##0.00\);_(* "-"??_);_(@_)</c:formatCode>
                <c:ptCount val="12"/>
                <c:pt idx="0">
                  <c:v>24554.3</c:v>
                </c:pt>
                <c:pt idx="1">
                  <c:v>59413.14</c:v>
                </c:pt>
                <c:pt idx="2">
                  <c:v>133529.60999999999</c:v>
                </c:pt>
                <c:pt idx="3">
                  <c:v>233205.53</c:v>
                </c:pt>
                <c:pt idx="4">
                  <c:v>314320.98</c:v>
                </c:pt>
                <c:pt idx="5">
                  <c:v>434263.5</c:v>
                </c:pt>
                <c:pt idx="6">
                  <c:v>567829.44999999995</c:v>
                </c:pt>
                <c:pt idx="7">
                  <c:v>714247.7699999999</c:v>
                </c:pt>
                <c:pt idx="8">
                  <c:v>859271.60999999987</c:v>
                </c:pt>
                <c:pt idx="9">
                  <c:v>1026900.6099999999</c:v>
                </c:pt>
                <c:pt idx="10">
                  <c:v>1172238.1099999999</c:v>
                </c:pt>
                <c:pt idx="11">
                  <c:v>1389002.2699999998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TABELA!$D$9:$D$11</c:f>
              <c:strCache>
                <c:ptCount val="1"/>
                <c:pt idx="0">
                  <c:v>ENTRADAS - REALIZADO</c:v>
                </c:pt>
              </c:strCache>
            </c:strRef>
          </c:tx>
          <c:spPr>
            <a:ln>
              <a:solidFill>
                <a:schemeClr val="tx2"/>
              </a:solidFill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square"/>
            <c:size val="12"/>
            <c:spPr>
              <a:solidFill>
                <a:schemeClr val="tx2"/>
              </a:solidFill>
              <a:ln>
                <a:solidFill>
                  <a:schemeClr val="tx2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TABELA!$B$12:$B$24</c:f>
              <c:strCache>
                <c:ptCount val="12"/>
                <c:pt idx="0">
                  <c:v>01 (JAN)</c:v>
                </c:pt>
                <c:pt idx="1">
                  <c:v>02 (FEV)</c:v>
                </c:pt>
                <c:pt idx="2">
                  <c:v>03 (MAR)</c:v>
                </c:pt>
                <c:pt idx="3">
                  <c:v>04 (ABR)</c:v>
                </c:pt>
                <c:pt idx="4">
                  <c:v>05 (MAI)</c:v>
                </c:pt>
                <c:pt idx="5">
                  <c:v>06 (JUN)</c:v>
                </c:pt>
                <c:pt idx="6">
                  <c:v>07 (JUL)</c:v>
                </c:pt>
                <c:pt idx="7">
                  <c:v>08 (AGO)</c:v>
                </c:pt>
                <c:pt idx="8">
                  <c:v>09 (SET)</c:v>
                </c:pt>
                <c:pt idx="9">
                  <c:v>10 (OUT)</c:v>
                </c:pt>
                <c:pt idx="10">
                  <c:v>11 (NOV)</c:v>
                </c:pt>
                <c:pt idx="11">
                  <c:v>12 (DEZ)</c:v>
                </c:pt>
              </c:strCache>
            </c:strRef>
          </c:cat>
          <c:val>
            <c:numRef>
              <c:f>TABELA!$D$12:$D$24</c:f>
              <c:numCache>
                <c:formatCode>_(* #,##0.00_);_(* \(#,##0.00\);_(* "-"??_);_(@_)</c:formatCode>
                <c:ptCount val="12"/>
                <c:pt idx="0">
                  <c:v>160568.26999999999</c:v>
                </c:pt>
                <c:pt idx="1">
                  <c:v>437926.87000000011</c:v>
                </c:pt>
                <c:pt idx="2">
                  <c:v>858661.75000000012</c:v>
                </c:pt>
                <c:pt idx="3">
                  <c:v>1367486.0300000003</c:v>
                </c:pt>
                <c:pt idx="4">
                  <c:v>2036399.0300000003</c:v>
                </c:pt>
                <c:pt idx="5">
                  <c:v>2819654.3299999996</c:v>
                </c:pt>
                <c:pt idx="6">
                  <c:v>3656074.88</c:v>
                </c:pt>
                <c:pt idx="7">
                  <c:v>4620015.2</c:v>
                </c:pt>
                <c:pt idx="8">
                  <c:v>5694712.3100000005</c:v>
                </c:pt>
                <c:pt idx="9">
                  <c:v>6944588.6100000003</c:v>
                </c:pt>
                <c:pt idx="10">
                  <c:v>8163745.4500000002</c:v>
                </c:pt>
                <c:pt idx="11">
                  <c:v>9548273.4100000001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TABELA!$F$9:$F$11</c:f>
              <c:strCache>
                <c:ptCount val="1"/>
                <c:pt idx="0">
                  <c:v>SAÍDAS - PREVISTO</c:v>
                </c:pt>
              </c:strCache>
            </c:strRef>
          </c:tx>
          <c:spPr>
            <a:ln>
              <a:solidFill>
                <a:schemeClr val="accent2"/>
              </a:solidFill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square"/>
            <c:size val="12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TABELA!$B$12:$B$24</c:f>
              <c:strCache>
                <c:ptCount val="12"/>
                <c:pt idx="0">
                  <c:v>01 (JAN)</c:v>
                </c:pt>
                <c:pt idx="1">
                  <c:v>02 (FEV)</c:v>
                </c:pt>
                <c:pt idx="2">
                  <c:v>03 (MAR)</c:v>
                </c:pt>
                <c:pt idx="3">
                  <c:v>04 (ABR)</c:v>
                </c:pt>
                <c:pt idx="4">
                  <c:v>05 (MAI)</c:v>
                </c:pt>
                <c:pt idx="5">
                  <c:v>06 (JUN)</c:v>
                </c:pt>
                <c:pt idx="6">
                  <c:v>07 (JUL)</c:v>
                </c:pt>
                <c:pt idx="7">
                  <c:v>08 (AGO)</c:v>
                </c:pt>
                <c:pt idx="8">
                  <c:v>09 (SET)</c:v>
                </c:pt>
                <c:pt idx="9">
                  <c:v>10 (OUT)</c:v>
                </c:pt>
                <c:pt idx="10">
                  <c:v>11 (NOV)</c:v>
                </c:pt>
                <c:pt idx="11">
                  <c:v>12 (DEZ)</c:v>
                </c:pt>
              </c:strCache>
            </c:strRef>
          </c:cat>
          <c:val>
            <c:numRef>
              <c:f>TABELA!$F$12:$F$24</c:f>
              <c:numCache>
                <c:formatCode>_(* #,##0.00_);_(* \(#,##0.00\);_(* "-"??_);_(@_)</c:formatCode>
                <c:ptCount val="12"/>
                <c:pt idx="0">
                  <c:v>15716.249999999998</c:v>
                </c:pt>
                <c:pt idx="1">
                  <c:v>35762.049999999996</c:v>
                </c:pt>
                <c:pt idx="2">
                  <c:v>76450.179999999993</c:v>
                </c:pt>
                <c:pt idx="3">
                  <c:v>144920.18</c:v>
                </c:pt>
                <c:pt idx="4">
                  <c:v>221546.47999999998</c:v>
                </c:pt>
                <c:pt idx="5">
                  <c:v>295109.24</c:v>
                </c:pt>
                <c:pt idx="6">
                  <c:v>374061.54</c:v>
                </c:pt>
                <c:pt idx="7">
                  <c:v>481519.45999999996</c:v>
                </c:pt>
                <c:pt idx="8">
                  <c:v>572245.76000000001</c:v>
                </c:pt>
                <c:pt idx="9">
                  <c:v>652447.76</c:v>
                </c:pt>
                <c:pt idx="10">
                  <c:v>767438.9</c:v>
                </c:pt>
                <c:pt idx="11">
                  <c:v>881318.18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TABELA!$G$9:$G$11</c:f>
              <c:strCache>
                <c:ptCount val="1"/>
                <c:pt idx="0">
                  <c:v>SAÍDAS - REALIZADO</c:v>
                </c:pt>
              </c:strCache>
            </c:strRef>
          </c:tx>
          <c:spPr>
            <a:ln>
              <a:solidFill>
                <a:srgbClr val="C00000"/>
              </a:solidFill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square"/>
            <c:size val="12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TABELA!$B$12:$B$24</c:f>
              <c:strCache>
                <c:ptCount val="12"/>
                <c:pt idx="0">
                  <c:v>01 (JAN)</c:v>
                </c:pt>
                <c:pt idx="1">
                  <c:v>02 (FEV)</c:v>
                </c:pt>
                <c:pt idx="2">
                  <c:v>03 (MAR)</c:v>
                </c:pt>
                <c:pt idx="3">
                  <c:v>04 (ABR)</c:v>
                </c:pt>
                <c:pt idx="4">
                  <c:v>05 (MAI)</c:v>
                </c:pt>
                <c:pt idx="5">
                  <c:v>06 (JUN)</c:v>
                </c:pt>
                <c:pt idx="6">
                  <c:v>07 (JUL)</c:v>
                </c:pt>
                <c:pt idx="7">
                  <c:v>08 (AGO)</c:v>
                </c:pt>
                <c:pt idx="8">
                  <c:v>09 (SET)</c:v>
                </c:pt>
                <c:pt idx="9">
                  <c:v>10 (OUT)</c:v>
                </c:pt>
                <c:pt idx="10">
                  <c:v>11 (NOV)</c:v>
                </c:pt>
                <c:pt idx="11">
                  <c:v>12 (DEZ)</c:v>
                </c:pt>
              </c:strCache>
            </c:strRef>
          </c:cat>
          <c:val>
            <c:numRef>
              <c:f>TABELA!$G$12:$G$24</c:f>
              <c:numCache>
                <c:formatCode>_(* #,##0.00_);_(* \(#,##0.00\);_(* "-"??_);_(@_)</c:formatCode>
                <c:ptCount val="12"/>
                <c:pt idx="0">
                  <c:v>88640.09000000004</c:v>
                </c:pt>
                <c:pt idx="1">
                  <c:v>214270.15000000008</c:v>
                </c:pt>
                <c:pt idx="2">
                  <c:v>432573.5500000001</c:v>
                </c:pt>
                <c:pt idx="3">
                  <c:v>690659.7100000002</c:v>
                </c:pt>
                <c:pt idx="4">
                  <c:v>1044578.2600000002</c:v>
                </c:pt>
                <c:pt idx="5">
                  <c:v>1396318.0000000005</c:v>
                </c:pt>
                <c:pt idx="6">
                  <c:v>1844551.9400000004</c:v>
                </c:pt>
                <c:pt idx="7">
                  <c:v>2374192.58</c:v>
                </c:pt>
                <c:pt idx="8">
                  <c:v>2842300.4</c:v>
                </c:pt>
                <c:pt idx="9">
                  <c:v>3524227.3</c:v>
                </c:pt>
                <c:pt idx="10">
                  <c:v>4123212.8299999996</c:v>
                </c:pt>
                <c:pt idx="11">
                  <c:v>4800253.1899999995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777152"/>
        <c:axId val="75779072"/>
      </c:lineChart>
      <c:catAx>
        <c:axId val="75777152"/>
        <c:scaling>
          <c:orientation val="minMax"/>
        </c:scaling>
        <c:delete val="0"/>
        <c:axPos val="b"/>
        <c:majorTickMark val="out"/>
        <c:minorTickMark val="none"/>
        <c:tickLblPos val="low"/>
        <c:crossAx val="75779072"/>
        <c:crosses val="autoZero"/>
        <c:auto val="1"/>
        <c:lblAlgn val="ctr"/>
        <c:lblOffset val="100"/>
        <c:noMultiLvlLbl val="0"/>
      </c:catAx>
      <c:valAx>
        <c:axId val="75779072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75777152"/>
        <c:crosses val="autoZero"/>
        <c:crossBetween val="between"/>
      </c:valAx>
      <c:dTable>
        <c:showHorzBorder val="1"/>
        <c:showVertBorder val="1"/>
        <c:showOutline val="0"/>
        <c:showKeys val="1"/>
      </c:dTable>
    </c:plotArea>
    <c:plotVisOnly val="1"/>
    <c:dispBlanksAs val="gap"/>
    <c:showDLblsOverMax val="0"/>
  </c:chart>
  <c:txPr>
    <a:bodyPr/>
    <a:lstStyle/>
    <a:p>
      <a:pPr>
        <a:defRPr sz="1100"/>
      </a:pPr>
      <a:endParaRPr lang="pt-BR"/>
    </a:p>
  </c:txPr>
  <c:printSettings>
    <c:headerFooter/>
    <c:pageMargins b="0.78740157499999996" l="0.511811024" r="0.511811024" t="0.78740157499999996" header="0.31496062000000141" footer="0.31496062000000141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71438</xdr:rowOff>
    </xdr:from>
    <xdr:to>
      <xdr:col>3</xdr:col>
      <xdr:colOff>-1</xdr:colOff>
      <xdr:row>39</xdr:row>
      <xdr:rowOff>47626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externalLinkPath" Target="reidasplanilhas-base-dados-lancamentos.xlsm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Autor" refreshedDate="40908.384743171293" createdVersion="3" refreshedVersion="4" minRefreshableVersion="3" recordCount="1048575">
  <cacheSource type="worksheet">
    <worksheetSource ref="A1:M1048576" sheet="LANÇAMENTOS" r:id="rId1"/>
  </cacheSource>
  <cacheFields count="14">
    <cacheField name="DATA" numFmtId="0">
      <sharedItems containsNonDate="0" containsDate="1" containsString="0" containsBlank="1" minDate="2011-01-01T00:00:00" maxDate="2012-01-01T00:00:00"/>
    </cacheField>
    <cacheField name="DIA" numFmtId="0">
      <sharedItems containsString="0" containsBlank="1" containsNumber="1" containsInteger="1" minValue="1" maxValue="31"/>
    </cacheField>
    <cacheField name="DIASEMANA" numFmtId="0">
      <sharedItems containsBlank="1"/>
    </cacheField>
    <cacheField name="MÊS" numFmtId="0">
      <sharedItems containsBlank="1" count="13">
        <s v="01 (JAN)"/>
        <s v="02 (FEV)"/>
        <s v="03 (MAR)"/>
        <s v="04 (ABR)"/>
        <s v="05 (MAI)"/>
        <s v="06 (JUN)"/>
        <s v="07 (JUL)"/>
        <s v="08 (AGO)"/>
        <s v="09 (SET)"/>
        <s v="10 (OUT)"/>
        <s v="11 (NOV)"/>
        <s v="12 (DEZ)"/>
        <m/>
      </sharedItems>
    </cacheField>
    <cacheField name="TRIMESTRE" numFmtId="0">
      <sharedItems containsBlank="1" count="5">
        <s v="1º TRIM"/>
        <s v="2º TRIM"/>
        <s v="3º TRIM"/>
        <s v="4º TRIM"/>
        <m/>
      </sharedItems>
    </cacheField>
    <cacheField name="SEMESTRE" numFmtId="0">
      <sharedItems containsBlank="1" count="3">
        <s v="1º SEM"/>
        <s v="2º SEM"/>
        <m/>
      </sharedItems>
    </cacheField>
    <cacheField name="ANO" numFmtId="0">
      <sharedItems containsString="0" containsBlank="1" containsNumber="1" containsInteger="1" minValue="2011" maxValue="2011" count="2">
        <n v="2011"/>
        <m/>
      </sharedItems>
    </cacheField>
    <cacheField name="TIPO" numFmtId="0">
      <sharedItems containsBlank="1" count="3">
        <s v="ENTRADAS"/>
        <s v="SAÍDAS"/>
        <m/>
      </sharedItems>
    </cacheField>
    <cacheField name="CONTA" numFmtId="0">
      <sharedItems containsBlank="1" count="4">
        <s v="FATURAMENTO"/>
        <s v="DEPÓSITOS"/>
        <m/>
        <s v="FINANCIAMENTO" u="1"/>
      </sharedItems>
    </cacheField>
    <cacheField name="GRUPO" numFmtId="0">
      <sharedItems containsBlank="1" count="7">
        <s v="VENDAS"/>
        <s v="FORNECEDORES"/>
        <s v="ENERGIA ELÉTRICA"/>
        <s v="COMBUSTÍVEL"/>
        <s v="RENDIMENTOS DE APLICAÇÕES"/>
        <m/>
        <s v="ABACAXI" u="1"/>
      </sharedItems>
    </cacheField>
    <cacheField name="DESCRICAO" numFmtId="0">
      <sharedItems containsBlank="1"/>
    </cacheField>
    <cacheField name="VALOR" numFmtId="0">
      <sharedItems containsString="0" containsBlank="1" containsNumber="1" minValue="-27456" maxValue="35739.599999999999"/>
    </cacheField>
    <cacheField name="SITUAÇÃO" numFmtId="0">
      <sharedItems containsBlank="1" count="3">
        <s v="REALIZADO"/>
        <s v="PREVISTO"/>
        <m/>
      </sharedItems>
    </cacheField>
    <cacheField name="VALORES ABSOLUTOS" numFmtId="0" formula=" ABS(VALOR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54" dataPosition="0" applyNumberFormats="0" applyBorderFormats="0" applyFontFormats="0" applyPatternFormats="0" applyAlignmentFormats="0" applyWidthHeightFormats="1" dataCaption="Valores" updatedVersion="4" minRefreshableVersion="3" fieldPrintTitles="1" itemPrintTitles="1" createdVersion="4" indent="0" outline="1" outlineData="1" gridDropZones="1" multipleFieldFilters="0" chartFormat="19" fieldListSortAscending="1">
  <location ref="B9:I24" firstHeaderRow="1" firstDataRow="3" firstDataCol="1" rowPageCount="5" colPageCount="1"/>
  <pivotFields count="14">
    <pivotField showAll="0" insertBlankRow="1"/>
    <pivotField showAll="0" insertBlankRow="1"/>
    <pivotField showAll="0" insertBlankRow="1"/>
    <pivotField axis="axisRow" showAll="0" insertBlankRow="1" sortType="a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Page" showAll="0" insertBlankRow="1">
      <items count="6">
        <item x="0"/>
        <item x="1"/>
        <item x="2"/>
        <item x="3"/>
        <item x="4"/>
        <item t="default"/>
      </items>
    </pivotField>
    <pivotField axis="axisPage" showAll="0" insertBlankRow="1">
      <items count="4">
        <item x="0"/>
        <item x="1"/>
        <item x="2"/>
        <item t="default"/>
      </items>
    </pivotField>
    <pivotField axis="axisPage" showAll="0" insertBlankRow="1">
      <items count="3">
        <item x="1"/>
        <item x="0"/>
        <item t="default"/>
      </items>
    </pivotField>
    <pivotField axis="axisCol" showAll="0" insertBlankRow="1" sortType="ascending">
      <items count="4">
        <item x="0"/>
        <item x="1"/>
        <item x="2"/>
        <item t="default"/>
      </items>
    </pivotField>
    <pivotField axis="axisPage" showAll="0" insertBlankRow="1">
      <items count="5">
        <item x="1"/>
        <item x="0"/>
        <item m="1" x="3"/>
        <item x="2"/>
        <item t="default"/>
      </items>
    </pivotField>
    <pivotField axis="axisPage" showAll="0" insertBlankRow="1">
      <items count="8">
        <item x="3"/>
        <item x="2"/>
        <item x="1"/>
        <item x="4"/>
        <item x="0"/>
        <item x="5"/>
        <item m="1" x="6"/>
        <item t="default"/>
      </items>
    </pivotField>
    <pivotField showAll="0" insertBlankRow="1"/>
    <pivotField showAll="0" insertBlankRow="1"/>
    <pivotField axis="axisCol" showAll="0" defaultSubtotal="0">
      <items count="3">
        <item x="1"/>
        <item x="0"/>
        <item x="2"/>
      </items>
    </pivotField>
    <pivotField dataField="1" dragToRow="0" dragToCol="0" dragToPage="0" showAll="0" defaultSubtota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2">
    <field x="7"/>
    <field x="12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pageFields count="5">
    <pageField fld="6" item="1" hier="-1"/>
    <pageField fld="5" hier="-1"/>
    <pageField fld="4" hier="-1"/>
    <pageField fld="8" hier="-1"/>
    <pageField fld="9" hier="-1"/>
  </pageFields>
  <dataFields count="1">
    <dataField name="SALDO MENSAL" fld="13" showDataAs="runTotal" baseField="3" baseItem="0" numFmtId="43"/>
  </dataFields>
  <formats count="11">
    <format dxfId="10">
      <pivotArea field="7" dataOnly="0" labelOnly="1" grandRow="1" outline="0" axis="axisCol" fieldPosition="0">
        <references count="1">
          <reference field="4294967294" count="1" selected="0">
            <x v="0"/>
          </reference>
        </references>
      </pivotArea>
    </format>
    <format dxfId="9">
      <pivotArea field="6" type="button" dataOnly="0" labelOnly="1" outline="0" axis="axisPage" fieldPosition="0"/>
    </format>
    <format dxfId="8">
      <pivotArea dataOnly="0" labelOnly="1" outline="0" fieldPosition="0">
        <references count="1">
          <reference field="6" count="1">
            <x v="1"/>
          </reference>
        </references>
      </pivotArea>
    </format>
    <format dxfId="7">
      <pivotArea field="5" type="button" dataOnly="0" labelOnly="1" outline="0" axis="axisPage" fieldPosition="1"/>
    </format>
    <format dxfId="6">
      <pivotArea dataOnly="0" labelOnly="1" outline="0" fieldPosition="0">
        <references count="2">
          <reference field="5" count="0"/>
          <reference field="6" count="1" selected="0">
            <x v="1"/>
          </reference>
        </references>
      </pivotArea>
    </format>
    <format dxfId="5">
      <pivotArea field="4" type="button" dataOnly="0" labelOnly="1" outline="0" axis="axisPage" fieldPosition="2"/>
    </format>
    <format dxfId="4">
      <pivotArea dataOnly="0" labelOnly="1" outline="0" fieldPosition="0">
        <references count="2">
          <reference field="4" count="0"/>
          <reference field="6" count="1" selected="0">
            <x v="1"/>
          </reference>
        </references>
      </pivotArea>
    </format>
    <format dxfId="3">
      <pivotArea field="8" type="button" dataOnly="0" labelOnly="1" outline="0" axis="axisPage" fieldPosition="3"/>
    </format>
    <format dxfId="2">
      <pivotArea dataOnly="0" labelOnly="1" outline="0" fieldPosition="0">
        <references count="2">
          <reference field="6" count="1" selected="0">
            <x v="1"/>
          </reference>
          <reference field="8" count="0"/>
        </references>
      </pivotArea>
    </format>
    <format dxfId="1">
      <pivotArea field="9" type="button" dataOnly="0" labelOnly="1" outline="0" axis="axisPage" fieldPosition="4"/>
    </format>
    <format dxfId="0">
      <pivotArea dataOnly="0" labelOnly="1" outline="0" fieldPosition="0">
        <references count="2">
          <reference field="6" count="1" selected="0">
            <x v="1"/>
          </reference>
          <reference field="9" count="0"/>
        </references>
      </pivotArea>
    </format>
  </formats>
  <chartFormats count="45">
    <chartFormat chart="9" format="1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4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4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4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4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6" format="16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6" format="16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6" format="16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6" format="16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6" format="16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6" format="16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6" format="16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6" format="16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6" format="17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6" format="17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6" format="17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6" format="17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8" format="18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8" format="18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8" format="18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8" format="18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8" format="19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8" format="19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8" format="19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8" format="19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8" format="19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8" format="19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8" format="19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8" format="19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8" format="19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6" format="17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8" format="199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12" count="1" selected="0">
            <x v="0"/>
          </reference>
        </references>
      </pivotArea>
    </chartFormat>
    <chartFormat chart="18" format="200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12" count="1" selected="0">
            <x v="1"/>
          </reference>
        </references>
      </pivotArea>
    </chartFormat>
    <chartFormat chart="18" format="201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2" count="1" selected="0">
            <x v="0"/>
          </reference>
        </references>
      </pivotArea>
    </chartFormat>
    <chartFormat chart="18" format="202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2" count="1" selected="0">
            <x v="1"/>
          </reference>
        </references>
      </pivotArea>
    </chartFormat>
  </chartFormats>
  <pivotTableStyleInfo name="PivotStyleMedium2" showRowHeaders="1" showColHeaders="1" showRowStripes="0" showColStripes="0" showLastColumn="1"/>
  <filters count="1">
    <filter fld="3" type="captionNotEqual" evalOrder="-1" id="1" stringValue1="">
      <autoFilter ref="A1">
        <filterColumn colId="0">
          <customFilters>
            <customFilter operator="notEqual" val=" "/>
          </customFilters>
        </filterColumn>
      </autoFilter>
    </filter>
  </filters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BX24"/>
  <sheetViews>
    <sheetView showGridLines="0" zoomScale="90" zoomScaleNormal="90" zoomScaleSheetLayoutView="80" workbookViewId="0">
      <selection activeCell="C20" sqref="C20"/>
    </sheetView>
  </sheetViews>
  <sheetFormatPr defaultColWidth="0" defaultRowHeight="15" x14ac:dyDescent="0.25"/>
  <cols>
    <col min="1" max="1" width="2.7109375" customWidth="1"/>
    <col min="2" max="9" width="20.7109375" customWidth="1"/>
    <col min="10" max="10" width="2.7109375" customWidth="1"/>
    <col min="11" max="16" width="10.5703125" hidden="1" customWidth="1"/>
    <col min="17" max="17" width="12.28515625" hidden="1" customWidth="1"/>
    <col min="18" max="18" width="11.5703125" hidden="1" customWidth="1"/>
    <col min="19" max="20" width="10.5703125" hidden="1" customWidth="1"/>
    <col min="21" max="21" width="13.5703125" hidden="1" customWidth="1"/>
    <col min="22" max="23" width="10.85546875" hidden="1" customWidth="1"/>
    <col min="24" max="24" width="14" hidden="1" customWidth="1"/>
    <col min="25" max="26" width="10.42578125" hidden="1" customWidth="1"/>
    <col min="27" max="27" width="13.140625" hidden="1" customWidth="1"/>
    <col min="28" max="29" width="12.5703125" hidden="1" customWidth="1"/>
    <col min="30" max="30" width="13.28515625" hidden="1" customWidth="1"/>
    <col min="31" max="32" width="10.5703125" hidden="1" customWidth="1"/>
    <col min="33" max="33" width="13.140625" hidden="1" customWidth="1"/>
    <col min="34" max="35" width="10.85546875" hidden="1" customWidth="1"/>
    <col min="36" max="36" width="14" hidden="1" customWidth="1"/>
    <col min="37" max="38" width="10.5703125" hidden="1" customWidth="1"/>
    <col min="39" max="39" width="13.42578125" hidden="1" customWidth="1"/>
    <col min="40" max="41" width="11.5703125" hidden="1" customWidth="1"/>
    <col min="42" max="42" width="13.42578125" hidden="1" customWidth="1"/>
    <col min="43" max="44" width="11.5703125" hidden="1" customWidth="1"/>
    <col min="45" max="45" width="13.28515625" hidden="1" customWidth="1"/>
    <col min="46" max="47" width="11.5703125" hidden="1" customWidth="1"/>
    <col min="48" max="48" width="12.5703125" hidden="1" customWidth="1"/>
    <col min="49" max="50" width="11.5703125" hidden="1" customWidth="1"/>
    <col min="51" max="51" width="13.85546875" hidden="1" customWidth="1"/>
    <col min="52" max="53" width="11.5703125" hidden="1" customWidth="1"/>
    <col min="54" max="54" width="12.7109375" hidden="1" customWidth="1"/>
    <col min="55" max="56" width="11.5703125" hidden="1" customWidth="1"/>
    <col min="57" max="57" width="13.5703125" hidden="1" customWidth="1"/>
    <col min="58" max="59" width="11.5703125" hidden="1" customWidth="1"/>
    <col min="60" max="60" width="14" hidden="1" customWidth="1"/>
    <col min="61" max="62" width="11.5703125" hidden="1" customWidth="1"/>
    <col min="63" max="63" width="13.140625" hidden="1" customWidth="1"/>
    <col min="64" max="64" width="13.28515625" hidden="1" customWidth="1"/>
    <col min="65" max="65" width="17.7109375" hidden="1" customWidth="1"/>
    <col min="66" max="66" width="13.28515625" hidden="1" customWidth="1"/>
    <col min="67" max="68" width="17.7109375" hidden="1" customWidth="1"/>
    <col min="69" max="69" width="13.28515625" hidden="1" customWidth="1"/>
    <col min="70" max="72" width="17.7109375" hidden="1" customWidth="1"/>
    <col min="73" max="73" width="13.28515625" hidden="1" customWidth="1"/>
    <col min="74" max="74" width="17.7109375" hidden="1" customWidth="1"/>
    <col min="75" max="75" width="13.28515625" hidden="1" customWidth="1"/>
    <col min="76" max="76" width="17.7109375" hidden="1" customWidth="1"/>
    <col min="77" max="16384" width="9.140625" hidden="1"/>
  </cols>
  <sheetData>
    <row r="1" spans="2:9" s="6" customFormat="1" ht="48" customHeight="1" x14ac:dyDescent="0.4">
      <c r="B1" s="15" t="s">
        <v>8</v>
      </c>
      <c r="C1" s="15"/>
      <c r="D1" s="16" t="str">
        <f>GRAFICO!B1</f>
        <v>FLUXO DE CAIXA ACUMULADO</v>
      </c>
      <c r="E1" s="16"/>
      <c r="F1" s="16"/>
      <c r="G1" s="16"/>
      <c r="H1" s="16"/>
      <c r="I1" s="16"/>
    </row>
    <row r="2" spans="2:9" s="7" customFormat="1" ht="20.100000000000001" customHeight="1" x14ac:dyDescent="0.25">
      <c r="B2" s="5"/>
      <c r="C2" s="5"/>
      <c r="D2" s="17" t="str">
        <f>SUBSTITUTE("PARÂMETROS DE CONSULTA: "&amp;IF(C3&lt;&gt;"",", "&amp;B3&amp;"="&amp;C3,"")&amp;IF(C4&lt;&gt;"",", "&amp;B4&amp;"="&amp;C4,"")&amp;IF(C5&lt;&gt;"",", "&amp;B5&amp;"="&amp;C5,"")&amp;IF(C6&lt;&gt;"",", "&amp;B6&amp;"="&amp;C6,"")&amp;IF(C7&lt;&gt;"",", "&amp;B7&amp;"="&amp;C7,"")&amp;IF(C8&lt;&gt;"",", "&amp;B8&amp;"="&amp;C8,""),": , ",": ")</f>
        <v>PARÂMETROS DE CONSULTA: ANO=2011, SEMESTRE=(Tudo), TRIMESTRE=(Tudo), CONTA=(Tudo), GRUPO=(Tudo)</v>
      </c>
      <c r="E2" s="17"/>
      <c r="F2" s="17"/>
      <c r="G2" s="17"/>
      <c r="H2" s="17"/>
      <c r="I2" s="17"/>
    </row>
    <row r="3" spans="2:9" s="7" customFormat="1" ht="15" customHeight="1" x14ac:dyDescent="0.25">
      <c r="B3" s="12" t="s">
        <v>4</v>
      </c>
      <c r="C3" s="13">
        <v>2011</v>
      </c>
      <c r="D3" s="18" t="s">
        <v>25</v>
      </c>
      <c r="E3" s="18"/>
      <c r="F3" s="18"/>
      <c r="G3" s="18"/>
      <c r="H3" s="18"/>
      <c r="I3" s="18"/>
    </row>
    <row r="4" spans="2:9" s="9" customFormat="1" ht="15" customHeight="1" x14ac:dyDescent="0.25">
      <c r="B4" s="12" t="s">
        <v>6</v>
      </c>
      <c r="C4" s="9" t="s">
        <v>5</v>
      </c>
    </row>
    <row r="5" spans="2:9" s="9" customFormat="1" ht="15" customHeight="1" x14ac:dyDescent="0.25">
      <c r="B5" s="12" t="s">
        <v>7</v>
      </c>
      <c r="C5" s="9" t="s">
        <v>5</v>
      </c>
    </row>
    <row r="6" spans="2:9" s="9" customFormat="1" ht="15" customHeight="1" x14ac:dyDescent="0.25">
      <c r="B6" s="12" t="s">
        <v>24</v>
      </c>
      <c r="C6" s="9" t="s">
        <v>5</v>
      </c>
    </row>
    <row r="7" spans="2:9" s="9" customFormat="1" ht="15" customHeight="1" x14ac:dyDescent="0.25">
      <c r="B7" s="12" t="s">
        <v>27</v>
      </c>
      <c r="C7" s="9" t="s">
        <v>5</v>
      </c>
    </row>
    <row r="8" spans="2:9" s="9" customFormat="1" x14ac:dyDescent="0.25"/>
    <row r="9" spans="2:9" x14ac:dyDescent="0.25">
      <c r="B9" s="3" t="s">
        <v>3</v>
      </c>
      <c r="C9" s="3" t="s">
        <v>10</v>
      </c>
    </row>
    <row r="10" spans="2:9" x14ac:dyDescent="0.25">
      <c r="C10" t="s">
        <v>1</v>
      </c>
      <c r="E10" t="s">
        <v>28</v>
      </c>
      <c r="F10" t="s">
        <v>0</v>
      </c>
      <c r="H10" t="s">
        <v>29</v>
      </c>
      <c r="I10" t="s">
        <v>30</v>
      </c>
    </row>
    <row r="11" spans="2:9" x14ac:dyDescent="0.25">
      <c r="B11" s="3" t="s">
        <v>2</v>
      </c>
      <c r="C11" t="s">
        <v>22</v>
      </c>
      <c r="D11" t="s">
        <v>23</v>
      </c>
      <c r="F11" t="s">
        <v>22</v>
      </c>
      <c r="G11" t="s">
        <v>23</v>
      </c>
    </row>
    <row r="12" spans="2:9" x14ac:dyDescent="0.25">
      <c r="B12" s="2" t="s">
        <v>9</v>
      </c>
      <c r="C12" s="1">
        <v>24554.3</v>
      </c>
      <c r="D12" s="1">
        <v>160568.26999999999</v>
      </c>
      <c r="E12" s="1">
        <v>185122.56999999998</v>
      </c>
      <c r="F12" s="1">
        <v>15716.249999999998</v>
      </c>
      <c r="G12" s="1">
        <v>88640.09000000004</v>
      </c>
      <c r="H12" s="1">
        <v>104356.34000000004</v>
      </c>
      <c r="I12" s="1">
        <v>80766.23000000001</v>
      </c>
    </row>
    <row r="13" spans="2:9" x14ac:dyDescent="0.25">
      <c r="B13" s="2" t="s">
        <v>11</v>
      </c>
      <c r="C13" s="1">
        <v>59413.14</v>
      </c>
      <c r="D13" s="1">
        <v>437926.87000000011</v>
      </c>
      <c r="E13" s="1">
        <v>497340.01000000013</v>
      </c>
      <c r="F13" s="1">
        <v>35762.049999999996</v>
      </c>
      <c r="G13" s="1">
        <v>214270.15000000008</v>
      </c>
      <c r="H13" s="1">
        <v>250032.20000000013</v>
      </c>
      <c r="I13" s="1">
        <v>247307.8100000002</v>
      </c>
    </row>
    <row r="14" spans="2:9" x14ac:dyDescent="0.25">
      <c r="B14" s="2" t="s">
        <v>12</v>
      </c>
      <c r="C14" s="1">
        <v>133529.60999999999</v>
      </c>
      <c r="D14" s="1">
        <v>858661.75000000012</v>
      </c>
      <c r="E14" s="1">
        <v>992191.3600000001</v>
      </c>
      <c r="F14" s="1">
        <v>76450.179999999993</v>
      </c>
      <c r="G14" s="1">
        <v>432573.5500000001</v>
      </c>
      <c r="H14" s="1">
        <v>509023.7300000001</v>
      </c>
      <c r="I14" s="1">
        <v>483167.63000000024</v>
      </c>
    </row>
    <row r="15" spans="2:9" x14ac:dyDescent="0.25">
      <c r="B15" s="2" t="s">
        <v>13</v>
      </c>
      <c r="C15" s="1">
        <v>233205.53</v>
      </c>
      <c r="D15" s="1">
        <v>1367486.0300000003</v>
      </c>
      <c r="E15" s="1">
        <v>1600691.56</v>
      </c>
      <c r="F15" s="1">
        <v>144920.18</v>
      </c>
      <c r="G15" s="1">
        <v>690659.7100000002</v>
      </c>
      <c r="H15" s="1">
        <v>835579.89000000013</v>
      </c>
      <c r="I15" s="1">
        <v>765111.67</v>
      </c>
    </row>
    <row r="16" spans="2:9" x14ac:dyDescent="0.25">
      <c r="B16" s="2" t="s">
        <v>14</v>
      </c>
      <c r="C16" s="1">
        <v>314320.98</v>
      </c>
      <c r="D16" s="1">
        <v>2036399.0300000003</v>
      </c>
      <c r="E16" s="1">
        <v>2350720.0100000002</v>
      </c>
      <c r="F16" s="1">
        <v>221546.47999999998</v>
      </c>
      <c r="G16" s="1">
        <v>1044578.2600000002</v>
      </c>
      <c r="H16" s="1">
        <v>1266124.7400000002</v>
      </c>
      <c r="I16" s="1">
        <v>1084595.2700000005</v>
      </c>
    </row>
    <row r="17" spans="2:9" x14ac:dyDescent="0.25">
      <c r="B17" s="2" t="s">
        <v>15</v>
      </c>
      <c r="C17" s="1">
        <v>434263.5</v>
      </c>
      <c r="D17" s="1">
        <v>2819654.3299999996</v>
      </c>
      <c r="E17" s="1">
        <v>3253917.83</v>
      </c>
      <c r="F17" s="1">
        <v>295109.24</v>
      </c>
      <c r="G17" s="1">
        <v>1396318.0000000005</v>
      </c>
      <c r="H17" s="1">
        <v>1691427.2400000002</v>
      </c>
      <c r="I17" s="1">
        <v>1562490.5899999999</v>
      </c>
    </row>
    <row r="18" spans="2:9" x14ac:dyDescent="0.25">
      <c r="B18" s="2" t="s">
        <v>16</v>
      </c>
      <c r="C18" s="1">
        <v>567829.44999999995</v>
      </c>
      <c r="D18" s="1">
        <v>3656074.88</v>
      </c>
      <c r="E18" s="1">
        <v>4223904.33</v>
      </c>
      <c r="F18" s="1">
        <v>374061.54</v>
      </c>
      <c r="G18" s="1">
        <v>1844551.9400000004</v>
      </c>
      <c r="H18" s="1">
        <v>2218613.4800000004</v>
      </c>
      <c r="I18" s="1">
        <v>2005290.8499999996</v>
      </c>
    </row>
    <row r="19" spans="2:9" x14ac:dyDescent="0.25">
      <c r="B19" s="2" t="s">
        <v>17</v>
      </c>
      <c r="C19" s="1">
        <v>714247.7699999999</v>
      </c>
      <c r="D19" s="1">
        <v>4620015.2</v>
      </c>
      <c r="E19" s="1">
        <v>5334262.9700000007</v>
      </c>
      <c r="F19" s="1">
        <v>481519.45999999996</v>
      </c>
      <c r="G19" s="1">
        <v>2374192.58</v>
      </c>
      <c r="H19" s="1">
        <v>2855712.0400000005</v>
      </c>
      <c r="I19" s="1">
        <v>2478550.9300000002</v>
      </c>
    </row>
    <row r="20" spans="2:9" x14ac:dyDescent="0.25">
      <c r="B20" s="2" t="s">
        <v>18</v>
      </c>
      <c r="C20" s="1">
        <v>859271.60999999987</v>
      </c>
      <c r="D20" s="1">
        <v>5694712.3100000005</v>
      </c>
      <c r="E20" s="1">
        <v>6553983.9199999999</v>
      </c>
      <c r="F20" s="1">
        <v>572245.76000000001</v>
      </c>
      <c r="G20" s="1">
        <v>2842300.4</v>
      </c>
      <c r="H20" s="1">
        <v>3414546.16</v>
      </c>
      <c r="I20" s="1">
        <v>3139437.76</v>
      </c>
    </row>
    <row r="21" spans="2:9" x14ac:dyDescent="0.25">
      <c r="B21" s="2" t="s">
        <v>19</v>
      </c>
      <c r="C21" s="1">
        <v>1026900.6099999999</v>
      </c>
      <c r="D21" s="1">
        <v>6944588.6100000003</v>
      </c>
      <c r="E21" s="1">
        <v>7971489.2199999997</v>
      </c>
      <c r="F21" s="1">
        <v>652447.76</v>
      </c>
      <c r="G21" s="1">
        <v>3524227.3</v>
      </c>
      <c r="H21" s="1">
        <v>4176675.06</v>
      </c>
      <c r="I21" s="1">
        <v>3794814.16</v>
      </c>
    </row>
    <row r="22" spans="2:9" x14ac:dyDescent="0.25">
      <c r="B22" s="2" t="s">
        <v>20</v>
      </c>
      <c r="C22" s="1">
        <v>1172238.1099999999</v>
      </c>
      <c r="D22" s="1">
        <v>8163745.4500000002</v>
      </c>
      <c r="E22" s="1">
        <v>9335983.5600000005</v>
      </c>
      <c r="F22" s="1">
        <v>767438.9</v>
      </c>
      <c r="G22" s="1">
        <v>4123212.8299999996</v>
      </c>
      <c r="H22" s="1">
        <v>4890651.7300000004</v>
      </c>
      <c r="I22" s="1">
        <v>4445331.830000001</v>
      </c>
    </row>
    <row r="23" spans="2:9" x14ac:dyDescent="0.25">
      <c r="B23" s="2" t="s">
        <v>21</v>
      </c>
      <c r="C23" s="1">
        <v>1389002.2699999998</v>
      </c>
      <c r="D23" s="1">
        <v>9548273.4100000001</v>
      </c>
      <c r="E23" s="1">
        <v>10937275.680000002</v>
      </c>
      <c r="F23" s="1">
        <v>881318.18</v>
      </c>
      <c r="G23" s="1">
        <v>4800253.1899999995</v>
      </c>
      <c r="H23" s="1">
        <v>5681571.370000001</v>
      </c>
      <c r="I23" s="1">
        <v>5255704.3100000024</v>
      </c>
    </row>
    <row r="24" spans="2:9" x14ac:dyDescent="0.25">
      <c r="B24" s="14" t="s">
        <v>30</v>
      </c>
      <c r="C24" s="1"/>
      <c r="D24" s="1"/>
      <c r="E24" s="1"/>
      <c r="F24" s="1"/>
      <c r="G24" s="1"/>
      <c r="H24" s="1"/>
      <c r="I24" s="1"/>
    </row>
  </sheetData>
  <mergeCells count="4">
    <mergeCell ref="B1:C1"/>
    <mergeCell ref="D1:I1"/>
    <mergeCell ref="D2:I2"/>
    <mergeCell ref="D3:I3"/>
  </mergeCells>
  <hyperlinks>
    <hyperlink ref="D3:I3" location="GRAFICO!A1" display="VER GRÁFICO"/>
  </hyperlinks>
  <pageMargins left="0.51181102362204722" right="0.51181102362204722" top="0.78740157480314965" bottom="0.78740157480314965" header="0.31496062992125984" footer="0.31496062992125984"/>
  <pageSetup paperSize="9" scale="55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showGridLines="0" showRowColHeaders="0" tabSelected="1" zoomScale="80" zoomScaleNormal="80" workbookViewId="0">
      <selection activeCell="B1" sqref="B1"/>
    </sheetView>
  </sheetViews>
  <sheetFormatPr defaultColWidth="0" defaultRowHeight="15" zeroHeight="1" x14ac:dyDescent="0.25"/>
  <cols>
    <col min="1" max="1" width="2.7109375" customWidth="1"/>
    <col min="2" max="2" width="150.7109375" customWidth="1"/>
    <col min="3" max="3" width="2.7109375" customWidth="1"/>
    <col min="4" max="16384" width="9.140625" hidden="1"/>
  </cols>
  <sheetData>
    <row r="1" spans="1:3" ht="48" customHeight="1" x14ac:dyDescent="0.4">
      <c r="A1" s="4"/>
      <c r="B1" s="11" t="s">
        <v>31</v>
      </c>
      <c r="C1" s="6"/>
    </row>
    <row r="2" spans="1:3" s="9" customFormat="1" ht="20.100000000000001" customHeight="1" x14ac:dyDescent="0.25">
      <c r="A2" s="7"/>
      <c r="B2" s="8" t="str">
        <f>TRIM(TABELA!D2)</f>
        <v>PARÂMETROS DE CONSULTA: ANO=2011, SEMESTRE=(Tudo), TRIMESTRE=(Tudo), CONTA=(Tudo), GRUPO=(Tudo)</v>
      </c>
      <c r="C2" s="7"/>
    </row>
    <row r="3" spans="1:3" x14ac:dyDescent="0.25">
      <c r="B3" s="10" t="s">
        <v>26</v>
      </c>
    </row>
    <row r="4" spans="1:3" x14ac:dyDescent="0.25"/>
    <row r="5" spans="1:3" x14ac:dyDescent="0.25"/>
    <row r="6" spans="1:3" x14ac:dyDescent="0.25"/>
    <row r="7" spans="1:3" x14ac:dyDescent="0.25"/>
    <row r="8" spans="1:3" x14ac:dyDescent="0.25"/>
    <row r="9" spans="1:3" x14ac:dyDescent="0.25"/>
    <row r="10" spans="1:3" x14ac:dyDescent="0.25"/>
    <row r="11" spans="1:3" x14ac:dyDescent="0.25"/>
    <row r="12" spans="1:3" x14ac:dyDescent="0.25"/>
    <row r="13" spans="1:3" x14ac:dyDescent="0.25"/>
    <row r="14" spans="1:3" x14ac:dyDescent="0.25"/>
    <row r="15" spans="1:3" x14ac:dyDescent="0.25"/>
    <row r="16" spans="1:3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</sheetData>
  <hyperlinks>
    <hyperlink ref="B3" location="TABELA!A1" display="VER TABELA"/>
  </hyperlink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3</vt:i4>
      </vt:variant>
    </vt:vector>
  </HeadingPairs>
  <TitlesOfParts>
    <vt:vector size="5" baseType="lpstr">
      <vt:lpstr>TABELA</vt:lpstr>
      <vt:lpstr>GRAFICO</vt:lpstr>
      <vt:lpstr>GRAFICO!Area_de_impressao</vt:lpstr>
      <vt:lpstr>TABELA!Area_de_impressao</vt:lpstr>
      <vt:lpstr>TABELA!Titulos_de_impressao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2011-12-31T12:09:36Z</dcterms:created>
  <dcterms:modified xsi:type="dcterms:W3CDTF">2011-12-31T12:14:22Z</dcterms:modified>
</cp:coreProperties>
</file>