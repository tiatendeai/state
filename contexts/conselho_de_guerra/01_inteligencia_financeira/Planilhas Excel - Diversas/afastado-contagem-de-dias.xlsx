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935"/>
  </bookViews>
  <sheets>
    <sheet name="Afastamento_Fér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 s="1"/>
  <c r="H13" i="1" s="1"/>
  <c r="C23" i="1" s="1"/>
  <c r="E14" i="1"/>
  <c r="F14" i="1" s="1"/>
  <c r="E12" i="1"/>
  <c r="F12" i="1" s="1"/>
  <c r="H14" i="1" l="1"/>
  <c r="C27" i="1" s="1"/>
  <c r="H12" i="1"/>
  <c r="C19" i="1" s="1"/>
  <c r="D27" i="1" l="1"/>
  <c r="E27" i="1" s="1"/>
  <c r="C26" i="1"/>
  <c r="D19" i="1"/>
  <c r="E19" i="1" s="1"/>
  <c r="C22" i="1"/>
  <c r="D23" i="1"/>
  <c r="E23" i="1" s="1"/>
  <c r="C18" i="1"/>
</calcChain>
</file>

<file path=xl/sharedStrings.xml><?xml version="1.0" encoding="utf-8"?>
<sst xmlns="http://schemas.openxmlformats.org/spreadsheetml/2006/main" count="22" uniqueCount="22">
  <si>
    <t>Inicio do Afastamento</t>
  </si>
  <si>
    <t>Fim do Afastamento</t>
  </si>
  <si>
    <t>dentro do periodo</t>
  </si>
  <si>
    <t>Mensagem</t>
  </si>
  <si>
    <t>Qtde dias afastado</t>
  </si>
  <si>
    <t>Período (s) aquisitivo (s) em aberto</t>
  </si>
  <si>
    <t>Início</t>
  </si>
  <si>
    <t>Fim</t>
  </si>
  <si>
    <t>1º Período aquisitivo</t>
  </si>
  <si>
    <t>2º Período aquisitivo</t>
  </si>
  <si>
    <t>3º Período aquisitivo</t>
  </si>
  <si>
    <t>Descrição</t>
  </si>
  <si>
    <t>* Cálculo dias de Afastamento dentro do Período Aquisitivo de Férias *</t>
  </si>
  <si>
    <t>Procedimento a ser realizado referente 1º período aquisitivo</t>
  </si>
  <si>
    <t>Procedimento a ser realizado referente 2º período aquisitivo</t>
  </si>
  <si>
    <t>Procedimento a ser realizado referente 3º período aquisitivo</t>
  </si>
  <si>
    <t>Data do Início do Afastamento</t>
  </si>
  <si>
    <t>Data Fim do Afastamento</t>
  </si>
  <si>
    <t>Data Início Período Aquisitivo em aberto</t>
  </si>
  <si>
    <t>Nome do funcionário :</t>
  </si>
  <si>
    <t>Fulano de Tal</t>
  </si>
  <si>
    <t>* ATENÇÃO * Digitar somente nos campos informados abaixo: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</si>
</sst>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2F2F2F"/>
      <name val="Calibri"/>
      <family val="2"/>
    </font>
    <font>
      <b/>
      <sz val="11"/>
      <color theme="5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 applyProtection="1">
      <protection hidden="1"/>
    </xf>
    <xf numFmtId="0" fontId="0" fillId="9" borderId="10" xfId="0" applyFill="1" applyBorder="1" applyProtection="1">
      <protection hidden="1"/>
    </xf>
    <xf numFmtId="0" fontId="0" fillId="9" borderId="11" xfId="0" applyFill="1" applyBorder="1" applyProtection="1">
      <protection hidden="1"/>
    </xf>
    <xf numFmtId="0" fontId="0" fillId="9" borderId="13" xfId="0" applyFill="1" applyBorder="1" applyProtection="1">
      <protection hidden="1"/>
    </xf>
    <xf numFmtId="0" fontId="0" fillId="2" borderId="0" xfId="0" applyFill="1" applyBorder="1" applyProtection="1">
      <protection hidden="1"/>
    </xf>
    <xf numFmtId="0" fontId="0" fillId="9" borderId="35" xfId="0" applyFill="1" applyBorder="1" applyProtection="1">
      <protection hidden="1"/>
    </xf>
    <xf numFmtId="0" fontId="0" fillId="9" borderId="36" xfId="0" applyFill="1" applyBorder="1" applyProtection="1">
      <protection hidden="1"/>
    </xf>
    <xf numFmtId="0" fontId="2" fillId="8" borderId="1" xfId="0" applyFont="1" applyFill="1" applyBorder="1" applyAlignment="1" applyProtection="1">
      <protection hidden="1"/>
    </xf>
    <xf numFmtId="0" fontId="2" fillId="8" borderId="2" xfId="0" applyFont="1" applyFill="1" applyBorder="1" applyAlignment="1" applyProtection="1">
      <protection hidden="1"/>
    </xf>
    <xf numFmtId="0" fontId="2" fillId="8" borderId="3" xfId="0" applyFont="1" applyFill="1" applyBorder="1" applyAlignment="1" applyProtection="1">
      <protection hidden="1"/>
    </xf>
    <xf numFmtId="0" fontId="0" fillId="9" borderId="0" xfId="0" applyFill="1" applyBorder="1" applyAlignment="1" applyProtection="1">
      <alignment vertical="center"/>
      <protection hidden="1"/>
    </xf>
    <xf numFmtId="16" fontId="0" fillId="9" borderId="0" xfId="0" applyNumberFormat="1" applyFill="1" applyBorder="1" applyAlignment="1" applyProtection="1">
      <alignment vertical="center"/>
      <protection hidden="1"/>
    </xf>
    <xf numFmtId="0" fontId="6" fillId="6" borderId="22" xfId="0" applyFont="1" applyFill="1" applyBorder="1" applyAlignment="1" applyProtection="1">
      <alignment vertical="center"/>
      <protection hidden="1"/>
    </xf>
    <xf numFmtId="0" fontId="1" fillId="7" borderId="38" xfId="0" applyFont="1" applyFill="1" applyBorder="1" applyProtection="1">
      <protection hidden="1"/>
    </xf>
    <xf numFmtId="0" fontId="1" fillId="7" borderId="9" xfId="0" applyFont="1" applyFill="1" applyBorder="1" applyProtection="1">
      <protection hidden="1"/>
    </xf>
    <xf numFmtId="0" fontId="1" fillId="7" borderId="39" xfId="0" applyFont="1" applyFill="1" applyBorder="1" applyProtection="1">
      <protection hidden="1"/>
    </xf>
    <xf numFmtId="0" fontId="6" fillId="6" borderId="24" xfId="0" applyFont="1" applyFill="1" applyBorder="1" applyAlignment="1" applyProtection="1">
      <alignment vertical="center"/>
      <protection hidden="1"/>
    </xf>
    <xf numFmtId="1" fontId="4" fillId="9" borderId="0" xfId="0" applyNumberFormat="1" applyFont="1" applyFill="1" applyBorder="1" applyAlignment="1" applyProtection="1">
      <alignment horizontal="center" vertical="center"/>
      <protection hidden="1"/>
    </xf>
    <xf numFmtId="0" fontId="1" fillId="7" borderId="19" xfId="0" applyFont="1" applyFill="1" applyBorder="1" applyProtection="1">
      <protection hidden="1"/>
    </xf>
    <xf numFmtId="0" fontId="1" fillId="7" borderId="20" xfId="0" applyFont="1" applyFill="1" applyBorder="1" applyProtection="1">
      <protection hidden="1"/>
    </xf>
    <xf numFmtId="0" fontId="1" fillId="7" borderId="21" xfId="0" applyFont="1" applyFill="1" applyBorder="1" applyProtection="1">
      <protection hidden="1"/>
    </xf>
    <xf numFmtId="0" fontId="5" fillId="5" borderId="30" xfId="0" applyFont="1" applyFill="1" applyBorder="1" applyAlignment="1" applyProtection="1">
      <alignment horizontal="center" vertical="center"/>
      <protection hidden="1"/>
    </xf>
    <xf numFmtId="0" fontId="5" fillId="5" borderId="15" xfId="0" applyFont="1" applyFill="1" applyBorder="1" applyAlignment="1" applyProtection="1">
      <alignment horizontal="center" vertical="center"/>
      <protection hidden="1"/>
    </xf>
    <xf numFmtId="0" fontId="0" fillId="10" borderId="32" xfId="0" applyFill="1" applyBorder="1" applyAlignment="1" applyProtection="1">
      <alignment horizontal="left" vertical="center"/>
      <protection hidden="1"/>
    </xf>
    <xf numFmtId="14" fontId="1" fillId="10" borderId="6" xfId="0" applyNumberFormat="1" applyFont="1" applyFill="1" applyBorder="1" applyAlignment="1" applyProtection="1">
      <alignment horizontal="center" vertical="center"/>
      <protection hidden="1"/>
    </xf>
    <xf numFmtId="0" fontId="1" fillId="10" borderId="18" xfId="0" applyFont="1" applyFill="1" applyBorder="1" applyAlignment="1" applyProtection="1">
      <alignment horizontal="center" vertical="center"/>
      <protection hidden="1"/>
    </xf>
    <xf numFmtId="0" fontId="0" fillId="10" borderId="33" xfId="0" applyFill="1" applyBorder="1" applyAlignment="1" applyProtection="1">
      <alignment horizontal="left" vertical="center"/>
      <protection hidden="1"/>
    </xf>
    <xf numFmtId="0" fontId="0" fillId="10" borderId="24" xfId="0" applyFill="1" applyBorder="1" applyAlignment="1" applyProtection="1">
      <alignment horizontal="left" vertical="center"/>
      <protection hidden="1"/>
    </xf>
    <xf numFmtId="0" fontId="1" fillId="10" borderId="14" xfId="0" applyFont="1" applyFill="1" applyBorder="1" applyAlignment="1" applyProtection="1">
      <alignment horizontal="center" vertical="center"/>
      <protection hidden="1"/>
    </xf>
    <xf numFmtId="0" fontId="0" fillId="9" borderId="0" xfId="0" applyFill="1" applyBorder="1" applyProtection="1">
      <protection hidden="1"/>
    </xf>
    <xf numFmtId="0" fontId="3" fillId="2" borderId="0" xfId="0" applyFont="1" applyFill="1" applyProtection="1">
      <protection hidden="1"/>
    </xf>
    <xf numFmtId="20" fontId="0" fillId="2" borderId="0" xfId="0" applyNumberFormat="1" applyFill="1" applyProtection="1">
      <protection hidden="1"/>
    </xf>
    <xf numFmtId="0" fontId="1" fillId="3" borderId="17" xfId="0" applyFont="1" applyFill="1" applyBorder="1" applyProtection="1">
      <protection hidden="1"/>
    </xf>
    <xf numFmtId="0" fontId="1" fillId="3" borderId="7" xfId="0" applyFont="1" applyFill="1" applyBorder="1" applyProtection="1">
      <protection hidden="1"/>
    </xf>
    <xf numFmtId="0" fontId="1" fillId="3" borderId="18" xfId="0" applyFont="1" applyFill="1" applyBorder="1" applyProtection="1">
      <protection hidden="1"/>
    </xf>
    <xf numFmtId="14" fontId="1" fillId="3" borderId="19" xfId="0" applyNumberFormat="1" applyFont="1" applyFill="1" applyBorder="1" applyAlignment="1" applyProtection="1">
      <alignment horizontal="center" vertical="center"/>
      <protection hidden="1"/>
    </xf>
    <xf numFmtId="14" fontId="1" fillId="3" borderId="20" xfId="0" applyNumberFormat="1" applyFont="1" applyFill="1" applyBorder="1" applyAlignment="1" applyProtection="1">
      <alignment horizontal="center" vertical="center"/>
      <protection hidden="1"/>
    </xf>
    <xf numFmtId="14" fontId="1" fillId="3" borderId="20" xfId="0" applyNumberFormat="1" applyFont="1" applyFill="1" applyBorder="1" applyProtection="1">
      <protection hidden="1"/>
    </xf>
    <xf numFmtId="0" fontId="0" fillId="3" borderId="21" xfId="0" applyFill="1" applyBorder="1" applyProtection="1">
      <protection hidden="1"/>
    </xf>
    <xf numFmtId="0" fontId="3" fillId="2" borderId="0" xfId="0" applyFont="1" applyFill="1" applyBorder="1" applyProtection="1">
      <protection hidden="1"/>
    </xf>
    <xf numFmtId="1" fontId="0" fillId="2" borderId="0" xfId="0" applyNumberFormat="1" applyFill="1" applyProtection="1">
      <protection hidden="1"/>
    </xf>
    <xf numFmtId="0" fontId="1" fillId="2" borderId="0" xfId="0" applyFont="1" applyFill="1" applyProtection="1">
      <protection hidden="1"/>
    </xf>
    <xf numFmtId="0" fontId="0" fillId="9" borderId="12" xfId="0" applyFill="1" applyBorder="1" applyProtection="1">
      <protection hidden="1"/>
    </xf>
    <xf numFmtId="0" fontId="0" fillId="9" borderId="37" xfId="0" applyFill="1" applyBorder="1" applyProtection="1">
      <protection hidden="1"/>
    </xf>
    <xf numFmtId="14" fontId="0" fillId="9" borderId="37" xfId="0" applyNumberFormat="1" applyFill="1" applyBorder="1" applyProtection="1">
      <protection hidden="1"/>
    </xf>
    <xf numFmtId="0" fontId="1" fillId="9" borderId="37" xfId="0" applyFont="1" applyFill="1" applyBorder="1" applyProtection="1">
      <protection hidden="1"/>
    </xf>
    <xf numFmtId="0" fontId="0" fillId="9" borderId="14" xfId="0" applyFill="1" applyBorder="1" applyProtection="1">
      <protection hidden="1"/>
    </xf>
    <xf numFmtId="14" fontId="1" fillId="2" borderId="23" xfId="0" applyNumberFormat="1" applyFont="1" applyFill="1" applyBorder="1" applyAlignment="1" applyProtection="1">
      <alignment horizontal="center" vertical="center"/>
      <protection locked="0"/>
    </xf>
    <xf numFmtId="14" fontId="1" fillId="2" borderId="25" xfId="0" applyNumberFormat="1" applyFont="1" applyFill="1" applyBorder="1" applyAlignment="1" applyProtection="1">
      <alignment horizontal="center" vertical="center"/>
      <protection locked="0"/>
    </xf>
    <xf numFmtId="14" fontId="1" fillId="10" borderId="5" xfId="0" applyNumberFormat="1" applyFont="1" applyFill="1" applyBorder="1" applyAlignment="1" applyProtection="1">
      <alignment horizontal="center" vertical="center"/>
      <protection locked="0"/>
    </xf>
    <xf numFmtId="14" fontId="1" fillId="10" borderId="4" xfId="0" applyNumberFormat="1" applyFont="1" applyFill="1" applyBorder="1" applyAlignment="1" applyProtection="1">
      <alignment horizontal="center" vertical="center"/>
      <protection locked="0"/>
    </xf>
    <xf numFmtId="14" fontId="1" fillId="10" borderId="34" xfId="0" applyNumberFormat="1" applyFont="1" applyFill="1" applyBorder="1" applyAlignment="1" applyProtection="1">
      <alignment horizontal="center" vertical="center"/>
      <protection locked="0"/>
    </xf>
    <xf numFmtId="0" fontId="1" fillId="6" borderId="41" xfId="0" applyFont="1" applyFill="1" applyBorder="1" applyProtection="1">
      <protection hidden="1"/>
    </xf>
    <xf numFmtId="0" fontId="0" fillId="11" borderId="35" xfId="0" applyFill="1" applyBorder="1" applyProtection="1">
      <protection hidden="1"/>
    </xf>
    <xf numFmtId="0" fontId="0" fillId="11" borderId="0" xfId="0" applyFill="1" applyBorder="1" applyProtection="1">
      <protection hidden="1"/>
    </xf>
    <xf numFmtId="0" fontId="0" fillId="11" borderId="36" xfId="0" applyFill="1" applyBorder="1" applyProtection="1">
      <protection hidden="1"/>
    </xf>
    <xf numFmtId="0" fontId="7" fillId="8" borderId="1" xfId="0" applyFont="1" applyFill="1" applyBorder="1" applyAlignment="1" applyProtection="1">
      <alignment horizontal="center"/>
      <protection hidden="1"/>
    </xf>
    <xf numFmtId="0" fontId="7" fillId="8" borderId="2" xfId="0" applyFont="1" applyFill="1" applyBorder="1" applyAlignment="1" applyProtection="1">
      <alignment horizontal="center"/>
      <protection hidden="1"/>
    </xf>
    <xf numFmtId="0" fontId="7" fillId="8" borderId="3" xfId="0" applyFont="1" applyFill="1" applyBorder="1" applyAlignment="1" applyProtection="1">
      <alignment horizontal="center"/>
      <protection hidden="1"/>
    </xf>
    <xf numFmtId="0" fontId="1" fillId="10" borderId="40" xfId="0" applyFont="1" applyFill="1" applyBorder="1" applyAlignment="1" applyProtection="1">
      <alignment horizontal="center" vertical="center"/>
      <protection hidden="1"/>
    </xf>
    <xf numFmtId="0" fontId="1" fillId="10" borderId="8" xfId="0" applyFont="1" applyFill="1" applyBorder="1" applyAlignment="1" applyProtection="1">
      <alignment horizontal="center" vertical="center"/>
      <protection hidden="1"/>
    </xf>
    <xf numFmtId="0" fontId="8" fillId="4" borderId="42" xfId="0" applyFont="1" applyFill="1" applyBorder="1" applyAlignment="1" applyProtection="1">
      <alignment horizontal="center" vertical="center"/>
      <protection hidden="1"/>
    </xf>
    <xf numFmtId="0" fontId="8" fillId="4" borderId="43" xfId="0" applyFont="1" applyFill="1" applyBorder="1" applyAlignment="1" applyProtection="1">
      <alignment horizontal="center" vertical="center"/>
      <protection hidden="1"/>
    </xf>
    <xf numFmtId="0" fontId="8" fillId="4" borderId="44" xfId="0" applyFont="1" applyFill="1" applyBorder="1" applyAlignment="1" applyProtection="1">
      <alignment horizontal="center" vertical="center"/>
      <protection hidden="1"/>
    </xf>
    <xf numFmtId="0" fontId="5" fillId="5" borderId="26" xfId="0" applyFont="1" applyFill="1" applyBorder="1" applyAlignment="1" applyProtection="1">
      <alignment horizontal="center" vertical="center"/>
      <protection hidden="1"/>
    </xf>
    <xf numFmtId="0" fontId="5" fillId="5" borderId="27" xfId="0" applyFont="1" applyFill="1" applyBorder="1" applyAlignment="1" applyProtection="1">
      <alignment horizontal="center" vertical="center"/>
      <protection hidden="1"/>
    </xf>
    <xf numFmtId="16" fontId="5" fillId="5" borderId="28" xfId="0" applyNumberFormat="1" applyFont="1" applyFill="1" applyBorder="1" applyAlignment="1" applyProtection="1">
      <alignment horizontal="center" vertical="center"/>
      <protection hidden="1"/>
    </xf>
    <xf numFmtId="16" fontId="5" fillId="5" borderId="16" xfId="0" applyNumberFormat="1" applyFont="1" applyFill="1" applyBorder="1" applyAlignment="1" applyProtection="1">
      <alignment horizontal="center" vertical="center"/>
      <protection hidden="1"/>
    </xf>
    <xf numFmtId="0" fontId="5" fillId="5" borderId="29" xfId="0" applyFont="1" applyFill="1" applyBorder="1" applyAlignment="1" applyProtection="1">
      <alignment horizontal="center" vertical="center"/>
      <protection hidden="1"/>
    </xf>
    <xf numFmtId="0" fontId="5" fillId="5" borderId="31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3" xfId="0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1343024</xdr:colOff>
      <xdr:row>11</xdr:row>
      <xdr:rowOff>27428</xdr:rowOff>
    </xdr:from>
    <xdr:to>
      <xdr:col>2</xdr:col>
      <xdr:colOff>1549907</xdr:colOff>
      <xdr:row>11</xdr:row>
      <xdr:rowOff>172596</xdr:rowOff>
    </xdr:to>
    <xdr:sp macro="" textlink="">
      <xdr:nvSpPr>
        <xdr:cNvPr id="3" name="Seta para a direita 2"/>
        <xdr:cNvSpPr/>
      </xdr:nvSpPr>
      <xdr:spPr>
        <a:xfrm>
          <a:off x="1952624" y="1989578"/>
          <a:ext cx="206883" cy="145168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sdf</a:t>
          </a:r>
        </a:p>
      </xdr:txBody>
    </xdr:sp>
    <xdr:clientData/>
  </xdr:twoCellAnchor>
  <xdr:twoCellAnchor>
    <xdr:from>
      <xdr:col>2</xdr:col>
      <xdr:colOff>1343024</xdr:colOff>
      <xdr:row>12</xdr:row>
      <xdr:rowOff>27428</xdr:rowOff>
    </xdr:from>
    <xdr:to>
      <xdr:col>2</xdr:col>
      <xdr:colOff>1549907</xdr:colOff>
      <xdr:row>12</xdr:row>
      <xdr:rowOff>172596</xdr:rowOff>
    </xdr:to>
    <xdr:sp macro="" textlink="">
      <xdr:nvSpPr>
        <xdr:cNvPr id="4" name="Seta para a direita 3"/>
        <xdr:cNvSpPr/>
      </xdr:nvSpPr>
      <xdr:spPr>
        <a:xfrm>
          <a:off x="1952624" y="2180078"/>
          <a:ext cx="206883" cy="145168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1343024</xdr:colOff>
      <xdr:row>13</xdr:row>
      <xdr:rowOff>27428</xdr:rowOff>
    </xdr:from>
    <xdr:to>
      <xdr:col>2</xdr:col>
      <xdr:colOff>1549907</xdr:colOff>
      <xdr:row>13</xdr:row>
      <xdr:rowOff>172596</xdr:rowOff>
    </xdr:to>
    <xdr:sp macro="" textlink="">
      <xdr:nvSpPr>
        <xdr:cNvPr id="5" name="Seta para a direita 4"/>
        <xdr:cNvSpPr/>
      </xdr:nvSpPr>
      <xdr:spPr>
        <a:xfrm>
          <a:off x="1952624" y="2370578"/>
          <a:ext cx="206883" cy="145168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1428750</xdr:colOff>
      <xdr:row>6</xdr:row>
      <xdr:rowOff>28575</xdr:rowOff>
    </xdr:from>
    <xdr:to>
      <xdr:col>2</xdr:col>
      <xdr:colOff>1635633</xdr:colOff>
      <xdr:row>6</xdr:row>
      <xdr:rowOff>173743</xdr:rowOff>
    </xdr:to>
    <xdr:sp macro="" textlink="">
      <xdr:nvSpPr>
        <xdr:cNvPr id="8" name="Seta para a direita 7"/>
        <xdr:cNvSpPr/>
      </xdr:nvSpPr>
      <xdr:spPr>
        <a:xfrm>
          <a:off x="2038350" y="1009650"/>
          <a:ext cx="206883" cy="145168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1428750</xdr:colOff>
      <xdr:row>7</xdr:row>
      <xdr:rowOff>28575</xdr:rowOff>
    </xdr:from>
    <xdr:to>
      <xdr:col>2</xdr:col>
      <xdr:colOff>1635633</xdr:colOff>
      <xdr:row>7</xdr:row>
      <xdr:rowOff>173743</xdr:rowOff>
    </xdr:to>
    <xdr:sp macro="" textlink="">
      <xdr:nvSpPr>
        <xdr:cNvPr id="9" name="Seta para a direita 8"/>
        <xdr:cNvSpPr/>
      </xdr:nvSpPr>
      <xdr:spPr>
        <a:xfrm>
          <a:off x="2038350" y="1209675"/>
          <a:ext cx="206883" cy="145168"/>
        </a:xfrm>
        <a:prstGeom prst="rightArrow">
          <a:avLst/>
        </a:prstGeom>
        <a:solidFill>
          <a:schemeClr val="accent5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8"/>
  <sheetViews>
    <sheetView tabSelected="1" workbookViewId="0">
      <selection activeCell="C25" sqref="C25:H25"/>
    </sheetView>
  </sheetViews>
  <sheetFormatPr defaultRowHeight="15" x14ac:dyDescent="0.25"/>
  <cols>
    <col min="1" max="1" width="2.7109375" style="1" customWidth="1"/>
    <col min="2" max="2" width="3.7109375" style="1" customWidth="1"/>
    <col min="3" max="3" width="25.42578125" style="1" customWidth="1"/>
    <col min="4" max="5" width="17" style="1" customWidth="1"/>
    <col min="6" max="6" width="10.28515625" style="1" customWidth="1"/>
    <col min="7" max="7" width="8.140625" style="1" customWidth="1"/>
    <col min="8" max="8" width="28" style="1" customWidth="1"/>
    <col min="9" max="9" width="3.7109375" style="1" customWidth="1"/>
    <col min="10" max="10" width="2.7109375" style="1" customWidth="1"/>
    <col min="11" max="11" width="4.7109375" style="1" hidden="1" customWidth="1"/>
    <col min="12" max="13" width="9.140625" style="1"/>
    <col min="14" max="14" width="10.7109375" style="1" bestFit="1" customWidth="1"/>
    <col min="15" max="15" width="26.28515625" style="1" customWidth="1"/>
    <col min="16" max="16" width="10.7109375" style="1" customWidth="1"/>
    <col min="17" max="17" width="4.7109375" style="1" customWidth="1"/>
    <col min="18" max="19" width="9.140625" style="1"/>
    <col min="20" max="21" width="10.7109375" style="1" bestFit="1" customWidth="1"/>
    <col min="22" max="16384" width="9.140625" style="1"/>
  </cols>
  <sheetData>
    <row r="1" spans="2:15" ht="8.1" customHeight="1" thickBot="1" x14ac:dyDescent="0.3"/>
    <row r="2" spans="2:15" ht="12" customHeight="1" thickBot="1" x14ac:dyDescent="0.3">
      <c r="B2" s="2"/>
      <c r="C2" s="3"/>
      <c r="D2" s="3"/>
      <c r="E2" s="3"/>
      <c r="F2" s="3"/>
      <c r="G2" s="3"/>
      <c r="H2" s="3"/>
      <c r="I2" s="4"/>
    </row>
    <row r="3" spans="2:15" ht="15" customHeight="1" x14ac:dyDescent="0.25">
      <c r="B3" s="6"/>
      <c r="C3" s="62" t="s">
        <v>12</v>
      </c>
      <c r="D3" s="63"/>
      <c r="E3" s="63"/>
      <c r="F3" s="63"/>
      <c r="G3" s="63"/>
      <c r="H3" s="64"/>
      <c r="I3" s="7"/>
    </row>
    <row r="4" spans="2:15" ht="5.0999999999999996" customHeight="1" thickBot="1" x14ac:dyDescent="0.3">
      <c r="B4" s="6"/>
      <c r="C4" s="30"/>
      <c r="D4" s="30"/>
      <c r="E4" s="30"/>
      <c r="F4" s="30"/>
      <c r="G4" s="30"/>
      <c r="H4" s="30"/>
      <c r="I4" s="7"/>
      <c r="J4" s="5"/>
      <c r="K4" s="5"/>
    </row>
    <row r="5" spans="2:15" ht="15.75" thickBot="1" x14ac:dyDescent="0.3">
      <c r="B5" s="6"/>
      <c r="C5" s="53" t="s">
        <v>19</v>
      </c>
      <c r="D5" s="71" t="s">
        <v>20</v>
      </c>
      <c r="E5" s="72"/>
      <c r="F5" s="72"/>
      <c r="G5" s="72"/>
      <c r="H5" s="73"/>
      <c r="I5" s="7"/>
      <c r="J5" s="5"/>
      <c r="K5" s="5"/>
    </row>
    <row r="6" spans="2:15" ht="5.0999999999999996" customHeight="1" thickBot="1" x14ac:dyDescent="0.3">
      <c r="B6" s="6"/>
      <c r="C6" s="11"/>
      <c r="D6" s="11"/>
      <c r="E6" s="12"/>
      <c r="F6" s="12"/>
      <c r="G6" s="11"/>
      <c r="H6" s="11"/>
      <c r="I6" s="7"/>
      <c r="J6" s="5"/>
      <c r="K6" s="5"/>
    </row>
    <row r="7" spans="2:15" ht="15.75" thickBot="1" x14ac:dyDescent="0.3">
      <c r="B7" s="6"/>
      <c r="C7" s="13" t="s">
        <v>0</v>
      </c>
      <c r="D7" s="48">
        <v>42797</v>
      </c>
      <c r="E7" s="11"/>
      <c r="F7" s="12"/>
      <c r="G7" s="11"/>
      <c r="H7" s="11"/>
      <c r="I7" s="7"/>
    </row>
    <row r="8" spans="2:15" ht="15.75" thickBot="1" x14ac:dyDescent="0.3">
      <c r="B8" s="6"/>
      <c r="C8" s="17" t="s">
        <v>1</v>
      </c>
      <c r="D8" s="49">
        <v>43174</v>
      </c>
      <c r="E8" s="18"/>
      <c r="F8" s="12"/>
      <c r="G8" s="11"/>
      <c r="H8" s="11"/>
      <c r="I8" s="7"/>
      <c r="L8" s="8" t="s">
        <v>21</v>
      </c>
      <c r="M8" s="9"/>
      <c r="N8" s="9"/>
      <c r="O8" s="10"/>
    </row>
    <row r="9" spans="2:15" ht="8.1" customHeight="1" thickBot="1" x14ac:dyDescent="0.3">
      <c r="B9" s="6"/>
      <c r="C9" s="11"/>
      <c r="D9" s="11"/>
      <c r="E9" s="11"/>
      <c r="F9" s="11"/>
      <c r="G9" s="11"/>
      <c r="H9" s="11"/>
      <c r="I9" s="7"/>
      <c r="L9" s="54"/>
      <c r="M9" s="55"/>
      <c r="N9" s="55"/>
      <c r="O9" s="56"/>
    </row>
    <row r="10" spans="2:15" x14ac:dyDescent="0.25">
      <c r="B10" s="6"/>
      <c r="C10" s="65" t="s">
        <v>5</v>
      </c>
      <c r="D10" s="66"/>
      <c r="E10" s="66"/>
      <c r="F10" s="67" t="s">
        <v>4</v>
      </c>
      <c r="G10" s="67"/>
      <c r="H10" s="69" t="s">
        <v>3</v>
      </c>
      <c r="I10" s="7"/>
      <c r="L10" s="14" t="s">
        <v>16</v>
      </c>
      <c r="M10" s="15"/>
      <c r="N10" s="15"/>
      <c r="O10" s="16"/>
    </row>
    <row r="11" spans="2:15" x14ac:dyDescent="0.25">
      <c r="B11" s="6"/>
      <c r="C11" s="22" t="s">
        <v>11</v>
      </c>
      <c r="D11" s="23" t="s">
        <v>6</v>
      </c>
      <c r="E11" s="23" t="s">
        <v>7</v>
      </c>
      <c r="F11" s="68" t="s">
        <v>2</v>
      </c>
      <c r="G11" s="68"/>
      <c r="H11" s="70"/>
      <c r="I11" s="7"/>
      <c r="L11" s="14" t="s">
        <v>17</v>
      </c>
      <c r="M11" s="15"/>
      <c r="N11" s="15"/>
      <c r="O11" s="16"/>
    </row>
    <row r="12" spans="2:15" ht="15.75" thickBot="1" x14ac:dyDescent="0.3">
      <c r="B12" s="6"/>
      <c r="C12" s="24" t="s">
        <v>8</v>
      </c>
      <c r="D12" s="50">
        <v>42637</v>
      </c>
      <c r="E12" s="25">
        <f>IF(ISBLANK(D12),"",DATE(YEAR(D12)+1,MONTH(D12),DAY(D12))-1)</f>
        <v>43001</v>
      </c>
      <c r="F12" s="60">
        <f>IF(D12="","",IF(D12&gt;$D$8,0,IF(AND(D12&lt;$D$7,E12&lt;$D$7),0,IF(AND(D12&gt;=$D$7,E12&lt;=$D$8),E12-D12+1,IF(AND(D12&gt;=$D$7,E12&gt;$D$8),$D$8-D12+1,IF(AND(D12&lt;=$D$7,E12&lt;=$D$8),E12-$D$7+1,IF(AND(D12&lt;$D$7,E12&gt;$D$8),$D$8-$D$7+1,1)))))))</f>
        <v>205</v>
      </c>
      <c r="G12" s="61"/>
      <c r="H12" s="26" t="str">
        <f>IF(D12="","",IF(F12&lt;=180,("Férias devidas"),IF(F12&gt;180,"Perdeu o direito")))</f>
        <v>Perdeu o direito</v>
      </c>
      <c r="I12" s="7"/>
      <c r="L12" s="19" t="s">
        <v>18</v>
      </c>
      <c r="M12" s="20"/>
      <c r="N12" s="20"/>
      <c r="O12" s="21"/>
    </row>
    <row r="13" spans="2:15" x14ac:dyDescent="0.25">
      <c r="B13" s="6"/>
      <c r="C13" s="27" t="s">
        <v>9</v>
      </c>
      <c r="D13" s="51"/>
      <c r="E13" s="25" t="str">
        <f t="shared" ref="E13:E14" si="0">IF(ISBLANK(D13),"",DATE(YEAR(D13)+1,MONTH(D13),DAY(D13))-1)</f>
        <v/>
      </c>
      <c r="F13" s="60" t="str">
        <f>IF(D13="","",IF(D13&gt;$D$8,0,IF(AND(D13&lt;$D$7,E13&lt;$D$7),0,IF(AND(D13&gt;=$D$7,E13&lt;=$D$8),E13-D13+1,IF(AND(D13&gt;=$D$7,E13&gt;$D$8),$D$8-D13+1,IF(AND(D13&lt;=$D$7,E13&lt;=$D$8),E13-$D$7+1,IF(AND(D13&lt;$D$7,E13&gt;$D$8),$D$8-D7+1,1)))))))</f>
        <v/>
      </c>
      <c r="G13" s="61"/>
      <c r="H13" s="26" t="str">
        <f>IF(D13="","",IF(F13&lt;=180,("Férias devidas"),IF(F13&gt;180,"Perdeu o direito")))</f>
        <v/>
      </c>
      <c r="I13" s="7"/>
    </row>
    <row r="14" spans="2:15" ht="15.75" thickBot="1" x14ac:dyDescent="0.3">
      <c r="B14" s="6"/>
      <c r="C14" s="28" t="s">
        <v>10</v>
      </c>
      <c r="D14" s="52"/>
      <c r="E14" s="25" t="str">
        <f t="shared" si="0"/>
        <v/>
      </c>
      <c r="F14" s="60" t="str">
        <f>IF(D14="","",IF(D14&gt;$D$8,0,IF(AND(D14&lt;$D$7,E14&lt;$D$7),0,IF(AND(D14&gt;=$D$7,E14&lt;=$D$8),E14-D14+1,IF(AND(D14&gt;=$D$7,E14&gt;$D$8),$D$8-D14+1,IF(AND(D14&lt;=$D$7,E14&lt;=$D$8),E14-$D$7+1,IF(AND(D14&lt;$D$7,E14&gt;$D$8),$D$8-D8+1,1)))))))</f>
        <v/>
      </c>
      <c r="G14" s="61"/>
      <c r="H14" s="29" t="str">
        <f t="shared" ref="H14" si="1">IF(D14="","",IF(F14&lt;=180,("Férias devidas"),IF(F14&gt;180,"Perdeu o direito")))</f>
        <v/>
      </c>
      <c r="I14" s="7"/>
    </row>
    <row r="15" spans="2:15" ht="8.1" customHeight="1" thickBot="1" x14ac:dyDescent="0.3">
      <c r="B15" s="6"/>
      <c r="C15" s="30"/>
      <c r="D15" s="30"/>
      <c r="E15" s="30"/>
      <c r="F15" s="30"/>
      <c r="G15" s="30"/>
      <c r="H15" s="30"/>
      <c r="I15" s="7"/>
      <c r="L15" s="5"/>
    </row>
    <row r="16" spans="2:15" ht="15" hidden="1" customHeight="1" thickBot="1" x14ac:dyDescent="0.3">
      <c r="B16" s="6"/>
      <c r="C16" s="30"/>
      <c r="D16" s="30"/>
      <c r="E16" s="30"/>
      <c r="F16" s="30"/>
      <c r="G16" s="30"/>
      <c r="H16" s="30"/>
      <c r="I16" s="7"/>
      <c r="L16" s="5"/>
    </row>
    <row r="17" spans="2:22" ht="19.5" thickBot="1" x14ac:dyDescent="0.35">
      <c r="B17" s="6"/>
      <c r="C17" s="57" t="s">
        <v>13</v>
      </c>
      <c r="D17" s="58"/>
      <c r="E17" s="58"/>
      <c r="F17" s="58"/>
      <c r="G17" s="58"/>
      <c r="H17" s="59"/>
      <c r="I17" s="7"/>
      <c r="L17" s="5"/>
      <c r="M17" s="31"/>
      <c r="N17" s="31"/>
      <c r="V17" s="32"/>
    </row>
    <row r="18" spans="2:22" x14ac:dyDescent="0.25">
      <c r="B18" s="6"/>
      <c r="C18" s="33" t="str">
        <f>IF(D12="","",IF(H12="Perdeu o direito","Alterar o período aquisitivo para a data abaixo, ficou mais de 180 dias afastado","Favor programar, não perdeu o direito, ficou menos de 180 dias afastado dentro do período aquisitivo"))</f>
        <v>Alterar o período aquisitivo para a data abaixo, ficou mais de 180 dias afastado</v>
      </c>
      <c r="D18" s="34"/>
      <c r="E18" s="34"/>
      <c r="F18" s="34"/>
      <c r="G18" s="34"/>
      <c r="H18" s="35"/>
      <c r="I18" s="7"/>
      <c r="L18" s="5"/>
      <c r="M18" s="31"/>
      <c r="N18" s="31"/>
    </row>
    <row r="19" spans="2:22" ht="15.75" thickBot="1" x14ac:dyDescent="0.3">
      <c r="B19" s="6"/>
      <c r="C19" s="36" t="str">
        <f>IF(D12="","",IF(H12="Férias devidas","Recomendo dar o aviso de",IF(H12="Perdeu o direito","Novo período aquisitivo :")))</f>
        <v>Novo período aquisitivo :</v>
      </c>
      <c r="D19" s="37">
        <f>IF(D12="","",IF(H12="Férias devidas","férias e programar",IF(H12="Perdeu o direito",D8+1)))</f>
        <v>43175</v>
      </c>
      <c r="E19" s="37">
        <f>IF(D12="","",IF(H12="Férias devidas","para daqui 30 dias",IF(H12="Perdeu o direito", DATE(YEAR(D19)+1,MONTH(D19),DAY(D19))-1)))</f>
        <v>43539</v>
      </c>
      <c r="F19" s="38"/>
      <c r="G19" s="38"/>
      <c r="H19" s="39"/>
      <c r="I19" s="7"/>
      <c r="L19" s="5"/>
      <c r="M19" s="31"/>
      <c r="N19" s="31"/>
    </row>
    <row r="20" spans="2:22" ht="6" customHeight="1" thickBot="1" x14ac:dyDescent="0.3">
      <c r="B20" s="6"/>
      <c r="C20" s="30"/>
      <c r="D20" s="30"/>
      <c r="E20" s="30"/>
      <c r="F20" s="30"/>
      <c r="G20" s="30"/>
      <c r="H20" s="30"/>
      <c r="I20" s="7"/>
      <c r="L20" s="5"/>
    </row>
    <row r="21" spans="2:22" ht="19.5" thickBot="1" x14ac:dyDescent="0.35">
      <c r="B21" s="6"/>
      <c r="C21" s="57" t="s">
        <v>14</v>
      </c>
      <c r="D21" s="58"/>
      <c r="E21" s="58"/>
      <c r="F21" s="58"/>
      <c r="G21" s="58"/>
      <c r="H21" s="59"/>
      <c r="I21" s="7"/>
      <c r="L21" s="5"/>
      <c r="M21" s="5"/>
      <c r="N21" s="5"/>
      <c r="O21" s="5"/>
    </row>
    <row r="22" spans="2:22" x14ac:dyDescent="0.25">
      <c r="B22" s="6"/>
      <c r="C22" s="33" t="str">
        <f>IF(D13="","",IF(H13="Perdeu o direito","Alterar o período aquisitivo para a data abaixo, ficou mais de 180 dias afastado","Favor programar, não perdeu o direito, ficou menos de 180 dias afastado dentro do período aquisitivo"))</f>
        <v/>
      </c>
      <c r="D22" s="34"/>
      <c r="E22" s="34"/>
      <c r="F22" s="34"/>
      <c r="G22" s="34"/>
      <c r="H22" s="35"/>
      <c r="I22" s="7"/>
      <c r="L22" s="5"/>
      <c r="M22" s="5"/>
      <c r="N22" s="5"/>
      <c r="O22" s="5"/>
    </row>
    <row r="23" spans="2:22" ht="15.75" thickBot="1" x14ac:dyDescent="0.3">
      <c r="B23" s="6"/>
      <c r="C23" s="36" t="str">
        <f>IF(D13="","",IF(H13="Férias devidas","Recomendo dar o aviso de",IF(H13="Perdeu o direito","Novo período aquisitivo :")))</f>
        <v/>
      </c>
      <c r="D23" s="37" t="str">
        <f>IF(D13="","",IF(H13="Férias devidas","férias e programar",IF(H13="Perdeu o direito",D8+1)))</f>
        <v/>
      </c>
      <c r="E23" s="37" t="str">
        <f>IF(D13="","",IF(H13="Férias devidas","para daqui 30 dias",IF(H13="Perdeu o direito", DATE(YEAR(D23)+1,MONTH(D23),DAY(D23))-1)))</f>
        <v/>
      </c>
      <c r="F23" s="38"/>
      <c r="G23" s="38"/>
      <c r="H23" s="39"/>
      <c r="I23" s="7"/>
      <c r="L23" s="40"/>
      <c r="M23" s="40"/>
      <c r="N23" s="40"/>
      <c r="O23" s="5"/>
    </row>
    <row r="24" spans="2:22" ht="6" customHeight="1" thickBot="1" x14ac:dyDescent="0.3">
      <c r="B24" s="6"/>
      <c r="C24" s="30"/>
      <c r="D24" s="30"/>
      <c r="E24" s="30"/>
      <c r="F24" s="30"/>
      <c r="G24" s="30"/>
      <c r="H24" s="30"/>
      <c r="I24" s="7"/>
      <c r="L24" s="5"/>
      <c r="M24" s="5"/>
      <c r="N24" s="5"/>
      <c r="O24" s="5"/>
    </row>
    <row r="25" spans="2:22" ht="19.5" thickBot="1" x14ac:dyDescent="0.35">
      <c r="B25" s="6"/>
      <c r="C25" s="57" t="s">
        <v>15</v>
      </c>
      <c r="D25" s="58"/>
      <c r="E25" s="58"/>
      <c r="F25" s="58"/>
      <c r="G25" s="58"/>
      <c r="H25" s="59"/>
      <c r="I25" s="7"/>
      <c r="M25" s="5"/>
      <c r="N25" s="5"/>
      <c r="O25" s="5"/>
    </row>
    <row r="26" spans="2:22" x14ac:dyDescent="0.25">
      <c r="B26" s="6"/>
      <c r="C26" s="33" t="str">
        <f>IF(D14="","",IF(H14="Perdeu o direito","Alterar o período aquisitivo para a data abaixo, ficou mais de 180 dias afastado","Favor programar, não perdeu o direito, ficou menos de 180 dias afastado dentro do período aquisitivo"))</f>
        <v/>
      </c>
      <c r="D26" s="34"/>
      <c r="E26" s="34"/>
      <c r="F26" s="34"/>
      <c r="G26" s="34"/>
      <c r="H26" s="35"/>
      <c r="I26" s="7"/>
      <c r="N26" s="41"/>
    </row>
    <row r="27" spans="2:22" ht="15.75" thickBot="1" x14ac:dyDescent="0.3">
      <c r="B27" s="6"/>
      <c r="C27" s="36" t="str">
        <f>IF(D14="","",IF(H14="Férias devidas","Recomendo dar o aviso de",IF(H14="Perdeu o direito","Novo período aquisitivo :")))</f>
        <v/>
      </c>
      <c r="D27" s="37" t="str">
        <f>IF(D14="","",IF(H14="Férias devidas","férias e programar",IF(H14="Perdeu o direito",D8+1)))</f>
        <v/>
      </c>
      <c r="E27" s="37" t="str">
        <f>IF(D14="","",IF(H14="Férias devidas","para daqui 30 dias",IF(H14="Perdeu o direito", DATE(YEAR(D27)+1,MONTH(D27),DAY(D27))-1)))</f>
        <v/>
      </c>
      <c r="F27" s="38"/>
      <c r="G27" s="38"/>
      <c r="H27" s="39"/>
      <c r="I27" s="7"/>
      <c r="M27" s="42"/>
    </row>
    <row r="28" spans="2:22" ht="12" customHeight="1" thickBot="1" x14ac:dyDescent="0.3">
      <c r="B28" s="43"/>
      <c r="C28" s="44"/>
      <c r="D28" s="45"/>
      <c r="E28" s="45"/>
      <c r="F28" s="46"/>
      <c r="G28" s="44"/>
      <c r="H28" s="44"/>
      <c r="I28" s="47"/>
    </row>
  </sheetData>
  <sheetProtection password="CFCD" sheet="1" objects="1" scenarios="1"/>
  <mergeCells count="12">
    <mergeCell ref="C21:H21"/>
    <mergeCell ref="C25:H25"/>
    <mergeCell ref="F14:G14"/>
    <mergeCell ref="C3:H3"/>
    <mergeCell ref="C17:H17"/>
    <mergeCell ref="C10:E10"/>
    <mergeCell ref="F12:G12"/>
    <mergeCell ref="F13:G13"/>
    <mergeCell ref="F10:G10"/>
    <mergeCell ref="F11:G11"/>
    <mergeCell ref="H10:H11"/>
    <mergeCell ref="D5:H5"/>
  </mergeCells>
  <conditionalFormatting sqref="H12:H14">
    <cfRule type="cellIs" dxfId="5" priority="5" operator="equal">
      <formula>"Perdeu o direito"</formula>
    </cfRule>
    <cfRule type="cellIs" dxfId="4" priority="6" operator="equal">
      <formula>"Férias devidas"</formula>
    </cfRule>
  </conditionalFormatting>
  <conditionalFormatting sqref="C27">
    <cfRule type="cellIs" dxfId="3" priority="1" operator="equal">
      <formula>"Novo período aquisitivo :"</formula>
    </cfRule>
    <cfRule type="cellIs" dxfId="2" priority="4" operator="equal">
      <formula>"Novo período aquisitivo"</formula>
    </cfRule>
  </conditionalFormatting>
  <conditionalFormatting sqref="C23">
    <cfRule type="cellIs" dxfId="1" priority="3" operator="equal">
      <formula>"Novo período aquisitivo :"</formula>
    </cfRule>
  </conditionalFormatting>
  <conditionalFormatting sqref="C19">
    <cfRule type="cellIs" dxfId="0" priority="2" stopIfTrue="1" operator="equal">
      <formula>"Novo período aquisitivo :"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Afastamento_Férias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Nei</cp:lastModifiedBy>
  <dcterms:created xsi:type="dcterms:W3CDTF">2018-04-16T13:02:42Z</dcterms:created>
  <dcterms:modified xsi:type="dcterms:W3CDTF">2018-05-07T00:36:09Z</dcterms:modified>
</cp:coreProperties>
</file>