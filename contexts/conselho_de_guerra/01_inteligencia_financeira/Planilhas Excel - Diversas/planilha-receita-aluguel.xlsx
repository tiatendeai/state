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Plan1" sheetId="1" r:id="rId1"/>
    <sheet name="Plan2" sheetId="2" r:id="rId2"/>
    <sheet name="Plan3" sheetId="3" r:id="rId3"/>
  </sheets>
  <calcPr calcId="124519"/>
</workbook>
</file>

<file path=xl/calcChain.xml><?xml version="1.0" encoding="utf-8"?>
<calcChain xmlns="http://schemas.openxmlformats.org/spreadsheetml/2006/main">
  <c r="B22" i="1"/>
  <c r="C22"/>
  <c r="C21"/>
  <c r="C20"/>
  <c r="B20"/>
  <c r="C15"/>
  <c r="E15"/>
  <c r="E12"/>
  <c r="E11"/>
  <c r="C11"/>
  <c r="B43"/>
  <c r="B44" s="1"/>
  <c r="B21"/>
  <c r="D15"/>
  <c r="B15"/>
  <c r="B45" l="1"/>
  <c r="B46" s="1"/>
</calcChain>
</file>

<file path=xl/sharedStrings.xml><?xml version="1.0" encoding="utf-8"?>
<sst xmlns="http://schemas.openxmlformats.org/spreadsheetml/2006/main" count="46" uniqueCount="44">
  <si>
    <t>IR</t>
  </si>
  <si>
    <t>CSLL</t>
  </si>
  <si>
    <t>* Caso a empresa locatária seja tributada com base no lucro real, esta poderá creditar-se às alíquotas de 1,65% e 7,6% de PIS e COFINS, respectivamente, caso o locador seja uma pessoa Jurídica Não Optante pelo Simples Nacional, reduzindo assim a despesa com aluguel. Conforme Art. 3 da Lei 10.833/2003</t>
  </si>
  <si>
    <t>Ex:</t>
  </si>
  <si>
    <t>Valor do Aluguel</t>
  </si>
  <si>
    <t>Crédito PIS (1,65%)</t>
  </si>
  <si>
    <t>Crédito Cofins (7,6%)</t>
  </si>
  <si>
    <t>Despesa de Fato</t>
  </si>
  <si>
    <t>* Pessoa Jurídica tributada pelo Lucro Presumido quando a atividade de locação não faz parte do ramo de atividade da empresa, não paga PIS e COFINS sobre esta receita, conforme Art. 79 da Lei 11.941/2009, o qual revogou o Parágrafo 1º do Art. 3º da Lei 9718/1998.</t>
  </si>
  <si>
    <t>* Empresa optante pelo Simples Nacional, não pode obter receita de atividade de locação de imóveis, pois, esta atividade é impeditiva do Simples, Conforme Art. 17, inciso XV, da Lei Complementar 123/2006</t>
  </si>
  <si>
    <t>Impostos</t>
  </si>
  <si>
    <t>PIS</t>
  </si>
  <si>
    <t>COFINS</t>
  </si>
  <si>
    <t>P.F</t>
  </si>
  <si>
    <t>P.J</t>
  </si>
  <si>
    <t>Total</t>
  </si>
  <si>
    <t>Alíq.</t>
  </si>
  <si>
    <t>Receita</t>
  </si>
  <si>
    <t>Descontos</t>
  </si>
  <si>
    <t>Locador</t>
  </si>
  <si>
    <t>Base de cálculo anual em R$</t>
  </si>
  <si>
    <t>Alíquota %</t>
  </si>
  <si>
    <t>Até 1.787,77</t>
  </si>
  <si>
    <t>-</t>
  </si>
  <si>
    <t>De 1.787,77 até 2.679,29</t>
  </si>
  <si>
    <t>De 2.679,29 até 3.572,43</t>
  </si>
  <si>
    <t>De 3.572,43 até 4.463,81</t>
  </si>
  <si>
    <t>Acima de 4.463,81</t>
  </si>
  <si>
    <t>Tabela Progressiva 2014</t>
  </si>
  <si>
    <t>Pessoa Física</t>
  </si>
  <si>
    <t>Pessoa Jurídica</t>
  </si>
  <si>
    <t>Valor</t>
  </si>
  <si>
    <t>Receita do Aluguel</t>
  </si>
  <si>
    <t>Comparativo de Resultado Pessoa Jurídica X Pessoa Física</t>
  </si>
  <si>
    <t>Parcela a deduzir do Resultado da multiplicação: Valor do Aluguel x Alíquota</t>
  </si>
  <si>
    <t>Retenção na Fonte de Pessoa Física</t>
  </si>
  <si>
    <t>Vedação para empresa do Simples Nacional - Receita de Aluguel</t>
  </si>
  <si>
    <t>Créditos de PIS e COFINS para as Empresas do Lucro Real</t>
  </si>
  <si>
    <t>Receita Líquida</t>
  </si>
  <si>
    <t>* Pessoa Física sofre retenção na fonte quando loca para PJ, conforme a Tabela Progressiva, com alíquotas mostradas acima, contando ainda com uma parcela a deduzir. Conforme Art. 631 do Decreto 3.000/99 (Regulamento do Imposto de Renda)</t>
  </si>
  <si>
    <t>COMPARATIVO RENDIMENTO/RECEITA DE ALUGUEL P.F. X P.J.</t>
  </si>
  <si>
    <t>* Análise para verificação de melhor viabilidade para obtenção de receita de aluguel, contrato na pessoa física x pessoa jurídica.</t>
  </si>
  <si>
    <t>Isenção de PIS e COFINS - Empresas Não Optantes pelo Simples</t>
  </si>
  <si>
    <t>Cálculo dos Impostos - Comparativo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</si>
</sst>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1" xfId="0" applyFont="1" applyBorder="1"/>
    <xf numFmtId="43" fontId="2" fillId="0" borderId="1" xfId="1" applyFont="1" applyBorder="1"/>
    <xf numFmtId="10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2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43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43" fontId="2" fillId="0" borderId="0" xfId="1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3" fontId="2" fillId="0" borderId="6" xfId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2" fillId="2" borderId="9" xfId="0" applyNumberFormat="1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3" xfId="0" applyFont="1" applyBorder="1"/>
    <xf numFmtId="43" fontId="2" fillId="0" borderId="4" xfId="1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5" xfId="0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7" xfId="0" applyFont="1" applyBorder="1"/>
    <xf numFmtId="43" fontId="2" fillId="0" borderId="17" xfId="1" applyFont="1" applyBorder="1"/>
    <xf numFmtId="43" fontId="2" fillId="0" borderId="17" xfId="1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43" fontId="3" fillId="0" borderId="4" xfId="0" applyNumberFormat="1" applyFont="1" applyBorder="1" applyAlignment="1">
      <alignment horizontal="center" vertical="center"/>
    </xf>
    <xf numFmtId="43" fontId="2" fillId="0" borderId="16" xfId="1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3" fillId="0" borderId="0" xfId="0" applyFont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topLeftCell="A34" workbookViewId="0">
      <selection activeCell="B23" sqref="B23"/>
    </sheetView>
  </sheetViews>
  <sheetFormatPr defaultColWidth="11.28515625" defaultRowHeight="12.75"/>
  <cols>
    <col min="1" max="1" width="19.7109375" style="1" customWidth="1"/>
    <col min="2" max="2" width="13.28515625" style="1" customWidth="1"/>
    <col min="3" max="3" width="14.140625" style="1" customWidth="1"/>
    <col min="4" max="4" width="12" style="1" customWidth="1"/>
    <col min="5" max="5" width="13.5703125" style="1" customWidth="1"/>
    <col min="6" max="16384" width="11.28515625" style="1"/>
  </cols>
  <sheetData>
    <row r="1" spans="1:5" ht="13.5" thickBot="1">
      <c r="A1" s="33" t="s">
        <v>40</v>
      </c>
      <c r="B1" s="34"/>
      <c r="C1" s="34"/>
      <c r="D1" s="34"/>
      <c r="E1" s="35"/>
    </row>
    <row r="3" spans="1:5" ht="39" customHeight="1">
      <c r="A3" s="32" t="s">
        <v>41</v>
      </c>
      <c r="B3" s="32"/>
      <c r="C3" s="32"/>
      <c r="D3" s="32"/>
      <c r="E3" s="32"/>
    </row>
    <row r="4" spans="1:5" ht="13.5" thickBot="1"/>
    <row r="5" spans="1:5">
      <c r="A5" s="39" t="s">
        <v>32</v>
      </c>
      <c r="B5" s="40">
        <v>14000</v>
      </c>
      <c r="C5" s="41"/>
      <c r="D5" s="41"/>
      <c r="E5" s="42"/>
    </row>
    <row r="6" spans="1:5">
      <c r="A6" s="43"/>
      <c r="B6" s="23"/>
      <c r="C6" s="44"/>
      <c r="D6" s="44"/>
      <c r="E6" s="45"/>
    </row>
    <row r="7" spans="1:5">
      <c r="A7" s="46" t="s">
        <v>43</v>
      </c>
      <c r="B7" s="17"/>
      <c r="C7" s="17"/>
      <c r="D7" s="17"/>
      <c r="E7" s="47"/>
    </row>
    <row r="8" spans="1:5">
      <c r="A8" s="48"/>
      <c r="B8" s="44"/>
      <c r="C8" s="44"/>
      <c r="D8" s="44"/>
      <c r="E8" s="45"/>
    </row>
    <row r="9" spans="1:5">
      <c r="A9" s="48"/>
      <c r="B9" s="17" t="s">
        <v>29</v>
      </c>
      <c r="C9" s="17"/>
      <c r="D9" s="17" t="s">
        <v>30</v>
      </c>
      <c r="E9" s="47"/>
    </row>
    <row r="10" spans="1:5">
      <c r="A10" s="49" t="s">
        <v>10</v>
      </c>
      <c r="B10" s="2" t="s">
        <v>16</v>
      </c>
      <c r="C10" s="2" t="s">
        <v>31</v>
      </c>
      <c r="D10" s="2" t="s">
        <v>16</v>
      </c>
      <c r="E10" s="50" t="s">
        <v>31</v>
      </c>
    </row>
    <row r="11" spans="1:5">
      <c r="A11" s="51" t="s">
        <v>0</v>
      </c>
      <c r="B11" s="4">
        <v>0.27500000000000002</v>
      </c>
      <c r="C11" s="3">
        <f>B11*B5-826.15</f>
        <v>3023.8500000000004</v>
      </c>
      <c r="D11" s="4">
        <v>4.8800000000000003E-2</v>
      </c>
      <c r="E11" s="52">
        <f>D11*B5</f>
        <v>683.2</v>
      </c>
    </row>
    <row r="12" spans="1:5">
      <c r="A12" s="51" t="s">
        <v>1</v>
      </c>
      <c r="B12" s="3">
        <v>0</v>
      </c>
      <c r="C12" s="3">
        <v>0</v>
      </c>
      <c r="D12" s="4">
        <v>2.8799999999999999E-2</v>
      </c>
      <c r="E12" s="52">
        <f>D12*B5</f>
        <v>403.2</v>
      </c>
    </row>
    <row r="13" spans="1:5">
      <c r="A13" s="51" t="s">
        <v>11</v>
      </c>
      <c r="B13" s="3">
        <v>0</v>
      </c>
      <c r="C13" s="3">
        <v>0</v>
      </c>
      <c r="D13" s="3">
        <v>0</v>
      </c>
      <c r="E13" s="52">
        <v>0</v>
      </c>
    </row>
    <row r="14" spans="1:5">
      <c r="A14" s="51" t="s">
        <v>12</v>
      </c>
      <c r="B14" s="3">
        <v>0</v>
      </c>
      <c r="C14" s="3">
        <v>0</v>
      </c>
      <c r="D14" s="3">
        <v>0</v>
      </c>
      <c r="E14" s="52">
        <v>0</v>
      </c>
    </row>
    <row r="15" spans="1:5">
      <c r="A15" s="27" t="s">
        <v>15</v>
      </c>
      <c r="B15" s="6">
        <f>SUM(B11:B14)</f>
        <v>0.27500000000000002</v>
      </c>
      <c r="C15" s="7">
        <f>SUM(C11:C14)</f>
        <v>3023.8500000000004</v>
      </c>
      <c r="D15" s="6">
        <f>SUM(D11:D14)</f>
        <v>7.7600000000000002E-2</v>
      </c>
      <c r="E15" s="53">
        <f>SUM(E11:E14)</f>
        <v>1086.4000000000001</v>
      </c>
    </row>
    <row r="16" spans="1:5">
      <c r="A16" s="25"/>
      <c r="B16" s="8"/>
      <c r="C16" s="9"/>
      <c r="D16" s="8"/>
      <c r="E16" s="26"/>
    </row>
    <row r="17" spans="1:5">
      <c r="A17" s="24" t="s">
        <v>33</v>
      </c>
      <c r="B17" s="24"/>
      <c r="C17" s="24"/>
      <c r="D17" s="24"/>
      <c r="E17" s="24"/>
    </row>
    <row r="18" spans="1:5">
      <c r="A18" s="25"/>
      <c r="B18" s="8"/>
      <c r="C18" s="9"/>
      <c r="D18" s="8"/>
      <c r="E18" s="26"/>
    </row>
    <row r="19" spans="1:5">
      <c r="A19" s="27" t="s">
        <v>19</v>
      </c>
      <c r="B19" s="5" t="s">
        <v>13</v>
      </c>
      <c r="C19" s="10" t="s">
        <v>14</v>
      </c>
      <c r="D19" s="8"/>
      <c r="E19" s="26"/>
    </row>
    <row r="20" spans="1:5">
      <c r="A20" s="27" t="s">
        <v>17</v>
      </c>
      <c r="B20" s="7">
        <f>B5</f>
        <v>14000</v>
      </c>
      <c r="C20" s="7">
        <f>B5</f>
        <v>14000</v>
      </c>
      <c r="D20" s="8"/>
      <c r="E20" s="26"/>
    </row>
    <row r="21" spans="1:5">
      <c r="A21" s="27" t="s">
        <v>18</v>
      </c>
      <c r="B21" s="11">
        <f>C15</f>
        <v>3023.8500000000004</v>
      </c>
      <c r="C21" s="7">
        <f>E15</f>
        <v>1086.4000000000001</v>
      </c>
      <c r="D21" s="8"/>
      <c r="E21" s="26"/>
    </row>
    <row r="22" spans="1:5" ht="13.5" thickBot="1">
      <c r="A22" s="28" t="s">
        <v>38</v>
      </c>
      <c r="B22" s="29">
        <f>B20-B21</f>
        <v>10976.15</v>
      </c>
      <c r="C22" s="29">
        <f>C20-C21</f>
        <v>12913.6</v>
      </c>
      <c r="D22" s="30"/>
      <c r="E22" s="31"/>
    </row>
    <row r="23" spans="1:5" ht="13.5" thickBot="1">
      <c r="A23" s="8"/>
      <c r="B23" s="12"/>
      <c r="C23" s="12"/>
      <c r="D23" s="8"/>
      <c r="E23" s="9"/>
    </row>
    <row r="24" spans="1:5">
      <c r="A24" s="55"/>
      <c r="B24" s="56" t="s">
        <v>28</v>
      </c>
      <c r="C24" s="56"/>
      <c r="D24" s="56"/>
      <c r="E24" s="57"/>
    </row>
    <row r="25" spans="1:5">
      <c r="A25" s="25"/>
      <c r="B25" s="12"/>
      <c r="C25" s="9"/>
      <c r="D25" s="8"/>
      <c r="E25" s="26"/>
    </row>
    <row r="26" spans="1:5" s="13" customFormat="1" ht="54" customHeight="1">
      <c r="A26" s="58" t="s">
        <v>20</v>
      </c>
      <c r="B26" s="18"/>
      <c r="C26" s="19" t="s">
        <v>21</v>
      </c>
      <c r="D26" s="54" t="s">
        <v>34</v>
      </c>
      <c r="E26" s="59"/>
    </row>
    <row r="27" spans="1:5" ht="15.75" customHeight="1">
      <c r="A27" s="60" t="s">
        <v>22</v>
      </c>
      <c r="B27" s="20"/>
      <c r="C27" s="21" t="s">
        <v>23</v>
      </c>
      <c r="D27" s="20"/>
      <c r="E27" s="61"/>
    </row>
    <row r="28" spans="1:5" ht="15.75" customHeight="1">
      <c r="A28" s="60" t="s">
        <v>24</v>
      </c>
      <c r="B28" s="20"/>
      <c r="C28" s="21">
        <v>7.5</v>
      </c>
      <c r="D28" s="20">
        <v>134.08000000000001</v>
      </c>
      <c r="E28" s="61"/>
    </row>
    <row r="29" spans="1:5" ht="15.75" customHeight="1">
      <c r="A29" s="60" t="s">
        <v>25</v>
      </c>
      <c r="B29" s="20"/>
      <c r="C29" s="21">
        <v>15</v>
      </c>
      <c r="D29" s="20">
        <v>335.03</v>
      </c>
      <c r="E29" s="61"/>
    </row>
    <row r="30" spans="1:5" ht="15.75" customHeight="1">
      <c r="A30" s="60" t="s">
        <v>26</v>
      </c>
      <c r="B30" s="20"/>
      <c r="C30" s="21">
        <v>22.5</v>
      </c>
      <c r="D30" s="20">
        <v>602.96</v>
      </c>
      <c r="E30" s="61"/>
    </row>
    <row r="31" spans="1:5" ht="15.75" customHeight="1" thickBot="1">
      <c r="A31" s="62" t="s">
        <v>27</v>
      </c>
      <c r="B31" s="63"/>
      <c r="C31" s="64">
        <v>27.5</v>
      </c>
      <c r="D31" s="63">
        <v>826.15</v>
      </c>
      <c r="E31" s="65"/>
    </row>
    <row r="32" spans="1:5">
      <c r="A32" s="8"/>
      <c r="B32" s="12"/>
      <c r="C32" s="9"/>
      <c r="D32" s="8"/>
      <c r="E32" s="9"/>
    </row>
    <row r="33" spans="1:5" ht="16.5" customHeight="1">
      <c r="A33" s="36" t="s">
        <v>35</v>
      </c>
      <c r="B33" s="36"/>
      <c r="C33" s="36"/>
      <c r="D33" s="36"/>
      <c r="E33" s="36"/>
    </row>
    <row r="34" spans="1:5" s="14" customFormat="1" ht="54.75" customHeight="1">
      <c r="A34" s="22" t="s">
        <v>39</v>
      </c>
      <c r="B34" s="22"/>
      <c r="C34" s="22"/>
      <c r="D34" s="22"/>
      <c r="E34" s="22"/>
    </row>
    <row r="35" spans="1:5" s="14" customFormat="1" ht="18.75" customHeight="1">
      <c r="A35" s="32" t="s">
        <v>36</v>
      </c>
      <c r="B35" s="32"/>
      <c r="C35" s="32"/>
      <c r="D35" s="32"/>
      <c r="E35" s="32"/>
    </row>
    <row r="36" spans="1:5" s="14" customFormat="1" ht="45.75" customHeight="1">
      <c r="A36" s="22" t="s">
        <v>9</v>
      </c>
      <c r="B36" s="22"/>
      <c r="C36" s="22"/>
      <c r="D36" s="22"/>
      <c r="E36" s="22"/>
    </row>
    <row r="37" spans="1:5" s="38" customFormat="1" ht="20.25" customHeight="1">
      <c r="A37" s="37" t="s">
        <v>42</v>
      </c>
      <c r="B37" s="37"/>
      <c r="C37" s="37"/>
      <c r="D37" s="37"/>
      <c r="E37" s="37"/>
    </row>
    <row r="38" spans="1:5" ht="63" customHeight="1">
      <c r="A38" s="22" t="s">
        <v>8</v>
      </c>
      <c r="B38" s="22"/>
      <c r="C38" s="22"/>
      <c r="D38" s="22"/>
      <c r="E38" s="22"/>
    </row>
    <row r="39" spans="1:5" s="38" customFormat="1" ht="17.25" customHeight="1">
      <c r="A39" s="37" t="s">
        <v>37</v>
      </c>
      <c r="B39" s="37"/>
      <c r="C39" s="37"/>
      <c r="D39" s="37"/>
      <c r="E39" s="37"/>
    </row>
    <row r="40" spans="1:5" s="14" customFormat="1" ht="66" customHeight="1">
      <c r="A40" s="22" t="s">
        <v>2</v>
      </c>
      <c r="B40" s="22"/>
      <c r="C40" s="22"/>
      <c r="D40" s="22"/>
      <c r="E40" s="22"/>
    </row>
    <row r="41" spans="1:5" s="14" customFormat="1">
      <c r="A41" s="15"/>
      <c r="B41" s="15"/>
      <c r="C41" s="15"/>
      <c r="D41" s="15"/>
    </row>
    <row r="42" spans="1:5">
      <c r="A42" s="66" t="s">
        <v>3</v>
      </c>
    </row>
    <row r="43" spans="1:5">
      <c r="A43" s="1" t="s">
        <v>4</v>
      </c>
      <c r="B43" s="16">
        <f>B5</f>
        <v>14000</v>
      </c>
    </row>
    <row r="44" spans="1:5">
      <c r="A44" s="1" t="s">
        <v>5</v>
      </c>
      <c r="B44" s="16">
        <f>B43*1.65%</f>
        <v>231</v>
      </c>
    </row>
    <row r="45" spans="1:5">
      <c r="A45" s="1" t="s">
        <v>6</v>
      </c>
      <c r="B45" s="16">
        <f>B43*7.6%</f>
        <v>1064</v>
      </c>
    </row>
    <row r="46" spans="1:5">
      <c r="A46" s="1" t="s">
        <v>7</v>
      </c>
      <c r="B46" s="16">
        <f>B43-B44-B45</f>
        <v>12705</v>
      </c>
    </row>
  </sheetData>
  <mergeCells count="27">
    <mergeCell ref="A1:E1"/>
    <mergeCell ref="A3:E3"/>
    <mergeCell ref="A40:E40"/>
    <mergeCell ref="A7:E7"/>
    <mergeCell ref="A17:E17"/>
    <mergeCell ref="A33:E33"/>
    <mergeCell ref="A35:E35"/>
    <mergeCell ref="A37:E37"/>
    <mergeCell ref="A39:E39"/>
    <mergeCell ref="B9:C9"/>
    <mergeCell ref="D9:E9"/>
    <mergeCell ref="D26:E26"/>
    <mergeCell ref="A26:B26"/>
    <mergeCell ref="A27:B27"/>
    <mergeCell ref="D27:E27"/>
    <mergeCell ref="B24:D24"/>
    <mergeCell ref="A28:B28"/>
    <mergeCell ref="A29:B29"/>
    <mergeCell ref="A30:B30"/>
    <mergeCell ref="A31:B31"/>
    <mergeCell ref="D28:E28"/>
    <mergeCell ref="D29:E29"/>
    <mergeCell ref="D30:E30"/>
    <mergeCell ref="D31:E31"/>
    <mergeCell ref="A34:E34"/>
    <mergeCell ref="A36:E36"/>
    <mergeCell ref="A38:E38"/>
  </mergeCells>
  <pageMargins left="0.511811024" right="0.511811024" top="1.3474015750000001" bottom="0.78740157499999996" header="0.31496062000000002" footer="0.31496062000000002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Coordenador</dc:creator>
  <cp:lastModifiedBy>Coordenador</cp:lastModifiedBy>
  <cp:lastPrinted>2014-02-10T15:43:46Z</cp:lastPrinted>
  <dcterms:created xsi:type="dcterms:W3CDTF">2014-02-03T19:23:37Z</dcterms:created>
  <dcterms:modified xsi:type="dcterms:W3CDTF">2014-02-10T16:13:26Z</dcterms:modified>
</cp:coreProperties>
</file>