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95" windowWidth="18195" windowHeight="11700" activeTab="1"/>
  </bookViews>
  <sheets>
    <sheet name="Simples Nacional 2017" sheetId="2" r:id="rId1"/>
    <sheet name="SIMULAÇÃO" sheetId="1" r:id="rId2"/>
  </sheets>
  <calcPr calcId="145621"/>
</workbook>
</file>

<file path=xl/calcChain.xml><?xml version="1.0" encoding="utf-8"?>
<calcChain xmlns="http://schemas.openxmlformats.org/spreadsheetml/2006/main">
  <c r="C29" i="1" l="1"/>
  <c r="C31" i="1"/>
  <c r="C32" i="1"/>
  <c r="C33" i="1"/>
  <c r="D24" i="1" l="1"/>
  <c r="B47" i="1" l="1"/>
  <c r="B48" i="1"/>
  <c r="B49" i="1"/>
  <c r="B50" i="1"/>
  <c r="B51" i="1"/>
  <c r="B52" i="1"/>
  <c r="B53" i="1"/>
  <c r="B54" i="1"/>
  <c r="B55" i="1"/>
  <c r="B56" i="1"/>
  <c r="B46" i="1"/>
  <c r="B45" i="1"/>
  <c r="G29" i="1" l="1"/>
  <c r="I29" i="1" s="1"/>
  <c r="H46" i="1"/>
  <c r="H47" i="1"/>
  <c r="H48" i="1"/>
  <c r="H49" i="1"/>
  <c r="H50" i="1"/>
  <c r="H51" i="1"/>
  <c r="H52" i="1"/>
  <c r="H53" i="1"/>
  <c r="H54" i="1"/>
  <c r="H55" i="1"/>
  <c r="H56" i="1"/>
  <c r="H45" i="1"/>
  <c r="G46" i="1"/>
  <c r="G47" i="1"/>
  <c r="G48" i="1"/>
  <c r="G49" i="1"/>
  <c r="G50" i="1"/>
  <c r="G51" i="1"/>
  <c r="G52" i="1"/>
  <c r="G53" i="1"/>
  <c r="G54" i="1"/>
  <c r="G55" i="1"/>
  <c r="G56" i="1"/>
  <c r="G45" i="1"/>
  <c r="F46" i="1"/>
  <c r="F47" i="1"/>
  <c r="F48" i="1"/>
  <c r="F49" i="1"/>
  <c r="F50" i="1"/>
  <c r="F51" i="1"/>
  <c r="F52" i="1"/>
  <c r="F53" i="1"/>
  <c r="F54" i="1"/>
  <c r="F55" i="1"/>
  <c r="F56" i="1"/>
  <c r="F45" i="1"/>
  <c r="C46" i="1"/>
  <c r="C47" i="1"/>
  <c r="C48" i="1"/>
  <c r="C49" i="1"/>
  <c r="C50" i="1"/>
  <c r="C51" i="1"/>
  <c r="C52" i="1"/>
  <c r="C53" i="1"/>
  <c r="C54" i="1"/>
  <c r="C55" i="1"/>
  <c r="C56" i="1"/>
  <c r="C45" i="1"/>
  <c r="E48" i="1"/>
  <c r="E49" i="1"/>
  <c r="E50" i="1"/>
  <c r="E51" i="1"/>
  <c r="E52" i="1"/>
  <c r="E53" i="1"/>
  <c r="E54" i="1"/>
  <c r="E55" i="1"/>
  <c r="E56" i="1"/>
  <c r="E46" i="1"/>
  <c r="E47" i="1"/>
  <c r="E45" i="1"/>
  <c r="D46" i="1"/>
  <c r="D47" i="1"/>
  <c r="D48" i="1"/>
  <c r="D49" i="1"/>
  <c r="D50" i="1"/>
  <c r="D51" i="1"/>
  <c r="D52" i="1"/>
  <c r="D53" i="1"/>
  <c r="D54" i="1"/>
  <c r="D55" i="1"/>
  <c r="D56" i="1"/>
  <c r="D45" i="1"/>
  <c r="I45" i="1" l="1"/>
  <c r="I55" i="1"/>
  <c r="I53" i="1"/>
  <c r="I51" i="1"/>
  <c r="I49" i="1"/>
  <c r="I47" i="1"/>
  <c r="I56" i="1"/>
  <c r="I54" i="1"/>
  <c r="I52" i="1"/>
  <c r="I50" i="1"/>
  <c r="I48" i="1"/>
  <c r="I46" i="1"/>
  <c r="C40" i="1"/>
  <c r="G40" i="1" s="1"/>
  <c r="I40" i="1" s="1"/>
  <c r="C39" i="1"/>
  <c r="G39" i="1" s="1"/>
  <c r="I39" i="1" s="1"/>
  <c r="C38" i="1"/>
  <c r="G38" i="1" s="1"/>
  <c r="I38" i="1" s="1"/>
  <c r="C37" i="1"/>
  <c r="G37" i="1" s="1"/>
  <c r="I37" i="1" s="1"/>
  <c r="C36" i="1"/>
  <c r="G36" i="1" s="1"/>
  <c r="I36" i="1" s="1"/>
  <c r="C35" i="1"/>
  <c r="G35" i="1" s="1"/>
  <c r="I35" i="1" s="1"/>
  <c r="C34" i="1"/>
  <c r="G34" i="1" s="1"/>
  <c r="I34" i="1" s="1"/>
  <c r="G33" i="1"/>
  <c r="I33" i="1" s="1"/>
  <c r="G32" i="1"/>
  <c r="I32" i="1" s="1"/>
  <c r="G31" i="1"/>
  <c r="I31" i="1" s="1"/>
  <c r="C30" i="1"/>
  <c r="G30" i="1" s="1"/>
  <c r="I30" i="1" s="1"/>
  <c r="I41" i="1" l="1"/>
  <c r="I57" i="1"/>
  <c r="D29" i="1"/>
  <c r="D39" i="1"/>
  <c r="E39" i="1" s="1"/>
  <c r="D37" i="1"/>
  <c r="E37" i="1" s="1"/>
  <c r="D35" i="1"/>
  <c r="E35" i="1" s="1"/>
  <c r="D33" i="1"/>
  <c r="E33" i="1" s="1"/>
  <c r="D31" i="1"/>
  <c r="E31" i="1" s="1"/>
  <c r="D40" i="1"/>
  <c r="E40" i="1" s="1"/>
  <c r="F40" i="1" s="1"/>
  <c r="H40" i="1" s="1"/>
  <c r="J40" i="1" s="1"/>
  <c r="D38" i="1"/>
  <c r="E38" i="1" s="1"/>
  <c r="D36" i="1"/>
  <c r="E36" i="1" s="1"/>
  <c r="D34" i="1"/>
  <c r="E34" i="1" s="1"/>
  <c r="D32" i="1"/>
  <c r="E32" i="1" s="1"/>
  <c r="D30" i="1"/>
  <c r="E30" i="1" s="1"/>
  <c r="E29" i="1" l="1"/>
  <c r="F29" i="1" s="1"/>
  <c r="H29" i="1" s="1"/>
  <c r="F36" i="1"/>
  <c r="H36" i="1" s="1"/>
  <c r="J36" i="1" s="1"/>
  <c r="F32" i="1"/>
  <c r="H32" i="1" s="1"/>
  <c r="J32" i="1" s="1"/>
  <c r="F37" i="1"/>
  <c r="H37" i="1" s="1"/>
  <c r="J37" i="1" s="1"/>
  <c r="F33" i="1"/>
  <c r="H33" i="1" s="1"/>
  <c r="J33" i="1" s="1"/>
  <c r="F38" i="1"/>
  <c r="H38" i="1" s="1"/>
  <c r="J38" i="1" s="1"/>
  <c r="F34" i="1"/>
  <c r="H34" i="1" s="1"/>
  <c r="J34" i="1" s="1"/>
  <c r="F30" i="1"/>
  <c r="H30" i="1" s="1"/>
  <c r="J30" i="1" s="1"/>
  <c r="F39" i="1"/>
  <c r="H39" i="1" s="1"/>
  <c r="J39" i="1" s="1"/>
  <c r="F35" i="1"/>
  <c r="H35" i="1" s="1"/>
  <c r="J35" i="1" s="1"/>
  <c r="F31" i="1"/>
  <c r="H31" i="1" s="1"/>
  <c r="J31" i="1" s="1"/>
  <c r="J29" i="1" l="1"/>
  <c r="J41" i="1" s="1"/>
  <c r="H41" i="1"/>
</calcChain>
</file>

<file path=xl/sharedStrings.xml><?xml version="1.0" encoding="utf-8"?>
<sst xmlns="http://schemas.openxmlformats.org/spreadsheetml/2006/main" count="103" uniqueCount="83">
  <si>
    <t>Empresa:</t>
  </si>
  <si>
    <t>CNPJ:</t>
  </si>
  <si>
    <t>SIMPLES NACIONAL 2018</t>
  </si>
  <si>
    <t>Anexo III</t>
  </si>
  <si>
    <t>Receita Bruta em 12 Meses (em R$)</t>
  </si>
  <si>
    <t>Alíquota</t>
  </si>
  <si>
    <t>Valor a Deduzir (em R$)</t>
  </si>
  <si>
    <t>1ª Faixa</t>
  </si>
  <si>
    <t>Até 180.000,00</t>
  </si>
  <si>
    <t>-</t>
  </si>
  <si>
    <t>2ª Faixa</t>
  </si>
  <si>
    <t>De 180.000,01 a 360.000,00</t>
  </si>
  <si>
    <t>3ª Faixa</t>
  </si>
  <si>
    <t>De 360.000,01 a 720.000,00</t>
  </si>
  <si>
    <t>4ª Faixa</t>
  </si>
  <si>
    <t>De 720.000,01 a 1.800.000,00</t>
  </si>
  <si>
    <t>5ª Faixa</t>
  </si>
  <si>
    <t>De 1.800.000,01 a 3.600.000,00</t>
  </si>
  <si>
    <t>6ª Faixa</t>
  </si>
  <si>
    <t>De 3.600.000,01 a 4.800.000,00</t>
  </si>
  <si>
    <t>Janeiro</t>
  </si>
  <si>
    <t>Dedução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</si>
  <si>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</si>
  <si>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</si>
  <si>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</si>
  <si>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</si>
  <si>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</si>
  <si>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</si>
  <si>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</si>
  <si>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</si>
  <si>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</si>
  <si>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</si>
  <si>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</si>
  <si>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</t>
  </si>
  <si>
    <t>RECEITA MENSAL</t>
  </si>
  <si>
    <t>SIMULAÇÃO SIMPLES NACIONAL 2018</t>
  </si>
  <si>
    <t>Vl DAS 2018</t>
  </si>
  <si>
    <t>Legislação 2018 - 2017</t>
  </si>
  <si>
    <t xml:space="preserve">FATURAMENTO </t>
  </si>
  <si>
    <t>PIS</t>
  </si>
  <si>
    <t>COFINS</t>
  </si>
  <si>
    <t>IRPJ</t>
  </si>
  <si>
    <t>CSLL</t>
  </si>
  <si>
    <t>ISS</t>
  </si>
  <si>
    <t>TOTAL</t>
  </si>
  <si>
    <t>ADIC. DE IRPJ</t>
  </si>
  <si>
    <t>VL DAS LEGISLAÇÃO 2017</t>
  </si>
  <si>
    <t>VALORES FATURAMENTO 2017</t>
  </si>
  <si>
    <t>RECEITA BRUTA ACUMULADA 12 MESES - 2017</t>
  </si>
  <si>
    <t>Empresa prestadora de serviços</t>
  </si>
  <si>
    <t>SIMULAÇÃO  LUCRO PRESUMIDO 2018</t>
  </si>
  <si>
    <t>TOTAL IMPOSTOS</t>
  </si>
  <si>
    <t>Atividade: 5212-5/00 CARGA E DESCARGA</t>
  </si>
  <si>
    <t>RBT ÚLTIMOS 12 MESES</t>
  </si>
  <si>
    <t xml:space="preserve">Alíquota nominal </t>
  </si>
  <si>
    <t xml:space="preserve">Alíquota Efetiva </t>
  </si>
  <si>
    <t>SIMPLES NACIONAL 2017</t>
  </si>
  <si>
    <t xml:space="preserve">Anexo  III </t>
  </si>
  <si>
    <t>Receita Bruta em 12 meses (em R$)</t>
  </si>
  <si>
    <t>Cofins</t>
  </si>
  <si>
    <t>PIS/Pasep</t>
  </si>
  <si>
    <t>CPP</t>
  </si>
  <si>
    <t>De 360.000,01 a 540.000,00</t>
  </si>
  <si>
    <t>De 540.000,01 a 720.000,00</t>
  </si>
  <si>
    <t>De 720.000,01 a 900.000,00</t>
  </si>
  <si>
    <t>De 900.000,01 a 1.080.000,00</t>
  </si>
  <si>
    <t>De 1.080.000,01 a 1.260.000,00</t>
  </si>
  <si>
    <t>De 1.260.000,01 a 1.440.000,00</t>
  </si>
  <si>
    <t>De 1.440.000,01 a 1.620.000,00</t>
  </si>
  <si>
    <t>De 1.620.000,01 a 1.800.000,00</t>
  </si>
  <si>
    <t>De 1.800.000,01 a 1.980.000,00</t>
  </si>
  <si>
    <t>De 1.980.000,01 a 2.160.000,00</t>
  </si>
  <si>
    <t>De 2.160.000,01 a 2.340.000,00</t>
  </si>
  <si>
    <t>De 2.340.000,01 a 2.520.000,00</t>
  </si>
  <si>
    <t>De 2.520.000,01 a 2.700.000,00</t>
  </si>
  <si>
    <t>De 2.700.000,01 a 2.880.000,00</t>
  </si>
  <si>
    <t>De 2.880.000,01 a 3.060.000,00</t>
  </si>
  <si>
    <t>De 3.060.000,01 a 3.240.000,00</t>
  </si>
  <si>
    <t>De 3.240.000,01 a 3.420.000,00</t>
  </si>
  <si>
    <t>De 3.420.000,01 a 3.600.000,00</t>
  </si>
  <si>
    <t>Alíquota 2017 DAS</t>
  </si>
  <si>
    <t>*** PESSOAL PREENCHER COM OS VALORES DE 2017, PARA ENCONTRAR A FAIXA PARA 2018</t>
  </si>
  <si>
    <t>*** PESSOAL PREENCHER A RECEITA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</si>
</sst>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4" fontId="0" fillId="0" borderId="0" xfId="0" applyNumberFormat="1"/>
    <xf numFmtId="0" fontId="2" fillId="0" borderId="0" xfId="0" applyFont="1" applyFill="1" applyBorder="1" applyAlignment="1">
      <alignment horizontal="left" vertical="center" wrapText="1"/>
    </xf>
    <xf numFmtId="17" fontId="2" fillId="0" borderId="0" xfId="0" applyNumberFormat="1" applyFont="1" applyFill="1" applyBorder="1" applyAlignment="1">
      <alignment vertical="center" wrapText="1"/>
    </xf>
    <xf numFmtId="17" fontId="2" fillId="3" borderId="5" xfId="0" applyNumberFormat="1" applyFont="1" applyFill="1" applyBorder="1" applyAlignment="1">
      <alignment vertical="center" wrapText="1"/>
    </xf>
    <xf numFmtId="4" fontId="0" fillId="0" borderId="5" xfId="0" applyNumberFormat="1" applyBorder="1"/>
    <xf numFmtId="4" fontId="0" fillId="0" borderId="0" xfId="0" applyNumberFormat="1" applyAlignment="1">
      <alignment horizontal="center" vertical="center" wrapText="1"/>
    </xf>
    <xf numFmtId="4" fontId="0" fillId="3" borderId="7" xfId="0" applyNumberFormat="1" applyFill="1" applyBorder="1" applyAlignment="1">
      <alignment horizontal="center" vertical="center" wrapText="1"/>
    </xf>
    <xf numFmtId="4" fontId="0" fillId="0" borderId="0" xfId="0" applyNumberFormat="1" applyBorder="1"/>
    <xf numFmtId="10" fontId="0" fillId="0" borderId="0" xfId="1" applyNumberFormat="1" applyFont="1" applyBorder="1"/>
    <xf numFmtId="0" fontId="0" fillId="0" borderId="8" xfId="0" applyBorder="1"/>
    <xf numFmtId="4" fontId="0" fillId="0" borderId="9" xfId="0" applyNumberFormat="1" applyBorder="1"/>
    <xf numFmtId="10" fontId="0" fillId="0" borderId="9" xfId="1" applyNumberFormat="1" applyFont="1" applyBorder="1"/>
    <xf numFmtId="4" fontId="0" fillId="0" borderId="10" xfId="0" applyNumberFormat="1" applyBorder="1"/>
    <xf numFmtId="0" fontId="0" fillId="0" borderId="11" xfId="0" applyBorder="1"/>
    <xf numFmtId="4" fontId="0" fillId="0" borderId="12" xfId="0" applyNumberFormat="1" applyBorder="1"/>
    <xf numFmtId="0" fontId="0" fillId="0" borderId="13" xfId="0" applyBorder="1"/>
    <xf numFmtId="4" fontId="0" fillId="0" borderId="14" xfId="0" applyNumberFormat="1" applyBorder="1"/>
    <xf numFmtId="4" fontId="0" fillId="0" borderId="15" xfId="0" applyNumberFormat="1" applyBorder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0" fillId="3" borderId="16" xfId="0" applyNumberFormat="1" applyFill="1" applyBorder="1"/>
    <xf numFmtId="4" fontId="0" fillId="3" borderId="17" xfId="0" applyNumberFormat="1" applyFill="1" applyBorder="1"/>
    <xf numFmtId="4" fontId="0" fillId="3" borderId="18" xfId="0" applyNumberFormat="1" applyFill="1" applyBorder="1"/>
    <xf numFmtId="0" fontId="0" fillId="0" borderId="0" xfId="0"/>
    <xf numFmtId="4" fontId="0" fillId="0" borderId="0" xfId="0" applyNumberFormat="1" applyBorder="1"/>
    <xf numFmtId="10" fontId="0" fillId="0" borderId="0" xfId="1" applyNumberFormat="1" applyFont="1" applyBorder="1"/>
    <xf numFmtId="0" fontId="5" fillId="4" borderId="20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 wrapText="1"/>
    </xf>
    <xf numFmtId="10" fontId="6" fillId="4" borderId="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7" fontId="2" fillId="0" borderId="0" xfId="0" applyNumberFormat="1" applyFont="1" applyFill="1" applyBorder="1" applyAlignment="1">
      <alignment horizontal="center" vertical="center" wrapText="1"/>
    </xf>
    <xf numFmtId="17" fontId="2" fillId="0" borderId="21" xfId="0" applyNumberFormat="1" applyFont="1" applyFill="1" applyBorder="1" applyAlignment="1">
      <alignment horizontal="center" vertical="center" wrapText="1"/>
    </xf>
    <xf numFmtId="17" fontId="2" fillId="0" borderId="22" xfId="0" applyNumberFormat="1" applyFont="1" applyFill="1" applyBorder="1" applyAlignment="1">
      <alignment horizontal="center" vertical="center" wrapText="1"/>
    </xf>
    <xf numFmtId="17" fontId="2" fillId="0" borderId="23" xfId="0" applyNumberFormat="1" applyFont="1" applyFill="1" applyBorder="1" applyAlignment="1">
      <alignment horizontal="center" vertical="center" wrapText="1"/>
    </xf>
    <xf numFmtId="17" fontId="2" fillId="0" borderId="24" xfId="0" applyNumberFormat="1" applyFont="1" applyFill="1" applyBorder="1" applyAlignment="1">
      <alignment horizontal="center" vertical="center" wrapText="1"/>
    </xf>
    <xf numFmtId="17" fontId="2" fillId="0" borderId="25" xfId="0" applyNumberFormat="1" applyFont="1" applyFill="1" applyBorder="1" applyAlignment="1">
      <alignment horizontal="center" vertical="center" wrapText="1"/>
    </xf>
    <xf numFmtId="17" fontId="2" fillId="0" borderId="26" xfId="0" applyNumberFormat="1" applyFont="1" applyFill="1" applyBorder="1" applyAlignment="1">
      <alignment horizontal="center" vertical="center" wrapText="1"/>
    </xf>
    <xf numFmtId="17" fontId="2" fillId="0" borderId="27" xfId="0" applyNumberFormat="1" applyFont="1" applyFill="1" applyBorder="1" applyAlignment="1">
      <alignment horizontal="center" vertical="center" wrapText="1"/>
    </xf>
    <xf numFmtId="17" fontId="2" fillId="0" borderId="4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19439</xdr:colOff>
      <xdr:row>20</xdr:row>
      <xdr:rowOff>48597</xdr:rowOff>
    </xdr:from>
    <xdr:to>
      <xdr:col>6</xdr:col>
      <xdr:colOff>758112</xdr:colOff>
      <xdr:row>20</xdr:row>
      <xdr:rowOff>68035</xdr:rowOff>
    </xdr:to>
    <xdr:cxnSp macro="">
      <xdr:nvCxnSpPr>
        <xdr:cNvPr id="3" name="Conector de seta reta 2"/>
        <xdr:cNvCxnSpPr/>
      </xdr:nvCxnSpPr>
      <xdr:spPr>
        <a:xfrm>
          <a:off x="5656684" y="4830536"/>
          <a:ext cx="738673" cy="1943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32</xdr:row>
      <xdr:rowOff>0</xdr:rowOff>
    </xdr:from>
    <xdr:to>
      <xdr:col>11</xdr:col>
      <xdr:colOff>126351</xdr:colOff>
      <xdr:row>32</xdr:row>
      <xdr:rowOff>19438</xdr:rowOff>
    </xdr:to>
    <xdr:cxnSp macro="">
      <xdr:nvCxnSpPr>
        <xdr:cNvPr id="4" name="Conector de seta reta 3"/>
        <xdr:cNvCxnSpPr/>
      </xdr:nvCxnSpPr>
      <xdr:spPr>
        <a:xfrm>
          <a:off x="8854362" y="7794949"/>
          <a:ext cx="738673" cy="1943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 x14ac:dyDescent="0.25"/>
  <cols>
    <col min="1" max="1" width="38.5703125" customWidth="1"/>
    <col min="2" max="2" width="9" bestFit="1" customWidth="1"/>
    <col min="3" max="4" width="6.85546875" bestFit="1" customWidth="1"/>
    <col min="5" max="5" width="9" customWidth="1"/>
    <col min="6" max="6" width="11.28515625" customWidth="1"/>
    <col min="7" max="8" width="6.85546875" bestFit="1" customWidth="1"/>
  </cols>
  <sheetData>
    <row r="1" spans="1:8" x14ac:dyDescent="0.25">
      <c r="A1" s="29" t="s">
        <v>56</v>
      </c>
      <c r="B1" s="29"/>
      <c r="C1" s="29"/>
      <c r="D1" s="29"/>
      <c r="E1" s="29"/>
      <c r="F1" s="29"/>
      <c r="G1" s="29"/>
      <c r="H1" s="29"/>
    </row>
    <row r="2" spans="1:8" x14ac:dyDescent="0.25">
      <c r="A2" s="29" t="s">
        <v>57</v>
      </c>
      <c r="B2" s="29"/>
      <c r="C2" s="29"/>
      <c r="D2" s="29"/>
      <c r="E2" s="29"/>
      <c r="F2" s="29"/>
      <c r="G2" s="29"/>
      <c r="H2" s="29"/>
    </row>
    <row r="3" spans="1:8" ht="15.75" thickBot="1" x14ac:dyDescent="0.3">
      <c r="A3" s="29"/>
      <c r="B3" s="29"/>
      <c r="C3" s="29"/>
      <c r="D3" s="29"/>
      <c r="E3" s="29"/>
      <c r="F3" s="29"/>
      <c r="G3" s="29"/>
      <c r="H3" s="29"/>
    </row>
    <row r="4" spans="1:8" ht="16.5" thickBot="1" x14ac:dyDescent="0.3">
      <c r="A4" s="32" t="s">
        <v>58</v>
      </c>
      <c r="B4" s="33" t="s">
        <v>5</v>
      </c>
      <c r="C4" s="33" t="s">
        <v>41</v>
      </c>
      <c r="D4" s="33" t="s">
        <v>42</v>
      </c>
      <c r="E4" s="33" t="s">
        <v>59</v>
      </c>
      <c r="F4" s="33" t="s">
        <v>60</v>
      </c>
      <c r="G4" s="33" t="s">
        <v>61</v>
      </c>
      <c r="H4" s="33" t="s">
        <v>43</v>
      </c>
    </row>
    <row r="5" spans="1:8" ht="16.5" thickBot="1" x14ac:dyDescent="0.3">
      <c r="A5" s="34" t="s">
        <v>8</v>
      </c>
      <c r="B5" s="35">
        <v>0.06</v>
      </c>
      <c r="C5" s="35">
        <v>0</v>
      </c>
      <c r="D5" s="35">
        <v>0</v>
      </c>
      <c r="E5" s="35">
        <v>0</v>
      </c>
      <c r="F5" s="35">
        <v>0</v>
      </c>
      <c r="G5" s="35">
        <v>0.04</v>
      </c>
      <c r="H5" s="35">
        <v>0.02</v>
      </c>
    </row>
    <row r="6" spans="1:8" ht="16.5" thickBot="1" x14ac:dyDescent="0.3">
      <c r="A6" s="34" t="s">
        <v>11</v>
      </c>
      <c r="B6" s="35">
        <v>8.2100000000000006E-2</v>
      </c>
      <c r="C6" s="35">
        <v>0</v>
      </c>
      <c r="D6" s="35">
        <v>0</v>
      </c>
      <c r="E6" s="35">
        <v>1.4200000000000001E-2</v>
      </c>
      <c r="F6" s="35">
        <v>0</v>
      </c>
      <c r="G6" s="35">
        <v>0.04</v>
      </c>
      <c r="H6" s="35">
        <v>2.7900000000000001E-2</v>
      </c>
    </row>
    <row r="7" spans="1:8" ht="16.5" thickBot="1" x14ac:dyDescent="0.3">
      <c r="A7" s="34" t="s">
        <v>62</v>
      </c>
      <c r="B7" s="35">
        <v>0.1026</v>
      </c>
      <c r="C7" s="35">
        <v>4.7999999999999996E-3</v>
      </c>
      <c r="D7" s="35">
        <v>4.3E-3</v>
      </c>
      <c r="E7" s="35">
        <v>1.43E-2</v>
      </c>
      <c r="F7" s="35">
        <v>3.5000000000000001E-3</v>
      </c>
      <c r="G7" s="35">
        <v>4.07E-2</v>
      </c>
      <c r="H7" s="35">
        <v>3.5000000000000003E-2</v>
      </c>
    </row>
    <row r="8" spans="1:8" ht="16.5" thickBot="1" x14ac:dyDescent="0.3">
      <c r="A8" s="34" t="s">
        <v>63</v>
      </c>
      <c r="B8" s="35">
        <v>0.11310000000000001</v>
      </c>
      <c r="C8" s="35">
        <v>5.3E-3</v>
      </c>
      <c r="D8" s="35">
        <v>5.3E-3</v>
      </c>
      <c r="E8" s="35">
        <v>1.5599999999999999E-2</v>
      </c>
      <c r="F8" s="35">
        <v>3.8E-3</v>
      </c>
      <c r="G8" s="35">
        <v>4.4699999999999997E-2</v>
      </c>
      <c r="H8" s="35">
        <v>3.8399999999999997E-2</v>
      </c>
    </row>
    <row r="9" spans="1:8" ht="16.5" thickBot="1" x14ac:dyDescent="0.3">
      <c r="A9" s="34" t="s">
        <v>64</v>
      </c>
      <c r="B9" s="35">
        <v>0.114</v>
      </c>
      <c r="C9" s="35">
        <v>5.3E-3</v>
      </c>
      <c r="D9" s="35">
        <v>5.1999999999999998E-3</v>
      </c>
      <c r="E9" s="35">
        <v>1.5800000000000002E-2</v>
      </c>
      <c r="F9" s="35">
        <v>3.8E-3</v>
      </c>
      <c r="G9" s="35">
        <v>4.5199999999999997E-2</v>
      </c>
      <c r="H9" s="35">
        <v>3.8699999999999998E-2</v>
      </c>
    </row>
    <row r="10" spans="1:8" ht="16.5" thickBot="1" x14ac:dyDescent="0.3">
      <c r="A10" s="34" t="s">
        <v>65</v>
      </c>
      <c r="B10" s="35">
        <v>0.1242</v>
      </c>
      <c r="C10" s="35">
        <v>5.7000000000000002E-3</v>
      </c>
      <c r="D10" s="35">
        <v>5.7000000000000002E-3</v>
      </c>
      <c r="E10" s="35">
        <v>1.7299999999999999E-2</v>
      </c>
      <c r="F10" s="35">
        <v>4.0000000000000001E-3</v>
      </c>
      <c r="G10" s="35">
        <v>4.9200000000000001E-2</v>
      </c>
      <c r="H10" s="35">
        <v>4.2299999999999997E-2</v>
      </c>
    </row>
    <row r="11" spans="1:8" ht="16.5" thickBot="1" x14ac:dyDescent="0.3">
      <c r="A11" s="34" t="s">
        <v>66</v>
      </c>
      <c r="B11" s="35">
        <v>0.12540000000000001</v>
      </c>
      <c r="C11" s="35">
        <v>5.8999999999999999E-3</v>
      </c>
      <c r="D11" s="35">
        <v>5.5999999999999999E-3</v>
      </c>
      <c r="E11" s="35">
        <v>1.7399999999999999E-2</v>
      </c>
      <c r="F11" s="35">
        <v>4.1999999999999997E-3</v>
      </c>
      <c r="G11" s="35">
        <v>4.9700000000000001E-2</v>
      </c>
      <c r="H11" s="35">
        <v>4.2599999999999999E-2</v>
      </c>
    </row>
    <row r="12" spans="1:8" ht="16.5" thickBot="1" x14ac:dyDescent="0.3">
      <c r="A12" s="34" t="s">
        <v>67</v>
      </c>
      <c r="B12" s="35">
        <v>0.1268</v>
      </c>
      <c r="C12" s="35">
        <v>5.8999999999999999E-3</v>
      </c>
      <c r="D12" s="35">
        <v>5.7000000000000002E-3</v>
      </c>
      <c r="E12" s="35">
        <v>1.7600000000000001E-2</v>
      </c>
      <c r="F12" s="35">
        <v>4.1999999999999997E-3</v>
      </c>
      <c r="G12" s="35">
        <v>5.0299999999999997E-2</v>
      </c>
      <c r="H12" s="35">
        <v>4.3099999999999999E-2</v>
      </c>
    </row>
    <row r="13" spans="1:8" ht="16.5" thickBot="1" x14ac:dyDescent="0.3">
      <c r="A13" s="34" t="s">
        <v>68</v>
      </c>
      <c r="B13" s="35">
        <v>0.13550000000000001</v>
      </c>
      <c r="C13" s="35">
        <v>6.3E-3</v>
      </c>
      <c r="D13" s="35">
        <v>6.1000000000000004E-3</v>
      </c>
      <c r="E13" s="35">
        <v>1.8800000000000001E-2</v>
      </c>
      <c r="F13" s="35">
        <v>4.4999999999999997E-3</v>
      </c>
      <c r="G13" s="35">
        <v>5.3699999999999998E-2</v>
      </c>
      <c r="H13" s="35">
        <v>4.6100000000000002E-2</v>
      </c>
    </row>
    <row r="14" spans="1:8" ht="16.5" thickBot="1" x14ac:dyDescent="0.3">
      <c r="A14" s="34" t="s">
        <v>69</v>
      </c>
      <c r="B14" s="35">
        <v>0.1368</v>
      </c>
      <c r="C14" s="35">
        <v>6.3E-3</v>
      </c>
      <c r="D14" s="35">
        <v>6.4000000000000003E-3</v>
      </c>
      <c r="E14" s="35">
        <v>1.89E-2</v>
      </c>
      <c r="F14" s="35">
        <v>4.4999999999999997E-3</v>
      </c>
      <c r="G14" s="35">
        <v>5.4199999999999998E-2</v>
      </c>
      <c r="H14" s="35">
        <v>4.65E-2</v>
      </c>
    </row>
    <row r="15" spans="1:8" ht="16.5" thickBot="1" x14ac:dyDescent="0.3">
      <c r="A15" s="34" t="s">
        <v>70</v>
      </c>
      <c r="B15" s="35">
        <v>0.14929999999999999</v>
      </c>
      <c r="C15" s="35">
        <v>6.8999999999999999E-3</v>
      </c>
      <c r="D15" s="35">
        <v>6.8999999999999999E-3</v>
      </c>
      <c r="E15" s="35">
        <v>2.07E-2</v>
      </c>
      <c r="F15" s="35">
        <v>5.0000000000000001E-3</v>
      </c>
      <c r="G15" s="35">
        <v>5.9799999999999999E-2</v>
      </c>
      <c r="H15" s="35">
        <v>0.05</v>
      </c>
    </row>
    <row r="16" spans="1:8" ht="16.5" thickBot="1" x14ac:dyDescent="0.3">
      <c r="A16" s="34" t="s">
        <v>71</v>
      </c>
      <c r="B16" s="35">
        <v>0.15060000000000001</v>
      </c>
      <c r="C16" s="35">
        <v>6.8999999999999999E-3</v>
      </c>
      <c r="D16" s="35">
        <v>6.8999999999999999E-3</v>
      </c>
      <c r="E16" s="35">
        <v>2.0899999999999998E-2</v>
      </c>
      <c r="F16" s="35">
        <v>5.0000000000000001E-3</v>
      </c>
      <c r="G16" s="35">
        <v>6.0900000000000003E-2</v>
      </c>
      <c r="H16" s="35">
        <v>0.05</v>
      </c>
    </row>
    <row r="17" spans="1:8" ht="16.5" thickBot="1" x14ac:dyDescent="0.3">
      <c r="A17" s="34" t="s">
        <v>72</v>
      </c>
      <c r="B17" s="35">
        <v>0.152</v>
      </c>
      <c r="C17" s="35">
        <v>7.1000000000000004E-3</v>
      </c>
      <c r="D17" s="35">
        <v>7.0000000000000001E-3</v>
      </c>
      <c r="E17" s="35">
        <v>2.1000000000000001E-2</v>
      </c>
      <c r="F17" s="35">
        <v>5.0000000000000001E-3</v>
      </c>
      <c r="G17" s="35">
        <v>6.1899999999999997E-2</v>
      </c>
      <c r="H17" s="35">
        <v>0.05</v>
      </c>
    </row>
    <row r="18" spans="1:8" ht="16.5" thickBot="1" x14ac:dyDescent="0.3">
      <c r="A18" s="34" t="s">
        <v>73</v>
      </c>
      <c r="B18" s="35">
        <v>0.1535</v>
      </c>
      <c r="C18" s="35">
        <v>7.1000000000000004E-3</v>
      </c>
      <c r="D18" s="35">
        <v>7.0000000000000001E-3</v>
      </c>
      <c r="E18" s="35">
        <v>2.1299999999999999E-2</v>
      </c>
      <c r="F18" s="35">
        <v>5.1000000000000004E-3</v>
      </c>
      <c r="G18" s="35">
        <v>6.3E-2</v>
      </c>
      <c r="H18" s="35">
        <v>0.05</v>
      </c>
    </row>
    <row r="19" spans="1:8" ht="16.5" thickBot="1" x14ac:dyDescent="0.3">
      <c r="A19" s="34" t="s">
        <v>74</v>
      </c>
      <c r="B19" s="35">
        <v>0.15479999999999999</v>
      </c>
      <c r="C19" s="35">
        <v>7.1999999999999998E-3</v>
      </c>
      <c r="D19" s="35">
        <v>7.0000000000000001E-3</v>
      </c>
      <c r="E19" s="35">
        <v>2.1499999999999998E-2</v>
      </c>
      <c r="F19" s="35">
        <v>5.1000000000000004E-3</v>
      </c>
      <c r="G19" s="35">
        <v>6.4000000000000001E-2</v>
      </c>
      <c r="H19" s="35">
        <v>0.05</v>
      </c>
    </row>
    <row r="20" spans="1:8" ht="16.5" thickBot="1" x14ac:dyDescent="0.3">
      <c r="A20" s="34" t="s">
        <v>75</v>
      </c>
      <c r="B20" s="35">
        <v>0.16850000000000001</v>
      </c>
      <c r="C20" s="35">
        <v>7.7999999999999996E-3</v>
      </c>
      <c r="D20" s="35">
        <v>7.6E-3</v>
      </c>
      <c r="E20" s="35">
        <v>2.3400000000000001E-2</v>
      </c>
      <c r="F20" s="35">
        <v>5.5999999999999999E-3</v>
      </c>
      <c r="G20" s="35">
        <v>7.4099999999999999E-2</v>
      </c>
      <c r="H20" s="35">
        <v>0.05</v>
      </c>
    </row>
    <row r="21" spans="1:8" ht="16.5" thickBot="1" x14ac:dyDescent="0.3">
      <c r="A21" s="34" t="s">
        <v>76</v>
      </c>
      <c r="B21" s="35">
        <v>0.16980000000000001</v>
      </c>
      <c r="C21" s="35">
        <v>7.7999999999999996E-3</v>
      </c>
      <c r="D21" s="35">
        <v>7.7999999999999996E-3</v>
      </c>
      <c r="E21" s="35">
        <v>2.3599999999999999E-2</v>
      </c>
      <c r="F21" s="35">
        <v>5.5999999999999999E-3</v>
      </c>
      <c r="G21" s="35">
        <v>7.4999999999999997E-2</v>
      </c>
      <c r="H21" s="35">
        <v>0.05</v>
      </c>
    </row>
    <row r="22" spans="1:8" ht="16.5" thickBot="1" x14ac:dyDescent="0.3">
      <c r="A22" s="34" t="s">
        <v>77</v>
      </c>
      <c r="B22" s="35">
        <v>0.17130000000000001</v>
      </c>
      <c r="C22" s="35">
        <v>8.0000000000000002E-3</v>
      </c>
      <c r="D22" s="35">
        <v>7.9000000000000008E-3</v>
      </c>
      <c r="E22" s="35">
        <v>2.3699999999999999E-2</v>
      </c>
      <c r="F22" s="35">
        <v>5.7000000000000002E-3</v>
      </c>
      <c r="G22" s="35">
        <v>7.5999999999999998E-2</v>
      </c>
      <c r="H22" s="35">
        <v>0.05</v>
      </c>
    </row>
    <row r="23" spans="1:8" ht="16.5" thickBot="1" x14ac:dyDescent="0.3">
      <c r="A23" s="34" t="s">
        <v>78</v>
      </c>
      <c r="B23" s="35">
        <v>0.17269999999999999</v>
      </c>
      <c r="C23" s="35">
        <v>8.0000000000000002E-3</v>
      </c>
      <c r="D23" s="35">
        <v>7.9000000000000008E-3</v>
      </c>
      <c r="E23" s="35">
        <v>2.4E-2</v>
      </c>
      <c r="F23" s="35">
        <v>5.7000000000000002E-3</v>
      </c>
      <c r="G23" s="35">
        <v>7.7100000000000002E-2</v>
      </c>
      <c r="H23" s="35">
        <v>0.05</v>
      </c>
    </row>
    <row r="24" spans="1:8" ht="16.5" thickBot="1" x14ac:dyDescent="0.3">
      <c r="A24" s="34" t="s">
        <v>79</v>
      </c>
      <c r="B24" s="35">
        <v>0.17419999999999999</v>
      </c>
      <c r="C24" s="35">
        <v>8.0999999999999996E-3</v>
      </c>
      <c r="D24" s="35">
        <v>7.9000000000000008E-3</v>
      </c>
      <c r="E24" s="35">
        <v>2.4199999999999999E-2</v>
      </c>
      <c r="F24" s="35">
        <v>5.7000000000000002E-3</v>
      </c>
      <c r="G24" s="35">
        <v>7.8299999999999995E-2</v>
      </c>
      <c r="H24" s="35">
        <v>0.05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showGridLines="0" tabSelected="1" topLeftCell="B13" zoomScale="98" zoomScaleNormal="98" workbookViewId="0">
      <selection activeCell="N41" sqref="N41"/>
    </sheetView>
  </sheetViews>
  <sheetFormatPr defaultRowHeight="15" x14ac:dyDescent="0.25"/>
  <cols>
    <col min="1" max="1" width="10.85546875" customWidth="1"/>
    <col min="2" max="2" width="16.42578125" customWidth="1"/>
    <col min="3" max="3" width="15.5703125" customWidth="1"/>
    <col min="4" max="4" width="17.85546875" customWidth="1"/>
    <col min="5" max="5" width="13.140625" customWidth="1"/>
    <col min="6" max="6" width="10.5703125" bestFit="1" customWidth="1"/>
    <col min="7" max="7" width="12.42578125" customWidth="1"/>
    <col min="8" max="8" width="15.7109375" customWidth="1"/>
    <col min="9" max="9" width="11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4" spans="1:4" x14ac:dyDescent="0.25">
      <c r="A4" t="s">
        <v>49</v>
      </c>
    </row>
    <row r="5" spans="1:4" x14ac:dyDescent="0.25">
      <c r="A5" t="s">
        <v>52</v>
      </c>
    </row>
    <row r="7" spans="1:4" x14ac:dyDescent="0.25">
      <c r="A7" t="s">
        <v>2</v>
      </c>
    </row>
    <row r="8" spans="1:4" x14ac:dyDescent="0.25">
      <c r="A8" t="s">
        <v>3</v>
      </c>
    </row>
    <row r="9" spans="1:4" ht="15.75" thickBot="1" x14ac:dyDescent="0.3"/>
    <row r="10" spans="1:4" ht="22.5" customHeight="1" thickBot="1" x14ac:dyDescent="0.3">
      <c r="A10" s="36" t="s">
        <v>4</v>
      </c>
      <c r="B10" s="37"/>
      <c r="C10" s="1" t="s">
        <v>5</v>
      </c>
      <c r="D10" s="1" t="s">
        <v>6</v>
      </c>
    </row>
    <row r="11" spans="1:4" ht="23.25" customHeight="1" thickBot="1" x14ac:dyDescent="0.3">
      <c r="A11" s="2" t="s">
        <v>7</v>
      </c>
      <c r="B11" s="3" t="s">
        <v>8</v>
      </c>
      <c r="C11" s="4">
        <v>0.06</v>
      </c>
      <c r="D11" s="3" t="s">
        <v>9</v>
      </c>
    </row>
    <row r="12" spans="1:4" ht="27.75" customHeight="1" thickBot="1" x14ac:dyDescent="0.3">
      <c r="A12" s="2" t="s">
        <v>10</v>
      </c>
      <c r="B12" s="3" t="s">
        <v>11</v>
      </c>
      <c r="C12" s="4">
        <v>0.112</v>
      </c>
      <c r="D12" s="5">
        <v>9360</v>
      </c>
    </row>
    <row r="13" spans="1:4" ht="24.75" thickBot="1" x14ac:dyDescent="0.3">
      <c r="A13" s="2" t="s">
        <v>12</v>
      </c>
      <c r="B13" s="3" t="s">
        <v>13</v>
      </c>
      <c r="C13" s="4">
        <v>0.13500000000000001</v>
      </c>
      <c r="D13" s="5">
        <v>17640</v>
      </c>
    </row>
    <row r="14" spans="1:4" ht="24.75" thickBot="1" x14ac:dyDescent="0.3">
      <c r="A14" s="2" t="s">
        <v>14</v>
      </c>
      <c r="B14" s="3" t="s">
        <v>15</v>
      </c>
      <c r="C14" s="4">
        <v>0.16</v>
      </c>
      <c r="D14" s="5">
        <v>35640</v>
      </c>
    </row>
    <row r="15" spans="1:4" ht="24.75" thickBot="1" x14ac:dyDescent="0.3">
      <c r="A15" s="2" t="s">
        <v>16</v>
      </c>
      <c r="B15" s="3" t="s">
        <v>17</v>
      </c>
      <c r="C15" s="4">
        <v>0.21</v>
      </c>
      <c r="D15" s="5">
        <v>125640</v>
      </c>
    </row>
    <row r="16" spans="1:4" ht="24.75" thickBot="1" x14ac:dyDescent="0.3">
      <c r="A16" s="2" t="s">
        <v>18</v>
      </c>
      <c r="B16" s="3" t="s">
        <v>19</v>
      </c>
      <c r="C16" s="4">
        <v>0.33</v>
      </c>
      <c r="D16" s="5">
        <v>648000</v>
      </c>
    </row>
    <row r="18" spans="1:16" ht="21.75" customHeight="1" thickBot="1" x14ac:dyDescent="0.3">
      <c r="A18" s="38" t="s">
        <v>47</v>
      </c>
      <c r="B18" s="38"/>
      <c r="C18" s="6"/>
    </row>
    <row r="19" spans="1:16" ht="15" customHeight="1" x14ac:dyDescent="0.25">
      <c r="A19" s="9">
        <v>42736</v>
      </c>
      <c r="B19" s="9">
        <v>42767</v>
      </c>
      <c r="C19" s="9">
        <v>42795</v>
      </c>
      <c r="D19" s="9">
        <v>42826</v>
      </c>
      <c r="E19" s="9">
        <v>42856</v>
      </c>
      <c r="F19" s="9">
        <v>42887</v>
      </c>
      <c r="G19" s="8"/>
      <c r="H19" s="44" t="s">
        <v>81</v>
      </c>
      <c r="I19" s="45"/>
      <c r="J19" s="45"/>
      <c r="K19" s="45"/>
      <c r="L19" s="46"/>
    </row>
    <row r="20" spans="1:16" x14ac:dyDescent="0.25">
      <c r="A20" s="10"/>
      <c r="B20" s="10"/>
      <c r="C20" s="10"/>
      <c r="D20" s="10"/>
      <c r="E20" s="10"/>
      <c r="F20" s="10"/>
      <c r="H20" s="47"/>
      <c r="I20" s="43"/>
      <c r="J20" s="43"/>
      <c r="K20" s="43"/>
      <c r="L20" s="48"/>
    </row>
    <row r="21" spans="1:16" x14ac:dyDescent="0.25">
      <c r="A21" s="9">
        <v>42917</v>
      </c>
      <c r="B21" s="9">
        <v>42948</v>
      </c>
      <c r="C21" s="9">
        <v>42979</v>
      </c>
      <c r="D21" s="9">
        <v>43009</v>
      </c>
      <c r="E21" s="9">
        <v>43040</v>
      </c>
      <c r="F21" s="9">
        <v>43070</v>
      </c>
      <c r="H21" s="47"/>
      <c r="I21" s="43"/>
      <c r="J21" s="43"/>
      <c r="K21" s="43"/>
      <c r="L21" s="48"/>
    </row>
    <row r="22" spans="1:16" ht="15.75" thickBot="1" x14ac:dyDescent="0.3">
      <c r="A22" s="10"/>
      <c r="B22" s="10"/>
      <c r="C22" s="10"/>
      <c r="D22" s="10"/>
      <c r="E22" s="10"/>
      <c r="F22" s="10"/>
      <c r="H22" s="49"/>
      <c r="I22" s="50"/>
      <c r="J22" s="50"/>
      <c r="K22" s="50"/>
      <c r="L22" s="51"/>
    </row>
    <row r="24" spans="1:16" ht="23.25" customHeight="1" x14ac:dyDescent="0.25">
      <c r="A24" s="38" t="s">
        <v>48</v>
      </c>
      <c r="B24" s="38"/>
      <c r="C24" s="38"/>
      <c r="D24" s="24">
        <f>SUM(A20,B20,C20,D20,E20,F20,A22,B22,C22,D22,E22,F22)</f>
        <v>0</v>
      </c>
    </row>
    <row r="25" spans="1:16" ht="23.25" customHeight="1" x14ac:dyDescent="0.25">
      <c r="A25" s="7"/>
      <c r="B25" s="7"/>
      <c r="C25" s="7"/>
      <c r="D25" s="24"/>
    </row>
    <row r="26" spans="1:16" ht="23.25" customHeight="1" x14ac:dyDescent="0.25">
      <c r="A26" s="7"/>
      <c r="B26" s="7"/>
      <c r="C26" s="7"/>
      <c r="D26" s="24"/>
    </row>
    <row r="27" spans="1:16" x14ac:dyDescent="0.25">
      <c r="A27" t="s">
        <v>35</v>
      </c>
    </row>
    <row r="28" spans="1:16" s="11" customFormat="1" ht="45" x14ac:dyDescent="0.25">
      <c r="A28" s="12" t="s">
        <v>33</v>
      </c>
      <c r="B28" s="12" t="s">
        <v>34</v>
      </c>
      <c r="C28" s="12" t="s">
        <v>53</v>
      </c>
      <c r="D28" s="12" t="s">
        <v>54</v>
      </c>
      <c r="E28" s="12" t="s">
        <v>21</v>
      </c>
      <c r="F28" s="12" t="s">
        <v>55</v>
      </c>
      <c r="G28" s="12" t="s">
        <v>80</v>
      </c>
      <c r="H28" s="12" t="s">
        <v>36</v>
      </c>
      <c r="I28" s="12" t="s">
        <v>46</v>
      </c>
      <c r="J28" s="12" t="s">
        <v>37</v>
      </c>
    </row>
    <row r="29" spans="1:16" x14ac:dyDescent="0.25">
      <c r="A29" s="15" t="s">
        <v>20</v>
      </c>
      <c r="B29" s="16"/>
      <c r="C29" s="16">
        <f>SUM(A20,B20,C20,D20,E20,F20,A22,B22,C22,D22,E22,F22)</f>
        <v>0</v>
      </c>
      <c r="D29" s="17">
        <f>IF(C29&lt;=180000,$C$11,IF(AND(C29&gt;180000,C29&lt;=360000),$C$12,IF(AND(C29&lt;=720000,C29&gt;=360000.01),$C$13,IF(AND(C29&lt;=1800000,C29&gt;=720000.01),$C$14,IF(AND(C29&lt;=3600000,C29&gt;=1800000.01),$C$15,IF(AND(C29&lt;=4800000,C29&gt;=3600000.01),$C$16))))))</f>
        <v>0.06</v>
      </c>
      <c r="E29" s="16" t="str">
        <f>LOOKUP(D29,$C$11:$C$16,$D$11:$D$16)</f>
        <v>-</v>
      </c>
      <c r="F29" s="17" t="e">
        <f>((C29*D29)-E29)/C29</f>
        <v>#VALUE!</v>
      </c>
      <c r="G29" s="17">
        <f>IF(C29&lt;=180000,'Simples Nacional 2017'!$B$5,IF(AND(C29&gt;180000,C29&lt;=360000),'Simples Nacional 2017'!$B$6,IF(AND(C29&lt;=540000,C29&gt;=360000.01),'Simples Nacional 2017'!$B$7,IF(AND(C29&lt;=720000,C29&gt;=540000.01),'Simples Nacional 2017'!$B$8,IF(AND(C29&lt;=900000,C29&gt;=720000.01),'Simples Nacional 2017'!$B$9,
IF(AND(C29&lt;=1080000,C29&gt;=900000.01),'Simples Nacional 2017'!$B$10,IF(AND(C29&lt;=1260000,C29&gt;=1080000.01),'Simples Nacional 2017'!$B$11,IF(AND(C29&lt;=1440000,C29&gt;=1260000.01),'Simples Nacional 2017'!$B$12,IF(AND(C29&lt;=1620000,C29&gt;=1440000.01),'Simples Nacional 2017'!$B$13,IF(AND(C29&lt;=1800000,C29&gt;=1620000.01),'Simples Nacional 2017'!$B$14,IF(AND(C29&lt;=1980000,C29&gt;=1800000.01),'Simples Nacional 2017'!$B$15,IF(AND(C29&lt;=2160000,C29&gt;=1980000.01),'Simples Nacional 2017'!$B$16,IF(AND(C29&lt;=2340000,C29&gt;=2160000.01),'Simples Nacional 2017'!$B$17,IF(AND(C29&lt;=2520000,C29&gt;=2340000.01),'Simples Nacional 2017'!$B$18,IF(AND(C29&lt;=2700000,C29&gt;=2520000.01),'Simples Nacional 2017'!$B$19,IF(AND(C29&lt;=2880000,C29&gt;=2700000.01),'Simples Nacional 2017'!$B$20,IF(AND(C29&lt;=3060000,C29&gt;=2880000.01),'Simples Nacional 2017'!$B$21,IF(AND(C29&lt;=3240000,C29&gt;=3060000.01),'Simples Nacional 2017'!$B$22,IF(AND(C29&lt;=3420000,C29&gt;=3240000.01),'Simples Nacional 2017'!$B$23,IF(AND(C29&lt;=3600000,C29&gt;=3420000.01),'Simples Nacional 2017'!$B$24))))))))))))))))))))</f>
        <v>0.06</v>
      </c>
      <c r="H29" s="16" t="e">
        <f t="shared" ref="H29:H40" si="0">B29*F29</f>
        <v>#VALUE!</v>
      </c>
      <c r="I29" s="16">
        <f>B29*G29</f>
        <v>0</v>
      </c>
      <c r="J29" s="18" t="e">
        <f>H29-I29</f>
        <v>#VALUE!</v>
      </c>
    </row>
    <row r="30" spans="1:16" x14ac:dyDescent="0.25">
      <c r="A30" s="19" t="s">
        <v>22</v>
      </c>
      <c r="B30" s="13"/>
      <c r="C30" s="13">
        <f>SUM(B20,C20,D20,E20,F20,A22,B22,C22,D22,E22,F22,B29)</f>
        <v>0</v>
      </c>
      <c r="D30" s="14">
        <f t="shared" ref="D30:D40" si="1">IF(C30&lt;=180000,$C$11,IF(AND(C30&gt;180000,C30&lt;=360000),$C$12,IF(AND(C30&lt;=720000,C30&gt;=360000.01),$C$13,IF(AND(C30&lt;=1800000,C30&gt;=720000.01),$C$14,IF(AND(C30&lt;=3600000,C30&gt;=1800000.01),$C$15,IF(AND(C30&lt;=4800000,C30&gt;=3600000.01),$C$16))))))</f>
        <v>0.06</v>
      </c>
      <c r="E30" s="13" t="str">
        <f t="shared" ref="E30:E40" si="2">LOOKUP(D30,$C$11:$C$16,$D$11:$D$16)</f>
        <v>-</v>
      </c>
      <c r="F30" s="14" t="e">
        <f t="shared" ref="F30:F40" si="3">((C30*D30)-E30)/C30</f>
        <v>#VALUE!</v>
      </c>
      <c r="G30" s="31">
        <f>IF(C30&lt;=180000,'Simples Nacional 2017'!$B$5,IF(AND(C30&gt;180000,C30&lt;=360000),'Simples Nacional 2017'!$B$6,IF(AND(C30&lt;=540000,C30&gt;=360000.01),'Simples Nacional 2017'!$B$7,IF(AND(C30&lt;=720000,C30&gt;=540000.01),'Simples Nacional 2017'!$B$8,IF(AND(C30&lt;=900000,C30&gt;=720000.01),'Simples Nacional 2017'!$B$9,
IF(AND(C30&lt;=1080000,C30&gt;=900000.01),'Simples Nacional 2017'!$B$10,IF(AND(C30&lt;=1260000,C30&gt;=1080000.01),'Simples Nacional 2017'!$B$11,IF(AND(C30&lt;=1440000,C30&gt;=1260000.01),'Simples Nacional 2017'!$B$12,IF(AND(C30&lt;=1620000,C30&gt;=1440000.01),'Simples Nacional 2017'!$B$13,IF(AND(C30&lt;=1800000,C30&gt;=1620000.01),'Simples Nacional 2017'!$B$14,IF(AND(C30&lt;=1980000,C30&gt;=1800000.01),'Simples Nacional 2017'!$B$15,IF(AND(C30&lt;=2160000,C30&gt;=1980000.01),'Simples Nacional 2017'!$B$16,IF(AND(C30&lt;=2340000,C30&gt;=2160000.01),'Simples Nacional 2017'!$B$17,IF(AND(C30&lt;=2520000,C30&gt;=2340000.01),'Simples Nacional 2017'!$B$18,IF(AND(C30&lt;=2700000,C30&gt;=2520000.01),'Simples Nacional 2017'!$B$19,IF(AND(C30&lt;=2880000,C30&gt;=2700000.01),'Simples Nacional 2017'!$B$20,IF(AND(C30&lt;=3060000,C30&gt;=2880000.01),'Simples Nacional 2017'!$B$21,IF(AND(C30&lt;=3240000,C30&gt;=3060000.01),'Simples Nacional 2017'!$B$22,IF(AND(C30&lt;=3420000,C30&gt;=3240000.01),'Simples Nacional 2017'!$B$23,IF(AND(C30&lt;=3600000,C30&gt;=3420000.01),'Simples Nacional 2017'!$B$24))))))))))))))))))))</f>
        <v>0.06</v>
      </c>
      <c r="H30" s="13" t="e">
        <f t="shared" si="0"/>
        <v>#VALUE!</v>
      </c>
      <c r="I30" s="30">
        <f t="shared" ref="I30:I40" si="4">B30*G30</f>
        <v>0</v>
      </c>
      <c r="J30" s="20" t="e">
        <f t="shared" ref="J30:J40" si="5">H30-I30</f>
        <v>#VALUE!</v>
      </c>
    </row>
    <row r="31" spans="1:16" ht="15.75" thickBot="1" x14ac:dyDescent="0.3">
      <c r="A31" s="19" t="s">
        <v>23</v>
      </c>
      <c r="B31" s="13"/>
      <c r="C31" s="13">
        <f>SUM(C20,D20,E20,F20,A22,B22,C22,D22,E22,F22,B29,B30)</f>
        <v>0</v>
      </c>
      <c r="D31" s="14">
        <f t="shared" si="1"/>
        <v>0.06</v>
      </c>
      <c r="E31" s="13" t="str">
        <f t="shared" si="2"/>
        <v>-</v>
      </c>
      <c r="F31" s="14" t="e">
        <f t="shared" si="3"/>
        <v>#VALUE!</v>
      </c>
      <c r="G31" s="31">
        <f>IF(C31&lt;=180000,'Simples Nacional 2017'!$B$5,IF(AND(C31&gt;180000,C31&lt;=360000),'Simples Nacional 2017'!$B$6,IF(AND(C31&lt;=540000,C31&gt;=360000.01),'Simples Nacional 2017'!$B$7,IF(AND(C31&lt;=720000,C31&gt;=540000.01),'Simples Nacional 2017'!$B$8,IF(AND(C31&lt;=900000,C31&gt;=720000.01),'Simples Nacional 2017'!$B$9,
IF(AND(C31&lt;=1080000,C31&gt;=900000.01),'Simples Nacional 2017'!$B$10,IF(AND(C31&lt;=1260000,C31&gt;=1080000.01),'Simples Nacional 2017'!$B$11,IF(AND(C31&lt;=1440000,C31&gt;=1260000.01),'Simples Nacional 2017'!$B$12,IF(AND(C31&lt;=1620000,C31&gt;=1440000.01),'Simples Nacional 2017'!$B$13,IF(AND(C31&lt;=1800000,C31&gt;=1620000.01),'Simples Nacional 2017'!$B$14,IF(AND(C31&lt;=1980000,C31&gt;=1800000.01),'Simples Nacional 2017'!$B$15,IF(AND(C31&lt;=2160000,C31&gt;=1980000.01),'Simples Nacional 2017'!$B$16,IF(AND(C31&lt;=2340000,C31&gt;=2160000.01),'Simples Nacional 2017'!$B$17,IF(AND(C31&lt;=2520000,C31&gt;=2340000.01),'Simples Nacional 2017'!$B$18,IF(AND(C31&lt;=2700000,C31&gt;=2520000.01),'Simples Nacional 2017'!$B$19,IF(AND(C31&lt;=2880000,C31&gt;=2700000.01),'Simples Nacional 2017'!$B$20,IF(AND(C31&lt;=3060000,C31&gt;=2880000.01),'Simples Nacional 2017'!$B$21,IF(AND(C31&lt;=3240000,C31&gt;=3060000.01),'Simples Nacional 2017'!$B$22,IF(AND(C31&lt;=3420000,C31&gt;=3240000.01),'Simples Nacional 2017'!$B$23,IF(AND(C31&lt;=3600000,C31&gt;=3420000.01),'Simples Nacional 2017'!$B$24))))))))))))))))))))</f>
        <v>0.06</v>
      </c>
      <c r="H31" s="13" t="e">
        <f t="shared" si="0"/>
        <v>#VALUE!</v>
      </c>
      <c r="I31" s="30">
        <f t="shared" si="4"/>
        <v>0</v>
      </c>
      <c r="J31" s="20" t="e">
        <f t="shared" si="5"/>
        <v>#VALUE!</v>
      </c>
    </row>
    <row r="32" spans="1:16" ht="15" customHeight="1" x14ac:dyDescent="0.25">
      <c r="A32" s="19" t="s">
        <v>24</v>
      </c>
      <c r="B32" s="13"/>
      <c r="C32" s="13">
        <f>SUM(D20,E20,F20,A22,B22,C22,D22,E22,F22,B29,B30,B31)</f>
        <v>0</v>
      </c>
      <c r="D32" s="14">
        <f t="shared" si="1"/>
        <v>0.06</v>
      </c>
      <c r="E32" s="13" t="str">
        <f t="shared" si="2"/>
        <v>-</v>
      </c>
      <c r="F32" s="14" t="e">
        <f t="shared" si="3"/>
        <v>#VALUE!</v>
      </c>
      <c r="G32" s="31">
        <f>IF(C32&lt;=180000,'Simples Nacional 2017'!$B$5,IF(AND(C32&gt;180000,C32&lt;=360000),'Simples Nacional 2017'!$B$6,IF(AND(C32&lt;=540000,C32&gt;=360000.01),'Simples Nacional 2017'!$B$7,IF(AND(C32&lt;=720000,C32&gt;=540000.01),'Simples Nacional 2017'!$B$8,IF(AND(C32&lt;=900000,C32&gt;=720000.01),'Simples Nacional 2017'!$B$9,
IF(AND(C32&lt;=1080000,C32&gt;=900000.01),'Simples Nacional 2017'!$B$10,IF(AND(C32&lt;=1260000,C32&gt;=1080000.01),'Simples Nacional 2017'!$B$11,IF(AND(C32&lt;=1440000,C32&gt;=1260000.01),'Simples Nacional 2017'!$B$12,IF(AND(C32&lt;=1620000,C32&gt;=1440000.01),'Simples Nacional 2017'!$B$13,IF(AND(C32&lt;=1800000,C32&gt;=1620000.01),'Simples Nacional 2017'!$B$14,IF(AND(C32&lt;=1980000,C32&gt;=1800000.01),'Simples Nacional 2017'!$B$15,IF(AND(C32&lt;=2160000,C32&gt;=1980000.01),'Simples Nacional 2017'!$B$16,IF(AND(C32&lt;=2340000,C32&gt;=2160000.01),'Simples Nacional 2017'!$B$17,IF(AND(C32&lt;=2520000,C32&gt;=2340000.01),'Simples Nacional 2017'!$B$18,IF(AND(C32&lt;=2700000,C32&gt;=2520000.01),'Simples Nacional 2017'!$B$19,IF(AND(C32&lt;=2880000,C32&gt;=2700000.01),'Simples Nacional 2017'!$B$20,IF(AND(C32&lt;=3060000,C32&gt;=2880000.01),'Simples Nacional 2017'!$B$21,IF(AND(C32&lt;=3240000,C32&gt;=3060000.01),'Simples Nacional 2017'!$B$22,IF(AND(C32&lt;=3420000,C32&gt;=3240000.01),'Simples Nacional 2017'!$B$23,IF(AND(C32&lt;=3600000,C32&gt;=3420000.01),'Simples Nacional 2017'!$B$24))))))))))))))))))))</f>
        <v>0.06</v>
      </c>
      <c r="H32" s="13" t="e">
        <f t="shared" si="0"/>
        <v>#VALUE!</v>
      </c>
      <c r="I32" s="30">
        <f t="shared" si="4"/>
        <v>0</v>
      </c>
      <c r="J32" s="20" t="e">
        <f t="shared" si="5"/>
        <v>#VALUE!</v>
      </c>
      <c r="L32" s="44" t="s">
        <v>82</v>
      </c>
      <c r="M32" s="45"/>
      <c r="N32" s="45"/>
      <c r="O32" s="45"/>
      <c r="P32" s="46"/>
    </row>
    <row r="33" spans="1:16" x14ac:dyDescent="0.25">
      <c r="A33" s="19" t="s">
        <v>25</v>
      </c>
      <c r="B33" s="13"/>
      <c r="C33" s="13">
        <f>SUM(E20,F20,A22,B22,C22,D22,E22,F22,B29,B30,B31,B32)</f>
        <v>0</v>
      </c>
      <c r="D33" s="14">
        <f t="shared" si="1"/>
        <v>0.06</v>
      </c>
      <c r="E33" s="13" t="str">
        <f t="shared" si="2"/>
        <v>-</v>
      </c>
      <c r="F33" s="14" t="e">
        <f t="shared" si="3"/>
        <v>#VALUE!</v>
      </c>
      <c r="G33" s="31">
        <f>IF(C33&lt;=180000,'Simples Nacional 2017'!$B$5,IF(AND(C33&gt;180000,C33&lt;=360000),'Simples Nacional 2017'!$B$6,IF(AND(C33&lt;=540000,C33&gt;=360000.01),'Simples Nacional 2017'!$B$7,IF(AND(C33&lt;=720000,C33&gt;=540000.01),'Simples Nacional 2017'!$B$8,IF(AND(C33&lt;=900000,C33&gt;=720000.01),'Simples Nacional 2017'!$B$9,
IF(AND(C33&lt;=1080000,C33&gt;=900000.01),'Simples Nacional 2017'!$B$10,IF(AND(C33&lt;=1260000,C33&gt;=1080000.01),'Simples Nacional 2017'!$B$11,IF(AND(C33&lt;=1440000,C33&gt;=1260000.01),'Simples Nacional 2017'!$B$12,IF(AND(C33&lt;=1620000,C33&gt;=1440000.01),'Simples Nacional 2017'!$B$13,IF(AND(C33&lt;=1800000,C33&gt;=1620000.01),'Simples Nacional 2017'!$B$14,IF(AND(C33&lt;=1980000,C33&gt;=1800000.01),'Simples Nacional 2017'!$B$15,IF(AND(C33&lt;=2160000,C33&gt;=1980000.01),'Simples Nacional 2017'!$B$16,IF(AND(C33&lt;=2340000,C33&gt;=2160000.01),'Simples Nacional 2017'!$B$17,IF(AND(C33&lt;=2520000,C33&gt;=2340000.01),'Simples Nacional 2017'!$B$18,IF(AND(C33&lt;=2700000,C33&gt;=2520000.01),'Simples Nacional 2017'!$B$19,IF(AND(C33&lt;=2880000,C33&gt;=2700000.01),'Simples Nacional 2017'!$B$20,IF(AND(C33&lt;=3060000,C33&gt;=2880000.01),'Simples Nacional 2017'!$B$21,IF(AND(C33&lt;=3240000,C33&gt;=3060000.01),'Simples Nacional 2017'!$B$22,IF(AND(C33&lt;=3420000,C33&gt;=3240000.01),'Simples Nacional 2017'!$B$23,IF(AND(C33&lt;=3600000,C33&gt;=3420000.01),'Simples Nacional 2017'!$B$24))))))))))))))))))))</f>
        <v>0.06</v>
      </c>
      <c r="H33" s="13" t="e">
        <f t="shared" si="0"/>
        <v>#VALUE!</v>
      </c>
      <c r="I33" s="30">
        <f t="shared" si="4"/>
        <v>0</v>
      </c>
      <c r="J33" s="20" t="e">
        <f t="shared" si="5"/>
        <v>#VALUE!</v>
      </c>
      <c r="L33" s="47"/>
      <c r="M33" s="43"/>
      <c r="N33" s="43"/>
      <c r="O33" s="43"/>
      <c r="P33" s="48"/>
    </row>
    <row r="34" spans="1:16" x14ac:dyDescent="0.25">
      <c r="A34" s="19" t="s">
        <v>26</v>
      </c>
      <c r="B34" s="13"/>
      <c r="C34" s="13">
        <f>SUM(F20,A22,B22,C22,D22,E22,F22,B29,B30,B31,B32,B33)</f>
        <v>0</v>
      </c>
      <c r="D34" s="14">
        <f t="shared" si="1"/>
        <v>0.06</v>
      </c>
      <c r="E34" s="13" t="str">
        <f t="shared" si="2"/>
        <v>-</v>
      </c>
      <c r="F34" s="14" t="e">
        <f t="shared" si="3"/>
        <v>#VALUE!</v>
      </c>
      <c r="G34" s="31">
        <f>IF(C34&lt;=180000,'Simples Nacional 2017'!$B$5,IF(AND(C34&gt;180000,C34&lt;=360000),'Simples Nacional 2017'!$B$6,IF(AND(C34&lt;=540000,C34&gt;=360000.01),'Simples Nacional 2017'!$B$7,IF(AND(C34&lt;=720000,C34&gt;=540000.01),'Simples Nacional 2017'!$B$8,IF(AND(C34&lt;=900000,C34&gt;=720000.01),'Simples Nacional 2017'!$B$9,
IF(AND(C34&lt;=1080000,C34&gt;=900000.01),'Simples Nacional 2017'!$B$10,IF(AND(C34&lt;=1260000,C34&gt;=1080000.01),'Simples Nacional 2017'!$B$11,IF(AND(C34&lt;=1440000,C34&gt;=1260000.01),'Simples Nacional 2017'!$B$12,IF(AND(C34&lt;=1620000,C34&gt;=1440000.01),'Simples Nacional 2017'!$B$13,IF(AND(C34&lt;=1800000,C34&gt;=1620000.01),'Simples Nacional 2017'!$B$14,IF(AND(C34&lt;=1980000,C34&gt;=1800000.01),'Simples Nacional 2017'!$B$15,IF(AND(C34&lt;=2160000,C34&gt;=1980000.01),'Simples Nacional 2017'!$B$16,IF(AND(C34&lt;=2340000,C34&gt;=2160000.01),'Simples Nacional 2017'!$B$17,IF(AND(C34&lt;=2520000,C34&gt;=2340000.01),'Simples Nacional 2017'!$B$18,IF(AND(C34&lt;=2700000,C34&gt;=2520000.01),'Simples Nacional 2017'!$B$19,IF(AND(C34&lt;=2880000,C34&gt;=2700000.01),'Simples Nacional 2017'!$B$20,IF(AND(C34&lt;=3060000,C34&gt;=2880000.01),'Simples Nacional 2017'!$B$21,IF(AND(C34&lt;=3240000,C34&gt;=3060000.01),'Simples Nacional 2017'!$B$22,IF(AND(C34&lt;=3420000,C34&gt;=3240000.01),'Simples Nacional 2017'!$B$23,IF(AND(C34&lt;=3600000,C34&gt;=3420000.01),'Simples Nacional 2017'!$B$24))))))))))))))))))))</f>
        <v>0.06</v>
      </c>
      <c r="H34" s="13" t="e">
        <f t="shared" si="0"/>
        <v>#VALUE!</v>
      </c>
      <c r="I34" s="30">
        <f t="shared" si="4"/>
        <v>0</v>
      </c>
      <c r="J34" s="20" t="e">
        <f t="shared" si="5"/>
        <v>#VALUE!</v>
      </c>
      <c r="L34" s="47"/>
      <c r="M34" s="43"/>
      <c r="N34" s="43"/>
      <c r="O34" s="43"/>
      <c r="P34" s="48"/>
    </row>
    <row r="35" spans="1:16" ht="15.75" thickBot="1" x14ac:dyDescent="0.3">
      <c r="A35" s="19" t="s">
        <v>27</v>
      </c>
      <c r="B35" s="13"/>
      <c r="C35" s="13">
        <f>SUM(A22,B22,C22,D22,E22,F22,B29,B30,B31,B32,B33,B34)</f>
        <v>0</v>
      </c>
      <c r="D35" s="14">
        <f t="shared" si="1"/>
        <v>0.06</v>
      </c>
      <c r="E35" s="13" t="str">
        <f t="shared" si="2"/>
        <v>-</v>
      </c>
      <c r="F35" s="14" t="e">
        <f t="shared" si="3"/>
        <v>#VALUE!</v>
      </c>
      <c r="G35" s="31">
        <f>IF(C35&lt;=180000,'Simples Nacional 2017'!$B$5,IF(AND(C35&gt;180000,C35&lt;=360000),'Simples Nacional 2017'!$B$6,IF(AND(C35&lt;=540000,C35&gt;=360000.01),'Simples Nacional 2017'!$B$7,IF(AND(C35&lt;=720000,C35&gt;=540000.01),'Simples Nacional 2017'!$B$8,IF(AND(C35&lt;=900000,C35&gt;=720000.01),'Simples Nacional 2017'!$B$9,
IF(AND(C35&lt;=1080000,C35&gt;=900000.01),'Simples Nacional 2017'!$B$10,IF(AND(C35&lt;=1260000,C35&gt;=1080000.01),'Simples Nacional 2017'!$B$11,IF(AND(C35&lt;=1440000,C35&gt;=1260000.01),'Simples Nacional 2017'!$B$12,IF(AND(C35&lt;=1620000,C35&gt;=1440000.01),'Simples Nacional 2017'!$B$13,IF(AND(C35&lt;=1800000,C35&gt;=1620000.01),'Simples Nacional 2017'!$B$14,IF(AND(C35&lt;=1980000,C35&gt;=1800000.01),'Simples Nacional 2017'!$B$15,IF(AND(C35&lt;=2160000,C35&gt;=1980000.01),'Simples Nacional 2017'!$B$16,IF(AND(C35&lt;=2340000,C35&gt;=2160000.01),'Simples Nacional 2017'!$B$17,IF(AND(C35&lt;=2520000,C35&gt;=2340000.01),'Simples Nacional 2017'!$B$18,IF(AND(C35&lt;=2700000,C35&gt;=2520000.01),'Simples Nacional 2017'!$B$19,IF(AND(C35&lt;=2880000,C35&gt;=2700000.01),'Simples Nacional 2017'!$B$20,IF(AND(C35&lt;=3060000,C35&gt;=2880000.01),'Simples Nacional 2017'!$B$21,IF(AND(C35&lt;=3240000,C35&gt;=3060000.01),'Simples Nacional 2017'!$B$22,IF(AND(C35&lt;=3420000,C35&gt;=3240000.01),'Simples Nacional 2017'!$B$23,IF(AND(C35&lt;=3600000,C35&gt;=3420000.01),'Simples Nacional 2017'!$B$24))))))))))))))))))))</f>
        <v>0.06</v>
      </c>
      <c r="H35" s="13" t="e">
        <f t="shared" si="0"/>
        <v>#VALUE!</v>
      </c>
      <c r="I35" s="30">
        <f t="shared" si="4"/>
        <v>0</v>
      </c>
      <c r="J35" s="20" t="e">
        <f t="shared" si="5"/>
        <v>#VALUE!</v>
      </c>
      <c r="L35" s="49"/>
      <c r="M35" s="50"/>
      <c r="N35" s="50"/>
      <c r="O35" s="50"/>
      <c r="P35" s="51"/>
    </row>
    <row r="36" spans="1:16" x14ac:dyDescent="0.25">
      <c r="A36" s="19" t="s">
        <v>28</v>
      </c>
      <c r="B36" s="13"/>
      <c r="C36" s="13">
        <f>SUM(B22,C22,D22,E22,F22,B29,B30,B31,B32,B33,B34,B35)</f>
        <v>0</v>
      </c>
      <c r="D36" s="14">
        <f t="shared" si="1"/>
        <v>0.06</v>
      </c>
      <c r="E36" s="13" t="str">
        <f t="shared" si="2"/>
        <v>-</v>
      </c>
      <c r="F36" s="14" t="e">
        <f t="shared" si="3"/>
        <v>#VALUE!</v>
      </c>
      <c r="G36" s="31">
        <f>IF(C36&lt;=180000,'Simples Nacional 2017'!$B$5,IF(AND(C36&gt;180000,C36&lt;=360000),'Simples Nacional 2017'!$B$6,IF(AND(C36&lt;=540000,C36&gt;=360000.01),'Simples Nacional 2017'!$B$7,IF(AND(C36&lt;=720000,C36&gt;=540000.01),'Simples Nacional 2017'!$B$8,IF(AND(C36&lt;=900000,C36&gt;=720000.01),'Simples Nacional 2017'!$B$9,
IF(AND(C36&lt;=1080000,C36&gt;=900000.01),'Simples Nacional 2017'!$B$10,IF(AND(C36&lt;=1260000,C36&gt;=1080000.01),'Simples Nacional 2017'!$B$11,IF(AND(C36&lt;=1440000,C36&gt;=1260000.01),'Simples Nacional 2017'!$B$12,IF(AND(C36&lt;=1620000,C36&gt;=1440000.01),'Simples Nacional 2017'!$B$13,IF(AND(C36&lt;=1800000,C36&gt;=1620000.01),'Simples Nacional 2017'!$B$14,IF(AND(C36&lt;=1980000,C36&gt;=1800000.01),'Simples Nacional 2017'!$B$15,IF(AND(C36&lt;=2160000,C36&gt;=1980000.01),'Simples Nacional 2017'!$B$16,IF(AND(C36&lt;=2340000,C36&gt;=2160000.01),'Simples Nacional 2017'!$B$17,IF(AND(C36&lt;=2520000,C36&gt;=2340000.01),'Simples Nacional 2017'!$B$18,IF(AND(C36&lt;=2700000,C36&gt;=2520000.01),'Simples Nacional 2017'!$B$19,IF(AND(C36&lt;=2880000,C36&gt;=2700000.01),'Simples Nacional 2017'!$B$20,IF(AND(C36&lt;=3060000,C36&gt;=2880000.01),'Simples Nacional 2017'!$B$21,IF(AND(C36&lt;=3240000,C36&gt;=3060000.01),'Simples Nacional 2017'!$B$22,IF(AND(C36&lt;=3420000,C36&gt;=3240000.01),'Simples Nacional 2017'!$B$23,IF(AND(C36&lt;=3600000,C36&gt;=3420000.01),'Simples Nacional 2017'!$B$24))))))))))))))))))))</f>
        <v>0.06</v>
      </c>
      <c r="H36" s="13" t="e">
        <f t="shared" si="0"/>
        <v>#VALUE!</v>
      </c>
      <c r="I36" s="30">
        <f t="shared" si="4"/>
        <v>0</v>
      </c>
      <c r="J36" s="20" t="e">
        <f t="shared" si="5"/>
        <v>#VALUE!</v>
      </c>
    </row>
    <row r="37" spans="1:16" x14ac:dyDescent="0.25">
      <c r="A37" s="19" t="s">
        <v>29</v>
      </c>
      <c r="B37" s="13"/>
      <c r="C37" s="13">
        <f>SUM(C22,D22,E22,F22,B29,B30,B31,B32,B33,B34,B35,B36)</f>
        <v>0</v>
      </c>
      <c r="D37" s="14">
        <f t="shared" si="1"/>
        <v>0.06</v>
      </c>
      <c r="E37" s="13" t="str">
        <f t="shared" si="2"/>
        <v>-</v>
      </c>
      <c r="F37" s="14" t="e">
        <f t="shared" si="3"/>
        <v>#VALUE!</v>
      </c>
      <c r="G37" s="31">
        <f>IF(C37&lt;=180000,'Simples Nacional 2017'!$B$5,IF(AND(C37&gt;180000,C37&lt;=360000),'Simples Nacional 2017'!$B$6,IF(AND(C37&lt;=540000,C37&gt;=360000.01),'Simples Nacional 2017'!$B$7,IF(AND(C37&lt;=720000,C37&gt;=540000.01),'Simples Nacional 2017'!$B$8,IF(AND(C37&lt;=900000,C37&gt;=720000.01),'Simples Nacional 2017'!$B$9,
IF(AND(C37&lt;=1080000,C37&gt;=900000.01),'Simples Nacional 2017'!$B$10,IF(AND(C37&lt;=1260000,C37&gt;=1080000.01),'Simples Nacional 2017'!$B$11,IF(AND(C37&lt;=1440000,C37&gt;=1260000.01),'Simples Nacional 2017'!$B$12,IF(AND(C37&lt;=1620000,C37&gt;=1440000.01),'Simples Nacional 2017'!$B$13,IF(AND(C37&lt;=1800000,C37&gt;=1620000.01),'Simples Nacional 2017'!$B$14,IF(AND(C37&lt;=1980000,C37&gt;=1800000.01),'Simples Nacional 2017'!$B$15,IF(AND(C37&lt;=2160000,C37&gt;=1980000.01),'Simples Nacional 2017'!$B$16,IF(AND(C37&lt;=2340000,C37&gt;=2160000.01),'Simples Nacional 2017'!$B$17,IF(AND(C37&lt;=2520000,C37&gt;=2340000.01),'Simples Nacional 2017'!$B$18,IF(AND(C37&lt;=2700000,C37&gt;=2520000.01),'Simples Nacional 2017'!$B$19,IF(AND(C37&lt;=2880000,C37&gt;=2700000.01),'Simples Nacional 2017'!$B$20,IF(AND(C37&lt;=3060000,C37&gt;=2880000.01),'Simples Nacional 2017'!$B$21,IF(AND(C37&lt;=3240000,C37&gt;=3060000.01),'Simples Nacional 2017'!$B$22,IF(AND(C37&lt;=3420000,C37&gt;=3240000.01),'Simples Nacional 2017'!$B$23,IF(AND(C37&lt;=3600000,C37&gt;=3420000.01),'Simples Nacional 2017'!$B$24))))))))))))))))))))</f>
        <v>0.06</v>
      </c>
      <c r="H37" s="13" t="e">
        <f t="shared" si="0"/>
        <v>#VALUE!</v>
      </c>
      <c r="I37" s="30">
        <f t="shared" si="4"/>
        <v>0</v>
      </c>
      <c r="J37" s="20" t="e">
        <f t="shared" si="5"/>
        <v>#VALUE!</v>
      </c>
    </row>
    <row r="38" spans="1:16" x14ac:dyDescent="0.25">
      <c r="A38" s="19" t="s">
        <v>30</v>
      </c>
      <c r="B38" s="13"/>
      <c r="C38" s="13">
        <f>SUM(D22,E22,F22,B29,B30,B31,B32,B33,B34,B35,B36,B37)</f>
        <v>0</v>
      </c>
      <c r="D38" s="14">
        <f t="shared" si="1"/>
        <v>0.06</v>
      </c>
      <c r="E38" s="13" t="str">
        <f t="shared" si="2"/>
        <v>-</v>
      </c>
      <c r="F38" s="14" t="e">
        <f t="shared" si="3"/>
        <v>#VALUE!</v>
      </c>
      <c r="G38" s="31">
        <f>IF(C38&lt;=180000,'Simples Nacional 2017'!$B$5,IF(AND(C38&gt;180000,C38&lt;=360000),'Simples Nacional 2017'!$B$6,IF(AND(C38&lt;=540000,C38&gt;=360000.01),'Simples Nacional 2017'!$B$7,IF(AND(C38&lt;=720000,C38&gt;=540000.01),'Simples Nacional 2017'!$B$8,IF(AND(C38&lt;=900000,C38&gt;=720000.01),'Simples Nacional 2017'!$B$9,
IF(AND(C38&lt;=1080000,C38&gt;=900000.01),'Simples Nacional 2017'!$B$10,IF(AND(C38&lt;=1260000,C38&gt;=1080000.01),'Simples Nacional 2017'!$B$11,IF(AND(C38&lt;=1440000,C38&gt;=1260000.01),'Simples Nacional 2017'!$B$12,IF(AND(C38&lt;=1620000,C38&gt;=1440000.01),'Simples Nacional 2017'!$B$13,IF(AND(C38&lt;=1800000,C38&gt;=1620000.01),'Simples Nacional 2017'!$B$14,IF(AND(C38&lt;=1980000,C38&gt;=1800000.01),'Simples Nacional 2017'!$B$15,IF(AND(C38&lt;=2160000,C38&gt;=1980000.01),'Simples Nacional 2017'!$B$16,IF(AND(C38&lt;=2340000,C38&gt;=2160000.01),'Simples Nacional 2017'!$B$17,IF(AND(C38&lt;=2520000,C38&gt;=2340000.01),'Simples Nacional 2017'!$B$18,IF(AND(C38&lt;=2700000,C38&gt;=2520000.01),'Simples Nacional 2017'!$B$19,IF(AND(C38&lt;=2880000,C38&gt;=2700000.01),'Simples Nacional 2017'!$B$20,IF(AND(C38&lt;=3060000,C38&gt;=2880000.01),'Simples Nacional 2017'!$B$21,IF(AND(C38&lt;=3240000,C38&gt;=3060000.01),'Simples Nacional 2017'!$B$22,IF(AND(C38&lt;=3420000,C38&gt;=3240000.01),'Simples Nacional 2017'!$B$23,IF(AND(C38&lt;=3600000,C38&gt;=3420000.01),'Simples Nacional 2017'!$B$24))))))))))))))))))))</f>
        <v>0.06</v>
      </c>
      <c r="H38" s="13" t="e">
        <f t="shared" si="0"/>
        <v>#VALUE!</v>
      </c>
      <c r="I38" s="30">
        <f t="shared" si="4"/>
        <v>0</v>
      </c>
      <c r="J38" s="20" t="e">
        <f t="shared" si="5"/>
        <v>#VALUE!</v>
      </c>
    </row>
    <row r="39" spans="1:16" x14ac:dyDescent="0.25">
      <c r="A39" s="19" t="s">
        <v>31</v>
      </c>
      <c r="B39" s="13"/>
      <c r="C39" s="13">
        <f>SUM(E22,F22,B29,B30,B31,B32,B33,B34,B35,B36,B37,B38)</f>
        <v>0</v>
      </c>
      <c r="D39" s="14">
        <f t="shared" si="1"/>
        <v>0.06</v>
      </c>
      <c r="E39" s="13" t="str">
        <f t="shared" si="2"/>
        <v>-</v>
      </c>
      <c r="F39" s="14" t="e">
        <f t="shared" si="3"/>
        <v>#VALUE!</v>
      </c>
      <c r="G39" s="31">
        <f>IF(C39&lt;=180000,'Simples Nacional 2017'!$B$5,IF(AND(C39&gt;180000,C39&lt;=360000),'Simples Nacional 2017'!$B$6,IF(AND(C39&lt;=540000,C39&gt;=360000.01),'Simples Nacional 2017'!$B$7,IF(AND(C39&lt;=720000,C39&gt;=540000.01),'Simples Nacional 2017'!$B$8,IF(AND(C39&lt;=900000,C39&gt;=720000.01),'Simples Nacional 2017'!$B$9,
IF(AND(C39&lt;=1080000,C39&gt;=900000.01),'Simples Nacional 2017'!$B$10,IF(AND(C39&lt;=1260000,C39&gt;=1080000.01),'Simples Nacional 2017'!$B$11,IF(AND(C39&lt;=1440000,C39&gt;=1260000.01),'Simples Nacional 2017'!$B$12,IF(AND(C39&lt;=1620000,C39&gt;=1440000.01),'Simples Nacional 2017'!$B$13,IF(AND(C39&lt;=1800000,C39&gt;=1620000.01),'Simples Nacional 2017'!$B$14,IF(AND(C39&lt;=1980000,C39&gt;=1800000.01),'Simples Nacional 2017'!$B$15,IF(AND(C39&lt;=2160000,C39&gt;=1980000.01),'Simples Nacional 2017'!$B$16,IF(AND(C39&lt;=2340000,C39&gt;=2160000.01),'Simples Nacional 2017'!$B$17,IF(AND(C39&lt;=2520000,C39&gt;=2340000.01),'Simples Nacional 2017'!$B$18,IF(AND(C39&lt;=2700000,C39&gt;=2520000.01),'Simples Nacional 2017'!$B$19,IF(AND(C39&lt;=2880000,C39&gt;=2700000.01),'Simples Nacional 2017'!$B$20,IF(AND(C39&lt;=3060000,C39&gt;=2880000.01),'Simples Nacional 2017'!$B$21,IF(AND(C39&lt;=3240000,C39&gt;=3060000.01),'Simples Nacional 2017'!$B$22,IF(AND(C39&lt;=3420000,C39&gt;=3240000.01),'Simples Nacional 2017'!$B$23,IF(AND(C39&lt;=3600000,C39&gt;=3420000.01),'Simples Nacional 2017'!$B$24))))))))))))))))))))</f>
        <v>0.06</v>
      </c>
      <c r="H39" s="13" t="e">
        <f t="shared" si="0"/>
        <v>#VALUE!</v>
      </c>
      <c r="I39" s="30">
        <f t="shared" si="4"/>
        <v>0</v>
      </c>
      <c r="J39" s="20" t="e">
        <f t="shared" si="5"/>
        <v>#VALUE!</v>
      </c>
    </row>
    <row r="40" spans="1:16" ht="15.75" thickBot="1" x14ac:dyDescent="0.3">
      <c r="A40" s="19" t="s">
        <v>32</v>
      </c>
      <c r="B40" s="13"/>
      <c r="C40" s="13">
        <f>SUM(F22,B29,B30,B31,B32,B33,B34,B35,B36,B37,B38,B39)</f>
        <v>0</v>
      </c>
      <c r="D40" s="14">
        <f t="shared" si="1"/>
        <v>0.06</v>
      </c>
      <c r="E40" s="13" t="str">
        <f t="shared" si="2"/>
        <v>-</v>
      </c>
      <c r="F40" s="14" t="e">
        <f t="shared" si="3"/>
        <v>#VALUE!</v>
      </c>
      <c r="G40" s="31">
        <f>IF(C40&lt;=180000,'Simples Nacional 2017'!$B$5,IF(AND(C40&gt;180000,C40&lt;=360000),'Simples Nacional 2017'!$B$6,IF(AND(C40&lt;=540000,C40&gt;=360000.01),'Simples Nacional 2017'!$B$7,IF(AND(C40&lt;=720000,C40&gt;=540000.01),'Simples Nacional 2017'!$B$8,IF(AND(C40&lt;=900000,C40&gt;=720000.01),'Simples Nacional 2017'!$B$9,
IF(AND(C40&lt;=1080000,C40&gt;=900000.01),'Simples Nacional 2017'!$B$10,IF(AND(C40&lt;=1260000,C40&gt;=1080000.01),'Simples Nacional 2017'!$B$11,IF(AND(C40&lt;=1440000,C40&gt;=1260000.01),'Simples Nacional 2017'!$B$12,IF(AND(C40&lt;=1620000,C40&gt;=1440000.01),'Simples Nacional 2017'!$B$13,IF(AND(C40&lt;=1800000,C40&gt;=1620000.01),'Simples Nacional 2017'!$B$14,IF(AND(C40&lt;=1980000,C40&gt;=1800000.01),'Simples Nacional 2017'!$B$15,IF(AND(C40&lt;=2160000,C40&gt;=1980000.01),'Simples Nacional 2017'!$B$16,IF(AND(C40&lt;=2340000,C40&gt;=2160000.01),'Simples Nacional 2017'!$B$17,IF(AND(C40&lt;=2520000,C40&gt;=2340000.01),'Simples Nacional 2017'!$B$18,IF(AND(C40&lt;=2700000,C40&gt;=2520000.01),'Simples Nacional 2017'!$B$19,IF(AND(C40&lt;=2880000,C40&gt;=2700000.01),'Simples Nacional 2017'!$B$20,IF(AND(C40&lt;=3060000,C40&gt;=2880000.01),'Simples Nacional 2017'!$B$21,IF(AND(C40&lt;=3240000,C40&gt;=3060000.01),'Simples Nacional 2017'!$B$22,IF(AND(C40&lt;=3420000,C40&gt;=3240000.01),'Simples Nacional 2017'!$B$23,IF(AND(C40&lt;=3600000,C40&gt;=3420000.01),'Simples Nacional 2017'!$B$24))))))))))))))))))))</f>
        <v>0.06</v>
      </c>
      <c r="H40" s="13" t="e">
        <f t="shared" si="0"/>
        <v>#VALUE!</v>
      </c>
      <c r="I40" s="30">
        <f t="shared" si="4"/>
        <v>0</v>
      </c>
      <c r="J40" s="20" t="e">
        <f t="shared" si="5"/>
        <v>#VALUE!</v>
      </c>
    </row>
    <row r="41" spans="1:16" ht="15.75" thickBot="1" x14ac:dyDescent="0.3">
      <c r="A41" s="39" t="s">
        <v>44</v>
      </c>
      <c r="B41" s="40"/>
      <c r="C41" s="40"/>
      <c r="D41" s="40"/>
      <c r="E41" s="40"/>
      <c r="F41" s="40"/>
      <c r="G41" s="42"/>
      <c r="H41" s="26" t="e">
        <f>SUM(H29:H40)</f>
        <v>#VALUE!</v>
      </c>
      <c r="I41" s="27">
        <f>SUM(I29:I40)</f>
        <v>0</v>
      </c>
      <c r="J41" s="28" t="e">
        <f>SUM(J29:J40)</f>
        <v>#VALUE!</v>
      </c>
    </row>
    <row r="42" spans="1:16" ht="9.75" customHeight="1" x14ac:dyDescent="0.25"/>
    <row r="43" spans="1:16" x14ac:dyDescent="0.25">
      <c r="A43" t="s">
        <v>50</v>
      </c>
    </row>
    <row r="44" spans="1:16" s="25" customFormat="1" ht="39" customHeight="1" x14ac:dyDescent="0.25">
      <c r="A44" s="12" t="s">
        <v>33</v>
      </c>
      <c r="B44" s="12" t="s">
        <v>38</v>
      </c>
      <c r="C44" s="12" t="s">
        <v>43</v>
      </c>
      <c r="D44" s="12" t="s">
        <v>39</v>
      </c>
      <c r="E44" s="12" t="s">
        <v>40</v>
      </c>
      <c r="F44" s="12" t="s">
        <v>41</v>
      </c>
      <c r="G44" s="12" t="s">
        <v>45</v>
      </c>
      <c r="H44" s="12" t="s">
        <v>42</v>
      </c>
      <c r="I44" s="12" t="s">
        <v>51</v>
      </c>
    </row>
    <row r="45" spans="1:16" x14ac:dyDescent="0.25">
      <c r="A45" s="15" t="s">
        <v>20</v>
      </c>
      <c r="B45" s="16">
        <f>B29</f>
        <v>0</v>
      </c>
      <c r="C45" s="16">
        <f>B45*5%</f>
        <v>0</v>
      </c>
      <c r="D45" s="16">
        <f>B45*0.65%</f>
        <v>0</v>
      </c>
      <c r="E45" s="16">
        <f>B45*3%</f>
        <v>0</v>
      </c>
      <c r="F45" s="16">
        <f>(B45*32%)*15%</f>
        <v>0</v>
      </c>
      <c r="G45" s="16">
        <f>((B45*32%)-20000)*10%</f>
        <v>-2000</v>
      </c>
      <c r="H45" s="16">
        <f>B45*32%*9%</f>
        <v>0</v>
      </c>
      <c r="I45" s="18">
        <f>C45+D45+E45+F45+G45+H45</f>
        <v>-2000</v>
      </c>
    </row>
    <row r="46" spans="1:16" x14ac:dyDescent="0.25">
      <c r="A46" s="19" t="s">
        <v>22</v>
      </c>
      <c r="B46" s="13">
        <f>B30</f>
        <v>0</v>
      </c>
      <c r="C46" s="13">
        <f t="shared" ref="C46:C56" si="6">B46*5%</f>
        <v>0</v>
      </c>
      <c r="D46" s="13">
        <f t="shared" ref="D46:D56" si="7">B46*0.65%</f>
        <v>0</v>
      </c>
      <c r="E46" s="13">
        <f t="shared" ref="E46:E56" si="8">B46*3%</f>
        <v>0</v>
      </c>
      <c r="F46" s="13">
        <f t="shared" ref="F46:F56" si="9">(B46*32%)*15%</f>
        <v>0</v>
      </c>
      <c r="G46" s="13">
        <f t="shared" ref="G46:G56" si="10">((B46*32%)-20000)*10%</f>
        <v>-2000</v>
      </c>
      <c r="H46" s="13">
        <f t="shared" ref="H46:H56" si="11">B46*32%*9%</f>
        <v>0</v>
      </c>
      <c r="I46" s="20">
        <f t="shared" ref="I46:I56" si="12">C46+D46+E46+F46+G46+H46</f>
        <v>-2000</v>
      </c>
    </row>
    <row r="47" spans="1:16" x14ac:dyDescent="0.25">
      <c r="A47" s="19" t="s">
        <v>23</v>
      </c>
      <c r="B47" s="13">
        <f>B31</f>
        <v>0</v>
      </c>
      <c r="C47" s="13">
        <f t="shared" si="6"/>
        <v>0</v>
      </c>
      <c r="D47" s="13">
        <f t="shared" si="7"/>
        <v>0</v>
      </c>
      <c r="E47" s="13">
        <f t="shared" si="8"/>
        <v>0</v>
      </c>
      <c r="F47" s="13">
        <f t="shared" si="9"/>
        <v>0</v>
      </c>
      <c r="G47" s="13">
        <f t="shared" si="10"/>
        <v>-2000</v>
      </c>
      <c r="H47" s="13">
        <f t="shared" si="11"/>
        <v>0</v>
      </c>
      <c r="I47" s="20">
        <f t="shared" si="12"/>
        <v>-2000</v>
      </c>
    </row>
    <row r="48" spans="1:16" x14ac:dyDescent="0.25">
      <c r="A48" s="19" t="s">
        <v>24</v>
      </c>
      <c r="B48" s="13">
        <f t="shared" ref="B48:B56" si="13">B32</f>
        <v>0</v>
      </c>
      <c r="C48" s="13">
        <f t="shared" si="6"/>
        <v>0</v>
      </c>
      <c r="D48" s="13">
        <f t="shared" si="7"/>
        <v>0</v>
      </c>
      <c r="E48" s="13">
        <f t="shared" si="8"/>
        <v>0</v>
      </c>
      <c r="F48" s="13">
        <f t="shared" si="9"/>
        <v>0</v>
      </c>
      <c r="G48" s="13">
        <f t="shared" si="10"/>
        <v>-2000</v>
      </c>
      <c r="H48" s="13">
        <f t="shared" si="11"/>
        <v>0</v>
      </c>
      <c r="I48" s="20">
        <f t="shared" si="12"/>
        <v>-2000</v>
      </c>
    </row>
    <row r="49" spans="1:9" x14ac:dyDescent="0.25">
      <c r="A49" s="19" t="s">
        <v>25</v>
      </c>
      <c r="B49" s="13">
        <f t="shared" si="13"/>
        <v>0</v>
      </c>
      <c r="C49" s="13">
        <f t="shared" si="6"/>
        <v>0</v>
      </c>
      <c r="D49" s="13">
        <f t="shared" si="7"/>
        <v>0</v>
      </c>
      <c r="E49" s="13">
        <f t="shared" si="8"/>
        <v>0</v>
      </c>
      <c r="F49" s="13">
        <f t="shared" si="9"/>
        <v>0</v>
      </c>
      <c r="G49" s="13">
        <f t="shared" si="10"/>
        <v>-2000</v>
      </c>
      <c r="H49" s="13">
        <f t="shared" si="11"/>
        <v>0</v>
      </c>
      <c r="I49" s="20">
        <f t="shared" si="12"/>
        <v>-2000</v>
      </c>
    </row>
    <row r="50" spans="1:9" x14ac:dyDescent="0.25">
      <c r="A50" s="19" t="s">
        <v>26</v>
      </c>
      <c r="B50" s="13">
        <f t="shared" si="13"/>
        <v>0</v>
      </c>
      <c r="C50" s="13">
        <f t="shared" si="6"/>
        <v>0</v>
      </c>
      <c r="D50" s="13">
        <f t="shared" si="7"/>
        <v>0</v>
      </c>
      <c r="E50" s="13">
        <f t="shared" si="8"/>
        <v>0</v>
      </c>
      <c r="F50" s="13">
        <f t="shared" si="9"/>
        <v>0</v>
      </c>
      <c r="G50" s="13">
        <f t="shared" si="10"/>
        <v>-2000</v>
      </c>
      <c r="H50" s="13">
        <f t="shared" si="11"/>
        <v>0</v>
      </c>
      <c r="I50" s="20">
        <f t="shared" si="12"/>
        <v>-2000</v>
      </c>
    </row>
    <row r="51" spans="1:9" x14ac:dyDescent="0.25">
      <c r="A51" s="19" t="s">
        <v>27</v>
      </c>
      <c r="B51" s="13">
        <f t="shared" si="13"/>
        <v>0</v>
      </c>
      <c r="C51" s="13">
        <f t="shared" si="6"/>
        <v>0</v>
      </c>
      <c r="D51" s="13">
        <f t="shared" si="7"/>
        <v>0</v>
      </c>
      <c r="E51" s="13">
        <f t="shared" si="8"/>
        <v>0</v>
      </c>
      <c r="F51" s="13">
        <f t="shared" si="9"/>
        <v>0</v>
      </c>
      <c r="G51" s="13">
        <f t="shared" si="10"/>
        <v>-2000</v>
      </c>
      <c r="H51" s="13">
        <f t="shared" si="11"/>
        <v>0</v>
      </c>
      <c r="I51" s="20">
        <f t="shared" si="12"/>
        <v>-2000</v>
      </c>
    </row>
    <row r="52" spans="1:9" x14ac:dyDescent="0.25">
      <c r="A52" s="19" t="s">
        <v>28</v>
      </c>
      <c r="B52" s="13">
        <f t="shared" si="13"/>
        <v>0</v>
      </c>
      <c r="C52" s="13">
        <f t="shared" si="6"/>
        <v>0</v>
      </c>
      <c r="D52" s="13">
        <f t="shared" si="7"/>
        <v>0</v>
      </c>
      <c r="E52" s="13">
        <f t="shared" si="8"/>
        <v>0</v>
      </c>
      <c r="F52" s="13">
        <f t="shared" si="9"/>
        <v>0</v>
      </c>
      <c r="G52" s="13">
        <f t="shared" si="10"/>
        <v>-2000</v>
      </c>
      <c r="H52" s="13">
        <f t="shared" si="11"/>
        <v>0</v>
      </c>
      <c r="I52" s="20">
        <f t="shared" si="12"/>
        <v>-2000</v>
      </c>
    </row>
    <row r="53" spans="1:9" x14ac:dyDescent="0.25">
      <c r="A53" s="19" t="s">
        <v>29</v>
      </c>
      <c r="B53" s="13">
        <f t="shared" si="13"/>
        <v>0</v>
      </c>
      <c r="C53" s="13">
        <f t="shared" si="6"/>
        <v>0</v>
      </c>
      <c r="D53" s="13">
        <f t="shared" si="7"/>
        <v>0</v>
      </c>
      <c r="E53" s="13">
        <f t="shared" si="8"/>
        <v>0</v>
      </c>
      <c r="F53" s="13">
        <f t="shared" si="9"/>
        <v>0</v>
      </c>
      <c r="G53" s="13">
        <f t="shared" si="10"/>
        <v>-2000</v>
      </c>
      <c r="H53" s="13">
        <f t="shared" si="11"/>
        <v>0</v>
      </c>
      <c r="I53" s="20">
        <f t="shared" si="12"/>
        <v>-2000</v>
      </c>
    </row>
    <row r="54" spans="1:9" x14ac:dyDescent="0.25">
      <c r="A54" s="19" t="s">
        <v>30</v>
      </c>
      <c r="B54" s="13">
        <f t="shared" si="13"/>
        <v>0</v>
      </c>
      <c r="C54" s="13">
        <f t="shared" si="6"/>
        <v>0</v>
      </c>
      <c r="D54" s="13">
        <f t="shared" si="7"/>
        <v>0</v>
      </c>
      <c r="E54" s="13">
        <f t="shared" si="8"/>
        <v>0</v>
      </c>
      <c r="F54" s="13">
        <f t="shared" si="9"/>
        <v>0</v>
      </c>
      <c r="G54" s="13">
        <f t="shared" si="10"/>
        <v>-2000</v>
      </c>
      <c r="H54" s="13">
        <f t="shared" si="11"/>
        <v>0</v>
      </c>
      <c r="I54" s="20">
        <f t="shared" si="12"/>
        <v>-2000</v>
      </c>
    </row>
    <row r="55" spans="1:9" x14ac:dyDescent="0.25">
      <c r="A55" s="19" t="s">
        <v>31</v>
      </c>
      <c r="B55" s="13">
        <f t="shared" si="13"/>
        <v>0</v>
      </c>
      <c r="C55" s="13">
        <f t="shared" si="6"/>
        <v>0</v>
      </c>
      <c r="D55" s="13">
        <f t="shared" si="7"/>
        <v>0</v>
      </c>
      <c r="E55" s="13">
        <f t="shared" si="8"/>
        <v>0</v>
      </c>
      <c r="F55" s="13">
        <f t="shared" si="9"/>
        <v>0</v>
      </c>
      <c r="G55" s="13">
        <f t="shared" si="10"/>
        <v>-2000</v>
      </c>
      <c r="H55" s="13">
        <f t="shared" si="11"/>
        <v>0</v>
      </c>
      <c r="I55" s="20">
        <f t="shared" si="12"/>
        <v>-2000</v>
      </c>
    </row>
    <row r="56" spans="1:9" ht="15.75" thickBot="1" x14ac:dyDescent="0.3">
      <c r="A56" s="21" t="s">
        <v>32</v>
      </c>
      <c r="B56" s="13">
        <f t="shared" si="13"/>
        <v>0</v>
      </c>
      <c r="C56" s="22">
        <f t="shared" si="6"/>
        <v>0</v>
      </c>
      <c r="D56" s="22">
        <f t="shared" si="7"/>
        <v>0</v>
      </c>
      <c r="E56" s="22">
        <f t="shared" si="8"/>
        <v>0</v>
      </c>
      <c r="F56" s="22">
        <f t="shared" si="9"/>
        <v>0</v>
      </c>
      <c r="G56" s="22">
        <f t="shared" si="10"/>
        <v>-2000</v>
      </c>
      <c r="H56" s="22">
        <f t="shared" si="11"/>
        <v>0</v>
      </c>
      <c r="I56" s="23">
        <f t="shared" si="12"/>
        <v>-2000</v>
      </c>
    </row>
    <row r="57" spans="1:9" ht="15.75" thickBot="1" x14ac:dyDescent="0.3">
      <c r="A57" s="39" t="s">
        <v>44</v>
      </c>
      <c r="B57" s="40"/>
      <c r="C57" s="40"/>
      <c r="D57" s="40"/>
      <c r="E57" s="40"/>
      <c r="F57" s="40"/>
      <c r="G57" s="40"/>
      <c r="H57" s="41"/>
      <c r="I57" s="28">
        <f>SUM(I45:I56)</f>
        <v>-24000</v>
      </c>
    </row>
  </sheetData>
  <mergeCells count="7">
    <mergeCell ref="L32:P35"/>
    <mergeCell ref="A10:B10"/>
    <mergeCell ref="A18:B18"/>
    <mergeCell ref="A24:C24"/>
    <mergeCell ref="A57:H57"/>
    <mergeCell ref="A41:G41"/>
    <mergeCell ref="H19:L22"/>
  </mergeCells>
  <pageMargins left="0.511811024" right="0.511811024" top="0.78740157499999996" bottom="0.78740157499999996" header="0.31496062000000002" footer="0.31496062000000002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Simples Nacional 2017</vt:lpstr>
      <vt:lpstr>SIMULAÇÃO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Elisama</dc:creator>
  <cp:lastModifiedBy>Elisama</cp:lastModifiedBy>
  <cp:lastPrinted>2017-10-31T17:13:00Z</cp:lastPrinted>
  <dcterms:created xsi:type="dcterms:W3CDTF">2017-10-31T12:37:53Z</dcterms:created>
  <dcterms:modified xsi:type="dcterms:W3CDTF">2017-12-12T10:28:21Z</dcterms:modified>
</cp:coreProperties>
</file>