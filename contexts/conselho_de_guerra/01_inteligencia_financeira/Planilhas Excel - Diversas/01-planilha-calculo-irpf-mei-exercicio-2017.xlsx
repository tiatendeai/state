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BKP-ERON 3\001 CONTENG\10 IRPF - DIRF - TRIBUTOS E OBRIGAÇÕES FEDERAIS NORMATIVAS\00 IRPF 2017\IRPF - MEI\"/>
    </mc:Choice>
  </mc:AlternateContent>
  <xr:revisionPtr revIDLastSave="0" documentId="13_ncr:1000001_{47603DFF-00BB-3349-8F48-93DDC6BD4D9F}" xr6:coauthVersionLast="28" xr6:coauthVersionMax="28" xr10:uidLastSave="{00000000-0000-0000-0000-000000000000}"/>
  <bookViews>
    <workbookView xWindow="0" yWindow="0" windowWidth="20490" windowHeight="7530" xr2:uid="{00000000-000D-0000-FFFF-FFFF00000000}"/>
  </bookViews>
  <sheets>
    <sheet name="Exemplo 1" sheetId="2" r:id="rId1"/>
    <sheet name="Exemplo 2" sheetId="3" r:id="rId2"/>
    <sheet name="Exemplo 3" sheetId="4" r:id="rId3"/>
    <sheet name="Exemplo 4" sheetId="5" r:id="rId4"/>
  </sheets>
  <calcPr calcId="171026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5" l="1"/>
  <c r="J11" i="5"/>
  <c r="E22" i="5"/>
  <c r="G26" i="5"/>
  <c r="E19" i="4"/>
  <c r="J11" i="4"/>
  <c r="E22" i="4"/>
  <c r="G26" i="4"/>
  <c r="E19" i="3"/>
  <c r="J11" i="3"/>
  <c r="E22" i="3"/>
  <c r="E25" i="3"/>
  <c r="G26" i="3"/>
  <c r="E25" i="5"/>
  <c r="E25" i="4"/>
  <c r="E28" i="3"/>
  <c r="G28" i="3"/>
  <c r="G23" i="3"/>
  <c r="E19" i="2"/>
  <c r="J11" i="2"/>
  <c r="E22" i="2"/>
  <c r="G26" i="2"/>
  <c r="G23" i="5"/>
  <c r="E28" i="5"/>
  <c r="G28" i="5"/>
  <c r="G23" i="4"/>
  <c r="E28" i="4"/>
  <c r="G28" i="4"/>
  <c r="E25" i="2"/>
  <c r="E28" i="2"/>
  <c r="G28" i="2"/>
  <c r="G23" i="2"/>
</calcChain>
</file>

<file path=xl/sharedStrings.xml><?xml version="1.0" encoding="utf-8"?>
<sst xmlns="http://schemas.openxmlformats.org/spreadsheetml/2006/main" count="132" uniqueCount="32">
  <si>
    <t>(Receita Bruta - Despesas)</t>
  </si>
  <si>
    <t>(% da atividade sobre a Receita Bruta)</t>
  </si>
  <si>
    <t>(Lucro Evidenciado - Parcela Isenta)</t>
  </si>
  <si>
    <t>Ficha de Rendimento Tributável recebido de Pessoa Jurídica</t>
  </si>
  <si>
    <t>Ficha de Rendimento Isentos - ( Lucros e Dividendos Recebidos pelo Titular)</t>
  </si>
  <si>
    <t>( Parte correspondente ao MEI)</t>
  </si>
  <si>
    <t>Lucro Evidenciado:</t>
  </si>
  <si>
    <t>Parcela Isenta :</t>
  </si>
  <si>
    <t>Parcela Tributável:</t>
  </si>
  <si>
    <t>TOTAL RENDIMENTOS:</t>
  </si>
  <si>
    <t>Receita Bruta MEI</t>
  </si>
  <si>
    <t>Despesas MEI</t>
  </si>
  <si>
    <t>Atividade realizada pelo MEI</t>
  </si>
  <si>
    <t>Transporte de passageiros;</t>
  </si>
  <si>
    <t>Prestação de Serviços em geral.</t>
  </si>
  <si>
    <t>Comércio, Indústria ou transporte de carga;</t>
  </si>
  <si>
    <t>A parcela da receita bruta que pode ser considerada como lucro líquido, de acordo com o art. 14 da LC 123/2006 fica limitada aos percentuais previstos para o lucro presumido:</t>
  </si>
  <si>
    <t>RESULTADO</t>
  </si>
  <si>
    <t>Outras Fontes de Renda</t>
  </si>
  <si>
    <t>PREENCHA OS CAMPOS EM BRANCO</t>
  </si>
  <si>
    <t>Como declarar no seu DIRPF:</t>
  </si>
  <si>
    <t>Preencha com os rendimentos que você tenha fora da atividade de MEI</t>
  </si>
  <si>
    <t>CÁLCULO DE RENDA DO MEI PARA PREENCHIMENTO DA DIRPF</t>
  </si>
  <si>
    <t>Rendimentos TRIBUTÁVEIS acima de:</t>
  </si>
  <si>
    <r>
      <t xml:space="preserve">A presente planilha verifica a necessidade de Declarar avaliando somente a questão dos Rendimentos auferidos. 
</t>
    </r>
    <r>
      <rPr>
        <b/>
        <sz val="9"/>
        <color rgb="FF000000"/>
        <rFont val="Calibri Light"/>
        <family val="2"/>
      </rPr>
      <t>Lembre-se, não só os rendimentos auferidos tornam obrigatória a apresentação de declaração. Para saber quem está obrigado a declarar IRPF, acesse o site da Receita Federal.</t>
    </r>
  </si>
  <si>
    <t>Instruções: Preencha os campos em Branco do Quadro Verde para obter os resultados no Quadro Azul.</t>
  </si>
  <si>
    <t>facebook.com.br/contengrs</t>
  </si>
  <si>
    <t>contengpoa@gmail.com</t>
  </si>
  <si>
    <t>CONTENG - CONTABILIDADE &amp; CONSULTORIA</t>
  </si>
  <si>
    <t>facebook.com.br/contegrs</t>
  </si>
  <si>
    <t xml:space="preserve">www.conteng.com.br </t>
  </si>
  <si>
    <t>Limite IRPF Exercício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</si>
</sst>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rgb="FF000000"/>
      <name val="Calibri Light"/>
      <family val="2"/>
    </font>
    <font>
      <b/>
      <sz val="16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C0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C00000"/>
      </left>
      <right style="thin">
        <color theme="0" tint="-0.499984740745262"/>
      </right>
      <top style="thin">
        <color theme="0" tint="-0.499984740745262"/>
      </top>
      <bottom style="medium">
        <color rgb="FFC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C00000"/>
      </bottom>
      <diagonal/>
    </border>
    <border>
      <left/>
      <right style="medium">
        <color rgb="FFC00000"/>
      </right>
      <top style="thin">
        <color theme="0" tint="-0.499984740745262"/>
      </top>
      <bottom style="medium">
        <color rgb="FFC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rgb="FFC00000"/>
      </bottom>
      <diagonal/>
    </border>
    <border>
      <left/>
      <right style="medium">
        <color rgb="FFC0000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rgb="FFC00000"/>
      </right>
      <top/>
      <bottom style="thin">
        <color theme="0" tint="-0.499984740745262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/>
    <xf numFmtId="0" fontId="0" fillId="6" borderId="0" xfId="0" applyFill="1"/>
    <xf numFmtId="9" fontId="2" fillId="0" borderId="0" xfId="0" applyNumberFormat="1" applyFont="1" applyFill="1" applyBorder="1" applyAlignment="1">
      <alignment horizontal="center" vertical="center"/>
    </xf>
    <xf numFmtId="9" fontId="2" fillId="7" borderId="9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left" vertical="center"/>
    </xf>
    <xf numFmtId="9" fontId="2" fillId="7" borderId="12" xfId="0" applyNumberFormat="1" applyFont="1" applyFill="1" applyBorder="1" applyAlignment="1">
      <alignment horizontal="center" vertical="center"/>
    </xf>
    <xf numFmtId="0" fontId="0" fillId="7" borderId="13" xfId="0" applyFill="1" applyBorder="1" applyAlignment="1">
      <alignment horizontal="left" vertical="center"/>
    </xf>
    <xf numFmtId="0" fontId="9" fillId="5" borderId="21" xfId="0" applyFont="1" applyFill="1" applyBorder="1"/>
    <xf numFmtId="0" fontId="11" fillId="5" borderId="22" xfId="0" applyFont="1" applyFill="1" applyBorder="1"/>
    <xf numFmtId="0" fontId="0" fillId="7" borderId="10" xfId="0" applyFill="1" applyBorder="1" applyAlignment="1"/>
    <xf numFmtId="0" fontId="0" fillId="7" borderId="11" xfId="0" applyFill="1" applyBorder="1" applyAlignment="1"/>
    <xf numFmtId="0" fontId="0" fillId="7" borderId="15" xfId="0" applyFill="1" applyBorder="1" applyAlignment="1"/>
    <xf numFmtId="0" fontId="0" fillId="7" borderId="17" xfId="0" applyFill="1" applyBorder="1" applyAlignment="1"/>
    <xf numFmtId="0" fontId="0" fillId="7" borderId="13" xfId="0" applyFill="1" applyBorder="1" applyAlignment="1"/>
    <xf numFmtId="0" fontId="0" fillId="7" borderId="16" xfId="0" applyFill="1" applyBorder="1" applyAlignment="1"/>
    <xf numFmtId="0" fontId="0" fillId="7" borderId="14" xfId="0" applyFill="1" applyBorder="1" applyAlignment="1"/>
    <xf numFmtId="164" fontId="0" fillId="0" borderId="22" xfId="0" applyNumberFormat="1" applyFill="1" applyBorder="1" applyAlignment="1" applyProtection="1">
      <alignment horizontal="center" vertical="center"/>
      <protection locked="0"/>
    </xf>
    <xf numFmtId="0" fontId="3" fillId="0" borderId="0" xfId="1" applyAlignment="1"/>
    <xf numFmtId="0" fontId="9" fillId="5" borderId="21" xfId="0" applyFont="1" applyFill="1" applyBorder="1" applyAlignment="1">
      <alignment wrapText="1"/>
    </xf>
    <xf numFmtId="0" fontId="0" fillId="9" borderId="0" xfId="0" applyFill="1" applyBorder="1"/>
    <xf numFmtId="0" fontId="9" fillId="10" borderId="21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 wrapText="1"/>
    </xf>
    <xf numFmtId="0" fontId="0" fillId="11" borderId="0" xfId="0" applyFill="1"/>
    <xf numFmtId="0" fontId="0" fillId="11" borderId="0" xfId="0" applyFill="1" applyAlignment="1">
      <alignment vertical="center"/>
    </xf>
    <xf numFmtId="0" fontId="0" fillId="11" borderId="0" xfId="0" applyFill="1" applyAlignment="1">
      <alignment horizontal="center" vertical="center"/>
    </xf>
    <xf numFmtId="164" fontId="0" fillId="11" borderId="0" xfId="0" applyNumberFormat="1" applyFill="1" applyAlignment="1">
      <alignment horizontal="center"/>
    </xf>
    <xf numFmtId="164" fontId="0" fillId="11" borderId="0" xfId="0" applyNumberFormat="1" applyFill="1"/>
    <xf numFmtId="0" fontId="1" fillId="11" borderId="0" xfId="0" applyFont="1" applyFill="1"/>
    <xf numFmtId="0" fontId="0" fillId="11" borderId="0" xfId="0" applyFill="1" applyBorder="1"/>
    <xf numFmtId="0" fontId="0" fillId="11" borderId="30" xfId="0" applyFill="1" applyBorder="1" applyAlignment="1"/>
    <xf numFmtId="0" fontId="1" fillId="11" borderId="29" xfId="0" applyFont="1" applyFill="1" applyBorder="1" applyAlignment="1">
      <alignment horizontal="center"/>
    </xf>
    <xf numFmtId="0" fontId="0" fillId="11" borderId="29" xfId="0" applyFill="1" applyBorder="1" applyAlignment="1"/>
    <xf numFmtId="164" fontId="1" fillId="11" borderId="27" xfId="0" applyNumberFormat="1" applyFont="1" applyFill="1" applyBorder="1" applyAlignment="1"/>
    <xf numFmtId="9" fontId="0" fillId="12" borderId="30" xfId="2" applyFont="1" applyFill="1" applyBorder="1" applyAlignment="1">
      <alignment horizontal="center" vertical="center"/>
    </xf>
    <xf numFmtId="164" fontId="0" fillId="12" borderId="22" xfId="0" applyNumberFormat="1" applyFont="1" applyFill="1" applyBorder="1" applyAlignment="1" applyProtection="1">
      <alignment horizontal="center"/>
      <protection locked="0"/>
    </xf>
    <xf numFmtId="164" fontId="1" fillId="12" borderId="20" xfId="0" applyNumberFormat="1" applyFont="1" applyFill="1" applyBorder="1" applyAlignment="1">
      <alignment vertical="center"/>
    </xf>
    <xf numFmtId="0" fontId="0" fillId="9" borderId="26" xfId="0" applyFill="1" applyBorder="1"/>
    <xf numFmtId="0" fontId="0" fillId="9" borderId="27" xfId="0" applyFill="1" applyBorder="1"/>
    <xf numFmtId="0" fontId="6" fillId="9" borderId="26" xfId="0" applyFont="1" applyFill="1" applyBorder="1" applyAlignment="1">
      <alignment horizontal="left" vertical="center"/>
    </xf>
    <xf numFmtId="0" fontId="0" fillId="9" borderId="0" xfId="0" applyFill="1" applyBorder="1" applyAlignment="1">
      <alignment horizontal="left" vertical="center"/>
    </xf>
    <xf numFmtId="0" fontId="0" fillId="9" borderId="27" xfId="0" applyFill="1" applyBorder="1" applyAlignment="1">
      <alignment horizontal="left" vertical="center"/>
    </xf>
    <xf numFmtId="164" fontId="4" fillId="9" borderId="26" xfId="0" applyNumberFormat="1" applyFont="1" applyFill="1" applyBorder="1" applyAlignment="1">
      <alignment horizontal="left" vertical="center"/>
    </xf>
    <xf numFmtId="0" fontId="4" fillId="9" borderId="0" xfId="0" applyFont="1" applyFill="1" applyBorder="1" applyAlignment="1">
      <alignment horizontal="left" vertical="center"/>
    </xf>
    <xf numFmtId="164" fontId="4" fillId="9" borderId="28" xfId="0" applyNumberFormat="1" applyFont="1" applyFill="1" applyBorder="1" applyAlignment="1">
      <alignment horizontal="left" vertical="center"/>
    </xf>
    <xf numFmtId="0" fontId="0" fillId="9" borderId="29" xfId="0" applyFill="1" applyBorder="1" applyAlignment="1">
      <alignment horizontal="left" vertical="center"/>
    </xf>
    <xf numFmtId="0" fontId="0" fillId="9" borderId="30" xfId="0" applyFill="1" applyBorder="1" applyAlignment="1">
      <alignment horizontal="left" vertical="center"/>
    </xf>
    <xf numFmtId="164" fontId="1" fillId="12" borderId="33" xfId="0" applyNumberFormat="1" applyFont="1" applyFill="1" applyBorder="1" applyAlignment="1">
      <alignment vertical="center"/>
    </xf>
    <xf numFmtId="164" fontId="0" fillId="12" borderId="22" xfId="0" applyNumberFormat="1" applyFill="1" applyBorder="1" applyAlignment="1" applyProtection="1">
      <alignment vertical="center"/>
      <protection locked="0"/>
    </xf>
    <xf numFmtId="164" fontId="0" fillId="12" borderId="18" xfId="0" applyNumberFormat="1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9" fillId="13" borderId="31" xfId="0" applyFont="1" applyFill="1" applyBorder="1" applyAlignment="1">
      <alignment horizontal="center" vertical="center"/>
    </xf>
    <xf numFmtId="0" fontId="9" fillId="13" borderId="33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3" fillId="0" borderId="0" xfId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/>
    </xf>
    <xf numFmtId="164" fontId="0" fillId="12" borderId="19" xfId="0" applyNumberForma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0" xfId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2" fillId="10" borderId="0" xfId="0" applyFont="1" applyFill="1" applyAlignment="1">
      <alignment horizontal="center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9" fillId="10" borderId="23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10" fillId="12" borderId="28" xfId="0" applyFont="1" applyFill="1" applyBorder="1" applyAlignment="1" applyProtection="1">
      <alignment horizontal="center" vertical="center"/>
      <protection locked="0"/>
    </xf>
    <xf numFmtId="0" fontId="10" fillId="12" borderId="29" xfId="0" applyFont="1" applyFill="1" applyBorder="1" applyAlignment="1" applyProtection="1">
      <alignment horizontal="center" vertical="center"/>
      <protection locked="0"/>
    </xf>
    <xf numFmtId="0" fontId="1" fillId="11" borderId="24" xfId="0" applyFont="1" applyFill="1" applyBorder="1" applyAlignment="1">
      <alignment horizontal="center"/>
    </xf>
    <xf numFmtId="0" fontId="0" fillId="10" borderId="31" xfId="0" applyFont="1" applyFill="1" applyBorder="1" applyAlignment="1">
      <alignment horizontal="center" wrapText="1"/>
    </xf>
    <xf numFmtId="0" fontId="0" fillId="10" borderId="32" xfId="0" applyFont="1" applyFill="1" applyBorder="1" applyAlignment="1">
      <alignment horizontal="center" wrapText="1"/>
    </xf>
    <xf numFmtId="0" fontId="5" fillId="11" borderId="0" xfId="0" applyFont="1" applyFill="1" applyAlignment="1">
      <alignment horizontal="center" wrapText="1"/>
    </xf>
  </cellXfs>
  <cellStyles count="3">
    <cellStyle name="Hiperlink" xfId="1" builtinId="8"/>
    <cellStyle name="Normal" xfId="0" builtinId="0"/>
    <cellStyle name="Porcentagem" xfId="2" builtinId="5"/>
  </cellStyles>
  <dxfs count="8"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EB8A51"/>
      <color rgb="FF1781BD"/>
      <color rgb="FFE26925"/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 /><Relationship Id="rId2" Type="http://schemas.openxmlformats.org/officeDocument/2006/relationships/image" Target="../media/image2.jpeg" /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 /><Relationship Id="rId2" Type="http://schemas.openxmlformats.org/officeDocument/2006/relationships/image" Target="../media/image2.jpeg" /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 /><Relationship Id="rId2" Type="http://schemas.openxmlformats.org/officeDocument/2006/relationships/image" Target="../media/image2.jpeg" /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 /><Relationship Id="rId2" Type="http://schemas.openxmlformats.org/officeDocument/2006/relationships/image" Target="../media/image2.jpe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819150</xdr:colOff>
      <xdr:row>18</xdr:row>
      <xdr:rowOff>35564</xdr:rowOff>
    </xdr:from>
    <xdr:to>
      <xdr:col>9</xdr:col>
      <xdr:colOff>1219199</xdr:colOff>
      <xdr:row>19</xdr:row>
      <xdr:rowOff>100210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3064514"/>
          <a:ext cx="400049" cy="26467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</xdr:row>
      <xdr:rowOff>19051</xdr:rowOff>
    </xdr:from>
    <xdr:to>
      <xdr:col>11</xdr:col>
      <xdr:colOff>257175</xdr:colOff>
      <xdr:row>9</xdr:row>
      <xdr:rowOff>209551</xdr:rowOff>
    </xdr:to>
    <xdr:sp macro="" textlink="">
      <xdr:nvSpPr>
        <xdr:cNvPr id="4" name="Seta para a direit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48525" y="1400176"/>
          <a:ext cx="371475" cy="19050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1143000</xdr:colOff>
      <xdr:row>14</xdr:row>
      <xdr:rowOff>38099</xdr:rowOff>
    </xdr:from>
    <xdr:to>
      <xdr:col>11</xdr:col>
      <xdr:colOff>238125</xdr:colOff>
      <xdr:row>15</xdr:row>
      <xdr:rowOff>133349</xdr:rowOff>
    </xdr:to>
    <xdr:sp macro="" textlink="">
      <xdr:nvSpPr>
        <xdr:cNvPr id="5" name="Seta dobrada para cim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rot="5400000">
          <a:off x="7205662" y="2300287"/>
          <a:ext cx="219075" cy="571500"/>
        </a:xfrm>
        <a:prstGeom prst="bentUp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20084</xdr:colOff>
      <xdr:row>13</xdr:row>
      <xdr:rowOff>114300</xdr:rowOff>
    </xdr:from>
    <xdr:to>
      <xdr:col>4</xdr:col>
      <xdr:colOff>18015</xdr:colOff>
      <xdr:row>13</xdr:row>
      <xdr:rowOff>114300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H="1">
          <a:off x="1839359" y="2352675"/>
          <a:ext cx="178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19049</xdr:colOff>
      <xdr:row>24</xdr:row>
      <xdr:rowOff>123826</xdr:rowOff>
    </xdr:from>
    <xdr:to>
      <xdr:col>17</xdr:col>
      <xdr:colOff>0</xdr:colOff>
      <xdr:row>33</xdr:row>
      <xdr:rowOff>57150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A49F5D5-B3FF-4AD8-8FDD-8F6F14882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4" y="4429126"/>
          <a:ext cx="3276601" cy="163829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0</xdr:row>
      <xdr:rowOff>57149</xdr:rowOff>
    </xdr:from>
    <xdr:to>
      <xdr:col>2</xdr:col>
      <xdr:colOff>895351</xdr:colOff>
      <xdr:row>5</xdr:row>
      <xdr:rowOff>19050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C477361-0202-46B7-BC74-3810235E7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7149"/>
          <a:ext cx="809626" cy="8096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819150</xdr:colOff>
      <xdr:row>18</xdr:row>
      <xdr:rowOff>35564</xdr:rowOff>
    </xdr:from>
    <xdr:to>
      <xdr:col>9</xdr:col>
      <xdr:colOff>1219199</xdr:colOff>
      <xdr:row>19</xdr:row>
      <xdr:rowOff>100210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DB7A6E-E0B5-48F1-B260-1E9178A31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3293114"/>
          <a:ext cx="400049" cy="26467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</xdr:row>
      <xdr:rowOff>19051</xdr:rowOff>
    </xdr:from>
    <xdr:to>
      <xdr:col>11</xdr:col>
      <xdr:colOff>257175</xdr:colOff>
      <xdr:row>9</xdr:row>
      <xdr:rowOff>209551</xdr:rowOff>
    </xdr:to>
    <xdr:sp macro="" textlink="">
      <xdr:nvSpPr>
        <xdr:cNvPr id="3" name="Seta para a direita 3">
          <a:extLst>
            <a:ext uri="{FF2B5EF4-FFF2-40B4-BE49-F238E27FC236}">
              <a16:creationId xmlns:a16="http://schemas.microsoft.com/office/drawing/2014/main" id="{CB27ED8B-B864-48E0-95A9-5CA062E8604A}"/>
            </a:ext>
          </a:extLst>
        </xdr:cNvPr>
        <xdr:cNvSpPr/>
      </xdr:nvSpPr>
      <xdr:spPr>
        <a:xfrm>
          <a:off x="7248525" y="1400176"/>
          <a:ext cx="371475" cy="19050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1143000</xdr:colOff>
      <xdr:row>14</xdr:row>
      <xdr:rowOff>38099</xdr:rowOff>
    </xdr:from>
    <xdr:to>
      <xdr:col>11</xdr:col>
      <xdr:colOff>238125</xdr:colOff>
      <xdr:row>15</xdr:row>
      <xdr:rowOff>133349</xdr:rowOff>
    </xdr:to>
    <xdr:sp macro="" textlink="">
      <xdr:nvSpPr>
        <xdr:cNvPr id="4" name="Seta dobrada para cima 4">
          <a:extLst>
            <a:ext uri="{FF2B5EF4-FFF2-40B4-BE49-F238E27FC236}">
              <a16:creationId xmlns:a16="http://schemas.microsoft.com/office/drawing/2014/main" id="{A5CCEFBD-A2E3-409F-AA51-C86192B42D91}"/>
            </a:ext>
          </a:extLst>
        </xdr:cNvPr>
        <xdr:cNvSpPr/>
      </xdr:nvSpPr>
      <xdr:spPr>
        <a:xfrm rot="5400000">
          <a:off x="7205662" y="2528887"/>
          <a:ext cx="219075" cy="571500"/>
        </a:xfrm>
        <a:prstGeom prst="bentUp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20084</xdr:colOff>
      <xdr:row>13</xdr:row>
      <xdr:rowOff>114300</xdr:rowOff>
    </xdr:from>
    <xdr:to>
      <xdr:col>4</xdr:col>
      <xdr:colOff>18015</xdr:colOff>
      <xdr:row>13</xdr:row>
      <xdr:rowOff>114300</xdr:rowOff>
    </xdr:to>
    <xdr:cxnSp macro="">
      <xdr:nvCxnSpPr>
        <xdr:cNvPr id="5" name="Conector de seta reta 5">
          <a:extLst>
            <a:ext uri="{FF2B5EF4-FFF2-40B4-BE49-F238E27FC236}">
              <a16:creationId xmlns:a16="http://schemas.microsoft.com/office/drawing/2014/main" id="{C757D063-DF0B-4794-8C45-2C734481AC29}"/>
            </a:ext>
          </a:extLst>
        </xdr:cNvPr>
        <xdr:cNvCxnSpPr/>
      </xdr:nvCxnSpPr>
      <xdr:spPr>
        <a:xfrm flipH="1">
          <a:off x="1839359" y="2581275"/>
          <a:ext cx="178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19049</xdr:colOff>
      <xdr:row>24</xdr:row>
      <xdr:rowOff>123826</xdr:rowOff>
    </xdr:from>
    <xdr:to>
      <xdr:col>17</xdr:col>
      <xdr:colOff>0</xdr:colOff>
      <xdr:row>33</xdr:row>
      <xdr:rowOff>57150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C5B79DC-6DBC-47BA-85CF-01BFD69B6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4" y="4429126"/>
          <a:ext cx="3276601" cy="163829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0</xdr:row>
      <xdr:rowOff>57149</xdr:rowOff>
    </xdr:from>
    <xdr:to>
      <xdr:col>2</xdr:col>
      <xdr:colOff>895351</xdr:colOff>
      <xdr:row>5</xdr:row>
      <xdr:rowOff>19050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7E02BF0-49F0-4360-99C0-91655BBB4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7149"/>
          <a:ext cx="809626" cy="8096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819150</xdr:colOff>
      <xdr:row>18</xdr:row>
      <xdr:rowOff>35564</xdr:rowOff>
    </xdr:from>
    <xdr:to>
      <xdr:col>9</xdr:col>
      <xdr:colOff>1219199</xdr:colOff>
      <xdr:row>19</xdr:row>
      <xdr:rowOff>100210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3BE960D-2A4F-4860-9DC9-7D4A80F20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3293114"/>
          <a:ext cx="400049" cy="26467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</xdr:row>
      <xdr:rowOff>19051</xdr:rowOff>
    </xdr:from>
    <xdr:to>
      <xdr:col>11</xdr:col>
      <xdr:colOff>257175</xdr:colOff>
      <xdr:row>9</xdr:row>
      <xdr:rowOff>209551</xdr:rowOff>
    </xdr:to>
    <xdr:sp macro="" textlink="">
      <xdr:nvSpPr>
        <xdr:cNvPr id="3" name="Seta para a direita 3">
          <a:extLst>
            <a:ext uri="{FF2B5EF4-FFF2-40B4-BE49-F238E27FC236}">
              <a16:creationId xmlns:a16="http://schemas.microsoft.com/office/drawing/2014/main" id="{1E7E0FF5-5D6D-4235-BAF6-D45F9BAAAF24}"/>
            </a:ext>
          </a:extLst>
        </xdr:cNvPr>
        <xdr:cNvSpPr/>
      </xdr:nvSpPr>
      <xdr:spPr>
        <a:xfrm>
          <a:off x="7248525" y="1400176"/>
          <a:ext cx="371475" cy="19050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1143000</xdr:colOff>
      <xdr:row>14</xdr:row>
      <xdr:rowOff>38099</xdr:rowOff>
    </xdr:from>
    <xdr:to>
      <xdr:col>11</xdr:col>
      <xdr:colOff>238125</xdr:colOff>
      <xdr:row>15</xdr:row>
      <xdr:rowOff>133349</xdr:rowOff>
    </xdr:to>
    <xdr:sp macro="" textlink="">
      <xdr:nvSpPr>
        <xdr:cNvPr id="4" name="Seta dobrada para cima 4">
          <a:extLst>
            <a:ext uri="{FF2B5EF4-FFF2-40B4-BE49-F238E27FC236}">
              <a16:creationId xmlns:a16="http://schemas.microsoft.com/office/drawing/2014/main" id="{767AD7CD-8B3A-472C-B78E-0424CB6ED26F}"/>
            </a:ext>
          </a:extLst>
        </xdr:cNvPr>
        <xdr:cNvSpPr/>
      </xdr:nvSpPr>
      <xdr:spPr>
        <a:xfrm rot="5400000">
          <a:off x="7205662" y="2528887"/>
          <a:ext cx="219075" cy="571500"/>
        </a:xfrm>
        <a:prstGeom prst="bentUp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20084</xdr:colOff>
      <xdr:row>13</xdr:row>
      <xdr:rowOff>114300</xdr:rowOff>
    </xdr:from>
    <xdr:to>
      <xdr:col>4</xdr:col>
      <xdr:colOff>18015</xdr:colOff>
      <xdr:row>13</xdr:row>
      <xdr:rowOff>114300</xdr:rowOff>
    </xdr:to>
    <xdr:cxnSp macro="">
      <xdr:nvCxnSpPr>
        <xdr:cNvPr id="5" name="Conector de seta reta 5">
          <a:extLst>
            <a:ext uri="{FF2B5EF4-FFF2-40B4-BE49-F238E27FC236}">
              <a16:creationId xmlns:a16="http://schemas.microsoft.com/office/drawing/2014/main" id="{CCDE1910-DA0B-4280-9080-F3CEF43FAB74}"/>
            </a:ext>
          </a:extLst>
        </xdr:cNvPr>
        <xdr:cNvCxnSpPr/>
      </xdr:nvCxnSpPr>
      <xdr:spPr>
        <a:xfrm flipH="1">
          <a:off x="1839359" y="2581275"/>
          <a:ext cx="178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19049</xdr:colOff>
      <xdr:row>24</xdr:row>
      <xdr:rowOff>123826</xdr:rowOff>
    </xdr:from>
    <xdr:to>
      <xdr:col>17</xdr:col>
      <xdr:colOff>0</xdr:colOff>
      <xdr:row>33</xdr:row>
      <xdr:rowOff>57150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90BB8FE-1382-4E60-9EE8-4CEA0208F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4" y="4429126"/>
          <a:ext cx="3276601" cy="163829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0</xdr:row>
      <xdr:rowOff>57149</xdr:rowOff>
    </xdr:from>
    <xdr:to>
      <xdr:col>2</xdr:col>
      <xdr:colOff>895351</xdr:colOff>
      <xdr:row>5</xdr:row>
      <xdr:rowOff>19050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DF064FD-86D9-42E0-AF04-E7EBDBDF5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7149"/>
          <a:ext cx="809626" cy="8096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819150</xdr:colOff>
      <xdr:row>18</xdr:row>
      <xdr:rowOff>35564</xdr:rowOff>
    </xdr:from>
    <xdr:to>
      <xdr:col>9</xdr:col>
      <xdr:colOff>1219199</xdr:colOff>
      <xdr:row>19</xdr:row>
      <xdr:rowOff>100210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27419A-73A2-4F63-8F5E-53B9B847F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3293114"/>
          <a:ext cx="400049" cy="26467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</xdr:row>
      <xdr:rowOff>19051</xdr:rowOff>
    </xdr:from>
    <xdr:to>
      <xdr:col>11</xdr:col>
      <xdr:colOff>257175</xdr:colOff>
      <xdr:row>9</xdr:row>
      <xdr:rowOff>209551</xdr:rowOff>
    </xdr:to>
    <xdr:sp macro="" textlink="">
      <xdr:nvSpPr>
        <xdr:cNvPr id="3" name="Seta para a direita 3">
          <a:extLst>
            <a:ext uri="{FF2B5EF4-FFF2-40B4-BE49-F238E27FC236}">
              <a16:creationId xmlns:a16="http://schemas.microsoft.com/office/drawing/2014/main" id="{59C7EDEC-4EA7-4BBE-9C8E-20B530120FCA}"/>
            </a:ext>
          </a:extLst>
        </xdr:cNvPr>
        <xdr:cNvSpPr/>
      </xdr:nvSpPr>
      <xdr:spPr>
        <a:xfrm>
          <a:off x="7248525" y="1400176"/>
          <a:ext cx="371475" cy="19050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1143000</xdr:colOff>
      <xdr:row>14</xdr:row>
      <xdr:rowOff>38099</xdr:rowOff>
    </xdr:from>
    <xdr:to>
      <xdr:col>11</xdr:col>
      <xdr:colOff>238125</xdr:colOff>
      <xdr:row>15</xdr:row>
      <xdr:rowOff>133349</xdr:rowOff>
    </xdr:to>
    <xdr:sp macro="" textlink="">
      <xdr:nvSpPr>
        <xdr:cNvPr id="4" name="Seta dobrada para cima 4">
          <a:extLst>
            <a:ext uri="{FF2B5EF4-FFF2-40B4-BE49-F238E27FC236}">
              <a16:creationId xmlns:a16="http://schemas.microsoft.com/office/drawing/2014/main" id="{681B9C52-C2E2-4A54-9C32-9E7089E45A54}"/>
            </a:ext>
          </a:extLst>
        </xdr:cNvPr>
        <xdr:cNvSpPr/>
      </xdr:nvSpPr>
      <xdr:spPr>
        <a:xfrm rot="5400000">
          <a:off x="7205662" y="2528887"/>
          <a:ext cx="219075" cy="571500"/>
        </a:xfrm>
        <a:prstGeom prst="bentUp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20084</xdr:colOff>
      <xdr:row>13</xdr:row>
      <xdr:rowOff>114300</xdr:rowOff>
    </xdr:from>
    <xdr:to>
      <xdr:col>4</xdr:col>
      <xdr:colOff>18015</xdr:colOff>
      <xdr:row>13</xdr:row>
      <xdr:rowOff>114300</xdr:rowOff>
    </xdr:to>
    <xdr:cxnSp macro="">
      <xdr:nvCxnSpPr>
        <xdr:cNvPr id="5" name="Conector de seta reta 5">
          <a:extLst>
            <a:ext uri="{FF2B5EF4-FFF2-40B4-BE49-F238E27FC236}">
              <a16:creationId xmlns:a16="http://schemas.microsoft.com/office/drawing/2014/main" id="{E9BD7BE0-B921-4DF7-BC61-56A7CCEF273B}"/>
            </a:ext>
          </a:extLst>
        </xdr:cNvPr>
        <xdr:cNvCxnSpPr/>
      </xdr:nvCxnSpPr>
      <xdr:spPr>
        <a:xfrm flipH="1">
          <a:off x="1839359" y="2581275"/>
          <a:ext cx="178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19049</xdr:colOff>
      <xdr:row>24</xdr:row>
      <xdr:rowOff>123826</xdr:rowOff>
    </xdr:from>
    <xdr:to>
      <xdr:col>17</xdr:col>
      <xdr:colOff>0</xdr:colOff>
      <xdr:row>33</xdr:row>
      <xdr:rowOff>57150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15C24BA-B335-49EC-A500-A94D013A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4" y="4429126"/>
          <a:ext cx="3276601" cy="163829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0</xdr:row>
      <xdr:rowOff>57149</xdr:rowOff>
    </xdr:from>
    <xdr:to>
      <xdr:col>2</xdr:col>
      <xdr:colOff>895351</xdr:colOff>
      <xdr:row>5</xdr:row>
      <xdr:rowOff>19050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AFF94FA-1D23-468E-AACD-23025112D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7149"/>
          <a:ext cx="809626" cy="809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 /><Relationship Id="rId3" Type="http://schemas.openxmlformats.org/officeDocument/2006/relationships/hyperlink" Target="http://www.adctec.com.br/" TargetMode="External" /><Relationship Id="rId7" Type="http://schemas.openxmlformats.org/officeDocument/2006/relationships/printerSettings" Target="../printerSettings/printerSettings1.bin" /><Relationship Id="rId2" Type="http://schemas.openxmlformats.org/officeDocument/2006/relationships/hyperlink" Target="https://www.facebook.com/adctecassessoria?_rdr=p" TargetMode="External" /><Relationship Id="rId1" Type="http://schemas.openxmlformats.org/officeDocument/2006/relationships/hyperlink" Target="mailto:contengpoa@gmail.com" TargetMode="External" /><Relationship Id="rId6" Type="http://schemas.openxmlformats.org/officeDocument/2006/relationships/hyperlink" Target="http://www.conteng.com.br/" TargetMode="External" /><Relationship Id="rId5" Type="http://schemas.openxmlformats.org/officeDocument/2006/relationships/hyperlink" Target="https://www.facebook.com/contengrs/?ref=aymt_homepage_panel" TargetMode="External" /><Relationship Id="rId4" Type="http://schemas.openxmlformats.org/officeDocument/2006/relationships/hyperlink" Target="https://www.facebook.com/contengrs/?ref=aymt_homepage_panel" TargetMode="Externa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 /><Relationship Id="rId3" Type="http://schemas.openxmlformats.org/officeDocument/2006/relationships/hyperlink" Target="http://www.adctec.com.br/" TargetMode="External" /><Relationship Id="rId7" Type="http://schemas.openxmlformats.org/officeDocument/2006/relationships/printerSettings" Target="../printerSettings/printerSettings2.bin" /><Relationship Id="rId2" Type="http://schemas.openxmlformats.org/officeDocument/2006/relationships/hyperlink" Target="https://www.facebook.com/adctecassessoria?_rdr=p" TargetMode="External" /><Relationship Id="rId1" Type="http://schemas.openxmlformats.org/officeDocument/2006/relationships/hyperlink" Target="mailto:contengpoa@gmail.com" TargetMode="External" /><Relationship Id="rId6" Type="http://schemas.openxmlformats.org/officeDocument/2006/relationships/hyperlink" Target="http://www.conteng.com.br/" TargetMode="External" /><Relationship Id="rId5" Type="http://schemas.openxmlformats.org/officeDocument/2006/relationships/hyperlink" Target="https://www.facebook.com/contengrs/?ref=aymt_homepage_panel" TargetMode="External" /><Relationship Id="rId4" Type="http://schemas.openxmlformats.org/officeDocument/2006/relationships/hyperlink" Target="https://www.facebook.com/contengrs/?ref=aymt_homepage_panel" TargetMode="External" 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 /><Relationship Id="rId3" Type="http://schemas.openxmlformats.org/officeDocument/2006/relationships/hyperlink" Target="http://www.adctec.com.br/" TargetMode="External" /><Relationship Id="rId7" Type="http://schemas.openxmlformats.org/officeDocument/2006/relationships/printerSettings" Target="../printerSettings/printerSettings3.bin" /><Relationship Id="rId2" Type="http://schemas.openxmlformats.org/officeDocument/2006/relationships/hyperlink" Target="https://www.facebook.com/adctecassessoria?_rdr=p" TargetMode="External" /><Relationship Id="rId1" Type="http://schemas.openxmlformats.org/officeDocument/2006/relationships/hyperlink" Target="mailto:contengpoa@gmail.com" TargetMode="External" /><Relationship Id="rId6" Type="http://schemas.openxmlformats.org/officeDocument/2006/relationships/hyperlink" Target="http://www.conteng.com.br/" TargetMode="External" /><Relationship Id="rId5" Type="http://schemas.openxmlformats.org/officeDocument/2006/relationships/hyperlink" Target="https://www.facebook.com/contengrs/?ref=aymt_homepage_panel" TargetMode="External" /><Relationship Id="rId4" Type="http://schemas.openxmlformats.org/officeDocument/2006/relationships/hyperlink" Target="https://www.facebook.com/contengrs/?ref=aymt_homepage_panel" TargetMode="External" 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 /><Relationship Id="rId3" Type="http://schemas.openxmlformats.org/officeDocument/2006/relationships/hyperlink" Target="http://www.adctec.com.br/" TargetMode="External" /><Relationship Id="rId7" Type="http://schemas.openxmlformats.org/officeDocument/2006/relationships/printerSettings" Target="../printerSettings/printerSettings4.bin" /><Relationship Id="rId2" Type="http://schemas.openxmlformats.org/officeDocument/2006/relationships/hyperlink" Target="https://www.facebook.com/adctecassessoria?_rdr=p" TargetMode="External" /><Relationship Id="rId1" Type="http://schemas.openxmlformats.org/officeDocument/2006/relationships/hyperlink" Target="mailto:contengpoa@gmail.com" TargetMode="External" /><Relationship Id="rId6" Type="http://schemas.openxmlformats.org/officeDocument/2006/relationships/hyperlink" Target="http://www.conteng.com.br/" TargetMode="External" /><Relationship Id="rId5" Type="http://schemas.openxmlformats.org/officeDocument/2006/relationships/hyperlink" Target="https://www.facebook.com/contengrs/?ref=aymt_homepage_panel" TargetMode="External" /><Relationship Id="rId4" Type="http://schemas.openxmlformats.org/officeDocument/2006/relationships/hyperlink" Target="https://www.facebook.com/contengrs/?ref=aymt_homepage_pane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7"/>
  <sheetViews>
    <sheetView showGridLines="0" tabSelected="1" topLeftCell="C1" zoomScale="110" zoomScaleNormal="110" workbookViewId="0" xr3:uid="{AEA406A1-0E4B-5B11-9CD5-51D6E497D94C}">
      <selection activeCell="E12" sqref="E12"/>
    </sheetView>
  </sheetViews>
  <sheetFormatPr defaultRowHeight="15" x14ac:dyDescent="0.2"/>
  <cols>
    <col min="1" max="2" width="2.015625" customWidth="1"/>
    <col min="3" max="3" width="23.26953125" customWidth="1"/>
    <col min="4" max="4" width="2.6875" customWidth="1"/>
    <col min="5" max="5" width="17.75390625" customWidth="1"/>
    <col min="6" max="6" width="2.6875" customWidth="1"/>
    <col min="7" max="7" width="13.31640625" bestFit="1" customWidth="1"/>
    <col min="8" max="8" width="10.22265625" customWidth="1"/>
    <col min="9" max="9" width="14.2578125" customWidth="1"/>
    <col min="10" max="10" width="19.7734375" customWidth="1"/>
    <col min="11" max="11" width="2.41796875" customWidth="1"/>
    <col min="12" max="12" width="4.3046875" customWidth="1"/>
    <col min="16" max="16" width="12.9140625" customWidth="1"/>
  </cols>
  <sheetData>
    <row r="1" spans="2:22" ht="6.75" customHeight="1" x14ac:dyDescent="0.2"/>
    <row r="2" spans="2:22" x14ac:dyDescent="0.2">
      <c r="E2" s="76" t="s">
        <v>22</v>
      </c>
      <c r="F2" s="76"/>
      <c r="G2" s="76"/>
      <c r="H2" s="76"/>
      <c r="I2" s="76"/>
      <c r="J2" s="76"/>
      <c r="K2" s="76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2:22" x14ac:dyDescent="0.2">
      <c r="E3" s="76"/>
      <c r="F3" s="76"/>
      <c r="G3" s="76"/>
      <c r="H3" s="76"/>
      <c r="I3" s="76"/>
      <c r="J3" s="76"/>
      <c r="K3" s="76"/>
      <c r="M3" s="77" t="s">
        <v>28</v>
      </c>
      <c r="N3" s="77"/>
      <c r="O3" s="77"/>
      <c r="P3" s="77"/>
      <c r="Q3" s="77"/>
    </row>
    <row r="4" spans="2:22" x14ac:dyDescent="0.2">
      <c r="E4" s="76"/>
      <c r="F4" s="76"/>
      <c r="G4" s="76"/>
      <c r="H4" s="76"/>
      <c r="I4" s="76"/>
      <c r="J4" s="76"/>
      <c r="K4" s="76"/>
      <c r="M4" s="58" t="s">
        <v>30</v>
      </c>
      <c r="N4" s="78"/>
      <c r="O4" s="78"/>
      <c r="P4" s="78"/>
      <c r="Q4" s="78"/>
    </row>
    <row r="5" spans="2:22" x14ac:dyDescent="0.2">
      <c r="E5" s="76"/>
      <c r="F5" s="76"/>
      <c r="G5" s="76"/>
      <c r="H5" s="76"/>
      <c r="I5" s="76"/>
      <c r="J5" s="76"/>
      <c r="K5" s="76"/>
      <c r="M5" s="58" t="s">
        <v>29</v>
      </c>
      <c r="N5" s="58"/>
      <c r="O5" s="58"/>
      <c r="P5" s="58"/>
      <c r="Q5" s="58"/>
    </row>
    <row r="6" spans="2:22" ht="11.25" customHeight="1" x14ac:dyDescent="0.2">
      <c r="B6" s="79" t="s">
        <v>25</v>
      </c>
      <c r="C6" s="79"/>
      <c r="D6" s="79"/>
      <c r="E6" s="79"/>
      <c r="F6" s="79"/>
      <c r="G6" s="79"/>
      <c r="H6" s="79"/>
      <c r="I6" s="79"/>
      <c r="J6" s="79"/>
      <c r="K6" s="79"/>
    </row>
    <row r="7" spans="2:22" ht="5.25" customHeight="1" thickBot="1" x14ac:dyDescent="0.25">
      <c r="B7" s="2"/>
      <c r="C7" s="2"/>
      <c r="D7" s="2"/>
      <c r="E7" s="2"/>
      <c r="F7" s="2"/>
      <c r="G7" s="2"/>
      <c r="H7" s="2"/>
      <c r="I7" s="2"/>
      <c r="J7" s="2"/>
      <c r="K7" s="2"/>
    </row>
    <row r="8" spans="2:22" x14ac:dyDescent="0.2">
      <c r="B8" s="80" t="s">
        <v>19</v>
      </c>
      <c r="C8" s="80"/>
      <c r="D8" s="80"/>
      <c r="E8" s="80"/>
      <c r="F8" s="80"/>
      <c r="G8" s="80"/>
      <c r="H8" s="80"/>
      <c r="I8" s="80"/>
      <c r="J8" s="80"/>
      <c r="K8" s="80"/>
      <c r="M8" s="59" t="s">
        <v>16</v>
      </c>
      <c r="N8" s="60"/>
      <c r="O8" s="60"/>
      <c r="P8" s="60"/>
      <c r="Q8" s="61"/>
    </row>
    <row r="9" spans="2:22" ht="9.75" customHeight="1" x14ac:dyDescent="0.2">
      <c r="B9" s="27"/>
      <c r="C9" s="27"/>
      <c r="D9" s="27"/>
      <c r="E9" s="27"/>
      <c r="F9" s="27"/>
      <c r="G9" s="27"/>
      <c r="H9" s="27"/>
      <c r="I9" s="27"/>
      <c r="J9" s="27"/>
      <c r="K9" s="27"/>
      <c r="M9" s="62"/>
      <c r="N9" s="63"/>
      <c r="O9" s="63"/>
      <c r="P9" s="63"/>
      <c r="Q9" s="64"/>
    </row>
    <row r="10" spans="2:22" s="3" customFormat="1" ht="17.25" customHeight="1" x14ac:dyDescent="0.2">
      <c r="B10" s="28"/>
      <c r="C10" s="24" t="s">
        <v>10</v>
      </c>
      <c r="D10" s="29"/>
      <c r="E10" s="25" t="s">
        <v>11</v>
      </c>
      <c r="F10" s="28"/>
      <c r="G10" s="84" t="s">
        <v>12</v>
      </c>
      <c r="H10" s="85"/>
      <c r="I10" s="85"/>
      <c r="J10" s="86"/>
      <c r="K10" s="28"/>
      <c r="M10" s="62"/>
      <c r="N10" s="63"/>
      <c r="O10" s="63"/>
      <c r="P10" s="63"/>
      <c r="Q10" s="64"/>
    </row>
    <row r="11" spans="2:22" ht="18.75" customHeight="1" x14ac:dyDescent="0.2">
      <c r="B11" s="27"/>
      <c r="C11" s="20">
        <v>24620</v>
      </c>
      <c r="D11" s="30"/>
      <c r="E11" s="52">
        <v>7742.7</v>
      </c>
      <c r="F11" s="27"/>
      <c r="G11" s="87" t="s">
        <v>14</v>
      </c>
      <c r="H11" s="88"/>
      <c r="I11" s="88"/>
      <c r="J11" s="38">
        <f>IF(G11=N12,M12,IF(G11=N13,M13,IF(G11=N14,M14,"")))</f>
        <v>0.32</v>
      </c>
      <c r="K11" s="27"/>
      <c r="M11" s="81"/>
      <c r="N11" s="82"/>
      <c r="O11" s="82"/>
      <c r="P11" s="82"/>
      <c r="Q11" s="83"/>
    </row>
    <row r="12" spans="2:22" ht="15.75" customHeight="1" x14ac:dyDescent="0.2">
      <c r="B12" s="27"/>
      <c r="C12" s="31"/>
      <c r="D12" s="31"/>
      <c r="E12" s="27"/>
      <c r="F12" s="27"/>
      <c r="G12" s="27"/>
      <c r="H12" s="27"/>
      <c r="I12" s="27"/>
      <c r="J12" s="27"/>
      <c r="K12" s="27"/>
      <c r="M12" s="7">
        <v>0.08</v>
      </c>
      <c r="N12" s="8" t="s">
        <v>15</v>
      </c>
      <c r="O12" s="13"/>
      <c r="P12" s="13"/>
      <c r="Q12" s="14"/>
    </row>
    <row r="13" spans="2:22" ht="33.75" customHeight="1" x14ac:dyDescent="0.2">
      <c r="B13" s="27"/>
      <c r="C13" s="24" t="s">
        <v>18</v>
      </c>
      <c r="D13" s="31"/>
      <c r="E13" s="92" t="s">
        <v>21</v>
      </c>
      <c r="F13" s="27"/>
      <c r="G13" s="26" t="s">
        <v>31</v>
      </c>
      <c r="H13" s="90" t="s">
        <v>23</v>
      </c>
      <c r="I13" s="91"/>
      <c r="J13" s="51">
        <v>28559.7</v>
      </c>
      <c r="K13" s="27"/>
      <c r="M13" s="7">
        <v>0.16</v>
      </c>
      <c r="N13" s="8" t="s">
        <v>13</v>
      </c>
      <c r="O13" s="13"/>
      <c r="P13" s="15"/>
      <c r="Q13" s="16"/>
    </row>
    <row r="14" spans="2:22" ht="15.75" thickBot="1" x14ac:dyDescent="0.25">
      <c r="B14" s="32"/>
      <c r="C14" s="39">
        <v>0</v>
      </c>
      <c r="D14" s="27"/>
      <c r="E14" s="92"/>
      <c r="F14" s="33"/>
      <c r="G14" s="89"/>
      <c r="H14" s="89"/>
      <c r="I14" s="89"/>
      <c r="J14" s="89"/>
      <c r="K14" s="37"/>
      <c r="M14" s="9">
        <v>0.32</v>
      </c>
      <c r="N14" s="10" t="s">
        <v>14</v>
      </c>
      <c r="O14" s="17"/>
      <c r="P14" s="18"/>
      <c r="Q14" s="19"/>
    </row>
    <row r="15" spans="2:22" ht="9.75" customHeight="1" thickBot="1" x14ac:dyDescent="0.25">
      <c r="B15" s="27"/>
      <c r="C15" s="27"/>
      <c r="D15" s="31"/>
      <c r="E15" s="33"/>
      <c r="F15" s="33"/>
      <c r="G15" s="35"/>
      <c r="H15" s="36"/>
      <c r="I15" s="36"/>
      <c r="J15" s="36"/>
      <c r="K15" s="34"/>
    </row>
    <row r="16" spans="2:22" x14ac:dyDescent="0.2">
      <c r="M16" s="59" t="s">
        <v>24</v>
      </c>
      <c r="N16" s="60"/>
      <c r="O16" s="60"/>
      <c r="P16" s="60"/>
      <c r="Q16" s="61"/>
    </row>
    <row r="17" spans="2:18" x14ac:dyDescent="0.2">
      <c r="B17" s="68" t="s">
        <v>17</v>
      </c>
      <c r="C17" s="68"/>
      <c r="D17" s="68"/>
      <c r="E17" s="68"/>
      <c r="F17" s="68"/>
      <c r="G17" s="68"/>
      <c r="H17" s="68"/>
      <c r="I17" s="68"/>
      <c r="J17" s="68"/>
      <c r="K17" s="68"/>
      <c r="M17" s="62"/>
      <c r="N17" s="63"/>
      <c r="O17" s="63"/>
      <c r="P17" s="63"/>
      <c r="Q17" s="64"/>
    </row>
    <row r="18" spans="2:18" ht="6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  <c r="M18" s="62"/>
      <c r="N18" s="63"/>
      <c r="O18" s="63"/>
      <c r="P18" s="63"/>
      <c r="Q18" s="64"/>
    </row>
    <row r="19" spans="2:18" ht="15.75" customHeight="1" x14ac:dyDescent="0.2">
      <c r="B19" s="5"/>
      <c r="C19" s="11" t="s">
        <v>6</v>
      </c>
      <c r="D19" s="5"/>
      <c r="E19" s="53">
        <f>C11-E11</f>
        <v>16877.3</v>
      </c>
      <c r="F19" s="5"/>
      <c r="G19" s="70" t="s">
        <v>20</v>
      </c>
      <c r="H19" s="71"/>
      <c r="I19" s="71"/>
      <c r="J19" s="72"/>
      <c r="K19" s="5"/>
      <c r="M19" s="62"/>
      <c r="N19" s="63"/>
      <c r="O19" s="63"/>
      <c r="P19" s="63"/>
      <c r="Q19" s="64"/>
    </row>
    <row r="20" spans="2:18" ht="10.5" customHeight="1" x14ac:dyDescent="0.2">
      <c r="B20" s="5"/>
      <c r="C20" s="12" t="s">
        <v>0</v>
      </c>
      <c r="D20" s="5"/>
      <c r="E20" s="69"/>
      <c r="F20" s="5"/>
      <c r="G20" s="73"/>
      <c r="H20" s="74"/>
      <c r="I20" s="74"/>
      <c r="J20" s="75"/>
      <c r="K20" s="5"/>
      <c r="L20" s="6"/>
      <c r="M20" s="62"/>
      <c r="N20" s="63"/>
      <c r="O20" s="63"/>
      <c r="P20" s="63"/>
      <c r="Q20" s="64"/>
    </row>
    <row r="21" spans="2:18" x14ac:dyDescent="0.2">
      <c r="B21" s="5"/>
      <c r="C21" s="5"/>
      <c r="D21" s="5"/>
      <c r="E21" s="5"/>
      <c r="F21" s="5"/>
      <c r="G21" s="41"/>
      <c r="H21" s="23"/>
      <c r="I21" s="23"/>
      <c r="J21" s="42"/>
      <c r="K21" s="5"/>
      <c r="L21" s="4"/>
      <c r="M21" s="62"/>
      <c r="N21" s="63"/>
      <c r="O21" s="63"/>
      <c r="P21" s="63"/>
      <c r="Q21" s="64"/>
    </row>
    <row r="22" spans="2:18" ht="15" customHeight="1" x14ac:dyDescent="0.2">
      <c r="B22" s="5"/>
      <c r="C22" s="11" t="s">
        <v>7</v>
      </c>
      <c r="D22" s="5"/>
      <c r="E22" s="53">
        <f>C11*J11</f>
        <v>7878.4000000000005</v>
      </c>
      <c r="F22" s="5"/>
      <c r="G22" s="43" t="s">
        <v>3</v>
      </c>
      <c r="H22" s="44"/>
      <c r="I22" s="44"/>
      <c r="J22" s="45"/>
      <c r="K22" s="5"/>
      <c r="M22" s="62"/>
      <c r="N22" s="63"/>
      <c r="O22" s="63"/>
      <c r="P22" s="63"/>
      <c r="Q22" s="64"/>
    </row>
    <row r="23" spans="2:18" ht="10.5" customHeight="1" x14ac:dyDescent="0.2">
      <c r="B23" s="5"/>
      <c r="C23" s="12" t="s">
        <v>1</v>
      </c>
      <c r="D23" s="5"/>
      <c r="E23" s="69"/>
      <c r="F23" s="5"/>
      <c r="G23" s="46">
        <f>E25</f>
        <v>8998.8999999999978</v>
      </c>
      <c r="H23" s="47" t="s">
        <v>5</v>
      </c>
      <c r="I23" s="44"/>
      <c r="J23" s="45"/>
      <c r="K23" s="5"/>
      <c r="M23" s="62"/>
      <c r="N23" s="63"/>
      <c r="O23" s="63"/>
      <c r="P23" s="63"/>
      <c r="Q23" s="64"/>
    </row>
    <row r="24" spans="2:18" ht="15.75" thickBot="1" x14ac:dyDescent="0.25">
      <c r="B24" s="5"/>
      <c r="C24" s="5"/>
      <c r="D24" s="5"/>
      <c r="E24" s="5"/>
      <c r="F24" s="5"/>
      <c r="G24" s="41"/>
      <c r="H24" s="23"/>
      <c r="I24" s="23"/>
      <c r="J24" s="42"/>
      <c r="K24" s="5"/>
      <c r="M24" s="65"/>
      <c r="N24" s="66"/>
      <c r="O24" s="66"/>
      <c r="P24" s="66"/>
      <c r="Q24" s="67"/>
    </row>
    <row r="25" spans="2:18" x14ac:dyDescent="0.2">
      <c r="B25" s="5"/>
      <c r="C25" s="22" t="s">
        <v>8</v>
      </c>
      <c r="D25" s="5"/>
      <c r="E25" s="53">
        <f>E19-E22</f>
        <v>8998.8999999999978</v>
      </c>
      <c r="F25" s="5"/>
      <c r="G25" s="43" t="s">
        <v>4</v>
      </c>
      <c r="H25" s="44"/>
      <c r="I25" s="44"/>
      <c r="J25" s="45"/>
      <c r="K25" s="5"/>
    </row>
    <row r="26" spans="2:18" ht="10.5" customHeight="1" x14ac:dyDescent="0.2">
      <c r="B26" s="5"/>
      <c r="C26" s="12" t="s">
        <v>2</v>
      </c>
      <c r="D26" s="5"/>
      <c r="E26" s="54"/>
      <c r="F26" s="5"/>
      <c r="G26" s="48">
        <f>E22</f>
        <v>7878.4000000000005</v>
      </c>
      <c r="H26" s="49"/>
      <c r="I26" s="49"/>
      <c r="J26" s="50"/>
      <c r="K26" s="5"/>
    </row>
    <row r="27" spans="2:18" x14ac:dyDescent="0.2">
      <c r="B27" s="5"/>
      <c r="C27" s="5"/>
      <c r="D27" s="5"/>
      <c r="E27" s="5"/>
      <c r="F27" s="5"/>
      <c r="G27" s="5"/>
      <c r="H27" s="5"/>
      <c r="I27" s="5"/>
      <c r="J27" s="5"/>
      <c r="K27" s="5"/>
      <c r="R27" s="4"/>
    </row>
    <row r="28" spans="2:18" ht="25.5" customHeight="1" x14ac:dyDescent="0.2">
      <c r="B28" s="5"/>
      <c r="C28" s="55" t="s">
        <v>9</v>
      </c>
      <c r="D28" s="56"/>
      <c r="E28" s="40">
        <f>C14+E25</f>
        <v>8998.8999999999978</v>
      </c>
      <c r="F28" s="5"/>
      <c r="G28" s="57" t="str">
        <f>IF(E28&gt;J13,"ESTÁ OBRIGADO A DECLARAR O IMPOSTO DE RENDA.","NÃO ESTÁ OBRIGADO A DECLARAR O IMPOSTO DE RENDA.")</f>
        <v>NÃO ESTÁ OBRIGADO A DECLARAR O IMPOSTO DE RENDA.</v>
      </c>
      <c r="H28" s="57"/>
      <c r="I28" s="57"/>
      <c r="J28" s="57"/>
      <c r="K28" s="5"/>
      <c r="M28" s="4"/>
      <c r="N28" s="4"/>
      <c r="O28" s="4"/>
      <c r="P28" s="4"/>
      <c r="Q28" s="4"/>
      <c r="R28" s="4"/>
    </row>
    <row r="29" spans="2:18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M29" s="4"/>
      <c r="N29" s="4"/>
      <c r="O29" s="4"/>
      <c r="P29" s="4"/>
      <c r="Q29" s="4"/>
      <c r="R29" s="4"/>
    </row>
    <row r="30" spans="2:18" ht="8.25" customHeight="1" x14ac:dyDescent="0.2"/>
    <row r="32" spans="2:18" x14ac:dyDescent="0.2">
      <c r="B32" s="58" t="s">
        <v>26</v>
      </c>
      <c r="C32" s="58"/>
      <c r="D32" s="58"/>
      <c r="E32" s="58"/>
      <c r="F32" s="58"/>
      <c r="G32" s="58"/>
      <c r="H32" s="58"/>
      <c r="I32" s="58"/>
      <c r="J32" s="58"/>
      <c r="K32" s="58"/>
    </row>
    <row r="33" spans="2:11" x14ac:dyDescent="0.2">
      <c r="B33" s="58" t="s">
        <v>27</v>
      </c>
      <c r="C33" s="58"/>
      <c r="D33" s="58"/>
      <c r="E33" s="58"/>
      <c r="F33" s="58"/>
      <c r="G33" s="58"/>
      <c r="H33" s="58"/>
      <c r="I33" s="58"/>
      <c r="J33" s="58"/>
      <c r="K33" s="58"/>
    </row>
    <row r="37" spans="2:11" x14ac:dyDescent="0.2">
      <c r="J37" s="1"/>
    </row>
  </sheetData>
  <sheetProtection selectLockedCells="1"/>
  <mergeCells count="22">
    <mergeCell ref="B8:K8"/>
    <mergeCell ref="M8:Q11"/>
    <mergeCell ref="G10:J10"/>
    <mergeCell ref="G11:I11"/>
    <mergeCell ref="G14:J14"/>
    <mergeCell ref="H13:I13"/>
    <mergeCell ref="E13:E14"/>
    <mergeCell ref="E2:K5"/>
    <mergeCell ref="M3:Q3"/>
    <mergeCell ref="M4:Q4"/>
    <mergeCell ref="M5:Q5"/>
    <mergeCell ref="B6:K6"/>
    <mergeCell ref="M16:Q24"/>
    <mergeCell ref="B17:K17"/>
    <mergeCell ref="E19:E20"/>
    <mergeCell ref="G19:J20"/>
    <mergeCell ref="E22:E23"/>
    <mergeCell ref="E25:E26"/>
    <mergeCell ref="C28:D28"/>
    <mergeCell ref="G28:J28"/>
    <mergeCell ref="B32:K32"/>
    <mergeCell ref="B33:K33"/>
  </mergeCells>
  <conditionalFormatting sqref="G28">
    <cfRule type="cellIs" dxfId="7" priority="2" operator="equal">
      <formula>"ESTÁ OBRIGADO A DECLARAR O IMPOSTO DE RENDA."</formula>
    </cfRule>
  </conditionalFormatting>
  <conditionalFormatting sqref="G28:J28">
    <cfRule type="cellIs" dxfId="6" priority="1" operator="equal">
      <formula>"NÃO ESTÁ OBRIGADO A DECLARAR O IMPOSTO DE RENDA."</formula>
    </cfRule>
  </conditionalFormatting>
  <dataValidations count="2">
    <dataValidation type="whole" errorStyle="warning" operator="lessThanOrEqual" allowBlank="1" showInputMessage="1" showErrorMessage="1" errorTitle="Ultrapassa Limite Faturamento!" error="O limite de faturamento para manter-se enquadrado como MEI é de no máximo R$ 60.000,00 no ano. " sqref="C11" xr:uid="{00000000-0002-0000-0000-000000000000}">
      <formula1>60000</formula1>
    </dataValidation>
    <dataValidation type="list" allowBlank="1" showInputMessage="1" showErrorMessage="1" error="Selecione uma das atividades." sqref="G11" xr:uid="{00000000-0002-0000-0000-000001000000}">
      <formula1>$N$12:$N$14</formula1>
    </dataValidation>
  </dataValidations>
  <hyperlinks>
    <hyperlink ref="B33" r:id="rId1" xr:uid="{00000000-0004-0000-0000-000000000000}"/>
    <hyperlink ref="B32" r:id="rId2" display="facebook.com.br/adctecassessoria" xr:uid="{00000000-0004-0000-0000-000001000000}"/>
    <hyperlink ref="M4:Q4" r:id="rId3" display="visite o nosso site: www.adctec.com.br " xr:uid="{00000000-0004-0000-0000-000002000000}"/>
    <hyperlink ref="M5:Q5" r:id="rId4" display="Curta no facebook: facebook.com.br/contegrs" xr:uid="{00000000-0004-0000-0000-000003000000}"/>
    <hyperlink ref="B32:K32" r:id="rId5" display="facebook.com.br/contengrs" xr:uid="{00000000-0004-0000-0000-000004000000}"/>
    <hyperlink ref="M4" r:id="rId6" xr:uid="{00000000-0004-0000-0000-000005000000}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37"/>
  <sheetViews>
    <sheetView showGridLines="0" topLeftCell="C13" zoomScale="110" zoomScaleNormal="110" workbookViewId="0" xr3:uid="{958C4451-9541-5A59-BF78-D2F731DF1C81}">
      <selection activeCell="C14" sqref="C14"/>
    </sheetView>
  </sheetViews>
  <sheetFormatPr defaultRowHeight="15" x14ac:dyDescent="0.2"/>
  <cols>
    <col min="1" max="2" width="2.015625" customWidth="1"/>
    <col min="3" max="3" width="23.26953125" customWidth="1"/>
    <col min="4" max="4" width="2.6875" customWidth="1"/>
    <col min="5" max="5" width="17.75390625" customWidth="1"/>
    <col min="6" max="6" width="2.6875" customWidth="1"/>
    <col min="7" max="7" width="13.31640625" customWidth="1"/>
    <col min="8" max="8" width="10.22265625" customWidth="1"/>
    <col min="9" max="9" width="14.2578125" customWidth="1"/>
    <col min="10" max="10" width="19.7734375" customWidth="1"/>
    <col min="11" max="11" width="2.41796875" customWidth="1"/>
    <col min="12" max="12" width="4.3046875" customWidth="1"/>
    <col min="16" max="16" width="12.9140625" customWidth="1"/>
  </cols>
  <sheetData>
    <row r="1" spans="2:22" ht="6.75" customHeight="1" x14ac:dyDescent="0.2"/>
    <row r="2" spans="2:22" x14ac:dyDescent="0.2">
      <c r="E2" s="76" t="s">
        <v>22</v>
      </c>
      <c r="F2" s="76"/>
      <c r="G2" s="76"/>
      <c r="H2" s="76"/>
      <c r="I2" s="76"/>
      <c r="J2" s="76"/>
      <c r="K2" s="76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2:22" x14ac:dyDescent="0.2">
      <c r="E3" s="76"/>
      <c r="F3" s="76"/>
      <c r="G3" s="76"/>
      <c r="H3" s="76"/>
      <c r="I3" s="76"/>
      <c r="J3" s="76"/>
      <c r="K3" s="76"/>
      <c r="M3" s="77" t="s">
        <v>28</v>
      </c>
      <c r="N3" s="77"/>
      <c r="O3" s="77"/>
      <c r="P3" s="77"/>
      <c r="Q3" s="77"/>
    </row>
    <row r="4" spans="2:22" x14ac:dyDescent="0.2">
      <c r="E4" s="76"/>
      <c r="F4" s="76"/>
      <c r="G4" s="76"/>
      <c r="H4" s="76"/>
      <c r="I4" s="76"/>
      <c r="J4" s="76"/>
      <c r="K4" s="76"/>
      <c r="M4" s="58" t="s">
        <v>30</v>
      </c>
      <c r="N4" s="78"/>
      <c r="O4" s="78"/>
      <c r="P4" s="78"/>
      <c r="Q4" s="78"/>
    </row>
    <row r="5" spans="2:22" x14ac:dyDescent="0.2">
      <c r="E5" s="76"/>
      <c r="F5" s="76"/>
      <c r="G5" s="76"/>
      <c r="H5" s="76"/>
      <c r="I5" s="76"/>
      <c r="J5" s="76"/>
      <c r="K5" s="76"/>
      <c r="M5" s="58" t="s">
        <v>29</v>
      </c>
      <c r="N5" s="58"/>
      <c r="O5" s="58"/>
      <c r="P5" s="58"/>
      <c r="Q5" s="58"/>
    </row>
    <row r="6" spans="2:22" ht="11.25" customHeight="1" x14ac:dyDescent="0.2">
      <c r="B6" s="79" t="s">
        <v>25</v>
      </c>
      <c r="C6" s="79"/>
      <c r="D6" s="79"/>
      <c r="E6" s="79"/>
      <c r="F6" s="79"/>
      <c r="G6" s="79"/>
      <c r="H6" s="79"/>
      <c r="I6" s="79"/>
      <c r="J6" s="79"/>
      <c r="K6" s="79"/>
    </row>
    <row r="7" spans="2:22" ht="5.25" customHeight="1" thickBot="1" x14ac:dyDescent="0.25">
      <c r="B7" s="2"/>
      <c r="C7" s="2"/>
      <c r="D7" s="2"/>
      <c r="E7" s="2"/>
      <c r="F7" s="2"/>
      <c r="G7" s="2"/>
      <c r="H7" s="2"/>
      <c r="I7" s="2"/>
      <c r="J7" s="2"/>
      <c r="K7" s="2"/>
    </row>
    <row r="8" spans="2:22" x14ac:dyDescent="0.2">
      <c r="B8" s="80" t="s">
        <v>19</v>
      </c>
      <c r="C8" s="80"/>
      <c r="D8" s="80"/>
      <c r="E8" s="80"/>
      <c r="F8" s="80"/>
      <c r="G8" s="80"/>
      <c r="H8" s="80"/>
      <c r="I8" s="80"/>
      <c r="J8" s="80"/>
      <c r="K8" s="80"/>
      <c r="M8" s="59" t="s">
        <v>16</v>
      </c>
      <c r="N8" s="60"/>
      <c r="O8" s="60"/>
      <c r="P8" s="60"/>
      <c r="Q8" s="61"/>
    </row>
    <row r="9" spans="2:22" ht="9.75" customHeight="1" x14ac:dyDescent="0.2">
      <c r="B9" s="27"/>
      <c r="C9" s="27"/>
      <c r="D9" s="27"/>
      <c r="E9" s="27"/>
      <c r="F9" s="27"/>
      <c r="G9" s="27"/>
      <c r="H9" s="27"/>
      <c r="I9" s="27"/>
      <c r="J9" s="27"/>
      <c r="K9" s="27"/>
      <c r="M9" s="62"/>
      <c r="N9" s="63"/>
      <c r="O9" s="63"/>
      <c r="P9" s="63"/>
      <c r="Q9" s="64"/>
    </row>
    <row r="10" spans="2:22" s="3" customFormat="1" ht="17.25" customHeight="1" x14ac:dyDescent="0.2">
      <c r="B10" s="28"/>
      <c r="C10" s="24" t="s">
        <v>10</v>
      </c>
      <c r="D10" s="29"/>
      <c r="E10" s="25" t="s">
        <v>11</v>
      </c>
      <c r="F10" s="28"/>
      <c r="G10" s="84" t="s">
        <v>12</v>
      </c>
      <c r="H10" s="85"/>
      <c r="I10" s="85"/>
      <c r="J10" s="86"/>
      <c r="K10" s="28"/>
      <c r="M10" s="62"/>
      <c r="N10" s="63"/>
      <c r="O10" s="63"/>
      <c r="P10" s="63"/>
      <c r="Q10" s="64"/>
    </row>
    <row r="11" spans="2:22" ht="18.75" customHeight="1" x14ac:dyDescent="0.2">
      <c r="B11" s="27"/>
      <c r="C11" s="20">
        <v>54000</v>
      </c>
      <c r="D11" s="30"/>
      <c r="E11" s="52">
        <v>6570</v>
      </c>
      <c r="F11" s="27"/>
      <c r="G11" s="87" t="s">
        <v>14</v>
      </c>
      <c r="H11" s="88"/>
      <c r="I11" s="88"/>
      <c r="J11" s="38">
        <f>IF(G11=N12,M12,IF(G11=N13,M13,IF(G11=N14,M14,"")))</f>
        <v>0.32</v>
      </c>
      <c r="K11" s="27"/>
      <c r="M11" s="81"/>
      <c r="N11" s="82"/>
      <c r="O11" s="82"/>
      <c r="P11" s="82"/>
      <c r="Q11" s="83"/>
    </row>
    <row r="12" spans="2:22" ht="15.75" customHeight="1" x14ac:dyDescent="0.2">
      <c r="B12" s="27"/>
      <c r="C12" s="31"/>
      <c r="D12" s="31"/>
      <c r="E12" s="27"/>
      <c r="F12" s="27"/>
      <c r="G12" s="27"/>
      <c r="H12" s="27"/>
      <c r="I12" s="27"/>
      <c r="J12" s="27"/>
      <c r="K12" s="27"/>
      <c r="M12" s="7">
        <v>0.08</v>
      </c>
      <c r="N12" s="8" t="s">
        <v>15</v>
      </c>
      <c r="O12" s="13"/>
      <c r="P12" s="13"/>
      <c r="Q12" s="14"/>
    </row>
    <row r="13" spans="2:22" ht="33.75" customHeight="1" x14ac:dyDescent="0.2">
      <c r="B13" s="27"/>
      <c r="C13" s="24" t="s">
        <v>18</v>
      </c>
      <c r="D13" s="31"/>
      <c r="E13" s="92" t="s">
        <v>21</v>
      </c>
      <c r="F13" s="27"/>
      <c r="G13" s="26" t="s">
        <v>31</v>
      </c>
      <c r="H13" s="90" t="s">
        <v>23</v>
      </c>
      <c r="I13" s="91"/>
      <c r="J13" s="51">
        <v>28559.7</v>
      </c>
      <c r="K13" s="27"/>
      <c r="M13" s="7">
        <v>0.16</v>
      </c>
      <c r="N13" s="8" t="s">
        <v>13</v>
      </c>
      <c r="O13" s="13"/>
      <c r="P13" s="15"/>
      <c r="Q13" s="16"/>
    </row>
    <row r="14" spans="2:22" ht="15.75" thickBot="1" x14ac:dyDescent="0.25">
      <c r="B14" s="32"/>
      <c r="C14" s="39">
        <v>0</v>
      </c>
      <c r="D14" s="27"/>
      <c r="E14" s="92"/>
      <c r="F14" s="33"/>
      <c r="G14" s="89"/>
      <c r="H14" s="89"/>
      <c r="I14" s="89"/>
      <c r="J14" s="89"/>
      <c r="K14" s="37"/>
      <c r="M14" s="9">
        <v>0.32</v>
      </c>
      <c r="N14" s="10" t="s">
        <v>14</v>
      </c>
      <c r="O14" s="17"/>
      <c r="P14" s="18"/>
      <c r="Q14" s="19"/>
    </row>
    <row r="15" spans="2:22" ht="9.75" customHeight="1" thickBot="1" x14ac:dyDescent="0.25">
      <c r="B15" s="27"/>
      <c r="C15" s="27"/>
      <c r="D15" s="31"/>
      <c r="E15" s="33"/>
      <c r="F15" s="33"/>
      <c r="G15" s="35"/>
      <c r="H15" s="36"/>
      <c r="I15" s="36"/>
      <c r="J15" s="36"/>
      <c r="K15" s="34"/>
    </row>
    <row r="16" spans="2:22" x14ac:dyDescent="0.2">
      <c r="M16" s="59" t="s">
        <v>24</v>
      </c>
      <c r="N16" s="60"/>
      <c r="O16" s="60"/>
      <c r="P16" s="60"/>
      <c r="Q16" s="61"/>
    </row>
    <row r="17" spans="2:18" x14ac:dyDescent="0.2">
      <c r="B17" s="68" t="s">
        <v>17</v>
      </c>
      <c r="C17" s="68"/>
      <c r="D17" s="68"/>
      <c r="E17" s="68"/>
      <c r="F17" s="68"/>
      <c r="G17" s="68"/>
      <c r="H17" s="68"/>
      <c r="I17" s="68"/>
      <c r="J17" s="68"/>
      <c r="K17" s="68"/>
      <c r="M17" s="62"/>
      <c r="N17" s="63"/>
      <c r="O17" s="63"/>
      <c r="P17" s="63"/>
      <c r="Q17" s="64"/>
    </row>
    <row r="18" spans="2:18" ht="6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  <c r="M18" s="62"/>
      <c r="N18" s="63"/>
      <c r="O18" s="63"/>
      <c r="P18" s="63"/>
      <c r="Q18" s="64"/>
    </row>
    <row r="19" spans="2:18" ht="15.75" customHeight="1" x14ac:dyDescent="0.2">
      <c r="B19" s="5"/>
      <c r="C19" s="11" t="s">
        <v>6</v>
      </c>
      <c r="D19" s="5"/>
      <c r="E19" s="53">
        <f>C11-E11</f>
        <v>47430</v>
      </c>
      <c r="F19" s="5"/>
      <c r="G19" s="70" t="s">
        <v>20</v>
      </c>
      <c r="H19" s="71"/>
      <c r="I19" s="71"/>
      <c r="J19" s="72"/>
      <c r="K19" s="5"/>
      <c r="M19" s="62"/>
      <c r="N19" s="63"/>
      <c r="O19" s="63"/>
      <c r="P19" s="63"/>
      <c r="Q19" s="64"/>
    </row>
    <row r="20" spans="2:18" ht="10.5" customHeight="1" x14ac:dyDescent="0.2">
      <c r="B20" s="5"/>
      <c r="C20" s="12" t="s">
        <v>0</v>
      </c>
      <c r="D20" s="5"/>
      <c r="E20" s="69"/>
      <c r="F20" s="5"/>
      <c r="G20" s="73"/>
      <c r="H20" s="74"/>
      <c r="I20" s="74"/>
      <c r="J20" s="75"/>
      <c r="K20" s="5"/>
      <c r="L20" s="6"/>
      <c r="M20" s="62"/>
      <c r="N20" s="63"/>
      <c r="O20" s="63"/>
      <c r="P20" s="63"/>
      <c r="Q20" s="64"/>
    </row>
    <row r="21" spans="2:18" x14ac:dyDescent="0.2">
      <c r="B21" s="5"/>
      <c r="C21" s="5"/>
      <c r="D21" s="5"/>
      <c r="E21" s="5"/>
      <c r="F21" s="5"/>
      <c r="G21" s="41"/>
      <c r="H21" s="23"/>
      <c r="I21" s="23"/>
      <c r="J21" s="42"/>
      <c r="K21" s="5"/>
      <c r="L21" s="4"/>
      <c r="M21" s="62"/>
      <c r="N21" s="63"/>
      <c r="O21" s="63"/>
      <c r="P21" s="63"/>
      <c r="Q21" s="64"/>
    </row>
    <row r="22" spans="2:18" ht="15" customHeight="1" x14ac:dyDescent="0.2">
      <c r="B22" s="5"/>
      <c r="C22" s="11" t="s">
        <v>7</v>
      </c>
      <c r="D22" s="5"/>
      <c r="E22" s="53">
        <f>C11*J11</f>
        <v>17280</v>
      </c>
      <c r="F22" s="5"/>
      <c r="G22" s="43" t="s">
        <v>3</v>
      </c>
      <c r="H22" s="44"/>
      <c r="I22" s="44"/>
      <c r="J22" s="45"/>
      <c r="K22" s="5"/>
      <c r="M22" s="62"/>
      <c r="N22" s="63"/>
      <c r="O22" s="63"/>
      <c r="P22" s="63"/>
      <c r="Q22" s="64"/>
    </row>
    <row r="23" spans="2:18" ht="10.5" customHeight="1" x14ac:dyDescent="0.2">
      <c r="B23" s="5"/>
      <c r="C23" s="12" t="s">
        <v>1</v>
      </c>
      <c r="D23" s="5"/>
      <c r="E23" s="69"/>
      <c r="F23" s="5"/>
      <c r="G23" s="46">
        <f>E25</f>
        <v>30150</v>
      </c>
      <c r="H23" s="47" t="s">
        <v>5</v>
      </c>
      <c r="I23" s="44"/>
      <c r="J23" s="45"/>
      <c r="K23" s="5"/>
      <c r="M23" s="62"/>
      <c r="N23" s="63"/>
      <c r="O23" s="63"/>
      <c r="P23" s="63"/>
      <c r="Q23" s="64"/>
    </row>
    <row r="24" spans="2:18" ht="15.75" thickBot="1" x14ac:dyDescent="0.25">
      <c r="B24" s="5"/>
      <c r="C24" s="5"/>
      <c r="D24" s="5"/>
      <c r="E24" s="5"/>
      <c r="F24" s="5"/>
      <c r="G24" s="41"/>
      <c r="H24" s="23"/>
      <c r="I24" s="23"/>
      <c r="J24" s="42"/>
      <c r="K24" s="5"/>
      <c r="M24" s="65"/>
      <c r="N24" s="66"/>
      <c r="O24" s="66"/>
      <c r="P24" s="66"/>
      <c r="Q24" s="67"/>
    </row>
    <row r="25" spans="2:18" x14ac:dyDescent="0.2">
      <c r="B25" s="5"/>
      <c r="C25" s="22" t="s">
        <v>8</v>
      </c>
      <c r="D25" s="5"/>
      <c r="E25" s="53">
        <f>E19-E22</f>
        <v>30150</v>
      </c>
      <c r="F25" s="5"/>
      <c r="G25" s="43" t="s">
        <v>4</v>
      </c>
      <c r="H25" s="44"/>
      <c r="I25" s="44"/>
      <c r="J25" s="45"/>
      <c r="K25" s="5"/>
    </row>
    <row r="26" spans="2:18" ht="10.5" customHeight="1" x14ac:dyDescent="0.2">
      <c r="B26" s="5"/>
      <c r="C26" s="12" t="s">
        <v>2</v>
      </c>
      <c r="D26" s="5"/>
      <c r="E26" s="54"/>
      <c r="F26" s="5"/>
      <c r="G26" s="48">
        <f>E22</f>
        <v>17280</v>
      </c>
      <c r="H26" s="49"/>
      <c r="I26" s="49"/>
      <c r="J26" s="50"/>
      <c r="K26" s="5"/>
    </row>
    <row r="27" spans="2:18" x14ac:dyDescent="0.2">
      <c r="B27" s="5"/>
      <c r="C27" s="5"/>
      <c r="D27" s="5"/>
      <c r="E27" s="5"/>
      <c r="F27" s="5"/>
      <c r="G27" s="5"/>
      <c r="H27" s="5"/>
      <c r="I27" s="5"/>
      <c r="J27" s="5"/>
      <c r="K27" s="5"/>
      <c r="R27" s="4"/>
    </row>
    <row r="28" spans="2:18" ht="25.5" customHeight="1" x14ac:dyDescent="0.2">
      <c r="B28" s="5"/>
      <c r="C28" s="55" t="s">
        <v>9</v>
      </c>
      <c r="D28" s="56"/>
      <c r="E28" s="40">
        <f>C14+E25</f>
        <v>30150</v>
      </c>
      <c r="F28" s="5"/>
      <c r="G28" s="57" t="str">
        <f>IF(E28&gt;J13,"ESTÁ OBRIGADO A DECLARAR O IMPOSTO DE RENDA.","NÃO ESTÁ OBRIGADO A DECLARAR O IMPOSTO DE RENDA.")</f>
        <v>ESTÁ OBRIGADO A DECLARAR O IMPOSTO DE RENDA.</v>
      </c>
      <c r="H28" s="57"/>
      <c r="I28" s="57"/>
      <c r="J28" s="57"/>
      <c r="K28" s="5"/>
      <c r="M28" s="4"/>
      <c r="N28" s="4"/>
      <c r="O28" s="4"/>
      <c r="P28" s="4"/>
      <c r="Q28" s="4"/>
      <c r="R28" s="4"/>
    </row>
    <row r="29" spans="2:18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M29" s="4"/>
      <c r="N29" s="4"/>
      <c r="O29" s="4"/>
      <c r="P29" s="4"/>
      <c r="Q29" s="4"/>
      <c r="R29" s="4"/>
    </row>
    <row r="30" spans="2:18" ht="8.25" customHeight="1" x14ac:dyDescent="0.2"/>
    <row r="32" spans="2:18" x14ac:dyDescent="0.2">
      <c r="B32" s="58" t="s">
        <v>26</v>
      </c>
      <c r="C32" s="58"/>
      <c r="D32" s="58"/>
      <c r="E32" s="58"/>
      <c r="F32" s="58"/>
      <c r="G32" s="58"/>
      <c r="H32" s="58"/>
      <c r="I32" s="58"/>
      <c r="J32" s="58"/>
      <c r="K32" s="58"/>
    </row>
    <row r="33" spans="2:11" x14ac:dyDescent="0.2">
      <c r="B33" s="58" t="s">
        <v>27</v>
      </c>
      <c r="C33" s="58"/>
      <c r="D33" s="58"/>
      <c r="E33" s="58"/>
      <c r="F33" s="58"/>
      <c r="G33" s="58"/>
      <c r="H33" s="58"/>
      <c r="I33" s="58"/>
      <c r="J33" s="58"/>
      <c r="K33" s="58"/>
    </row>
    <row r="37" spans="2:11" x14ac:dyDescent="0.2">
      <c r="J37" s="1"/>
    </row>
  </sheetData>
  <sheetProtection selectLockedCells="1"/>
  <mergeCells count="22">
    <mergeCell ref="B8:K8"/>
    <mergeCell ref="M8:Q11"/>
    <mergeCell ref="G10:J10"/>
    <mergeCell ref="G11:I11"/>
    <mergeCell ref="E2:K5"/>
    <mergeCell ref="M3:Q3"/>
    <mergeCell ref="M4:Q4"/>
    <mergeCell ref="M5:Q5"/>
    <mergeCell ref="B6:K6"/>
    <mergeCell ref="E13:E14"/>
    <mergeCell ref="H13:I13"/>
    <mergeCell ref="G14:J14"/>
    <mergeCell ref="M16:Q24"/>
    <mergeCell ref="B17:K17"/>
    <mergeCell ref="E19:E20"/>
    <mergeCell ref="G19:J20"/>
    <mergeCell ref="E22:E23"/>
    <mergeCell ref="E25:E26"/>
    <mergeCell ref="C28:D28"/>
    <mergeCell ref="G28:J28"/>
    <mergeCell ref="B32:K32"/>
    <mergeCell ref="B33:K33"/>
  </mergeCells>
  <conditionalFormatting sqref="G28">
    <cfRule type="cellIs" dxfId="5" priority="2" operator="equal">
      <formula>"ESTÁ OBRIGADO A DECLARAR O IMPOSTO DE RENDA."</formula>
    </cfRule>
  </conditionalFormatting>
  <conditionalFormatting sqref="G28:J28">
    <cfRule type="cellIs" dxfId="4" priority="1" operator="equal">
      <formula>"NÃO ESTÁ OBRIGADO A DECLARAR O IMPOSTO DE RENDA."</formula>
    </cfRule>
  </conditionalFormatting>
  <dataValidations count="2">
    <dataValidation type="list" allowBlank="1" showInputMessage="1" showErrorMessage="1" error="Selecione uma das atividades." sqref="G11" xr:uid="{00000000-0002-0000-0100-000000000000}">
      <formula1>$N$12:$N$14</formula1>
    </dataValidation>
    <dataValidation type="whole" errorStyle="warning" operator="lessThanOrEqual" allowBlank="1" showInputMessage="1" showErrorMessage="1" errorTitle="Ultrapassa Limite Faturamento!" error="O limite de faturamento para manter-se enquadrado como MEI é de no máximo R$ 60.000,00 no ano. " sqref="C11" xr:uid="{00000000-0002-0000-0100-000001000000}">
      <formula1>60000</formula1>
    </dataValidation>
  </dataValidations>
  <hyperlinks>
    <hyperlink ref="B33" r:id="rId1" xr:uid="{00000000-0004-0000-0100-000000000000}"/>
    <hyperlink ref="B32" r:id="rId2" display="facebook.com.br/adctecassessoria" xr:uid="{00000000-0004-0000-0100-000001000000}"/>
    <hyperlink ref="M4:Q4" r:id="rId3" display="visite o nosso site: www.adctec.com.br " xr:uid="{00000000-0004-0000-0100-000002000000}"/>
    <hyperlink ref="M5:Q5" r:id="rId4" display="Curta no facebook: facebook.com.br/contegrs" xr:uid="{00000000-0004-0000-0100-000003000000}"/>
    <hyperlink ref="B32:K32" r:id="rId5" display="facebook.com.br/contengrs" xr:uid="{00000000-0004-0000-0100-000004000000}"/>
    <hyperlink ref="M4" r:id="rId6" xr:uid="{00000000-0004-0000-0100-000005000000}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37"/>
  <sheetViews>
    <sheetView showGridLines="0" topLeftCell="C13" zoomScale="110" zoomScaleNormal="110" workbookViewId="0" xr3:uid="{842E5F09-E766-5B8D-85AF-A39847EA96FD}">
      <selection activeCell="G11" sqref="G11:I11"/>
    </sheetView>
  </sheetViews>
  <sheetFormatPr defaultRowHeight="15" x14ac:dyDescent="0.2"/>
  <cols>
    <col min="1" max="2" width="2.015625" customWidth="1"/>
    <col min="3" max="3" width="23.26953125" customWidth="1"/>
    <col min="4" max="4" width="2.6875" customWidth="1"/>
    <col min="5" max="5" width="17.75390625" customWidth="1"/>
    <col min="6" max="6" width="2.6875" customWidth="1"/>
    <col min="7" max="7" width="13.31640625" customWidth="1"/>
    <col min="8" max="8" width="10.22265625" customWidth="1"/>
    <col min="9" max="9" width="14.2578125" customWidth="1"/>
    <col min="10" max="10" width="19.7734375" customWidth="1"/>
    <col min="11" max="11" width="2.41796875" customWidth="1"/>
    <col min="12" max="12" width="4.3046875" customWidth="1"/>
    <col min="16" max="16" width="12.9140625" customWidth="1"/>
  </cols>
  <sheetData>
    <row r="1" spans="2:22" ht="6.75" customHeight="1" x14ac:dyDescent="0.2"/>
    <row r="2" spans="2:22" x14ac:dyDescent="0.2">
      <c r="E2" s="76" t="s">
        <v>22</v>
      </c>
      <c r="F2" s="76"/>
      <c r="G2" s="76"/>
      <c r="H2" s="76"/>
      <c r="I2" s="76"/>
      <c r="J2" s="76"/>
      <c r="K2" s="76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2:22" x14ac:dyDescent="0.2">
      <c r="E3" s="76"/>
      <c r="F3" s="76"/>
      <c r="G3" s="76"/>
      <c r="H3" s="76"/>
      <c r="I3" s="76"/>
      <c r="J3" s="76"/>
      <c r="K3" s="76"/>
      <c r="M3" s="77" t="s">
        <v>28</v>
      </c>
      <c r="N3" s="77"/>
      <c r="O3" s="77"/>
      <c r="P3" s="77"/>
      <c r="Q3" s="77"/>
    </row>
    <row r="4" spans="2:22" x14ac:dyDescent="0.2">
      <c r="E4" s="76"/>
      <c r="F4" s="76"/>
      <c r="G4" s="76"/>
      <c r="H4" s="76"/>
      <c r="I4" s="76"/>
      <c r="J4" s="76"/>
      <c r="K4" s="76"/>
      <c r="M4" s="58" t="s">
        <v>30</v>
      </c>
      <c r="N4" s="78"/>
      <c r="O4" s="78"/>
      <c r="P4" s="78"/>
      <c r="Q4" s="78"/>
    </row>
    <row r="5" spans="2:22" x14ac:dyDescent="0.2">
      <c r="E5" s="76"/>
      <c r="F5" s="76"/>
      <c r="G5" s="76"/>
      <c r="H5" s="76"/>
      <c r="I5" s="76"/>
      <c r="J5" s="76"/>
      <c r="K5" s="76"/>
      <c r="M5" s="58" t="s">
        <v>29</v>
      </c>
      <c r="N5" s="58"/>
      <c r="O5" s="58"/>
      <c r="P5" s="58"/>
      <c r="Q5" s="58"/>
    </row>
    <row r="6" spans="2:22" ht="11.25" customHeight="1" x14ac:dyDescent="0.2">
      <c r="B6" s="79" t="s">
        <v>25</v>
      </c>
      <c r="C6" s="79"/>
      <c r="D6" s="79"/>
      <c r="E6" s="79"/>
      <c r="F6" s="79"/>
      <c r="G6" s="79"/>
      <c r="H6" s="79"/>
      <c r="I6" s="79"/>
      <c r="J6" s="79"/>
      <c r="K6" s="79"/>
    </row>
    <row r="7" spans="2:22" ht="5.25" customHeight="1" thickBot="1" x14ac:dyDescent="0.25">
      <c r="B7" s="2"/>
      <c r="C7" s="2"/>
      <c r="D7" s="2"/>
      <c r="E7" s="2"/>
      <c r="F7" s="2"/>
      <c r="G7" s="2"/>
      <c r="H7" s="2"/>
      <c r="I7" s="2"/>
      <c r="J7" s="2"/>
      <c r="K7" s="2"/>
    </row>
    <row r="8" spans="2:22" x14ac:dyDescent="0.2">
      <c r="B8" s="80" t="s">
        <v>19</v>
      </c>
      <c r="C8" s="80"/>
      <c r="D8" s="80"/>
      <c r="E8" s="80"/>
      <c r="F8" s="80"/>
      <c r="G8" s="80"/>
      <c r="H8" s="80"/>
      <c r="I8" s="80"/>
      <c r="J8" s="80"/>
      <c r="K8" s="80"/>
      <c r="M8" s="59" t="s">
        <v>16</v>
      </c>
      <c r="N8" s="60"/>
      <c r="O8" s="60"/>
      <c r="P8" s="60"/>
      <c r="Q8" s="61"/>
    </row>
    <row r="9" spans="2:22" ht="9.75" customHeight="1" x14ac:dyDescent="0.2">
      <c r="B9" s="27"/>
      <c r="C9" s="27"/>
      <c r="D9" s="27"/>
      <c r="E9" s="27"/>
      <c r="F9" s="27"/>
      <c r="G9" s="27"/>
      <c r="H9" s="27"/>
      <c r="I9" s="27"/>
      <c r="J9" s="27"/>
      <c r="K9" s="27"/>
      <c r="M9" s="62"/>
      <c r="N9" s="63"/>
      <c r="O9" s="63"/>
      <c r="P9" s="63"/>
      <c r="Q9" s="64"/>
    </row>
    <row r="10" spans="2:22" s="3" customFormat="1" ht="17.25" customHeight="1" x14ac:dyDescent="0.2">
      <c r="B10" s="28"/>
      <c r="C10" s="24" t="s">
        <v>10</v>
      </c>
      <c r="D10" s="29"/>
      <c r="E10" s="25" t="s">
        <v>11</v>
      </c>
      <c r="F10" s="28"/>
      <c r="G10" s="84" t="s">
        <v>12</v>
      </c>
      <c r="H10" s="85"/>
      <c r="I10" s="85"/>
      <c r="J10" s="86"/>
      <c r="K10" s="28"/>
      <c r="M10" s="62"/>
      <c r="N10" s="63"/>
      <c r="O10" s="63"/>
      <c r="P10" s="63"/>
      <c r="Q10" s="64"/>
    </row>
    <row r="11" spans="2:22" ht="18.75" customHeight="1" x14ac:dyDescent="0.2">
      <c r="B11" s="27"/>
      <c r="C11" s="20">
        <v>54000</v>
      </c>
      <c r="D11" s="30"/>
      <c r="E11" s="52">
        <v>6570</v>
      </c>
      <c r="F11" s="27"/>
      <c r="G11" s="87" t="s">
        <v>15</v>
      </c>
      <c r="H11" s="88"/>
      <c r="I11" s="88"/>
      <c r="J11" s="38">
        <f>IF(G11=N12,M12,IF(G11=N13,M13,IF(G11=N14,M14,"")))</f>
        <v>0.08</v>
      </c>
      <c r="K11" s="27"/>
      <c r="M11" s="81"/>
      <c r="N11" s="82"/>
      <c r="O11" s="82"/>
      <c r="P11" s="82"/>
      <c r="Q11" s="83"/>
    </row>
    <row r="12" spans="2:22" ht="15.75" customHeight="1" x14ac:dyDescent="0.2">
      <c r="B12" s="27"/>
      <c r="C12" s="31"/>
      <c r="D12" s="31"/>
      <c r="E12" s="27"/>
      <c r="F12" s="27"/>
      <c r="G12" s="27"/>
      <c r="H12" s="27"/>
      <c r="I12" s="27"/>
      <c r="J12" s="27"/>
      <c r="K12" s="27"/>
      <c r="M12" s="7">
        <v>0.08</v>
      </c>
      <c r="N12" s="8" t="s">
        <v>15</v>
      </c>
      <c r="O12" s="13"/>
      <c r="P12" s="13"/>
      <c r="Q12" s="14"/>
    </row>
    <row r="13" spans="2:22" ht="33.75" customHeight="1" x14ac:dyDescent="0.2">
      <c r="B13" s="27"/>
      <c r="C13" s="24" t="s">
        <v>18</v>
      </c>
      <c r="D13" s="31"/>
      <c r="E13" s="92" t="s">
        <v>21</v>
      </c>
      <c r="F13" s="27"/>
      <c r="G13" s="26" t="s">
        <v>31</v>
      </c>
      <c r="H13" s="90" t="s">
        <v>23</v>
      </c>
      <c r="I13" s="91"/>
      <c r="J13" s="51">
        <v>28559.7</v>
      </c>
      <c r="K13" s="27"/>
      <c r="M13" s="7">
        <v>0.16</v>
      </c>
      <c r="N13" s="8" t="s">
        <v>13</v>
      </c>
      <c r="O13" s="13"/>
      <c r="P13" s="15"/>
      <c r="Q13" s="16"/>
    </row>
    <row r="14" spans="2:22" ht="15.75" thickBot="1" x14ac:dyDescent="0.25">
      <c r="B14" s="32"/>
      <c r="C14" s="39">
        <v>0</v>
      </c>
      <c r="D14" s="27"/>
      <c r="E14" s="92"/>
      <c r="F14" s="33"/>
      <c r="G14" s="89"/>
      <c r="H14" s="89"/>
      <c r="I14" s="89"/>
      <c r="J14" s="89"/>
      <c r="K14" s="37"/>
      <c r="M14" s="9">
        <v>0.32</v>
      </c>
      <c r="N14" s="10" t="s">
        <v>14</v>
      </c>
      <c r="O14" s="17"/>
      <c r="P14" s="18"/>
      <c r="Q14" s="19"/>
    </row>
    <row r="15" spans="2:22" ht="9.75" customHeight="1" thickBot="1" x14ac:dyDescent="0.25">
      <c r="B15" s="27"/>
      <c r="C15" s="27"/>
      <c r="D15" s="31"/>
      <c r="E15" s="33"/>
      <c r="F15" s="33"/>
      <c r="G15" s="35"/>
      <c r="H15" s="36"/>
      <c r="I15" s="36"/>
      <c r="J15" s="36"/>
      <c r="K15" s="34"/>
    </row>
    <row r="16" spans="2:22" x14ac:dyDescent="0.2">
      <c r="M16" s="59" t="s">
        <v>24</v>
      </c>
      <c r="N16" s="60"/>
      <c r="O16" s="60"/>
      <c r="P16" s="60"/>
      <c r="Q16" s="61"/>
    </row>
    <row r="17" spans="2:18" x14ac:dyDescent="0.2">
      <c r="B17" s="68" t="s">
        <v>17</v>
      </c>
      <c r="C17" s="68"/>
      <c r="D17" s="68"/>
      <c r="E17" s="68"/>
      <c r="F17" s="68"/>
      <c r="G17" s="68"/>
      <c r="H17" s="68"/>
      <c r="I17" s="68"/>
      <c r="J17" s="68"/>
      <c r="K17" s="68"/>
      <c r="M17" s="62"/>
      <c r="N17" s="63"/>
      <c r="O17" s="63"/>
      <c r="P17" s="63"/>
      <c r="Q17" s="64"/>
    </row>
    <row r="18" spans="2:18" ht="6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  <c r="M18" s="62"/>
      <c r="N18" s="63"/>
      <c r="O18" s="63"/>
      <c r="P18" s="63"/>
      <c r="Q18" s="64"/>
    </row>
    <row r="19" spans="2:18" ht="15.75" customHeight="1" x14ac:dyDescent="0.2">
      <c r="B19" s="5"/>
      <c r="C19" s="11" t="s">
        <v>6</v>
      </c>
      <c r="D19" s="5"/>
      <c r="E19" s="53">
        <f>C11-E11</f>
        <v>47430</v>
      </c>
      <c r="F19" s="5"/>
      <c r="G19" s="70" t="s">
        <v>20</v>
      </c>
      <c r="H19" s="71"/>
      <c r="I19" s="71"/>
      <c r="J19" s="72"/>
      <c r="K19" s="5"/>
      <c r="M19" s="62"/>
      <c r="N19" s="63"/>
      <c r="O19" s="63"/>
      <c r="P19" s="63"/>
      <c r="Q19" s="64"/>
    </row>
    <row r="20" spans="2:18" ht="10.5" customHeight="1" x14ac:dyDescent="0.2">
      <c r="B20" s="5"/>
      <c r="C20" s="12" t="s">
        <v>0</v>
      </c>
      <c r="D20" s="5"/>
      <c r="E20" s="69"/>
      <c r="F20" s="5"/>
      <c r="G20" s="73"/>
      <c r="H20" s="74"/>
      <c r="I20" s="74"/>
      <c r="J20" s="75"/>
      <c r="K20" s="5"/>
      <c r="L20" s="6"/>
      <c r="M20" s="62"/>
      <c r="N20" s="63"/>
      <c r="O20" s="63"/>
      <c r="P20" s="63"/>
      <c r="Q20" s="64"/>
    </row>
    <row r="21" spans="2:18" x14ac:dyDescent="0.2">
      <c r="B21" s="5"/>
      <c r="C21" s="5"/>
      <c r="D21" s="5"/>
      <c r="E21" s="5"/>
      <c r="F21" s="5"/>
      <c r="G21" s="41"/>
      <c r="H21" s="23"/>
      <c r="I21" s="23"/>
      <c r="J21" s="42"/>
      <c r="K21" s="5"/>
      <c r="L21" s="4"/>
      <c r="M21" s="62"/>
      <c r="N21" s="63"/>
      <c r="O21" s="63"/>
      <c r="P21" s="63"/>
      <c r="Q21" s="64"/>
    </row>
    <row r="22" spans="2:18" ht="15" customHeight="1" x14ac:dyDescent="0.2">
      <c r="B22" s="5"/>
      <c r="C22" s="11" t="s">
        <v>7</v>
      </c>
      <c r="D22" s="5"/>
      <c r="E22" s="53">
        <f>C11*J11</f>
        <v>4320</v>
      </c>
      <c r="F22" s="5"/>
      <c r="G22" s="43" t="s">
        <v>3</v>
      </c>
      <c r="H22" s="44"/>
      <c r="I22" s="44"/>
      <c r="J22" s="45"/>
      <c r="K22" s="5"/>
      <c r="M22" s="62"/>
      <c r="N22" s="63"/>
      <c r="O22" s="63"/>
      <c r="P22" s="63"/>
      <c r="Q22" s="64"/>
    </row>
    <row r="23" spans="2:18" ht="10.5" customHeight="1" x14ac:dyDescent="0.2">
      <c r="B23" s="5"/>
      <c r="C23" s="12" t="s">
        <v>1</v>
      </c>
      <c r="D23" s="5"/>
      <c r="E23" s="69"/>
      <c r="F23" s="5"/>
      <c r="G23" s="46">
        <f>E25</f>
        <v>43110</v>
      </c>
      <c r="H23" s="47" t="s">
        <v>5</v>
      </c>
      <c r="I23" s="44"/>
      <c r="J23" s="45"/>
      <c r="K23" s="5"/>
      <c r="M23" s="62"/>
      <c r="N23" s="63"/>
      <c r="O23" s="63"/>
      <c r="P23" s="63"/>
      <c r="Q23" s="64"/>
    </row>
    <row r="24" spans="2:18" ht="15.75" thickBot="1" x14ac:dyDescent="0.25">
      <c r="B24" s="5"/>
      <c r="C24" s="5"/>
      <c r="D24" s="5"/>
      <c r="E24" s="5"/>
      <c r="F24" s="5"/>
      <c r="G24" s="41"/>
      <c r="H24" s="23"/>
      <c r="I24" s="23"/>
      <c r="J24" s="42"/>
      <c r="K24" s="5"/>
      <c r="M24" s="65"/>
      <c r="N24" s="66"/>
      <c r="O24" s="66"/>
      <c r="P24" s="66"/>
      <c r="Q24" s="67"/>
    </row>
    <row r="25" spans="2:18" x14ac:dyDescent="0.2">
      <c r="B25" s="5"/>
      <c r="C25" s="22" t="s">
        <v>8</v>
      </c>
      <c r="D25" s="5"/>
      <c r="E25" s="53">
        <f>E19-E22</f>
        <v>43110</v>
      </c>
      <c r="F25" s="5"/>
      <c r="G25" s="43" t="s">
        <v>4</v>
      </c>
      <c r="H25" s="44"/>
      <c r="I25" s="44"/>
      <c r="J25" s="45"/>
      <c r="K25" s="5"/>
    </row>
    <row r="26" spans="2:18" ht="10.5" customHeight="1" x14ac:dyDescent="0.2">
      <c r="B26" s="5"/>
      <c r="C26" s="12" t="s">
        <v>2</v>
      </c>
      <c r="D26" s="5"/>
      <c r="E26" s="54"/>
      <c r="F26" s="5"/>
      <c r="G26" s="48">
        <f>E22</f>
        <v>4320</v>
      </c>
      <c r="H26" s="49"/>
      <c r="I26" s="49"/>
      <c r="J26" s="50"/>
      <c r="K26" s="5"/>
    </row>
    <row r="27" spans="2:18" x14ac:dyDescent="0.2">
      <c r="B27" s="5"/>
      <c r="C27" s="5"/>
      <c r="D27" s="5"/>
      <c r="E27" s="5"/>
      <c r="F27" s="5"/>
      <c r="G27" s="5"/>
      <c r="H27" s="5"/>
      <c r="I27" s="5"/>
      <c r="J27" s="5"/>
      <c r="K27" s="5"/>
      <c r="R27" s="4"/>
    </row>
    <row r="28" spans="2:18" ht="25.5" customHeight="1" x14ac:dyDescent="0.2">
      <c r="B28" s="5"/>
      <c r="C28" s="55" t="s">
        <v>9</v>
      </c>
      <c r="D28" s="56"/>
      <c r="E28" s="40">
        <f>C14+E25</f>
        <v>43110</v>
      </c>
      <c r="F28" s="5"/>
      <c r="G28" s="57" t="str">
        <f>IF(E28&gt;J13,"ESTÁ OBRIGADO A DECLARAR O IMPOSTO DE RENDA.","NÃO ESTÁ OBRIGADO A DECLARAR O IMPOSTO DE RENDA.")</f>
        <v>ESTÁ OBRIGADO A DECLARAR O IMPOSTO DE RENDA.</v>
      </c>
      <c r="H28" s="57"/>
      <c r="I28" s="57"/>
      <c r="J28" s="57"/>
      <c r="K28" s="5"/>
      <c r="M28" s="4"/>
      <c r="N28" s="4"/>
      <c r="O28" s="4"/>
      <c r="P28" s="4"/>
      <c r="Q28" s="4"/>
      <c r="R28" s="4"/>
    </row>
    <row r="29" spans="2:18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M29" s="4"/>
      <c r="N29" s="4"/>
      <c r="O29" s="4"/>
      <c r="P29" s="4"/>
      <c r="Q29" s="4"/>
      <c r="R29" s="4"/>
    </row>
    <row r="30" spans="2:18" ht="8.25" customHeight="1" x14ac:dyDescent="0.2"/>
    <row r="32" spans="2:18" x14ac:dyDescent="0.2">
      <c r="B32" s="58" t="s">
        <v>26</v>
      </c>
      <c r="C32" s="58"/>
      <c r="D32" s="58"/>
      <c r="E32" s="58"/>
      <c r="F32" s="58"/>
      <c r="G32" s="58"/>
      <c r="H32" s="58"/>
      <c r="I32" s="58"/>
      <c r="J32" s="58"/>
      <c r="K32" s="58"/>
    </row>
    <row r="33" spans="2:11" x14ac:dyDescent="0.2">
      <c r="B33" s="58" t="s">
        <v>27</v>
      </c>
      <c r="C33" s="58"/>
      <c r="D33" s="58"/>
      <c r="E33" s="58"/>
      <c r="F33" s="58"/>
      <c r="G33" s="58"/>
      <c r="H33" s="58"/>
      <c r="I33" s="58"/>
      <c r="J33" s="58"/>
      <c r="K33" s="58"/>
    </row>
    <row r="37" spans="2:11" x14ac:dyDescent="0.2">
      <c r="J37" s="1"/>
    </row>
  </sheetData>
  <sheetProtection selectLockedCells="1"/>
  <mergeCells count="22">
    <mergeCell ref="B8:K8"/>
    <mergeCell ref="M8:Q11"/>
    <mergeCell ref="G10:J10"/>
    <mergeCell ref="G11:I11"/>
    <mergeCell ref="E2:K5"/>
    <mergeCell ref="M3:Q3"/>
    <mergeCell ref="M4:Q4"/>
    <mergeCell ref="M5:Q5"/>
    <mergeCell ref="B6:K6"/>
    <mergeCell ref="E13:E14"/>
    <mergeCell ref="H13:I13"/>
    <mergeCell ref="G14:J14"/>
    <mergeCell ref="M16:Q24"/>
    <mergeCell ref="B17:K17"/>
    <mergeCell ref="E19:E20"/>
    <mergeCell ref="G19:J20"/>
    <mergeCell ref="E22:E23"/>
    <mergeCell ref="E25:E26"/>
    <mergeCell ref="C28:D28"/>
    <mergeCell ref="G28:J28"/>
    <mergeCell ref="B32:K32"/>
    <mergeCell ref="B33:K33"/>
  </mergeCells>
  <conditionalFormatting sqref="G28">
    <cfRule type="cellIs" dxfId="3" priority="2" operator="equal">
      <formula>"ESTÁ OBRIGADO A DECLARAR O IMPOSTO DE RENDA."</formula>
    </cfRule>
  </conditionalFormatting>
  <conditionalFormatting sqref="G28:J28">
    <cfRule type="cellIs" dxfId="2" priority="1" operator="equal">
      <formula>"NÃO ESTÁ OBRIGADO A DECLARAR O IMPOSTO DE RENDA."</formula>
    </cfRule>
  </conditionalFormatting>
  <dataValidations count="2">
    <dataValidation type="whole" errorStyle="warning" operator="lessThanOrEqual" allowBlank="1" showInputMessage="1" showErrorMessage="1" errorTitle="Ultrapassa Limite Faturamento!" error="O limite de faturamento para manter-se enquadrado como MEI é de no máximo R$ 60.000,00 no ano. " sqref="C11" xr:uid="{00000000-0002-0000-0200-000000000000}">
      <formula1>60000</formula1>
    </dataValidation>
    <dataValidation type="list" allowBlank="1" showInputMessage="1" showErrorMessage="1" error="Selecione uma das atividades." sqref="G11" xr:uid="{00000000-0002-0000-0200-000001000000}">
      <formula1>$N$12:$N$14</formula1>
    </dataValidation>
  </dataValidations>
  <hyperlinks>
    <hyperlink ref="B33" r:id="rId1" xr:uid="{00000000-0004-0000-0200-000000000000}"/>
    <hyperlink ref="B32" r:id="rId2" display="facebook.com.br/adctecassessoria" xr:uid="{00000000-0004-0000-0200-000001000000}"/>
    <hyperlink ref="M4:Q4" r:id="rId3" display="visite o nosso site: www.adctec.com.br " xr:uid="{00000000-0004-0000-0200-000002000000}"/>
    <hyperlink ref="M5:Q5" r:id="rId4" display="Curta no facebook: facebook.com.br/contegrs" xr:uid="{00000000-0004-0000-0200-000003000000}"/>
    <hyperlink ref="B32:K32" r:id="rId5" display="facebook.com.br/contengrs" xr:uid="{00000000-0004-0000-0200-000004000000}"/>
    <hyperlink ref="M4" r:id="rId6" xr:uid="{00000000-0004-0000-0200-000005000000}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37"/>
  <sheetViews>
    <sheetView showGridLines="0" topLeftCell="C13" zoomScale="110" zoomScaleNormal="110" workbookViewId="0" xr3:uid="{51F8DEE0-4D01-5F28-A812-FC0BD7CAC4A5}">
      <selection activeCell="G11" sqref="G11:I11"/>
    </sheetView>
  </sheetViews>
  <sheetFormatPr defaultRowHeight="15" x14ac:dyDescent="0.2"/>
  <cols>
    <col min="1" max="2" width="2.015625" customWidth="1"/>
    <col min="3" max="3" width="23.26953125" customWidth="1"/>
    <col min="4" max="4" width="2.6875" customWidth="1"/>
    <col min="5" max="5" width="17.75390625" customWidth="1"/>
    <col min="6" max="6" width="2.6875" customWidth="1"/>
    <col min="7" max="7" width="13.31640625" customWidth="1"/>
    <col min="8" max="8" width="10.22265625" customWidth="1"/>
    <col min="9" max="9" width="14.2578125" customWidth="1"/>
    <col min="10" max="10" width="19.7734375" customWidth="1"/>
    <col min="11" max="11" width="2.41796875" customWidth="1"/>
    <col min="12" max="12" width="4.3046875" customWidth="1"/>
    <col min="16" max="16" width="12.9140625" customWidth="1"/>
  </cols>
  <sheetData>
    <row r="1" spans="2:22" ht="6.75" customHeight="1" x14ac:dyDescent="0.2"/>
    <row r="2" spans="2:22" x14ac:dyDescent="0.2">
      <c r="E2" s="76" t="s">
        <v>22</v>
      </c>
      <c r="F2" s="76"/>
      <c r="G2" s="76"/>
      <c r="H2" s="76"/>
      <c r="I2" s="76"/>
      <c r="J2" s="76"/>
      <c r="K2" s="76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2:22" x14ac:dyDescent="0.2">
      <c r="E3" s="76"/>
      <c r="F3" s="76"/>
      <c r="G3" s="76"/>
      <c r="H3" s="76"/>
      <c r="I3" s="76"/>
      <c r="J3" s="76"/>
      <c r="K3" s="76"/>
      <c r="M3" s="77" t="s">
        <v>28</v>
      </c>
      <c r="N3" s="77"/>
      <c r="O3" s="77"/>
      <c r="P3" s="77"/>
      <c r="Q3" s="77"/>
    </row>
    <row r="4" spans="2:22" x14ac:dyDescent="0.2">
      <c r="E4" s="76"/>
      <c r="F4" s="76"/>
      <c r="G4" s="76"/>
      <c r="H4" s="76"/>
      <c r="I4" s="76"/>
      <c r="J4" s="76"/>
      <c r="K4" s="76"/>
      <c r="M4" s="58" t="s">
        <v>30</v>
      </c>
      <c r="N4" s="78"/>
      <c r="O4" s="78"/>
      <c r="P4" s="78"/>
      <c r="Q4" s="78"/>
    </row>
    <row r="5" spans="2:22" x14ac:dyDescent="0.2">
      <c r="E5" s="76"/>
      <c r="F5" s="76"/>
      <c r="G5" s="76"/>
      <c r="H5" s="76"/>
      <c r="I5" s="76"/>
      <c r="J5" s="76"/>
      <c r="K5" s="76"/>
      <c r="M5" s="58" t="s">
        <v>29</v>
      </c>
      <c r="N5" s="58"/>
      <c r="O5" s="58"/>
      <c r="P5" s="58"/>
      <c r="Q5" s="58"/>
    </row>
    <row r="6" spans="2:22" ht="11.25" customHeight="1" x14ac:dyDescent="0.2">
      <c r="B6" s="79" t="s">
        <v>25</v>
      </c>
      <c r="C6" s="79"/>
      <c r="D6" s="79"/>
      <c r="E6" s="79"/>
      <c r="F6" s="79"/>
      <c r="G6" s="79"/>
      <c r="H6" s="79"/>
      <c r="I6" s="79"/>
      <c r="J6" s="79"/>
      <c r="K6" s="79"/>
    </row>
    <row r="7" spans="2:22" ht="5.25" customHeight="1" thickBot="1" x14ac:dyDescent="0.25">
      <c r="B7" s="2"/>
      <c r="C7" s="2"/>
      <c r="D7" s="2"/>
      <c r="E7" s="2"/>
      <c r="F7" s="2"/>
      <c r="G7" s="2"/>
      <c r="H7" s="2"/>
      <c r="I7" s="2"/>
      <c r="J7" s="2"/>
      <c r="K7" s="2"/>
    </row>
    <row r="8" spans="2:22" x14ac:dyDescent="0.2">
      <c r="B8" s="80" t="s">
        <v>19</v>
      </c>
      <c r="C8" s="80"/>
      <c r="D8" s="80"/>
      <c r="E8" s="80"/>
      <c r="F8" s="80"/>
      <c r="G8" s="80"/>
      <c r="H8" s="80"/>
      <c r="I8" s="80"/>
      <c r="J8" s="80"/>
      <c r="K8" s="80"/>
      <c r="M8" s="59" t="s">
        <v>16</v>
      </c>
      <c r="N8" s="60"/>
      <c r="O8" s="60"/>
      <c r="P8" s="60"/>
      <c r="Q8" s="61"/>
    </row>
    <row r="9" spans="2:22" ht="9.75" customHeight="1" x14ac:dyDescent="0.2">
      <c r="B9" s="27"/>
      <c r="C9" s="27"/>
      <c r="D9" s="27"/>
      <c r="E9" s="27"/>
      <c r="F9" s="27"/>
      <c r="G9" s="27"/>
      <c r="H9" s="27"/>
      <c r="I9" s="27"/>
      <c r="J9" s="27"/>
      <c r="K9" s="27"/>
      <c r="M9" s="62"/>
      <c r="N9" s="63"/>
      <c r="O9" s="63"/>
      <c r="P9" s="63"/>
      <c r="Q9" s="64"/>
    </row>
    <row r="10" spans="2:22" s="3" customFormat="1" ht="17.25" customHeight="1" x14ac:dyDescent="0.2">
      <c r="B10" s="28"/>
      <c r="C10" s="24" t="s">
        <v>10</v>
      </c>
      <c r="D10" s="29"/>
      <c r="E10" s="25" t="s">
        <v>11</v>
      </c>
      <c r="F10" s="28"/>
      <c r="G10" s="84" t="s">
        <v>12</v>
      </c>
      <c r="H10" s="85"/>
      <c r="I10" s="85"/>
      <c r="J10" s="86"/>
      <c r="K10" s="28"/>
      <c r="M10" s="62"/>
      <c r="N10" s="63"/>
      <c r="O10" s="63"/>
      <c r="P10" s="63"/>
      <c r="Q10" s="64"/>
    </row>
    <row r="11" spans="2:22" ht="18.75" customHeight="1" x14ac:dyDescent="0.2">
      <c r="B11" s="27"/>
      <c r="C11" s="20">
        <v>54000</v>
      </c>
      <c r="D11" s="30"/>
      <c r="E11" s="52">
        <v>6570</v>
      </c>
      <c r="F11" s="27"/>
      <c r="G11" s="87" t="s">
        <v>13</v>
      </c>
      <c r="H11" s="88"/>
      <c r="I11" s="88"/>
      <c r="J11" s="38">
        <f>IF(G11=N12,M12,IF(G11=N13,M13,IF(G11=N14,M14,"")))</f>
        <v>0.16</v>
      </c>
      <c r="K11" s="27"/>
      <c r="M11" s="81"/>
      <c r="N11" s="82"/>
      <c r="O11" s="82"/>
      <c r="P11" s="82"/>
      <c r="Q11" s="83"/>
    </row>
    <row r="12" spans="2:22" ht="15.75" customHeight="1" x14ac:dyDescent="0.2">
      <c r="B12" s="27"/>
      <c r="C12" s="31"/>
      <c r="D12" s="31"/>
      <c r="E12" s="27"/>
      <c r="F12" s="27"/>
      <c r="G12" s="27"/>
      <c r="H12" s="27"/>
      <c r="I12" s="27"/>
      <c r="J12" s="27"/>
      <c r="K12" s="27"/>
      <c r="M12" s="7">
        <v>0.08</v>
      </c>
      <c r="N12" s="8" t="s">
        <v>15</v>
      </c>
      <c r="O12" s="13"/>
      <c r="P12" s="13"/>
      <c r="Q12" s="14"/>
    </row>
    <row r="13" spans="2:22" ht="33.75" customHeight="1" x14ac:dyDescent="0.2">
      <c r="B13" s="27"/>
      <c r="C13" s="24" t="s">
        <v>18</v>
      </c>
      <c r="D13" s="31"/>
      <c r="E13" s="92" t="s">
        <v>21</v>
      </c>
      <c r="F13" s="27"/>
      <c r="G13" s="26" t="s">
        <v>31</v>
      </c>
      <c r="H13" s="90" t="s">
        <v>23</v>
      </c>
      <c r="I13" s="91"/>
      <c r="J13" s="51">
        <v>28559.7</v>
      </c>
      <c r="K13" s="27"/>
      <c r="M13" s="7">
        <v>0.16</v>
      </c>
      <c r="N13" s="8" t="s">
        <v>13</v>
      </c>
      <c r="O13" s="13"/>
      <c r="P13" s="15"/>
      <c r="Q13" s="16"/>
    </row>
    <row r="14" spans="2:22" ht="15.75" thickBot="1" x14ac:dyDescent="0.25">
      <c r="B14" s="32"/>
      <c r="C14" s="39">
        <v>0</v>
      </c>
      <c r="D14" s="27"/>
      <c r="E14" s="92"/>
      <c r="F14" s="33"/>
      <c r="G14" s="89"/>
      <c r="H14" s="89"/>
      <c r="I14" s="89"/>
      <c r="J14" s="89"/>
      <c r="K14" s="37"/>
      <c r="M14" s="9">
        <v>0.32</v>
      </c>
      <c r="N14" s="10" t="s">
        <v>14</v>
      </c>
      <c r="O14" s="17"/>
      <c r="P14" s="18"/>
      <c r="Q14" s="19"/>
    </row>
    <row r="15" spans="2:22" ht="9.75" customHeight="1" thickBot="1" x14ac:dyDescent="0.25">
      <c r="B15" s="27"/>
      <c r="C15" s="27"/>
      <c r="D15" s="31"/>
      <c r="E15" s="33"/>
      <c r="F15" s="33"/>
      <c r="G15" s="35"/>
      <c r="H15" s="36"/>
      <c r="I15" s="36"/>
      <c r="J15" s="36"/>
      <c r="K15" s="34"/>
    </row>
    <row r="16" spans="2:22" x14ac:dyDescent="0.2">
      <c r="M16" s="59" t="s">
        <v>24</v>
      </c>
      <c r="N16" s="60"/>
      <c r="O16" s="60"/>
      <c r="P16" s="60"/>
      <c r="Q16" s="61"/>
    </row>
    <row r="17" spans="2:18" x14ac:dyDescent="0.2">
      <c r="B17" s="68" t="s">
        <v>17</v>
      </c>
      <c r="C17" s="68"/>
      <c r="D17" s="68"/>
      <c r="E17" s="68"/>
      <c r="F17" s="68"/>
      <c r="G17" s="68"/>
      <c r="H17" s="68"/>
      <c r="I17" s="68"/>
      <c r="J17" s="68"/>
      <c r="K17" s="68"/>
      <c r="M17" s="62"/>
      <c r="N17" s="63"/>
      <c r="O17" s="63"/>
      <c r="P17" s="63"/>
      <c r="Q17" s="64"/>
    </row>
    <row r="18" spans="2:18" ht="6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  <c r="M18" s="62"/>
      <c r="N18" s="63"/>
      <c r="O18" s="63"/>
      <c r="P18" s="63"/>
      <c r="Q18" s="64"/>
    </row>
    <row r="19" spans="2:18" ht="15.75" customHeight="1" x14ac:dyDescent="0.2">
      <c r="B19" s="5"/>
      <c r="C19" s="11" t="s">
        <v>6</v>
      </c>
      <c r="D19" s="5"/>
      <c r="E19" s="53">
        <f>C11-E11</f>
        <v>47430</v>
      </c>
      <c r="F19" s="5"/>
      <c r="G19" s="70" t="s">
        <v>20</v>
      </c>
      <c r="H19" s="71"/>
      <c r="I19" s="71"/>
      <c r="J19" s="72"/>
      <c r="K19" s="5"/>
      <c r="M19" s="62"/>
      <c r="N19" s="63"/>
      <c r="O19" s="63"/>
      <c r="P19" s="63"/>
      <c r="Q19" s="64"/>
    </row>
    <row r="20" spans="2:18" ht="10.5" customHeight="1" x14ac:dyDescent="0.2">
      <c r="B20" s="5"/>
      <c r="C20" s="12" t="s">
        <v>0</v>
      </c>
      <c r="D20" s="5"/>
      <c r="E20" s="69"/>
      <c r="F20" s="5"/>
      <c r="G20" s="73"/>
      <c r="H20" s="74"/>
      <c r="I20" s="74"/>
      <c r="J20" s="75"/>
      <c r="K20" s="5"/>
      <c r="L20" s="6"/>
      <c r="M20" s="62"/>
      <c r="N20" s="63"/>
      <c r="O20" s="63"/>
      <c r="P20" s="63"/>
      <c r="Q20" s="64"/>
    </row>
    <row r="21" spans="2:18" x14ac:dyDescent="0.2">
      <c r="B21" s="5"/>
      <c r="C21" s="5"/>
      <c r="D21" s="5"/>
      <c r="E21" s="5"/>
      <c r="F21" s="5"/>
      <c r="G21" s="41"/>
      <c r="H21" s="23"/>
      <c r="I21" s="23"/>
      <c r="J21" s="42"/>
      <c r="K21" s="5"/>
      <c r="L21" s="4"/>
      <c r="M21" s="62"/>
      <c r="N21" s="63"/>
      <c r="O21" s="63"/>
      <c r="P21" s="63"/>
      <c r="Q21" s="64"/>
    </row>
    <row r="22" spans="2:18" ht="15" customHeight="1" x14ac:dyDescent="0.2">
      <c r="B22" s="5"/>
      <c r="C22" s="11" t="s">
        <v>7</v>
      </c>
      <c r="D22" s="5"/>
      <c r="E22" s="53">
        <f>C11*J11</f>
        <v>8640</v>
      </c>
      <c r="F22" s="5"/>
      <c r="G22" s="43" t="s">
        <v>3</v>
      </c>
      <c r="H22" s="44"/>
      <c r="I22" s="44"/>
      <c r="J22" s="45"/>
      <c r="K22" s="5"/>
      <c r="M22" s="62"/>
      <c r="N22" s="63"/>
      <c r="O22" s="63"/>
      <c r="P22" s="63"/>
      <c r="Q22" s="64"/>
    </row>
    <row r="23" spans="2:18" ht="10.5" customHeight="1" x14ac:dyDescent="0.2">
      <c r="B23" s="5"/>
      <c r="C23" s="12" t="s">
        <v>1</v>
      </c>
      <c r="D23" s="5"/>
      <c r="E23" s="69"/>
      <c r="F23" s="5"/>
      <c r="G23" s="46">
        <f>E25</f>
        <v>38790</v>
      </c>
      <c r="H23" s="47" t="s">
        <v>5</v>
      </c>
      <c r="I23" s="44"/>
      <c r="J23" s="45"/>
      <c r="K23" s="5"/>
      <c r="M23" s="62"/>
      <c r="N23" s="63"/>
      <c r="O23" s="63"/>
      <c r="P23" s="63"/>
      <c r="Q23" s="64"/>
    </row>
    <row r="24" spans="2:18" ht="15.75" thickBot="1" x14ac:dyDescent="0.25">
      <c r="B24" s="5"/>
      <c r="C24" s="5"/>
      <c r="D24" s="5"/>
      <c r="E24" s="5"/>
      <c r="F24" s="5"/>
      <c r="G24" s="41"/>
      <c r="H24" s="23"/>
      <c r="I24" s="23"/>
      <c r="J24" s="42"/>
      <c r="K24" s="5"/>
      <c r="M24" s="65"/>
      <c r="N24" s="66"/>
      <c r="O24" s="66"/>
      <c r="P24" s="66"/>
      <c r="Q24" s="67"/>
    </row>
    <row r="25" spans="2:18" x14ac:dyDescent="0.2">
      <c r="B25" s="5"/>
      <c r="C25" s="22" t="s">
        <v>8</v>
      </c>
      <c r="D25" s="5"/>
      <c r="E25" s="53">
        <f>E19-E22</f>
        <v>38790</v>
      </c>
      <c r="F25" s="5"/>
      <c r="G25" s="43" t="s">
        <v>4</v>
      </c>
      <c r="H25" s="44"/>
      <c r="I25" s="44"/>
      <c r="J25" s="45"/>
      <c r="K25" s="5"/>
    </row>
    <row r="26" spans="2:18" ht="10.5" customHeight="1" x14ac:dyDescent="0.2">
      <c r="B26" s="5"/>
      <c r="C26" s="12" t="s">
        <v>2</v>
      </c>
      <c r="D26" s="5"/>
      <c r="E26" s="54"/>
      <c r="F26" s="5"/>
      <c r="G26" s="48">
        <f>E22</f>
        <v>8640</v>
      </c>
      <c r="H26" s="49"/>
      <c r="I26" s="49"/>
      <c r="J26" s="50"/>
      <c r="K26" s="5"/>
    </row>
    <row r="27" spans="2:18" x14ac:dyDescent="0.2">
      <c r="B27" s="5"/>
      <c r="C27" s="5"/>
      <c r="D27" s="5"/>
      <c r="E27" s="5"/>
      <c r="F27" s="5"/>
      <c r="G27" s="5"/>
      <c r="H27" s="5"/>
      <c r="I27" s="5"/>
      <c r="J27" s="5"/>
      <c r="K27" s="5"/>
      <c r="R27" s="4"/>
    </row>
    <row r="28" spans="2:18" ht="25.5" customHeight="1" x14ac:dyDescent="0.2">
      <c r="B28" s="5"/>
      <c r="C28" s="55" t="s">
        <v>9</v>
      </c>
      <c r="D28" s="56"/>
      <c r="E28" s="40">
        <f>C14+E25</f>
        <v>38790</v>
      </c>
      <c r="F28" s="5"/>
      <c r="G28" s="57" t="str">
        <f>IF(E28&gt;J13,"ESTÁ OBRIGADO A DECLARAR O IMPOSTO DE RENDA.","NÃO ESTÁ OBRIGADO A DECLARAR O IMPOSTO DE RENDA.")</f>
        <v>ESTÁ OBRIGADO A DECLARAR O IMPOSTO DE RENDA.</v>
      </c>
      <c r="H28" s="57"/>
      <c r="I28" s="57"/>
      <c r="J28" s="57"/>
      <c r="K28" s="5"/>
      <c r="M28" s="4"/>
      <c r="N28" s="4"/>
      <c r="O28" s="4"/>
      <c r="P28" s="4"/>
      <c r="Q28" s="4"/>
      <c r="R28" s="4"/>
    </row>
    <row r="29" spans="2:18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M29" s="4"/>
      <c r="N29" s="4"/>
      <c r="O29" s="4"/>
      <c r="P29" s="4"/>
      <c r="Q29" s="4"/>
      <c r="R29" s="4"/>
    </row>
    <row r="30" spans="2:18" ht="8.25" customHeight="1" x14ac:dyDescent="0.2"/>
    <row r="32" spans="2:18" x14ac:dyDescent="0.2">
      <c r="B32" s="58" t="s">
        <v>26</v>
      </c>
      <c r="C32" s="58"/>
      <c r="D32" s="58"/>
      <c r="E32" s="58"/>
      <c r="F32" s="58"/>
      <c r="G32" s="58"/>
      <c r="H32" s="58"/>
      <c r="I32" s="58"/>
      <c r="J32" s="58"/>
      <c r="K32" s="58"/>
    </row>
    <row r="33" spans="2:11" x14ac:dyDescent="0.2">
      <c r="B33" s="58" t="s">
        <v>27</v>
      </c>
      <c r="C33" s="58"/>
      <c r="D33" s="58"/>
      <c r="E33" s="58"/>
      <c r="F33" s="58"/>
      <c r="G33" s="58"/>
      <c r="H33" s="58"/>
      <c r="I33" s="58"/>
      <c r="J33" s="58"/>
      <c r="K33" s="58"/>
    </row>
    <row r="37" spans="2:11" x14ac:dyDescent="0.2">
      <c r="J37" s="1"/>
    </row>
  </sheetData>
  <sheetProtection selectLockedCells="1"/>
  <mergeCells count="22">
    <mergeCell ref="B8:K8"/>
    <mergeCell ref="M8:Q11"/>
    <mergeCell ref="G10:J10"/>
    <mergeCell ref="G11:I11"/>
    <mergeCell ref="E2:K5"/>
    <mergeCell ref="M3:Q3"/>
    <mergeCell ref="M4:Q4"/>
    <mergeCell ref="M5:Q5"/>
    <mergeCell ref="B6:K6"/>
    <mergeCell ref="E13:E14"/>
    <mergeCell ref="H13:I13"/>
    <mergeCell ref="G14:J14"/>
    <mergeCell ref="M16:Q24"/>
    <mergeCell ref="B17:K17"/>
    <mergeCell ref="E19:E20"/>
    <mergeCell ref="G19:J20"/>
    <mergeCell ref="E22:E23"/>
    <mergeCell ref="E25:E26"/>
    <mergeCell ref="C28:D28"/>
    <mergeCell ref="G28:J28"/>
    <mergeCell ref="B32:K32"/>
    <mergeCell ref="B33:K33"/>
  </mergeCells>
  <conditionalFormatting sqref="G28">
    <cfRule type="cellIs" dxfId="1" priority="2" operator="equal">
      <formula>"ESTÁ OBRIGADO A DECLARAR O IMPOSTO DE RENDA."</formula>
    </cfRule>
  </conditionalFormatting>
  <conditionalFormatting sqref="G28:J28">
    <cfRule type="cellIs" dxfId="0" priority="1" operator="equal">
      <formula>"NÃO ESTÁ OBRIGADO A DECLARAR O IMPOSTO DE RENDA."</formula>
    </cfRule>
  </conditionalFormatting>
  <dataValidations count="2">
    <dataValidation type="list" allowBlank="1" showInputMessage="1" showErrorMessage="1" error="Selecione uma das atividades." sqref="G11" xr:uid="{00000000-0002-0000-0300-000000000000}">
      <formula1>$N$12:$N$14</formula1>
    </dataValidation>
    <dataValidation type="whole" errorStyle="warning" operator="lessThanOrEqual" allowBlank="1" showInputMessage="1" showErrorMessage="1" errorTitle="Ultrapassa Limite Faturamento!" error="O limite de faturamento para manter-se enquadrado como MEI é de no máximo R$ 60.000,00 no ano. " sqref="C11" xr:uid="{00000000-0002-0000-0300-000001000000}">
      <formula1>60000</formula1>
    </dataValidation>
  </dataValidations>
  <hyperlinks>
    <hyperlink ref="B33" r:id="rId1" xr:uid="{00000000-0004-0000-0300-000000000000}"/>
    <hyperlink ref="B32" r:id="rId2" display="facebook.com.br/adctecassessoria" xr:uid="{00000000-0004-0000-0300-000001000000}"/>
    <hyperlink ref="M4:Q4" r:id="rId3" display="visite o nosso site: www.adctec.com.br " xr:uid="{00000000-0004-0000-0300-000002000000}"/>
    <hyperlink ref="M5:Q5" r:id="rId4" display="Curta no facebook: facebook.com.br/contegrs" xr:uid="{00000000-0004-0000-0300-000003000000}"/>
    <hyperlink ref="B32:K32" r:id="rId5" display="facebook.com.br/contengrs" xr:uid="{00000000-0004-0000-0300-000004000000}"/>
    <hyperlink ref="M4" r:id="rId6" xr:uid="{00000000-0004-0000-0300-000005000000}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Exemplo 1</vt:lpstr>
      <vt:lpstr>Exemplo 2</vt:lpstr>
      <vt:lpstr>Exemplo 3</vt:lpstr>
      <vt:lpstr>Exemplo 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Eron</cp:lastModifiedBy>
  <cp:lastPrinted>2016-01-28T13:57:45Z</cp:lastPrinted>
  <dcterms:created xsi:type="dcterms:W3CDTF">2016-01-28T11:43:53Z</dcterms:created>
  <dcterms:modified xsi:type="dcterms:W3CDTF">2017-03-09T13:50:01Z</dcterms:modified>
</cp:coreProperties>
</file>