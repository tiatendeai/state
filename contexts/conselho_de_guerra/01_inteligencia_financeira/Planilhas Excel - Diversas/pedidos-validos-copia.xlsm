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360" yWindow="90" windowWidth="14355" windowHeight="3420" activeTab="4"/>
  </bookViews>
  <sheets>
    <sheet name="Cadastro de Produto" sheetId="1" r:id="rId1"/>
    <sheet name="Cadastro de Clientes" sheetId="2" r:id="rId2"/>
    <sheet name="Tipos de Pagamentos" sheetId="4" r:id="rId3"/>
    <sheet name="Pedido" sheetId="3" r:id="rId4"/>
    <sheet name="Histórico de Pedidos" sheetId="5" r:id="rId5"/>
  </sheets>
  <definedNames>
    <definedName name="_xlnm.Print_Area" localSheetId="3">Pedido!$B$1:$N$14</definedName>
    <definedName name="Codigo">L6C4</definedName>
    <definedName name="Código">L6C4</definedName>
    <definedName name="_xlnm.Print_Titles" localSheetId="3">Pedido!$A:$O,Pedido!$1:$10</definedName>
  </definedNames>
  <calcPr calcId="144525"/>
</workbook>
</file>

<file path=xl/calcChain.xml><?xml version="1.0" encoding="utf-8"?>
<calcChain xmlns="http://schemas.openxmlformats.org/spreadsheetml/2006/main">
  <c r="Q11" i="3" l="1"/>
  <c r="P11" i="3"/>
  <c r="R11" i="3" s="1"/>
  <c r="T11" i="3" s="1"/>
  <c r="G11" i="3"/>
  <c r="F11" i="3"/>
  <c r="C11" i="3"/>
  <c r="G33" i="1"/>
  <c r="G34" i="1"/>
  <c r="G35" i="1"/>
  <c r="G36" i="1"/>
  <c r="G32" i="1"/>
  <c r="H11" i="3" l="1"/>
  <c r="H5" i="3"/>
  <c r="I6" i="3"/>
  <c r="G6" i="3"/>
  <c r="G7" i="3"/>
  <c r="C7" i="3"/>
  <c r="C6" i="3"/>
  <c r="C5" i="3"/>
  <c r="C4" i="3"/>
  <c r="H4" i="3"/>
  <c r="G3" i="3"/>
  <c r="E3" i="3"/>
  <c r="B2" i="5" l="1"/>
  <c r="J3" i="3"/>
  <c r="C2" i="5" s="1"/>
  <c r="C22" i="4"/>
  <c r="B22" i="4"/>
  <c r="A22" i="4"/>
  <c r="B32" i="2"/>
  <c r="M32" i="2"/>
  <c r="L32" i="2"/>
  <c r="J32" i="2"/>
  <c r="K18" i="2"/>
  <c r="K32" i="2" s="1"/>
  <c r="I32" i="2"/>
  <c r="H32" i="2"/>
  <c r="G32" i="2"/>
  <c r="F32" i="2"/>
  <c r="E32" i="2"/>
  <c r="D32" i="2"/>
  <c r="C32" i="2"/>
  <c r="A32" i="2"/>
  <c r="E31" i="1"/>
  <c r="D31" i="1"/>
  <c r="C31" i="1"/>
  <c r="B31" i="1"/>
  <c r="A31" i="1"/>
  <c r="M6" i="3" l="1"/>
  <c r="M5" i="3"/>
  <c r="G2" i="5" s="1"/>
  <c r="J11" i="3" l="1"/>
  <c r="K11" i="3" s="1"/>
  <c r="M11" i="3" s="1"/>
  <c r="J14" i="3"/>
  <c r="H14" i="3"/>
  <c r="D2" i="5" s="1"/>
  <c r="K14" i="3" l="1"/>
  <c r="E2" i="5" s="1"/>
  <c r="M14" i="3"/>
  <c r="F2" i="5" s="1"/>
  <c r="A2" i="5"/>
</calcChain>
</file>

<file path=xl/sharedStrings.xml><?xml version="1.0" encoding="utf-8"?>
<sst xmlns="http://schemas.openxmlformats.org/spreadsheetml/2006/main" count="102" uniqueCount="83">
  <si>
    <t>Cadastro de Produtos</t>
  </si>
  <si>
    <t>Código</t>
  </si>
  <si>
    <t>Descrição</t>
  </si>
  <si>
    <t>Und Med</t>
  </si>
  <si>
    <t>Cadastro de Clientes</t>
  </si>
  <si>
    <t>Nome</t>
  </si>
  <si>
    <t>CNPJ</t>
  </si>
  <si>
    <t>CPF</t>
  </si>
  <si>
    <t>Endereço</t>
  </si>
  <si>
    <t>Cidade</t>
  </si>
  <si>
    <t>Estado</t>
  </si>
  <si>
    <t>CEP</t>
  </si>
  <si>
    <t>Data do Cadastro</t>
  </si>
  <si>
    <t>Pedido</t>
  </si>
  <si>
    <t>Cliente:</t>
  </si>
  <si>
    <t>Fantasia</t>
  </si>
  <si>
    <t>Bairro</t>
  </si>
  <si>
    <t>Nome:</t>
  </si>
  <si>
    <t>Bairro:</t>
  </si>
  <si>
    <t>Fantasia:</t>
  </si>
  <si>
    <t>Endereço:</t>
  </si>
  <si>
    <t>Cidade:</t>
  </si>
  <si>
    <t>CEP:</t>
  </si>
  <si>
    <t>Fone Fixo</t>
  </si>
  <si>
    <t>Celular</t>
  </si>
  <si>
    <t>Fone Com</t>
  </si>
  <si>
    <t>Dados do Pedido</t>
  </si>
  <si>
    <t>Descrição Resumida</t>
  </si>
  <si>
    <t>QTD</t>
  </si>
  <si>
    <t xml:space="preserve">UN </t>
  </si>
  <si>
    <t>Valor Unitário</t>
  </si>
  <si>
    <t>Valor Total</t>
  </si>
  <si>
    <t>Desconto</t>
  </si>
  <si>
    <t>Condição</t>
  </si>
  <si>
    <t>Pagamento</t>
  </si>
  <si>
    <t>Descrição:</t>
  </si>
  <si>
    <t>Valor Final</t>
  </si>
  <si>
    <t>Número:</t>
  </si>
  <si>
    <t>Totais do Pedido</t>
  </si>
  <si>
    <t xml:space="preserve">Código: </t>
  </si>
  <si>
    <t>Unidade Inventariada</t>
  </si>
  <si>
    <t xml:space="preserve">CPF: </t>
  </si>
  <si>
    <t xml:space="preserve">CNPJ: </t>
  </si>
  <si>
    <t xml:space="preserve">Nome Fantasia: </t>
  </si>
  <si>
    <t xml:space="preserve">Razão Social: </t>
  </si>
  <si>
    <t xml:space="preserve">Enderço: </t>
  </si>
  <si>
    <t xml:space="preserve">UF: </t>
  </si>
  <si>
    <t xml:space="preserve">CEP: </t>
  </si>
  <si>
    <t xml:space="preserve">Fone Fixo: </t>
  </si>
  <si>
    <t xml:space="preserve">Fone Celular: </t>
  </si>
  <si>
    <t xml:space="preserve">Data de Cadastro: </t>
  </si>
  <si>
    <t/>
  </si>
  <si>
    <t>Cadastro de Formas de Pagamento</t>
  </si>
  <si>
    <t xml:space="preserve">Descrição: </t>
  </si>
  <si>
    <t xml:space="preserve">Desconto: </t>
  </si>
  <si>
    <t>Cliente</t>
  </si>
  <si>
    <t>Data</t>
  </si>
  <si>
    <t>Data Pedido</t>
  </si>
  <si>
    <t>Prazo</t>
  </si>
  <si>
    <t>% Desc</t>
  </si>
  <si>
    <t>R$ Desc</t>
  </si>
  <si>
    <t>UF</t>
  </si>
  <si>
    <t>A vista</t>
  </si>
  <si>
    <t>Teste</t>
  </si>
  <si>
    <t>Teste 01</t>
  </si>
  <si>
    <t>Teste 02</t>
  </si>
  <si>
    <t>Teste 03</t>
  </si>
  <si>
    <t>Teste 04</t>
  </si>
  <si>
    <t>Teste 05</t>
  </si>
  <si>
    <t>PC</t>
  </si>
  <si>
    <t>PCT</t>
  </si>
  <si>
    <t>CX</t>
  </si>
  <si>
    <t>M²</t>
  </si>
  <si>
    <t>M</t>
  </si>
  <si>
    <t>Prod</t>
  </si>
  <si>
    <t>Custo Unitário</t>
  </si>
  <si>
    <t>Custo Unit</t>
  </si>
  <si>
    <t>Margem %</t>
  </si>
  <si>
    <t>Lucro R$</t>
  </si>
  <si>
    <t>Despesas</t>
  </si>
  <si>
    <t>Lucro Líquido</t>
  </si>
  <si>
    <t>Margem de Lucro</t>
  </si>
  <si>
    <t>Preço de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</si>
</sst>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R$&quot;\ * #,##0.00_-;\-&quot;R$&quot;\ * #,##0.00_-;_-&quot;R$&quot;\ * &quot;-&quot;??_-;_-@_-"/>
    <numFmt numFmtId="164" formatCode="00&quot;.&quot;000&quot;.&quot;000&quot;/&quot;0000&quot;-&quot;00"/>
    <numFmt numFmtId="165" formatCode="000&quot;.&quot;000&quot;.&quot;000&quot;-&quot;00"/>
    <numFmt numFmtId="166" formatCode="00&quot;.&quot;000&quot;-&quot;000"/>
    <numFmt numFmtId="167" formatCode="00&quot;/&quot;00&quot;/&quot;0000"/>
    <numFmt numFmtId="168" formatCode="&quot;(&quot;00&quot;)&quot;0000&quot;-&quot;0000"/>
    <numFmt numFmtId="169" formatCode="&quot;(&quot;00&quot;)&quot;0&quot;-&quot;0000&quot;-&quot;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180">
        <stop position="0">
          <color theme="3" tint="0.80001220740379042"/>
        </stop>
        <stop position="1">
          <color theme="4"/>
        </stop>
      </gradient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4" borderId="15" applyBorder="0">
      <alignment horizontal="left"/>
    </xf>
  </cellStyleXfs>
  <cellXfs count="156">
    <xf numFmtId="0" fontId="0" fillId="0" borderId="0" xfId="0"/>
    <xf numFmtId="0" fontId="0" fillId="0" borderId="0" xfId="0" applyNumberFormat="1"/>
    <xf numFmtId="44" fontId="0" fillId="0" borderId="0" xfId="1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9" fontId="0" fillId="0" borderId="0" xfId="2" applyFont="1"/>
    <xf numFmtId="0" fontId="0" fillId="2" borderId="0" xfId="0" applyFill="1"/>
    <xf numFmtId="0" fontId="0" fillId="3" borderId="0" xfId="0" applyFill="1" applyBorder="1"/>
    <xf numFmtId="0" fontId="0" fillId="3" borderId="19" xfId="0" applyFill="1" applyBorder="1"/>
    <xf numFmtId="0" fontId="0" fillId="3" borderId="0" xfId="0" applyFill="1" applyBorder="1" applyAlignment="1">
      <alignment horizontal="left"/>
    </xf>
    <xf numFmtId="0" fontId="0" fillId="3" borderId="9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19" xfId="0" applyFill="1" applyBorder="1" applyAlignment="1">
      <alignment horizontal="left"/>
    </xf>
    <xf numFmtId="0" fontId="0" fillId="3" borderId="9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4" xfId="0" applyFill="1" applyBorder="1"/>
    <xf numFmtId="0" fontId="2" fillId="3" borderId="9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0" fillId="3" borderId="9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0" xfId="0" applyFill="1"/>
    <xf numFmtId="0" fontId="0" fillId="3" borderId="0" xfId="0" applyFill="1" applyBorder="1" applyAlignment="1"/>
    <xf numFmtId="0" fontId="0" fillId="5" borderId="21" xfId="0" applyFill="1" applyBorder="1" applyAlignment="1">
      <alignment horizontal="left"/>
    </xf>
    <xf numFmtId="14" fontId="0" fillId="5" borderId="21" xfId="0" applyNumberFormat="1" applyFill="1" applyBorder="1" applyAlignment="1">
      <alignment horizontal="left"/>
    </xf>
    <xf numFmtId="0" fontId="0" fillId="3" borderId="0" xfId="0" quotePrefix="1" applyFill="1" applyBorder="1" applyAlignment="1">
      <alignment horizontal="right"/>
    </xf>
    <xf numFmtId="166" fontId="0" fillId="5" borderId="21" xfId="0" applyNumberFormat="1" applyFill="1" applyBorder="1" applyAlignment="1">
      <alignment horizontal="left"/>
    </xf>
    <xf numFmtId="0" fontId="0" fillId="5" borderId="0" xfId="0" applyFill="1"/>
    <xf numFmtId="9" fontId="0" fillId="2" borderId="0" xfId="2" applyFont="1" applyFill="1"/>
    <xf numFmtId="9" fontId="0" fillId="3" borderId="0" xfId="2" applyFont="1" applyFill="1"/>
    <xf numFmtId="0" fontId="2" fillId="3" borderId="0" xfId="0" applyFont="1" applyFill="1" applyAlignment="1">
      <alignment horizontal="right"/>
    </xf>
    <xf numFmtId="9" fontId="2" fillId="3" borderId="0" xfId="2" applyFont="1" applyFill="1" applyAlignment="1">
      <alignment horizontal="right"/>
    </xf>
    <xf numFmtId="14" fontId="0" fillId="0" borderId="0" xfId="0" applyNumberFormat="1"/>
    <xf numFmtId="44" fontId="0" fillId="0" borderId="0" xfId="0" applyNumberFormat="1"/>
    <xf numFmtId="0" fontId="0" fillId="5" borderId="20" xfId="0" applyFill="1" applyBorder="1" applyAlignment="1"/>
    <xf numFmtId="0" fontId="0" fillId="5" borderId="21" xfId="0" applyFont="1" applyFill="1" applyBorder="1" applyAlignment="1"/>
    <xf numFmtId="0" fontId="0" fillId="3" borderId="0" xfId="0" applyFont="1" applyFill="1" applyBorder="1" applyAlignment="1"/>
    <xf numFmtId="0" fontId="8" fillId="0" borderId="0" xfId="0" applyFont="1" applyBorder="1" applyAlignment="1" applyProtection="1">
      <protection hidden="1"/>
    </xf>
    <xf numFmtId="0" fontId="8" fillId="0" borderId="17" xfId="0" applyFont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4" xfId="0" applyFont="1" applyBorder="1" applyAlignment="1" applyProtection="1">
      <alignment horizontal="right"/>
      <protection hidden="1"/>
    </xf>
    <xf numFmtId="0" fontId="3" fillId="0" borderId="6" xfId="0" applyFont="1" applyBorder="1" applyAlignment="1" applyProtection="1">
      <alignment horizontal="right"/>
      <protection hidden="1"/>
    </xf>
    <xf numFmtId="164" fontId="4" fillId="0" borderId="5" xfId="0" applyNumberFormat="1" applyFont="1" applyBorder="1" applyAlignment="1" applyProtection="1">
      <alignment horizontal="left"/>
      <protection hidden="1"/>
    </xf>
    <xf numFmtId="165" fontId="4" fillId="0" borderId="5" xfId="0" applyNumberFormat="1" applyFont="1" applyBorder="1" applyAlignment="1" applyProtection="1">
      <protection hidden="1"/>
    </xf>
    <xf numFmtId="14" fontId="4" fillId="0" borderId="8" xfId="0" applyNumberFormat="1" applyFont="1" applyBorder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right"/>
      <protection hidden="1"/>
    </xf>
    <xf numFmtId="165" fontId="3" fillId="0" borderId="0" xfId="0" applyNumberFormat="1" applyFont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right"/>
      <protection hidden="1"/>
    </xf>
    <xf numFmtId="0" fontId="4" fillId="0" borderId="2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left"/>
      <protection hidden="1"/>
    </xf>
    <xf numFmtId="9" fontId="0" fillId="0" borderId="0" xfId="2" applyFont="1" applyBorder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right"/>
      <protection hidden="1"/>
    </xf>
    <xf numFmtId="0" fontId="3" fillId="0" borderId="12" xfId="0" applyFont="1" applyBorder="1" applyAlignment="1" applyProtection="1">
      <alignment horizontal="right"/>
      <protection hidden="1"/>
    </xf>
    <xf numFmtId="0" fontId="4" fillId="0" borderId="11" xfId="0" applyFont="1" applyBorder="1" applyProtection="1">
      <protection hidden="1"/>
    </xf>
    <xf numFmtId="0" fontId="4" fillId="0" borderId="12" xfId="0" applyFont="1" applyBorder="1" applyProtection="1">
      <protection hidden="1"/>
    </xf>
    <xf numFmtId="0" fontId="4" fillId="0" borderId="14" xfId="0" applyFont="1" applyBorder="1" applyProtection="1">
      <protection hidden="1"/>
    </xf>
    <xf numFmtId="0" fontId="0" fillId="0" borderId="0" xfId="0" applyBorder="1" applyProtection="1"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3" xfId="0" applyFont="1" applyBorder="1" applyAlignment="1" applyProtection="1">
      <protection hidden="1"/>
    </xf>
    <xf numFmtId="0" fontId="2" fillId="0" borderId="3" xfId="0" applyFont="1" applyBorder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0" fillId="0" borderId="0" xfId="0" applyAlignment="1" applyProtection="1">
      <protection hidden="1"/>
    </xf>
    <xf numFmtId="44" fontId="0" fillId="0" borderId="0" xfId="1" applyFont="1" applyProtection="1">
      <protection hidden="1"/>
    </xf>
    <xf numFmtId="9" fontId="0" fillId="0" borderId="0" xfId="0" applyNumberFormat="1" applyProtection="1">
      <protection hidden="1"/>
    </xf>
    <xf numFmtId="44" fontId="0" fillId="0" borderId="0" xfId="1" applyFont="1" applyAlignment="1" applyProtection="1">
      <alignment horizontal="center"/>
      <protection hidden="1"/>
    </xf>
    <xf numFmtId="9" fontId="2" fillId="0" borderId="12" xfId="0" applyNumberFormat="1" applyFont="1" applyBorder="1" applyProtection="1">
      <protection hidden="1"/>
    </xf>
    <xf numFmtId="0" fontId="4" fillId="0" borderId="5" xfId="0" applyFont="1" applyBorder="1" applyAlignment="1" applyProtection="1">
      <alignment horizontal="left"/>
      <protection locked="0" hidden="1"/>
    </xf>
    <xf numFmtId="0" fontId="2" fillId="0" borderId="0" xfId="0" applyFont="1" applyProtection="1">
      <protection locked="0" hidden="1"/>
    </xf>
    <xf numFmtId="44" fontId="0" fillId="0" borderId="0" xfId="1" applyFont="1" applyProtection="1">
      <protection locked="0" hidden="1"/>
    </xf>
    <xf numFmtId="0" fontId="2" fillId="0" borderId="3" xfId="0" applyFont="1" applyFill="1" applyBorder="1" applyAlignment="1" applyProtection="1">
      <alignment horizontal="left"/>
      <protection hidden="1"/>
    </xf>
    <xf numFmtId="0" fontId="2" fillId="3" borderId="9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5" fillId="5" borderId="20" xfId="0" applyFont="1" applyFill="1" applyBorder="1" applyAlignment="1">
      <alignment horizontal="left"/>
    </xf>
    <xf numFmtId="0" fontId="5" fillId="5" borderId="21" xfId="0" applyFont="1" applyFill="1" applyBorder="1" applyAlignment="1">
      <alignment horizontal="left"/>
    </xf>
    <xf numFmtId="44" fontId="5" fillId="5" borderId="20" xfId="1" applyFont="1" applyFill="1" applyBorder="1" applyAlignment="1">
      <alignment horizontal="left"/>
    </xf>
    <xf numFmtId="44" fontId="5" fillId="5" borderId="21" xfId="1" applyFont="1" applyFill="1" applyBorder="1" applyAlignment="1">
      <alignment horizontal="left"/>
    </xf>
    <xf numFmtId="0" fontId="0" fillId="3" borderId="9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2" fillId="3" borderId="9" xfId="0" applyFont="1" applyFill="1" applyBorder="1" applyAlignment="1">
      <alignment horizontal="right" wrapText="1"/>
    </xf>
    <xf numFmtId="0" fontId="2" fillId="3" borderId="0" xfId="0" applyFont="1" applyFill="1" applyBorder="1" applyAlignment="1">
      <alignment horizontal="right" wrapText="1"/>
    </xf>
    <xf numFmtId="0" fontId="7" fillId="4" borderId="15" xfId="3" applyFont="1" applyBorder="1">
      <alignment horizontal="left"/>
    </xf>
    <xf numFmtId="0" fontId="7" fillId="4" borderId="16" xfId="3" applyFont="1" applyBorder="1">
      <alignment horizontal="left"/>
    </xf>
    <xf numFmtId="0" fontId="7" fillId="4" borderId="17" xfId="3" applyFont="1" applyBorder="1">
      <alignment horizontal="left"/>
    </xf>
    <xf numFmtId="164" fontId="0" fillId="5" borderId="20" xfId="0" applyNumberFormat="1" applyFill="1" applyBorder="1" applyAlignment="1">
      <alignment horizontal="left"/>
    </xf>
    <xf numFmtId="164" fontId="0" fillId="5" borderId="21" xfId="0" applyNumberFormat="1" applyFill="1" applyBorder="1" applyAlignment="1">
      <alignment horizontal="left"/>
    </xf>
    <xf numFmtId="165" fontId="0" fillId="5" borderId="20" xfId="0" applyNumberFormat="1" applyFill="1" applyBorder="1" applyAlignment="1">
      <alignment horizontal="left"/>
    </xf>
    <xf numFmtId="165" fontId="0" fillId="5" borderId="21" xfId="0" applyNumberFormat="1" applyFill="1" applyBorder="1" applyAlignment="1">
      <alignment horizontal="left"/>
    </xf>
    <xf numFmtId="0" fontId="0" fillId="5" borderId="20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168" fontId="0" fillId="5" borderId="20" xfId="0" applyNumberFormat="1" applyFill="1" applyBorder="1" applyAlignment="1">
      <alignment horizontal="left"/>
    </xf>
    <xf numFmtId="168" fontId="0" fillId="5" borderId="21" xfId="0" applyNumberFormat="1" applyFill="1" applyBorder="1" applyAlignment="1">
      <alignment horizontal="left"/>
    </xf>
    <xf numFmtId="169" fontId="0" fillId="5" borderId="20" xfId="0" applyNumberFormat="1" applyFill="1" applyBorder="1" applyAlignment="1">
      <alignment horizontal="left"/>
    </xf>
    <xf numFmtId="169" fontId="0" fillId="5" borderId="21" xfId="0" applyNumberFormat="1" applyFill="1" applyBorder="1" applyAlignment="1">
      <alignment horizontal="left"/>
    </xf>
    <xf numFmtId="0" fontId="2" fillId="3" borderId="0" xfId="0" applyFont="1" applyFill="1" applyAlignment="1">
      <alignment horizontal="right"/>
    </xf>
    <xf numFmtId="0" fontId="7" fillId="4" borderId="0" xfId="3" applyFont="1" applyBorder="1">
      <alignment horizontal="lef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9" fontId="0" fillId="5" borderId="20" xfId="2" applyFont="1" applyFill="1" applyBorder="1" applyAlignment="1">
      <alignment horizontal="center"/>
    </xf>
    <xf numFmtId="9" fontId="0" fillId="5" borderId="21" xfId="2" applyFont="1" applyFill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44" fontId="0" fillId="0" borderId="0" xfId="1" applyFont="1" applyAlignment="1" applyProtection="1">
      <alignment horizontal="center"/>
      <protection hidden="1"/>
    </xf>
    <xf numFmtId="44" fontId="0" fillId="0" borderId="0" xfId="1" applyFont="1" applyAlignment="1" applyProtection="1">
      <alignment horizontal="left"/>
      <protection hidden="1"/>
    </xf>
    <xf numFmtId="44" fontId="2" fillId="0" borderId="12" xfId="1" applyFont="1" applyBorder="1" applyAlignment="1" applyProtection="1">
      <alignment horizontal="center"/>
      <protection hidden="1"/>
    </xf>
    <xf numFmtId="44" fontId="2" fillId="0" borderId="12" xfId="1" applyFont="1" applyBorder="1" applyAlignment="1" applyProtection="1">
      <alignment horizontal="left"/>
      <protection hidden="1"/>
    </xf>
    <xf numFmtId="44" fontId="2" fillId="0" borderId="14" xfId="1" applyFont="1" applyBorder="1" applyAlignment="1" applyProtection="1">
      <alignment horizontal="center"/>
      <protection hidden="1"/>
    </xf>
    <xf numFmtId="168" fontId="4" fillId="0" borderId="12" xfId="0" applyNumberFormat="1" applyFont="1" applyBorder="1" applyAlignment="1" applyProtection="1">
      <alignment horizontal="left"/>
      <protection hidden="1"/>
    </xf>
    <xf numFmtId="168" fontId="4" fillId="0" borderId="13" xfId="0" applyNumberFormat="1" applyFont="1" applyBorder="1" applyAlignment="1" applyProtection="1">
      <alignment horizontal="left"/>
      <protection hidden="1"/>
    </xf>
    <xf numFmtId="169" fontId="4" fillId="0" borderId="12" xfId="0" applyNumberFormat="1" applyFont="1" applyBorder="1" applyAlignment="1" applyProtection="1">
      <alignment horizontal="left"/>
      <protection hidden="1"/>
    </xf>
    <xf numFmtId="169" fontId="4" fillId="0" borderId="14" xfId="0" applyNumberFormat="1" applyFont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left"/>
      <protection hidden="1"/>
    </xf>
    <xf numFmtId="0" fontId="2" fillId="0" borderId="6" xfId="0" applyFont="1" applyBorder="1" applyAlignment="1" applyProtection="1">
      <alignment horizontal="left"/>
      <protection hidden="1"/>
    </xf>
    <xf numFmtId="0" fontId="2" fillId="0" borderId="18" xfId="0" applyFont="1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44" fontId="0" fillId="0" borderId="12" xfId="1" applyFont="1" applyBorder="1" applyAlignment="1" applyProtection="1">
      <alignment horizontal="center"/>
      <protection hidden="1"/>
    </xf>
    <xf numFmtId="44" fontId="0" fillId="0" borderId="12" xfId="1" applyFont="1" applyBorder="1" applyAlignment="1" applyProtection="1">
      <alignment horizontal="left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16" xfId="0" applyFont="1" applyBorder="1" applyAlignment="1" applyProtection="1">
      <alignment horizontal="center"/>
      <protection hidden="1"/>
    </xf>
    <xf numFmtId="0" fontId="8" fillId="0" borderId="17" xfId="0" applyFont="1" applyBorder="1" applyAlignment="1" applyProtection="1">
      <alignment horizontal="center"/>
      <protection hidden="1"/>
    </xf>
    <xf numFmtId="165" fontId="3" fillId="0" borderId="7" xfId="0" applyNumberFormat="1" applyFont="1" applyBorder="1" applyAlignment="1" applyProtection="1">
      <alignment horizontal="right"/>
      <protection hidden="1"/>
    </xf>
    <xf numFmtId="165" fontId="3" fillId="0" borderId="6" xfId="0" applyNumberFormat="1" applyFont="1" applyBorder="1" applyAlignment="1" applyProtection="1">
      <alignment horizontal="right"/>
      <protection hidden="1"/>
    </xf>
    <xf numFmtId="0" fontId="8" fillId="0" borderId="15" xfId="0" applyFont="1" applyBorder="1" applyAlignment="1" applyProtection="1">
      <alignment horizontal="left"/>
      <protection hidden="1"/>
    </xf>
    <xf numFmtId="0" fontId="8" fillId="0" borderId="16" xfId="0" applyFont="1" applyBorder="1" applyAlignment="1" applyProtection="1">
      <alignment horizontal="left"/>
      <protection hidden="1"/>
    </xf>
    <xf numFmtId="0" fontId="4" fillId="0" borderId="1" xfId="0" applyFont="1" applyBorder="1" applyAlignment="1" applyProtection="1">
      <alignment horizontal="left"/>
      <protection hidden="1"/>
    </xf>
    <xf numFmtId="0" fontId="4" fillId="0" borderId="2" xfId="0" applyFont="1" applyBorder="1" applyAlignment="1" applyProtection="1">
      <alignment horizontal="left"/>
      <protection hidden="1"/>
    </xf>
    <xf numFmtId="0" fontId="4" fillId="0" borderId="1" xfId="0" applyNumberFormat="1" applyFont="1" applyBorder="1" applyAlignment="1" applyProtection="1">
      <alignment horizontal="left"/>
      <protection hidden="1"/>
    </xf>
    <xf numFmtId="0" fontId="4" fillId="0" borderId="2" xfId="0" applyNumberFormat="1" applyFont="1" applyBorder="1" applyAlignment="1" applyProtection="1">
      <alignment horizontal="left"/>
      <protection hidden="1"/>
    </xf>
    <xf numFmtId="0" fontId="4" fillId="0" borderId="10" xfId="0" applyFont="1" applyBorder="1" applyAlignment="1" applyProtection="1">
      <alignment horizontal="left"/>
      <protection hidden="1"/>
    </xf>
    <xf numFmtId="166" fontId="4" fillId="0" borderId="1" xfId="0" applyNumberFormat="1" applyFont="1" applyBorder="1" applyAlignment="1" applyProtection="1">
      <alignment horizontal="left"/>
      <protection hidden="1"/>
    </xf>
    <xf numFmtId="166" fontId="4" fillId="0" borderId="10" xfId="0" applyNumberFormat="1" applyFont="1" applyBorder="1" applyAlignment="1" applyProtection="1">
      <alignment horizontal="left"/>
      <protection hidden="1"/>
    </xf>
    <xf numFmtId="0" fontId="4" fillId="0" borderId="1" xfId="0" applyFont="1" applyBorder="1" applyAlignment="1" applyProtection="1">
      <alignment horizontal="center"/>
      <protection locked="0" hidden="1"/>
    </xf>
    <xf numFmtId="0" fontId="4" fillId="0" borderId="10" xfId="0" applyFont="1" applyBorder="1" applyAlignment="1" applyProtection="1">
      <alignment horizontal="center"/>
      <protection locked="0" hidden="1"/>
    </xf>
    <xf numFmtId="0" fontId="2" fillId="0" borderId="15" xfId="0" applyFont="1" applyBorder="1" applyAlignment="1" applyProtection="1">
      <alignment horizontal="left"/>
      <protection hidden="1"/>
    </xf>
    <xf numFmtId="0" fontId="2" fillId="0" borderId="17" xfId="0" applyFont="1" applyBorder="1" applyAlignment="1" applyProtection="1">
      <alignment horizontal="left"/>
      <protection hidden="1"/>
    </xf>
    <xf numFmtId="44" fontId="2" fillId="0" borderId="0" xfId="1" applyFont="1" applyAlignment="1" applyProtection="1">
      <alignment horizontal="center"/>
      <protection hidden="1"/>
    </xf>
    <xf numFmtId="0" fontId="2" fillId="0" borderId="15" xfId="0" applyFont="1" applyFill="1" applyBorder="1" applyAlignment="1" applyProtection="1">
      <alignment horizontal="left"/>
      <protection hidden="1"/>
    </xf>
    <xf numFmtId="0" fontId="2" fillId="0" borderId="16" xfId="0" applyFont="1" applyFill="1" applyBorder="1" applyAlignment="1" applyProtection="1">
      <alignment horizontal="left"/>
      <protection hidden="1"/>
    </xf>
    <xf numFmtId="0" fontId="2" fillId="0" borderId="17" xfId="0" applyFont="1" applyFill="1" applyBorder="1" applyAlignment="1" applyProtection="1">
      <alignment horizontal="left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  <xf numFmtId="9" fontId="4" fillId="0" borderId="1" xfId="2" applyFont="1" applyBorder="1" applyAlignment="1" applyProtection="1">
      <alignment horizontal="center"/>
      <protection hidden="1"/>
    </xf>
    <xf numFmtId="9" fontId="4" fillId="0" borderId="10" xfId="2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center"/>
      <protection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18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10" fontId="0" fillId="0" borderId="0" xfId="2" applyNumberFormat="1" applyFont="1"/>
    <xf numFmtId="44" fontId="0" fillId="0" borderId="0" xfId="0" applyNumberFormat="1" applyProtection="1">
      <protection hidden="1"/>
    </xf>
    <xf numFmtId="0" fontId="2" fillId="0" borderId="0" xfId="0" applyFont="1" applyProtection="1">
      <protection hidden="1"/>
    </xf>
  </cellXfs>
  <cellStyles count="4">
    <cellStyle name="Estilo 1" xfId="3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15</xdr:row>
          <xdr:rowOff>123825</xdr:rowOff>
        </xdr:from>
        <xdr:to>
          <xdr:col>4</xdr:col>
          <xdr:colOff>409575</xdr:colOff>
          <xdr:row>17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15</xdr:row>
          <xdr:rowOff>114300</xdr:rowOff>
        </xdr:from>
        <xdr:to>
          <xdr:col>7</xdr:col>
          <xdr:colOff>428625</xdr:colOff>
          <xdr:row>17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Janela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19</xdr:row>
          <xdr:rowOff>180975</xdr:rowOff>
        </xdr:from>
        <xdr:to>
          <xdr:col>5</xdr:col>
          <xdr:colOff>142875</xdr:colOff>
          <xdr:row>22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838200</xdr:colOff>
          <xdr:row>19</xdr:row>
          <xdr:rowOff>171450</xdr:rowOff>
        </xdr:from>
        <xdr:to>
          <xdr:col>8</xdr:col>
          <xdr:colOff>161925</xdr:colOff>
          <xdr:row>22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Janela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819150</xdr:colOff>
          <xdr:row>11</xdr:row>
          <xdr:rowOff>85725</xdr:rowOff>
        </xdr:from>
        <xdr:to>
          <xdr:col>3</xdr:col>
          <xdr:colOff>695325</xdr:colOff>
          <xdr:row>13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11</xdr:row>
          <xdr:rowOff>76200</xdr:rowOff>
        </xdr:from>
        <xdr:to>
          <xdr:col>6</xdr:col>
          <xdr:colOff>714375</xdr:colOff>
          <xdr:row>13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Janela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47625</xdr:colOff>
          <xdr:row>0</xdr:row>
          <xdr:rowOff>0</xdr:rowOff>
        </xdr:from>
        <xdr:to>
          <xdr:col>19</xdr:col>
          <xdr:colOff>657225</xdr:colOff>
          <xdr:row>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Item no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38100</xdr:colOff>
          <xdr:row>3</xdr:row>
          <xdr:rowOff>104775</xdr:rowOff>
        </xdr:from>
        <xdr:to>
          <xdr:col>19</xdr:col>
          <xdr:colOff>647700</xdr:colOff>
          <xdr:row>6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 Pedido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B52"/>
  <sheetViews>
    <sheetView workbookViewId="0">
      <selection activeCell="F32" sqref="F32"/>
    </sheetView>
  </sheetViews>
  <sheetFormatPr defaultRowHeight="15" x14ac:dyDescent="0.25"/>
  <cols>
    <col min="1" max="1" width="7.140625" bestFit="1" customWidth="1"/>
    <col min="2" max="13" width="15.7109375" customWidth="1"/>
  </cols>
  <sheetData>
    <row r="1" spans="1:28" s="10" customFormat="1" x14ac:dyDescent="0.25"/>
    <row r="2" spans="1:28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</row>
    <row r="3" spans="1:28" ht="15.75" thickBot="1" x14ac:dyDescent="0.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</row>
    <row r="4" spans="1:28" ht="19.5" thickBot="1" x14ac:dyDescent="0.35">
      <c r="A4" s="10"/>
      <c r="B4" s="87" t="s">
        <v>0</v>
      </c>
      <c r="C4" s="88"/>
      <c r="D4" s="88"/>
      <c r="E4" s="88"/>
      <c r="F4" s="88"/>
      <c r="G4" s="88"/>
      <c r="H4" s="88"/>
      <c r="I4" s="89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x14ac:dyDescent="0.25">
      <c r="A5" s="10"/>
      <c r="B5" s="17"/>
      <c r="C5" s="11"/>
      <c r="D5" s="11"/>
      <c r="E5" s="11"/>
      <c r="F5" s="11"/>
      <c r="G5" s="11"/>
      <c r="H5" s="11"/>
      <c r="I5" s="12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</row>
    <row r="6" spans="1:28" x14ac:dyDescent="0.25">
      <c r="A6" s="10"/>
      <c r="B6" s="77" t="s">
        <v>39</v>
      </c>
      <c r="C6" s="78"/>
      <c r="D6" s="79">
        <v>6</v>
      </c>
      <c r="E6" s="79"/>
      <c r="F6" s="79"/>
      <c r="G6" s="80"/>
      <c r="H6" s="11"/>
      <c r="I6" s="12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10"/>
      <c r="B7" s="83"/>
      <c r="C7" s="84"/>
      <c r="D7" s="13"/>
      <c r="E7" s="13"/>
      <c r="F7" s="13"/>
      <c r="G7" s="13"/>
      <c r="H7" s="11"/>
      <c r="I7" s="12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</row>
    <row r="8" spans="1:28" x14ac:dyDescent="0.25">
      <c r="A8" s="10"/>
      <c r="B8" s="85" t="s">
        <v>2</v>
      </c>
      <c r="C8" s="86"/>
      <c r="D8" s="79"/>
      <c r="E8" s="79"/>
      <c r="F8" s="79"/>
      <c r="G8" s="80"/>
      <c r="H8" s="11"/>
      <c r="I8" s="12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x14ac:dyDescent="0.25">
      <c r="A9" s="10"/>
      <c r="B9" s="14"/>
      <c r="C9" s="15"/>
      <c r="D9" s="13"/>
      <c r="E9" s="13"/>
      <c r="F9" s="13"/>
      <c r="G9" s="13"/>
      <c r="H9" s="11"/>
      <c r="I9" s="12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</row>
    <row r="10" spans="1:28" x14ac:dyDescent="0.25">
      <c r="A10" s="10"/>
      <c r="B10" s="77" t="s">
        <v>27</v>
      </c>
      <c r="C10" s="78"/>
      <c r="D10" s="79"/>
      <c r="E10" s="79"/>
      <c r="F10" s="79"/>
      <c r="G10" s="80"/>
      <c r="H10" s="11"/>
      <c r="I10" s="12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</row>
    <row r="11" spans="1:28" x14ac:dyDescent="0.25">
      <c r="A11" s="10"/>
      <c r="B11" s="14"/>
      <c r="C11" s="15"/>
      <c r="D11" s="13"/>
      <c r="E11" s="13"/>
      <c r="F11" s="13"/>
      <c r="G11" s="13"/>
      <c r="H11" s="11"/>
      <c r="I11" s="16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</row>
    <row r="12" spans="1:28" x14ac:dyDescent="0.25">
      <c r="A12" s="10"/>
      <c r="B12" s="77" t="s">
        <v>40</v>
      </c>
      <c r="C12" s="78"/>
      <c r="D12" s="79"/>
      <c r="E12" s="79"/>
      <c r="F12" s="79"/>
      <c r="G12" s="80"/>
      <c r="H12" s="11"/>
      <c r="I12" s="12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</row>
    <row r="13" spans="1:28" x14ac:dyDescent="0.25">
      <c r="A13" s="10"/>
      <c r="B13" s="14"/>
      <c r="C13" s="11"/>
      <c r="D13" s="13"/>
      <c r="E13" s="13"/>
      <c r="F13" s="13"/>
      <c r="G13" s="13"/>
      <c r="H13" s="11"/>
      <c r="I13" s="12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</row>
    <row r="14" spans="1:28" x14ac:dyDescent="0.25">
      <c r="A14" s="10"/>
      <c r="B14" s="77" t="s">
        <v>75</v>
      </c>
      <c r="C14" s="78"/>
      <c r="D14" s="81"/>
      <c r="E14" s="81"/>
      <c r="F14" s="81"/>
      <c r="G14" s="82"/>
      <c r="H14" s="11"/>
      <c r="I14" s="12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</row>
    <row r="15" spans="1:28" x14ac:dyDescent="0.25">
      <c r="A15" s="10"/>
      <c r="B15" s="17"/>
      <c r="C15" s="11"/>
      <c r="D15" s="11"/>
      <c r="E15" s="11"/>
      <c r="F15" s="11"/>
      <c r="G15" s="11"/>
      <c r="H15" s="11"/>
      <c r="I15" s="12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</row>
    <row r="16" spans="1:28" x14ac:dyDescent="0.25">
      <c r="A16" s="10"/>
      <c r="B16" s="17"/>
      <c r="C16" s="11"/>
      <c r="D16" s="11"/>
      <c r="E16" s="11"/>
      <c r="F16" s="11"/>
      <c r="G16" s="11"/>
      <c r="H16" s="11"/>
      <c r="I16" s="12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</row>
    <row r="17" spans="1:28" x14ac:dyDescent="0.25">
      <c r="A17" s="10"/>
      <c r="B17" s="17"/>
      <c r="C17" s="11"/>
      <c r="D17" s="11"/>
      <c r="E17" s="11"/>
      <c r="F17" s="11"/>
      <c r="G17" s="11"/>
      <c r="H17" s="11"/>
      <c r="I17" s="12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</row>
    <row r="18" spans="1:28" x14ac:dyDescent="0.25">
      <c r="A18" s="10"/>
      <c r="B18" s="17"/>
      <c r="C18" s="11"/>
      <c r="D18" s="11"/>
      <c r="E18" s="11"/>
      <c r="F18" s="11"/>
      <c r="G18" s="11"/>
      <c r="H18" s="11"/>
      <c r="I18" s="12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</row>
    <row r="19" spans="1:28" ht="15.75" thickBot="1" x14ac:dyDescent="0.3">
      <c r="A19" s="10"/>
      <c r="B19" s="18"/>
      <c r="C19" s="19"/>
      <c r="D19" s="19"/>
      <c r="E19" s="19"/>
      <c r="F19" s="19"/>
      <c r="G19" s="19"/>
      <c r="H19" s="19"/>
      <c r="I19" s="2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</row>
    <row r="20" spans="1:28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</row>
    <row r="21" spans="1:28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</row>
    <row r="22" spans="1:28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</row>
    <row r="23" spans="1:28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</row>
    <row r="24" spans="1:28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</row>
    <row r="25" spans="1:28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</row>
    <row r="26" spans="1:28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</row>
    <row r="27" spans="1:28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</row>
    <row r="28" spans="1:28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</row>
    <row r="30" spans="1:28" x14ac:dyDescent="0.25">
      <c r="A30" t="s">
        <v>1</v>
      </c>
      <c r="B30" t="s">
        <v>2</v>
      </c>
      <c r="C30" t="s">
        <v>27</v>
      </c>
      <c r="D30" t="s">
        <v>3</v>
      </c>
      <c r="E30" t="s">
        <v>75</v>
      </c>
      <c r="F30" t="s">
        <v>81</v>
      </c>
      <c r="G30" t="s">
        <v>82</v>
      </c>
    </row>
    <row r="31" spans="1:28" hidden="1" x14ac:dyDescent="0.25">
      <c r="A31">
        <f>D6</f>
        <v>6</v>
      </c>
      <c r="B31">
        <f>D8</f>
        <v>0</v>
      </c>
      <c r="C31">
        <f>D10</f>
        <v>0</v>
      </c>
      <c r="D31">
        <f>D12</f>
        <v>0</v>
      </c>
      <c r="E31" s="2">
        <f>D14</f>
        <v>0</v>
      </c>
    </row>
    <row r="32" spans="1:28" x14ac:dyDescent="0.25">
      <c r="A32">
        <v>5</v>
      </c>
      <c r="B32" t="s">
        <v>64</v>
      </c>
      <c r="C32">
        <v>5</v>
      </c>
      <c r="D32" t="s">
        <v>69</v>
      </c>
      <c r="E32" s="2">
        <v>5</v>
      </c>
      <c r="F32" s="153">
        <v>0.1</v>
      </c>
      <c r="G32" s="37">
        <f>(E32*F32)+E32</f>
        <v>5.5</v>
      </c>
    </row>
    <row r="33" spans="1:7" x14ac:dyDescent="0.25">
      <c r="A33">
        <v>4</v>
      </c>
      <c r="B33" t="s">
        <v>65</v>
      </c>
      <c r="C33">
        <v>4</v>
      </c>
      <c r="D33" t="s">
        <v>70</v>
      </c>
      <c r="E33" s="2">
        <v>4</v>
      </c>
      <c r="F33" s="153">
        <v>0.2</v>
      </c>
      <c r="G33" s="37">
        <f t="shared" ref="G33:G36" si="0">(E33*F33)+E33</f>
        <v>4.8</v>
      </c>
    </row>
    <row r="34" spans="1:7" x14ac:dyDescent="0.25">
      <c r="A34">
        <v>3</v>
      </c>
      <c r="B34" t="s">
        <v>66</v>
      </c>
      <c r="C34">
        <v>3</v>
      </c>
      <c r="D34" t="s">
        <v>71</v>
      </c>
      <c r="E34" s="2">
        <v>3</v>
      </c>
      <c r="F34" s="153">
        <v>0.3</v>
      </c>
      <c r="G34" s="37">
        <f t="shared" si="0"/>
        <v>3.9</v>
      </c>
    </row>
    <row r="35" spans="1:7" x14ac:dyDescent="0.25">
      <c r="A35">
        <v>2</v>
      </c>
      <c r="B35" t="s">
        <v>67</v>
      </c>
      <c r="C35">
        <v>2</v>
      </c>
      <c r="D35" t="s">
        <v>72</v>
      </c>
      <c r="E35" s="2">
        <v>2</v>
      </c>
      <c r="F35" s="153">
        <v>0.4</v>
      </c>
      <c r="G35" s="37">
        <f t="shared" si="0"/>
        <v>2.8</v>
      </c>
    </row>
    <row r="36" spans="1:7" x14ac:dyDescent="0.25">
      <c r="A36">
        <v>1</v>
      </c>
      <c r="B36" t="s">
        <v>68</v>
      </c>
      <c r="C36">
        <v>1</v>
      </c>
      <c r="D36" t="s">
        <v>73</v>
      </c>
      <c r="E36" s="2">
        <v>1</v>
      </c>
      <c r="F36" s="153">
        <v>0.5</v>
      </c>
      <c r="G36" s="37">
        <f t="shared" si="0"/>
        <v>1.5</v>
      </c>
    </row>
    <row r="37" spans="1:7" x14ac:dyDescent="0.25">
      <c r="E37" s="2"/>
    </row>
    <row r="38" spans="1:7" x14ac:dyDescent="0.25">
      <c r="E38" s="2"/>
    </row>
    <row r="39" spans="1:7" x14ac:dyDescent="0.25">
      <c r="E39" s="2"/>
    </row>
    <row r="40" spans="1:7" x14ac:dyDescent="0.25">
      <c r="E40" s="2"/>
    </row>
    <row r="41" spans="1:7" x14ac:dyDescent="0.25">
      <c r="E41" s="2"/>
    </row>
    <row r="42" spans="1:7" x14ac:dyDescent="0.25">
      <c r="E42" s="2"/>
    </row>
    <row r="43" spans="1:7" x14ac:dyDescent="0.25">
      <c r="E43" s="2"/>
    </row>
    <row r="44" spans="1:7" x14ac:dyDescent="0.25">
      <c r="E44" s="2"/>
    </row>
    <row r="45" spans="1:7" x14ac:dyDescent="0.25">
      <c r="D45" s="1"/>
      <c r="E45" s="2"/>
    </row>
    <row r="46" spans="1:7" x14ac:dyDescent="0.25">
      <c r="D46" s="1"/>
      <c r="E46" s="2"/>
    </row>
    <row r="47" spans="1:7" x14ac:dyDescent="0.25">
      <c r="D47" s="1"/>
      <c r="E47" s="2"/>
    </row>
    <row r="48" spans="1:7" x14ac:dyDescent="0.25">
      <c r="D48" s="1"/>
      <c r="E48" s="2"/>
    </row>
    <row r="49" spans="4:5" x14ac:dyDescent="0.25">
      <c r="D49" s="1"/>
      <c r="E49" s="2"/>
    </row>
    <row r="50" spans="4:5" x14ac:dyDescent="0.25">
      <c r="D50" s="1"/>
      <c r="E50" s="2"/>
    </row>
    <row r="51" spans="4:5" x14ac:dyDescent="0.25">
      <c r="D51" s="1"/>
      <c r="E51" s="2"/>
    </row>
    <row r="52" spans="4:5" x14ac:dyDescent="0.25">
      <c r="D52" s="1"/>
    </row>
  </sheetData>
  <mergeCells count="12">
    <mergeCell ref="B6:C6"/>
    <mergeCell ref="B7:C7"/>
    <mergeCell ref="B8:C8"/>
    <mergeCell ref="D6:G6"/>
    <mergeCell ref="B4:I4"/>
    <mergeCell ref="B12:C12"/>
    <mergeCell ref="B14:C14"/>
    <mergeCell ref="D8:G8"/>
    <mergeCell ref="D10:G10"/>
    <mergeCell ref="D12:G12"/>
    <mergeCell ref="D14:G14"/>
    <mergeCell ref="B10:C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ravar_Cadastro_Produto">
                <anchor moveWithCells="1" sizeWithCells="1">
                  <from>
                    <xdr:col>2</xdr:col>
                    <xdr:colOff>685800</xdr:colOff>
                    <xdr:row>15</xdr:row>
                    <xdr:rowOff>123825</xdr:rowOff>
                  </from>
                  <to>
                    <xdr:col>4</xdr:col>
                    <xdr:colOff>409575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arDados">
                <anchor moveWithCells="1" sizeWithCells="1">
                  <from>
                    <xdr:col>5</xdr:col>
                    <xdr:colOff>57150</xdr:colOff>
                    <xdr:row>15</xdr:row>
                    <xdr:rowOff>114300</xdr:rowOff>
                  </from>
                  <to>
                    <xdr:col>7</xdr:col>
                    <xdr:colOff>428625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M33"/>
  <sheetViews>
    <sheetView workbookViewId="0">
      <selection activeCell="B34" sqref="B34"/>
    </sheetView>
  </sheetViews>
  <sheetFormatPr defaultRowHeight="15" x14ac:dyDescent="0.25"/>
  <cols>
    <col min="1" max="1" width="7.140625" bestFit="1" customWidth="1"/>
    <col min="2" max="3" width="15.7109375" customWidth="1"/>
    <col min="4" max="4" width="18" bestFit="1" customWidth="1"/>
    <col min="5" max="9" width="15.7109375" customWidth="1"/>
    <col min="10" max="10" width="16.7109375" customWidth="1"/>
    <col min="11" max="11" width="15.7109375" customWidth="1"/>
    <col min="12" max="12" width="13.28515625" customWidth="1"/>
    <col min="13" max="13" width="15" bestFit="1" customWidth="1"/>
  </cols>
  <sheetData>
    <row r="1" spans="2:12" s="10" customFormat="1" x14ac:dyDescent="0.25"/>
    <row r="2" spans="2:12" s="10" customFormat="1" x14ac:dyDescent="0.25"/>
    <row r="3" spans="2:12" s="10" customFormat="1" ht="15.75" thickBot="1" x14ac:dyDescent="0.3"/>
    <row r="4" spans="2:12" s="10" customFormat="1" ht="19.5" thickBot="1" x14ac:dyDescent="0.35">
      <c r="B4" s="87" t="s">
        <v>4</v>
      </c>
      <c r="C4" s="88"/>
      <c r="D4" s="88"/>
      <c r="E4" s="88"/>
      <c r="F4" s="88"/>
      <c r="G4" s="88"/>
      <c r="H4" s="88"/>
      <c r="I4" s="88"/>
      <c r="J4" s="88"/>
      <c r="K4" s="88"/>
      <c r="L4" s="89"/>
    </row>
    <row r="5" spans="2:12" s="10" customFormat="1" x14ac:dyDescent="0.25">
      <c r="B5" s="17"/>
      <c r="C5" s="11"/>
      <c r="D5" s="11"/>
      <c r="E5" s="11"/>
      <c r="F5" s="11"/>
      <c r="G5" s="11"/>
      <c r="H5" s="11"/>
      <c r="I5" s="11"/>
      <c r="J5" s="11"/>
      <c r="K5" s="11"/>
      <c r="L5" s="12"/>
    </row>
    <row r="6" spans="2:12" s="10" customFormat="1" x14ac:dyDescent="0.25">
      <c r="B6" s="77" t="s">
        <v>39</v>
      </c>
      <c r="C6" s="78"/>
      <c r="D6" s="38">
        <v>2</v>
      </c>
      <c r="E6" s="26"/>
      <c r="F6" s="24"/>
      <c r="G6" s="24"/>
      <c r="H6" s="24"/>
      <c r="I6" s="24"/>
      <c r="J6" s="24"/>
      <c r="K6" s="24"/>
      <c r="L6" s="12"/>
    </row>
    <row r="7" spans="2:12" s="10" customFormat="1" x14ac:dyDescent="0.25">
      <c r="B7" s="21"/>
      <c r="C7" s="22"/>
      <c r="D7" s="24"/>
      <c r="E7" s="24"/>
      <c r="F7" s="24"/>
      <c r="G7" s="24"/>
      <c r="H7" s="24"/>
      <c r="I7" s="24"/>
      <c r="J7" s="24"/>
      <c r="K7" s="24"/>
      <c r="L7" s="12"/>
    </row>
    <row r="8" spans="2:12" s="10" customFormat="1" x14ac:dyDescent="0.25">
      <c r="B8" s="77" t="s">
        <v>44</v>
      </c>
      <c r="C8" s="78"/>
      <c r="D8" s="94"/>
      <c r="E8" s="94"/>
      <c r="F8" s="94"/>
      <c r="G8" s="94"/>
      <c r="H8" s="94"/>
      <c r="I8" s="94"/>
      <c r="J8" s="95"/>
      <c r="K8" s="24"/>
      <c r="L8" s="12"/>
    </row>
    <row r="9" spans="2:12" s="10" customFormat="1" x14ac:dyDescent="0.25">
      <c r="B9" s="21"/>
      <c r="C9" s="22"/>
      <c r="D9" s="24"/>
      <c r="E9" s="24"/>
      <c r="F9" s="24"/>
      <c r="G9" s="24"/>
      <c r="H9" s="24"/>
      <c r="I9" s="24"/>
      <c r="J9" s="24"/>
      <c r="K9" s="24"/>
      <c r="L9" s="12"/>
    </row>
    <row r="10" spans="2:12" s="10" customFormat="1" x14ac:dyDescent="0.25">
      <c r="B10" s="77" t="s">
        <v>43</v>
      </c>
      <c r="C10" s="78"/>
      <c r="D10" s="94"/>
      <c r="E10" s="94"/>
      <c r="F10" s="94"/>
      <c r="G10" s="94"/>
      <c r="H10" s="94"/>
      <c r="I10" s="94"/>
      <c r="J10" s="95"/>
      <c r="K10" s="24"/>
      <c r="L10" s="12"/>
    </row>
    <row r="11" spans="2:12" s="10" customFormat="1" x14ac:dyDescent="0.25">
      <c r="B11" s="21"/>
      <c r="C11" s="22"/>
      <c r="D11" s="24"/>
      <c r="E11" s="24"/>
      <c r="F11" s="24"/>
      <c r="G11" s="24"/>
      <c r="H11" s="24"/>
      <c r="I11" s="24"/>
      <c r="J11" s="24"/>
      <c r="K11" s="24"/>
      <c r="L11" s="12"/>
    </row>
    <row r="12" spans="2:12" s="10" customFormat="1" x14ac:dyDescent="0.25">
      <c r="B12" s="77" t="s">
        <v>45</v>
      </c>
      <c r="C12" s="78"/>
      <c r="D12" s="94"/>
      <c r="E12" s="94"/>
      <c r="F12" s="94"/>
      <c r="G12" s="95"/>
      <c r="H12" s="22" t="s">
        <v>16</v>
      </c>
      <c r="I12" s="94"/>
      <c r="J12" s="94"/>
      <c r="K12" s="95"/>
      <c r="L12" s="12"/>
    </row>
    <row r="13" spans="2:12" s="10" customFormat="1" x14ac:dyDescent="0.25">
      <c r="B13" s="21"/>
      <c r="C13" s="22"/>
      <c r="D13" s="24"/>
      <c r="E13" s="24"/>
      <c r="F13" s="24"/>
      <c r="G13" s="24"/>
      <c r="H13" s="24"/>
      <c r="I13" s="24"/>
      <c r="J13" s="24"/>
      <c r="K13" s="24"/>
      <c r="L13" s="12"/>
    </row>
    <row r="14" spans="2:12" s="10" customFormat="1" x14ac:dyDescent="0.25">
      <c r="B14" s="77" t="s">
        <v>9</v>
      </c>
      <c r="C14" s="78"/>
      <c r="D14" s="94"/>
      <c r="E14" s="94"/>
      <c r="F14" s="94"/>
      <c r="G14" s="95"/>
      <c r="H14" s="22" t="s">
        <v>46</v>
      </c>
      <c r="I14" s="27"/>
      <c r="J14" s="22" t="s">
        <v>47</v>
      </c>
      <c r="K14" s="30"/>
      <c r="L14" s="12"/>
    </row>
    <row r="15" spans="2:12" s="10" customFormat="1" x14ac:dyDescent="0.25">
      <c r="B15" s="21"/>
      <c r="C15" s="22"/>
      <c r="D15" s="24"/>
      <c r="E15" s="24"/>
      <c r="F15" s="24"/>
      <c r="G15" s="24"/>
      <c r="H15" s="24"/>
      <c r="I15" s="24"/>
      <c r="J15" s="24"/>
      <c r="K15" s="24"/>
      <c r="L15" s="12"/>
    </row>
    <row r="16" spans="2:12" s="10" customFormat="1" x14ac:dyDescent="0.25">
      <c r="B16" s="77" t="s">
        <v>48</v>
      </c>
      <c r="C16" s="78"/>
      <c r="D16" s="96"/>
      <c r="E16" s="97"/>
      <c r="F16" s="22" t="s">
        <v>49</v>
      </c>
      <c r="G16" s="98"/>
      <c r="H16" s="99"/>
      <c r="I16" s="24"/>
      <c r="J16" s="24"/>
      <c r="K16" s="24"/>
      <c r="L16" s="12"/>
    </row>
    <row r="17" spans="1:13" s="10" customFormat="1" x14ac:dyDescent="0.25">
      <c r="B17" s="21"/>
      <c r="C17" s="22"/>
      <c r="D17" s="24"/>
      <c r="E17" s="24"/>
      <c r="F17" s="24"/>
      <c r="G17" s="24"/>
      <c r="H17" s="24"/>
      <c r="I17" s="24"/>
      <c r="J17" s="24"/>
      <c r="K17" s="24"/>
      <c r="L17" s="12"/>
    </row>
    <row r="18" spans="1:13" s="10" customFormat="1" x14ac:dyDescent="0.25">
      <c r="B18" s="77" t="s">
        <v>42</v>
      </c>
      <c r="C18" s="78"/>
      <c r="D18" s="90"/>
      <c r="E18" s="91"/>
      <c r="F18" s="22" t="s">
        <v>41</v>
      </c>
      <c r="G18" s="92"/>
      <c r="H18" s="93"/>
      <c r="I18" s="29" t="s">
        <v>51</v>
      </c>
      <c r="J18" s="22" t="s">
        <v>50</v>
      </c>
      <c r="K18" s="28">
        <f ca="1">TODAY()</f>
        <v>43346</v>
      </c>
      <c r="L18" s="12"/>
    </row>
    <row r="19" spans="1:13" s="10" customFormat="1" x14ac:dyDescent="0.25">
      <c r="B19" s="23"/>
      <c r="C19" s="24"/>
      <c r="D19" s="24"/>
      <c r="E19" s="24"/>
      <c r="F19" s="24"/>
      <c r="G19" s="24"/>
      <c r="H19" s="24"/>
      <c r="I19" s="24"/>
      <c r="J19" s="24"/>
      <c r="K19" s="24"/>
      <c r="L19" s="12"/>
    </row>
    <row r="20" spans="1:13" s="10" customFormat="1" x14ac:dyDescent="0.25">
      <c r="B20" s="23"/>
      <c r="C20" s="24"/>
      <c r="D20" s="24"/>
      <c r="E20" s="24"/>
      <c r="F20" s="24"/>
      <c r="G20" s="24"/>
      <c r="H20" s="24"/>
      <c r="I20" s="24"/>
      <c r="J20" s="24"/>
      <c r="K20" s="24"/>
      <c r="L20" s="12"/>
    </row>
    <row r="21" spans="1:13" s="10" customFormat="1" x14ac:dyDescent="0.25">
      <c r="B21" s="23"/>
      <c r="C21" s="24"/>
      <c r="D21" s="24"/>
      <c r="E21" s="24"/>
      <c r="F21" s="24"/>
      <c r="G21" s="24"/>
      <c r="H21" s="24"/>
      <c r="I21" s="24"/>
      <c r="J21" s="24"/>
      <c r="K21" s="24"/>
      <c r="L21" s="12"/>
    </row>
    <row r="22" spans="1:13" s="10" customFormat="1" x14ac:dyDescent="0.25"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12"/>
    </row>
    <row r="23" spans="1:13" s="10" customFormat="1" x14ac:dyDescent="0.25">
      <c r="B23" s="23"/>
      <c r="C23" s="24"/>
      <c r="D23" s="24"/>
      <c r="E23" s="24"/>
      <c r="F23" s="24"/>
      <c r="G23" s="24"/>
      <c r="H23" s="24"/>
      <c r="I23" s="24"/>
      <c r="J23" s="24"/>
      <c r="K23" s="24"/>
      <c r="L23" s="12"/>
    </row>
    <row r="24" spans="1:13" s="10" customFormat="1" ht="15.75" thickBot="1" x14ac:dyDescent="0.3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20"/>
    </row>
    <row r="25" spans="1:13" s="10" customFormat="1" x14ac:dyDescent="0.25"/>
    <row r="26" spans="1:13" s="10" customFormat="1" x14ac:dyDescent="0.25"/>
    <row r="27" spans="1:13" s="10" customFormat="1" x14ac:dyDescent="0.25"/>
    <row r="28" spans="1:13" s="10" customFormat="1" x14ac:dyDescent="0.25"/>
    <row r="29" spans="1:13" s="10" customFormat="1" ht="14.25" customHeight="1" x14ac:dyDescent="0.25"/>
    <row r="30" spans="1:13" s="31" customFormat="1" ht="14.25" customHeight="1" x14ac:dyDescent="0.25"/>
    <row r="31" spans="1:13" x14ac:dyDescent="0.25">
      <c r="A31" t="s">
        <v>1</v>
      </c>
      <c r="B31" t="s">
        <v>5</v>
      </c>
      <c r="C31" t="s">
        <v>15</v>
      </c>
      <c r="D31" t="s">
        <v>6</v>
      </c>
      <c r="E31" t="s">
        <v>7</v>
      </c>
      <c r="F31" t="s">
        <v>8</v>
      </c>
      <c r="G31" t="s">
        <v>16</v>
      </c>
      <c r="H31" t="s">
        <v>9</v>
      </c>
      <c r="I31" t="s">
        <v>10</v>
      </c>
      <c r="J31" t="s">
        <v>11</v>
      </c>
      <c r="K31" t="s">
        <v>12</v>
      </c>
      <c r="L31" t="s">
        <v>23</v>
      </c>
      <c r="M31" t="s">
        <v>24</v>
      </c>
    </row>
    <row r="32" spans="1:13" hidden="1" x14ac:dyDescent="0.25">
      <c r="A32">
        <f>D6</f>
        <v>2</v>
      </c>
      <c r="B32" s="1">
        <f>D8</f>
        <v>0</v>
      </c>
      <c r="C32">
        <f>D10</f>
        <v>0</v>
      </c>
      <c r="D32" s="3">
        <f>D18</f>
        <v>0</v>
      </c>
      <c r="E32" s="4">
        <f>G18</f>
        <v>0</v>
      </c>
      <c r="F32">
        <f>D12</f>
        <v>0</v>
      </c>
      <c r="G32">
        <f>I12</f>
        <v>0</v>
      </c>
      <c r="H32">
        <f>D14</f>
        <v>0</v>
      </c>
      <c r="I32">
        <f>I14</f>
        <v>0</v>
      </c>
      <c r="J32" s="5">
        <f>K14</f>
        <v>0</v>
      </c>
      <c r="K32" s="6">
        <f ca="1">K18</f>
        <v>43346</v>
      </c>
      <c r="L32" s="7">
        <f>D16</f>
        <v>0</v>
      </c>
      <c r="M32" s="8">
        <f>G16</f>
        <v>0</v>
      </c>
    </row>
    <row r="33" spans="1:13" x14ac:dyDescent="0.25">
      <c r="A33">
        <v>1</v>
      </c>
      <c r="B33" s="1" t="s">
        <v>63</v>
      </c>
      <c r="C33">
        <v>1</v>
      </c>
      <c r="D33" s="3">
        <v>1</v>
      </c>
      <c r="E33" s="4">
        <v>1</v>
      </c>
      <c r="F33">
        <v>1</v>
      </c>
      <c r="G33">
        <v>1</v>
      </c>
      <c r="H33">
        <v>1</v>
      </c>
      <c r="I33">
        <v>1</v>
      </c>
      <c r="J33" s="5">
        <v>1</v>
      </c>
      <c r="K33" s="6">
        <v>43341</v>
      </c>
      <c r="L33" s="7">
        <v>1</v>
      </c>
      <c r="M33" s="8">
        <v>1</v>
      </c>
    </row>
  </sheetData>
  <mergeCells count="17">
    <mergeCell ref="B6:C6"/>
    <mergeCell ref="B8:C8"/>
    <mergeCell ref="B4:L4"/>
    <mergeCell ref="B18:C18"/>
    <mergeCell ref="D18:E18"/>
    <mergeCell ref="G18:H18"/>
    <mergeCell ref="D8:J8"/>
    <mergeCell ref="D10:J10"/>
    <mergeCell ref="I12:K12"/>
    <mergeCell ref="B16:C16"/>
    <mergeCell ref="D16:E16"/>
    <mergeCell ref="G16:H16"/>
    <mergeCell ref="B10:C10"/>
    <mergeCell ref="B12:C12"/>
    <mergeCell ref="D12:G12"/>
    <mergeCell ref="B14:C14"/>
    <mergeCell ref="D14:G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ravar_Cadastro_Cliente">
                <anchor moveWithCells="1" sizeWithCells="1">
                  <from>
                    <xdr:col>3</xdr:col>
                    <xdr:colOff>419100</xdr:colOff>
                    <xdr:row>19</xdr:row>
                    <xdr:rowOff>180975</xdr:rowOff>
                  </from>
                  <to>
                    <xdr:col>5</xdr:col>
                    <xdr:colOff>142875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LimparDadosClientes">
                <anchor moveWithCells="1" sizeWithCells="1">
                  <from>
                    <xdr:col>5</xdr:col>
                    <xdr:colOff>838200</xdr:colOff>
                    <xdr:row>19</xdr:row>
                    <xdr:rowOff>171450</xdr:rowOff>
                  </from>
                  <to>
                    <xdr:col>8</xdr:col>
                    <xdr:colOff>161925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I23"/>
  <sheetViews>
    <sheetView workbookViewId="0">
      <selection activeCell="D6" sqref="D6"/>
    </sheetView>
  </sheetViews>
  <sheetFormatPr defaultRowHeight="15" x14ac:dyDescent="0.25"/>
  <cols>
    <col min="1" max="2" width="15.7109375" customWidth="1"/>
    <col min="3" max="3" width="15.7109375" style="9" customWidth="1"/>
    <col min="4" max="12" width="15.7109375" customWidth="1"/>
  </cols>
  <sheetData>
    <row r="1" spans="2:9" s="10" customFormat="1" x14ac:dyDescent="0.25">
      <c r="C1" s="32"/>
    </row>
    <row r="2" spans="2:9" s="10" customFormat="1" x14ac:dyDescent="0.25">
      <c r="C2" s="32"/>
    </row>
    <row r="3" spans="2:9" s="10" customFormat="1" x14ac:dyDescent="0.25">
      <c r="C3" s="32"/>
    </row>
    <row r="4" spans="2:9" s="10" customFormat="1" ht="18.75" x14ac:dyDescent="0.3">
      <c r="B4" s="101" t="s">
        <v>52</v>
      </c>
      <c r="C4" s="101"/>
      <c r="D4" s="101"/>
      <c r="E4" s="101"/>
      <c r="F4" s="101"/>
      <c r="G4" s="101"/>
      <c r="H4" s="101"/>
      <c r="I4" s="101"/>
    </row>
    <row r="5" spans="2:9" s="10" customFormat="1" x14ac:dyDescent="0.25">
      <c r="B5" s="25"/>
      <c r="C5" s="33"/>
      <c r="D5" s="25"/>
      <c r="E5" s="25"/>
      <c r="F5" s="25"/>
      <c r="G5" s="25"/>
      <c r="H5" s="25"/>
      <c r="I5" s="25"/>
    </row>
    <row r="6" spans="2:9" s="10" customFormat="1" x14ac:dyDescent="0.25">
      <c r="B6" s="100" t="s">
        <v>39</v>
      </c>
      <c r="C6" s="100"/>
      <c r="D6" s="39">
        <v>2</v>
      </c>
      <c r="E6" s="40"/>
      <c r="F6" s="25"/>
      <c r="G6" s="25"/>
      <c r="H6" s="25"/>
      <c r="I6" s="25"/>
    </row>
    <row r="7" spans="2:9" s="10" customFormat="1" x14ac:dyDescent="0.25">
      <c r="B7" s="34"/>
      <c r="C7" s="35"/>
      <c r="D7" s="25"/>
      <c r="E7" s="25"/>
      <c r="F7" s="25"/>
      <c r="G7" s="25"/>
      <c r="H7" s="25"/>
      <c r="I7" s="25"/>
    </row>
    <row r="8" spans="2:9" s="10" customFormat="1" x14ac:dyDescent="0.25">
      <c r="B8" s="100" t="s">
        <v>53</v>
      </c>
      <c r="C8" s="100"/>
      <c r="D8" s="102"/>
      <c r="E8" s="103"/>
      <c r="F8" s="25"/>
      <c r="G8" s="25"/>
      <c r="H8" s="25"/>
      <c r="I8" s="25"/>
    </row>
    <row r="9" spans="2:9" s="10" customFormat="1" x14ac:dyDescent="0.25">
      <c r="B9" s="34"/>
      <c r="C9" s="35"/>
      <c r="D9" s="25"/>
      <c r="E9" s="25"/>
      <c r="F9" s="25"/>
      <c r="G9" s="25"/>
      <c r="H9" s="25"/>
      <c r="I9" s="25"/>
    </row>
    <row r="10" spans="2:9" s="10" customFormat="1" x14ac:dyDescent="0.25">
      <c r="B10" s="100" t="s">
        <v>54</v>
      </c>
      <c r="C10" s="100"/>
      <c r="D10" s="104"/>
      <c r="E10" s="105"/>
      <c r="F10" s="25"/>
      <c r="G10" s="25"/>
      <c r="H10" s="25"/>
      <c r="I10" s="25"/>
    </row>
    <row r="11" spans="2:9" s="10" customFormat="1" x14ac:dyDescent="0.25">
      <c r="B11" s="25"/>
      <c r="C11" s="33"/>
      <c r="D11" s="25"/>
      <c r="E11" s="25"/>
      <c r="F11" s="25"/>
      <c r="G11" s="25"/>
      <c r="H11" s="25"/>
      <c r="I11" s="25"/>
    </row>
    <row r="12" spans="2:9" s="10" customFormat="1" x14ac:dyDescent="0.25">
      <c r="B12" s="25"/>
      <c r="C12" s="33"/>
      <c r="D12" s="25"/>
      <c r="E12" s="25"/>
      <c r="F12" s="25"/>
      <c r="G12" s="25"/>
      <c r="H12" s="25"/>
      <c r="I12" s="25"/>
    </row>
    <row r="13" spans="2:9" s="10" customFormat="1" x14ac:dyDescent="0.25">
      <c r="B13" s="25"/>
      <c r="C13" s="33"/>
      <c r="D13" s="25"/>
      <c r="E13" s="25"/>
      <c r="F13" s="25"/>
      <c r="G13" s="25"/>
      <c r="H13" s="25"/>
      <c r="I13" s="25"/>
    </row>
    <row r="14" spans="2:9" s="10" customFormat="1" x14ac:dyDescent="0.25">
      <c r="B14" s="25"/>
      <c r="C14" s="33"/>
      <c r="D14" s="25"/>
      <c r="E14" s="25"/>
      <c r="F14" s="25"/>
      <c r="G14" s="25"/>
      <c r="H14" s="25"/>
      <c r="I14" s="25"/>
    </row>
    <row r="15" spans="2:9" s="10" customFormat="1" x14ac:dyDescent="0.25">
      <c r="B15" s="25"/>
      <c r="C15" s="33"/>
      <c r="D15" s="25"/>
      <c r="E15" s="25"/>
      <c r="F15" s="25"/>
      <c r="G15" s="25"/>
      <c r="H15" s="25"/>
      <c r="I15" s="25"/>
    </row>
    <row r="16" spans="2:9" s="10" customFormat="1" x14ac:dyDescent="0.25">
      <c r="B16" s="25"/>
      <c r="C16" s="33"/>
      <c r="D16" s="25"/>
      <c r="E16" s="25"/>
      <c r="F16" s="25"/>
      <c r="G16" s="25"/>
      <c r="H16" s="25"/>
      <c r="I16" s="25"/>
    </row>
    <row r="17" spans="1:3" s="10" customFormat="1" x14ac:dyDescent="0.25">
      <c r="C17" s="32"/>
    </row>
    <row r="18" spans="1:3" s="10" customFormat="1" x14ac:dyDescent="0.25">
      <c r="C18" s="32"/>
    </row>
    <row r="19" spans="1:3" s="10" customFormat="1" x14ac:dyDescent="0.25">
      <c r="C19" s="32"/>
    </row>
    <row r="21" spans="1:3" x14ac:dyDescent="0.25">
      <c r="A21" t="s">
        <v>1</v>
      </c>
      <c r="B21" t="s">
        <v>2</v>
      </c>
      <c r="C21" s="9" t="s">
        <v>32</v>
      </c>
    </row>
    <row r="22" spans="1:3" hidden="1" x14ac:dyDescent="0.25">
      <c r="A22">
        <f>D6</f>
        <v>2</v>
      </c>
      <c r="B22">
        <f>D8</f>
        <v>0</v>
      </c>
      <c r="C22" s="9">
        <f>D10</f>
        <v>0</v>
      </c>
    </row>
    <row r="23" spans="1:3" x14ac:dyDescent="0.25">
      <c r="A23">
        <v>1</v>
      </c>
      <c r="B23" t="s">
        <v>62</v>
      </c>
      <c r="C23" s="9">
        <v>0.03</v>
      </c>
    </row>
  </sheetData>
  <mergeCells count="6">
    <mergeCell ref="B6:C6"/>
    <mergeCell ref="B8:C8"/>
    <mergeCell ref="B10:C10"/>
    <mergeCell ref="B4:I4"/>
    <mergeCell ref="D8:E8"/>
    <mergeCell ref="D10:E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ravar_Cadastro_Pagamento">
                <anchor moveWithCells="1" sizeWithCells="1">
                  <from>
                    <xdr:col>1</xdr:col>
                    <xdr:colOff>819150</xdr:colOff>
                    <xdr:row>11</xdr:row>
                    <xdr:rowOff>85725</xdr:rowOff>
                  </from>
                  <to>
                    <xdr:col>3</xdr:col>
                    <xdr:colOff>695325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arDadosPagamentos">
                <anchor moveWithCells="1" sizeWithCells="1">
                  <from>
                    <xdr:col>4</xdr:col>
                    <xdr:colOff>342900</xdr:colOff>
                    <xdr:row>11</xdr:row>
                    <xdr:rowOff>76200</xdr:rowOff>
                  </from>
                  <to>
                    <xdr:col>6</xdr:col>
                    <xdr:colOff>714375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T32"/>
  <sheetViews>
    <sheetView workbookViewId="0">
      <pane ySplit="10" topLeftCell="A11" activePane="bottomLeft" state="frozen"/>
      <selection pane="bottomLeft" activeCell="S20" sqref="S20"/>
    </sheetView>
  </sheetViews>
  <sheetFormatPr defaultRowHeight="15" x14ac:dyDescent="0.25"/>
  <cols>
    <col min="1" max="1" width="0.5703125" style="43" customWidth="1"/>
    <col min="2" max="2" width="7.5703125" style="43" customWidth="1"/>
    <col min="3" max="3" width="8" style="43" customWidth="1"/>
    <col min="4" max="4" width="5.85546875" style="43" customWidth="1"/>
    <col min="5" max="5" width="15" style="43" customWidth="1"/>
    <col min="6" max="6" width="5.5703125" style="43" customWidth="1"/>
    <col min="7" max="7" width="12" style="43" customWidth="1"/>
    <col min="8" max="8" width="4.28515625" style="43" customWidth="1"/>
    <col min="9" max="9" width="7.42578125" style="43" customWidth="1"/>
    <col min="10" max="10" width="9.28515625" style="43" customWidth="1"/>
    <col min="11" max="11" width="1.140625" style="43" customWidth="1"/>
    <col min="12" max="12" width="8.7109375" style="43" customWidth="1"/>
    <col min="13" max="13" width="3.7109375" style="43" customWidth="1"/>
    <col min="14" max="14" width="9.42578125" style="43" customWidth="1"/>
    <col min="15" max="15" width="0.42578125" style="43" customWidth="1"/>
    <col min="16" max="19" width="9.140625" style="43"/>
    <col min="20" max="20" width="12.5703125" style="43" bestFit="1" customWidth="1"/>
    <col min="21" max="16384" width="9.140625" style="43"/>
  </cols>
  <sheetData>
    <row r="1" spans="2:20" ht="16.5" thickBot="1" x14ac:dyDescent="0.3">
      <c r="B1" s="123" t="s">
        <v>13</v>
      </c>
      <c r="C1" s="124"/>
      <c r="D1" s="124"/>
      <c r="E1" s="124"/>
      <c r="F1" s="124"/>
      <c r="G1" s="124"/>
      <c r="H1" s="124"/>
      <c r="I1" s="124"/>
      <c r="J1" s="125"/>
      <c r="K1" s="41"/>
      <c r="L1" s="128" t="s">
        <v>37</v>
      </c>
      <c r="M1" s="129"/>
      <c r="N1" s="42">
        <v>1</v>
      </c>
    </row>
    <row r="2" spans="2:20" ht="4.5" customHeight="1" thickBot="1" x14ac:dyDescent="0.3"/>
    <row r="3" spans="2:20" x14ac:dyDescent="0.25">
      <c r="B3" s="44" t="s">
        <v>14</v>
      </c>
      <c r="C3" s="73">
        <v>1</v>
      </c>
      <c r="D3" s="45" t="s">
        <v>6</v>
      </c>
      <c r="E3" s="46">
        <f>IFERROR(INDEX(VLOOKUP($C$3,'Cadastro de Clientes'!$A$33:$M$1048576,4),),"")</f>
        <v>1</v>
      </c>
      <c r="F3" s="45" t="s">
        <v>7</v>
      </c>
      <c r="G3" s="47">
        <f>IFERROR(INDEX(VLOOKUP($C$3,'Cadastro de Clientes'!$A$33:$M$1048576,5),),"")</f>
        <v>1</v>
      </c>
      <c r="H3" s="126" t="s">
        <v>57</v>
      </c>
      <c r="I3" s="127"/>
      <c r="J3" s="48">
        <f ca="1">TODAY()</f>
        <v>43346</v>
      </c>
      <c r="K3" s="49"/>
      <c r="L3" s="149" t="s">
        <v>33</v>
      </c>
      <c r="M3" s="150"/>
      <c r="N3" s="151"/>
      <c r="O3" s="50"/>
    </row>
    <row r="4" spans="2:20" x14ac:dyDescent="0.25">
      <c r="B4" s="51" t="s">
        <v>17</v>
      </c>
      <c r="C4" s="132" t="str">
        <f>IFERROR(VLOOKUP($C$3,'Cadastro de Clientes'!$A$33:$M$1048576,2,TRUE),"")</f>
        <v>Teste</v>
      </c>
      <c r="D4" s="132"/>
      <c r="E4" s="132"/>
      <c r="F4" s="133"/>
      <c r="G4" s="52" t="s">
        <v>19</v>
      </c>
      <c r="H4" s="130">
        <f>IFERROR(VLOOKUP($C$3,'Cadastro de Clientes'!$A$33:$M$1048576,3,TRUE),"")</f>
        <v>1</v>
      </c>
      <c r="I4" s="130"/>
      <c r="J4" s="134"/>
      <c r="K4" s="49"/>
      <c r="L4" s="51" t="s">
        <v>34</v>
      </c>
      <c r="M4" s="137"/>
      <c r="N4" s="138"/>
      <c r="O4" s="53"/>
    </row>
    <row r="5" spans="2:20" x14ac:dyDescent="0.25">
      <c r="B5" s="51" t="s">
        <v>20</v>
      </c>
      <c r="C5" s="130">
        <f>IFERROR(VLOOKUP($C$3,'Cadastro de Clientes'!$A$33:$M$1048576,6,TRUE),"")</f>
        <v>1</v>
      </c>
      <c r="D5" s="130"/>
      <c r="E5" s="130"/>
      <c r="F5" s="131"/>
      <c r="G5" s="54" t="s">
        <v>18</v>
      </c>
      <c r="H5" s="130">
        <f>IFERROR(VLOOKUP($C$3,'Cadastro de Clientes'!$A$33:$M$1048576,7,TRUE),"")</f>
        <v>1</v>
      </c>
      <c r="I5" s="130"/>
      <c r="J5" s="134"/>
      <c r="K5" s="49"/>
      <c r="L5" s="51" t="s">
        <v>35</v>
      </c>
      <c r="M5" s="145" t="str">
        <f>IFERROR(VLOOKUP($M$4,'Tipos de Pagamentos'!$A$22:$C$1048576,2,FALSE),"")</f>
        <v/>
      </c>
      <c r="N5" s="146"/>
      <c r="O5" s="53"/>
    </row>
    <row r="6" spans="2:20" x14ac:dyDescent="0.25">
      <c r="B6" s="51" t="s">
        <v>21</v>
      </c>
      <c r="C6" s="130">
        <f>IFERROR(VLOOKUP($C$3,'Cadastro de Clientes'!$A$33:$M$1048576,8,TRUE),"")</f>
        <v>1</v>
      </c>
      <c r="D6" s="130"/>
      <c r="E6" s="131"/>
      <c r="F6" s="54" t="s">
        <v>61</v>
      </c>
      <c r="G6" s="55">
        <f>IFERROR(VLOOKUP($C$3,'Cadastro de Clientes'!$A$33:$M$1048576,9,TRUE),"")</f>
        <v>1</v>
      </c>
      <c r="H6" s="56" t="s">
        <v>22</v>
      </c>
      <c r="I6" s="135">
        <f>IFERROR(INDEX(VLOOKUP($C$3,'Cadastro de Clientes'!$A$33:$M$1048576,10),),"")</f>
        <v>1</v>
      </c>
      <c r="J6" s="136"/>
      <c r="K6" s="49"/>
      <c r="L6" s="51" t="s">
        <v>32</v>
      </c>
      <c r="M6" s="147" t="str">
        <f>IFERROR(VLOOKUP($M$4,'Tipos de Pagamentos'!$A$22:$C$1048576,3,FALSE),"")</f>
        <v/>
      </c>
      <c r="N6" s="148"/>
      <c r="O6" s="57"/>
    </row>
    <row r="7" spans="2:20" ht="15.75" thickBot="1" x14ac:dyDescent="0.3">
      <c r="B7" s="58" t="s">
        <v>25</v>
      </c>
      <c r="C7" s="112">
        <f>IFERROR(INDEX(VLOOKUP($C$3,'Cadastro de Clientes'!$A$33:$M$1048576,12),),"")</f>
        <v>1</v>
      </c>
      <c r="D7" s="112"/>
      <c r="E7" s="113"/>
      <c r="F7" s="59" t="s">
        <v>24</v>
      </c>
      <c r="G7" s="114">
        <f>IFERROR(INDEX(VLOOKUP($C$3,'Cadastro de Clientes'!$A$33:$M$1048576,13),),"")</f>
        <v>1</v>
      </c>
      <c r="H7" s="114"/>
      <c r="I7" s="114"/>
      <c r="J7" s="115"/>
      <c r="K7" s="49"/>
      <c r="L7" s="60"/>
      <c r="M7" s="61"/>
      <c r="N7" s="62"/>
      <c r="O7" s="63"/>
    </row>
    <row r="8" spans="2:20" ht="15.75" thickBot="1" x14ac:dyDescent="0.3"/>
    <row r="9" spans="2:20" ht="15.75" thickBot="1" x14ac:dyDescent="0.3">
      <c r="B9" s="142" t="s">
        <v>26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4"/>
      <c r="O9" s="64"/>
    </row>
    <row r="10" spans="2:20" ht="15.75" thickBot="1" x14ac:dyDescent="0.3">
      <c r="B10" s="76" t="s">
        <v>74</v>
      </c>
      <c r="C10" s="139" t="s">
        <v>2</v>
      </c>
      <c r="D10" s="140"/>
      <c r="E10" s="65" t="s">
        <v>28</v>
      </c>
      <c r="F10" s="66" t="s">
        <v>29</v>
      </c>
      <c r="G10" s="66" t="s">
        <v>30</v>
      </c>
      <c r="H10" s="139" t="s">
        <v>31</v>
      </c>
      <c r="I10" s="140"/>
      <c r="J10" s="66" t="s">
        <v>59</v>
      </c>
      <c r="K10" s="139" t="s">
        <v>60</v>
      </c>
      <c r="L10" s="140"/>
      <c r="M10" s="139" t="s">
        <v>36</v>
      </c>
      <c r="N10" s="140"/>
      <c r="O10" s="67"/>
      <c r="P10" s="155" t="s">
        <v>76</v>
      </c>
      <c r="Q10" s="155" t="s">
        <v>77</v>
      </c>
      <c r="R10" s="155" t="s">
        <v>78</v>
      </c>
      <c r="S10" s="155" t="s">
        <v>79</v>
      </c>
      <c r="T10" s="155" t="s">
        <v>80</v>
      </c>
    </row>
    <row r="11" spans="2:20" x14ac:dyDescent="0.25">
      <c r="B11" s="74">
        <v>1</v>
      </c>
      <c r="C11" s="152" t="str">
        <f>IFERROR(VLOOKUP(B11,'Cadastro de Produto'!A$32:$G$1048576,2,FALSE),"")</f>
        <v>Teste 05</v>
      </c>
      <c r="D11" s="152"/>
      <c r="E11" s="68">
        <v>100</v>
      </c>
      <c r="F11" s="43" t="str">
        <f>IFERROR(VLOOKUP(B11,'Cadastro de Produto'!A$32:$G$1048576,4,FALSE),"")</f>
        <v>M</v>
      </c>
      <c r="G11" s="75">
        <f>IFERROR(VLOOKUP(B11,'Cadastro de Produto'!A$32:$G$1048576,7,FALSE),"")</f>
        <v>1.5</v>
      </c>
      <c r="H11" s="107">
        <f>IFERROR((G11*E11),"")</f>
        <v>150</v>
      </c>
      <c r="I11" s="107"/>
      <c r="J11" s="70" t="str">
        <f>$M$6</f>
        <v/>
      </c>
      <c r="K11" s="108">
        <f>IFERROR((H11*J11),0)</f>
        <v>0</v>
      </c>
      <c r="L11" s="108"/>
      <c r="M11" s="141">
        <f>IFERROR((H11-K11),0)</f>
        <v>150</v>
      </c>
      <c r="N11" s="141"/>
      <c r="O11" s="71"/>
      <c r="P11" s="69">
        <f>IFERROR(VLOOKUP(B11,'Cadastro de Produto'!A$32:$G$1048576,5,FALSE),"")</f>
        <v>1</v>
      </c>
      <c r="Q11" s="43">
        <f>IFERROR(VLOOKUP(B11,'Cadastro de Produto'!A$32:$G$1048576,6,FALSE),"")</f>
        <v>0.5</v>
      </c>
      <c r="R11" s="154">
        <f>G11-P11</f>
        <v>0.5</v>
      </c>
      <c r="T11" s="154">
        <f>R11-S11</f>
        <v>0.5</v>
      </c>
    </row>
    <row r="12" spans="2:20" ht="15.75" thickBot="1" x14ac:dyDescent="0.3">
      <c r="C12" s="120"/>
      <c r="D12" s="120"/>
      <c r="E12" s="68"/>
      <c r="G12" s="69"/>
      <c r="H12" s="121"/>
      <c r="I12" s="121"/>
      <c r="K12" s="122"/>
      <c r="L12" s="122"/>
      <c r="M12" s="121"/>
      <c r="N12" s="121"/>
    </row>
    <row r="13" spans="2:20" x14ac:dyDescent="0.25">
      <c r="B13" s="116" t="s">
        <v>38</v>
      </c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8"/>
    </row>
    <row r="14" spans="2:20" ht="15.75" thickBot="1" x14ac:dyDescent="0.3">
      <c r="B14" s="119"/>
      <c r="C14" s="120"/>
      <c r="D14" s="120"/>
      <c r="E14" s="120"/>
      <c r="F14" s="120"/>
      <c r="G14" s="120"/>
      <c r="H14" s="109">
        <f>SUM(H11:I13)</f>
        <v>150</v>
      </c>
      <c r="I14" s="109"/>
      <c r="J14" s="72" t="str">
        <f>M6</f>
        <v/>
      </c>
      <c r="K14" s="110">
        <f>SUM(K11:L13)</f>
        <v>0</v>
      </c>
      <c r="L14" s="110"/>
      <c r="M14" s="109">
        <f>SUM(M11:N13)</f>
        <v>150</v>
      </c>
      <c r="N14" s="111"/>
    </row>
    <row r="15" spans="2:20" x14ac:dyDescent="0.25">
      <c r="C15" s="106"/>
      <c r="D15" s="106"/>
      <c r="E15" s="68"/>
      <c r="G15" s="69"/>
      <c r="H15" s="107"/>
      <c r="I15" s="107"/>
      <c r="K15" s="108"/>
      <c r="L15" s="108"/>
      <c r="M15" s="107"/>
      <c r="N15" s="107"/>
    </row>
    <row r="16" spans="2:20" x14ac:dyDescent="0.25">
      <c r="C16" s="106"/>
      <c r="D16" s="106"/>
      <c r="E16" s="68"/>
      <c r="G16" s="69"/>
      <c r="H16" s="107"/>
      <c r="I16" s="107"/>
      <c r="K16" s="108"/>
      <c r="L16" s="108"/>
      <c r="M16" s="107"/>
      <c r="N16" s="107"/>
    </row>
    <row r="17" spans="3:14" x14ac:dyDescent="0.25">
      <c r="C17" s="106"/>
      <c r="D17" s="106"/>
      <c r="E17" s="68"/>
      <c r="G17" s="69"/>
      <c r="H17" s="107"/>
      <c r="I17" s="107"/>
      <c r="K17" s="108"/>
      <c r="L17" s="108"/>
      <c r="M17" s="107"/>
      <c r="N17" s="107"/>
    </row>
    <row r="18" spans="3:14" x14ac:dyDescent="0.25">
      <c r="C18" s="106"/>
      <c r="D18" s="106"/>
      <c r="E18" s="68"/>
      <c r="G18" s="69"/>
      <c r="H18" s="107"/>
      <c r="I18" s="107"/>
      <c r="K18" s="108"/>
      <c r="L18" s="108"/>
      <c r="M18" s="107"/>
      <c r="N18" s="107"/>
    </row>
    <row r="19" spans="3:14" x14ac:dyDescent="0.25">
      <c r="C19" s="106"/>
      <c r="D19" s="106"/>
      <c r="E19" s="68"/>
      <c r="G19" s="69"/>
      <c r="H19" s="107"/>
      <c r="I19" s="107"/>
      <c r="K19" s="108"/>
      <c r="L19" s="108"/>
      <c r="M19" s="107"/>
      <c r="N19" s="107"/>
    </row>
    <row r="20" spans="3:14" x14ac:dyDescent="0.25">
      <c r="C20" s="106"/>
      <c r="D20" s="106"/>
      <c r="E20" s="68"/>
      <c r="G20" s="69"/>
      <c r="H20" s="107"/>
      <c r="I20" s="107"/>
      <c r="K20" s="108"/>
      <c r="L20" s="108"/>
      <c r="M20" s="107"/>
      <c r="N20" s="107"/>
    </row>
    <row r="21" spans="3:14" x14ac:dyDescent="0.25">
      <c r="C21" s="106"/>
      <c r="D21" s="106"/>
      <c r="E21" s="68"/>
      <c r="G21" s="69"/>
      <c r="H21" s="107"/>
      <c r="I21" s="107"/>
      <c r="K21" s="108"/>
      <c r="L21" s="108"/>
      <c r="M21" s="107"/>
      <c r="N21" s="107"/>
    </row>
    <row r="22" spans="3:14" x14ac:dyDescent="0.25">
      <c r="C22" s="106"/>
      <c r="D22" s="106"/>
      <c r="E22" s="68"/>
      <c r="G22" s="69"/>
      <c r="H22" s="107"/>
      <c r="I22" s="107"/>
      <c r="K22" s="108"/>
      <c r="L22" s="108"/>
      <c r="M22" s="107"/>
      <c r="N22" s="107"/>
    </row>
    <row r="23" spans="3:14" x14ac:dyDescent="0.25">
      <c r="C23" s="106"/>
      <c r="D23" s="106"/>
      <c r="E23" s="68"/>
      <c r="G23" s="69"/>
      <c r="H23" s="107"/>
      <c r="I23" s="107"/>
      <c r="K23" s="108"/>
      <c r="L23" s="108"/>
      <c r="M23" s="107"/>
      <c r="N23" s="107"/>
    </row>
    <row r="24" spans="3:14" x14ac:dyDescent="0.25">
      <c r="C24" s="106"/>
      <c r="D24" s="106"/>
      <c r="E24" s="68"/>
      <c r="G24" s="69"/>
      <c r="H24" s="107"/>
      <c r="I24" s="107"/>
      <c r="K24" s="108"/>
      <c r="L24" s="108"/>
      <c r="M24" s="107"/>
      <c r="N24" s="107"/>
    </row>
    <row r="25" spans="3:14" x14ac:dyDescent="0.25">
      <c r="C25" s="106"/>
      <c r="D25" s="106"/>
      <c r="E25" s="68"/>
      <c r="G25" s="69"/>
      <c r="H25" s="107"/>
      <c r="I25" s="107"/>
      <c r="K25" s="108"/>
      <c r="L25" s="108"/>
      <c r="M25" s="107"/>
      <c r="N25" s="107"/>
    </row>
    <row r="26" spans="3:14" x14ac:dyDescent="0.25">
      <c r="C26" s="106"/>
      <c r="D26" s="106"/>
      <c r="E26" s="68"/>
      <c r="G26" s="69"/>
      <c r="H26" s="107"/>
      <c r="I26" s="107"/>
      <c r="K26" s="108"/>
      <c r="L26" s="108"/>
      <c r="M26" s="107"/>
      <c r="N26" s="107"/>
    </row>
    <row r="27" spans="3:14" x14ac:dyDescent="0.25">
      <c r="C27" s="106"/>
      <c r="D27" s="106"/>
      <c r="E27" s="68"/>
      <c r="G27" s="69"/>
      <c r="H27" s="107"/>
      <c r="I27" s="107"/>
      <c r="K27" s="108"/>
      <c r="L27" s="108"/>
      <c r="M27" s="107"/>
      <c r="N27" s="107"/>
    </row>
    <row r="28" spans="3:14" x14ac:dyDescent="0.25">
      <c r="C28" s="106"/>
      <c r="D28" s="106"/>
      <c r="E28" s="68"/>
      <c r="G28" s="69"/>
      <c r="H28" s="107"/>
      <c r="I28" s="107"/>
      <c r="K28" s="108"/>
      <c r="L28" s="108"/>
      <c r="M28" s="107"/>
      <c r="N28" s="107"/>
    </row>
    <row r="29" spans="3:14" x14ac:dyDescent="0.25">
      <c r="C29" s="106"/>
      <c r="D29" s="106"/>
      <c r="E29" s="68"/>
      <c r="G29" s="69"/>
      <c r="H29" s="107"/>
      <c r="I29" s="107"/>
      <c r="K29" s="108"/>
      <c r="L29" s="108"/>
      <c r="M29" s="107"/>
      <c r="N29" s="107"/>
    </row>
    <row r="30" spans="3:14" x14ac:dyDescent="0.25">
      <c r="C30" s="106"/>
      <c r="D30" s="106"/>
      <c r="E30" s="68"/>
      <c r="G30" s="69"/>
      <c r="H30" s="107"/>
      <c r="I30" s="107"/>
      <c r="K30" s="108"/>
      <c r="L30" s="108"/>
      <c r="M30" s="107"/>
      <c r="N30" s="107"/>
    </row>
    <row r="31" spans="3:14" x14ac:dyDescent="0.25">
      <c r="C31" s="106"/>
      <c r="D31" s="106"/>
      <c r="E31" s="68"/>
      <c r="G31" s="69"/>
      <c r="H31" s="107"/>
      <c r="I31" s="107"/>
      <c r="K31" s="108"/>
      <c r="L31" s="108"/>
      <c r="M31" s="107"/>
      <c r="N31" s="107"/>
    </row>
    <row r="32" spans="3:14" x14ac:dyDescent="0.25">
      <c r="C32" s="106"/>
      <c r="D32" s="106"/>
      <c r="E32" s="68"/>
      <c r="G32" s="69"/>
      <c r="H32" s="107"/>
      <c r="I32" s="107"/>
      <c r="K32" s="108"/>
      <c r="L32" s="108"/>
      <c r="M32" s="107"/>
      <c r="N32" s="107"/>
    </row>
  </sheetData>
  <mergeCells count="105">
    <mergeCell ref="M6:N6"/>
    <mergeCell ref="L3:N3"/>
    <mergeCell ref="C10:D10"/>
    <mergeCell ref="H10:I10"/>
    <mergeCell ref="H11:I11"/>
    <mergeCell ref="C11:D11"/>
    <mergeCell ref="C7:E7"/>
    <mergeCell ref="G7:J7"/>
    <mergeCell ref="B13:N13"/>
    <mergeCell ref="B14:G14"/>
    <mergeCell ref="C12:D12"/>
    <mergeCell ref="H12:I12"/>
    <mergeCell ref="K12:L12"/>
    <mergeCell ref="M12:N12"/>
    <mergeCell ref="B1:J1"/>
    <mergeCell ref="H3:I3"/>
    <mergeCell ref="L1:M1"/>
    <mergeCell ref="C5:F5"/>
    <mergeCell ref="C4:F4"/>
    <mergeCell ref="H4:J4"/>
    <mergeCell ref="H5:J5"/>
    <mergeCell ref="C6:E6"/>
    <mergeCell ref="I6:J6"/>
    <mergeCell ref="M4:N4"/>
    <mergeCell ref="K10:L10"/>
    <mergeCell ref="K11:L11"/>
    <mergeCell ref="M10:N10"/>
    <mergeCell ref="M11:N11"/>
    <mergeCell ref="B9:N9"/>
    <mergeCell ref="M5:N5"/>
    <mergeCell ref="C15:D15"/>
    <mergeCell ref="H15:I15"/>
    <mergeCell ref="K15:L15"/>
    <mergeCell ref="M15:N15"/>
    <mergeCell ref="C16:D16"/>
    <mergeCell ref="H16:I16"/>
    <mergeCell ref="K16:L16"/>
    <mergeCell ref="M16:N16"/>
    <mergeCell ref="H14:I14"/>
    <mergeCell ref="K14:L14"/>
    <mergeCell ref="M14:N14"/>
    <mergeCell ref="C19:D19"/>
    <mergeCell ref="H19:I19"/>
    <mergeCell ref="K19:L19"/>
    <mergeCell ref="M19:N19"/>
    <mergeCell ref="C20:D20"/>
    <mergeCell ref="H20:I20"/>
    <mergeCell ref="K20:L20"/>
    <mergeCell ref="M20:N20"/>
    <mergeCell ref="C17:D17"/>
    <mergeCell ref="H17:I17"/>
    <mergeCell ref="K17:L17"/>
    <mergeCell ref="M17:N17"/>
    <mergeCell ref="C18:D18"/>
    <mergeCell ref="H18:I18"/>
    <mergeCell ref="K18:L18"/>
    <mergeCell ref="M18:N18"/>
    <mergeCell ref="C23:D23"/>
    <mergeCell ref="H23:I23"/>
    <mergeCell ref="K23:L23"/>
    <mergeCell ref="M23:N23"/>
    <mergeCell ref="C24:D24"/>
    <mergeCell ref="H24:I24"/>
    <mergeCell ref="K24:L24"/>
    <mergeCell ref="M24:N24"/>
    <mergeCell ref="C21:D21"/>
    <mergeCell ref="H21:I21"/>
    <mergeCell ref="K21:L21"/>
    <mergeCell ref="M21:N21"/>
    <mergeCell ref="C22:D22"/>
    <mergeCell ref="H22:I22"/>
    <mergeCell ref="K22:L22"/>
    <mergeCell ref="M22:N22"/>
    <mergeCell ref="M28:N28"/>
    <mergeCell ref="C25:D25"/>
    <mergeCell ref="H25:I25"/>
    <mergeCell ref="K25:L25"/>
    <mergeCell ref="M25:N25"/>
    <mergeCell ref="C26:D26"/>
    <mergeCell ref="H26:I26"/>
    <mergeCell ref="K26:L26"/>
    <mergeCell ref="M26:N26"/>
    <mergeCell ref="C27:D27"/>
    <mergeCell ref="H27:I27"/>
    <mergeCell ref="K27:L27"/>
    <mergeCell ref="M27:N27"/>
    <mergeCell ref="C28:D28"/>
    <mergeCell ref="H28:I28"/>
    <mergeCell ref="K28:L28"/>
    <mergeCell ref="C31:D31"/>
    <mergeCell ref="H31:I31"/>
    <mergeCell ref="K31:L31"/>
    <mergeCell ref="M31:N31"/>
    <mergeCell ref="C32:D32"/>
    <mergeCell ref="H32:I32"/>
    <mergeCell ref="K32:L32"/>
    <mergeCell ref="M32:N32"/>
    <mergeCell ref="C29:D29"/>
    <mergeCell ref="H29:I29"/>
    <mergeCell ref="K29:L29"/>
    <mergeCell ref="M29:N29"/>
    <mergeCell ref="C30:D30"/>
    <mergeCell ref="H30:I30"/>
    <mergeCell ref="K30:L30"/>
    <mergeCell ref="M30:N30"/>
  </mergeCells>
  <pageMargins left="0.25" right="0.25" top="0.75" bottom="0.75" header="0.3" footer="0.3"/>
  <pageSetup paperSize="9" orientation="portrait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serirItemPedido">
                <anchor>
                  <from>
                    <xdr:col>16</xdr:col>
                    <xdr:colOff>47625</xdr:colOff>
                    <xdr:row>0</xdr:row>
                    <xdr:rowOff>0</xdr:rowOff>
                  </from>
                  <to>
                    <xdr:col>19</xdr:col>
                    <xdr:colOff>657225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Gravar_lancamento_Pedido">
                <anchor>
                  <from>
                    <xdr:col>16</xdr:col>
                    <xdr:colOff>38100</xdr:colOff>
                    <xdr:row>3</xdr:row>
                    <xdr:rowOff>104775</xdr:rowOff>
                  </from>
                  <to>
                    <xdr:col>19</xdr:col>
                    <xdr:colOff>647700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'Cadastro de Clientes'!$A$32:$A$1048576</xm:f>
          </x14:formula1>
          <xm:sqref>C3</xm:sqref>
        </x14:dataValidation>
        <x14:dataValidation type="list" allowBlank="1" showInputMessage="1" showErrorMessage="1">
          <x14:formula1>
            <xm:f>'Tipos de Pagamentos'!$A$22:$A$1048576</xm:f>
          </x14:formula1>
          <xm:sqref>M4:O4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G2"/>
  <sheetViews>
    <sheetView tabSelected="1" workbookViewId="0">
      <selection activeCell="B12" sqref="B12"/>
    </sheetView>
  </sheetViews>
  <sheetFormatPr defaultRowHeight="15" x14ac:dyDescent="0.25"/>
  <cols>
    <col min="1" max="12" width="15.7109375" customWidth="1"/>
  </cols>
  <sheetData>
    <row r="1" spans="1:7" x14ac:dyDescent="0.25">
      <c r="A1" t="s">
        <v>13</v>
      </c>
      <c r="B1" t="s">
        <v>55</v>
      </c>
      <c r="C1" t="s">
        <v>56</v>
      </c>
      <c r="D1" t="s">
        <v>31</v>
      </c>
      <c r="E1" t="s">
        <v>32</v>
      </c>
      <c r="F1" t="s">
        <v>36</v>
      </c>
      <c r="G1" t="s">
        <v>58</v>
      </c>
    </row>
    <row r="2" spans="1:7" hidden="1" x14ac:dyDescent="0.25">
      <c r="A2">
        <f>Pedido!N1</f>
        <v>1</v>
      </c>
      <c r="B2">
        <f>Pedido!C3</f>
        <v>1</v>
      </c>
      <c r="C2" s="36">
        <f ca="1">Pedido!J3</f>
        <v>43346</v>
      </c>
      <c r="D2" s="37">
        <f>Pedido!H14</f>
        <v>150</v>
      </c>
      <c r="E2" s="37">
        <f>Pedido!K14</f>
        <v>0</v>
      </c>
      <c r="F2" s="37">
        <f>Pedido!M14</f>
        <v>150</v>
      </c>
      <c r="G2" t="str">
        <f>Pedido!M5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Cadastro de Produto</vt:lpstr>
      <vt:lpstr>Cadastro de Clientes</vt:lpstr>
      <vt:lpstr>Tipos de Pagamentos</vt:lpstr>
      <vt:lpstr>Pedido</vt:lpstr>
      <vt:lpstr>Histórico de Pedidos</vt:lpstr>
      <vt:lpstr>Pedido!Area_de_impressao</vt:lpstr>
      <vt:lpstr>Pedido!Titulos_de_impressao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Roetger Silva</dc:creator>
  <cp:lastModifiedBy>Henry Roetger Silva</cp:lastModifiedBy>
  <cp:lastPrinted>2018-08-24T16:48:25Z</cp:lastPrinted>
  <dcterms:created xsi:type="dcterms:W3CDTF">2018-08-21T20:58:40Z</dcterms:created>
  <dcterms:modified xsi:type="dcterms:W3CDTF">2018-09-03T22:07:28Z</dcterms:modified>
</cp:coreProperties>
</file>