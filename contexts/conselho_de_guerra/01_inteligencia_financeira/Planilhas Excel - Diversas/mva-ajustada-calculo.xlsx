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fd\AC\Temp\"/>
    </mc:Choice>
  </mc:AlternateContent>
  <xr:revisionPtr revIDLastSave="0" documentId="8_{6AD3FCF1-C377-A844-B20D-143553EF0C9E}" xr6:coauthVersionLast="28" xr6:coauthVersionMax="28" xr10:uidLastSave="{00000000-0000-0000-0000-000000000000}"/>
  <bookViews>
    <workbookView xWindow="360" yWindow="90" windowWidth="14235" windowHeight="768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Plan1!$A$4:$G$28</definedName>
  </definedNames>
  <calcPr calcId="171026"/>
</workbook>
</file>

<file path=xl/calcChain.xml><?xml version="1.0" encoding="utf-8"?>
<calcChain xmlns="http://schemas.openxmlformats.org/spreadsheetml/2006/main">
  <c r="G35" i="1" l="1"/>
  <c r="G36" i="1"/>
  <c r="G37" i="1"/>
  <c r="G34" i="1"/>
  <c r="G28" i="1"/>
</calcChain>
</file>

<file path=xl/sharedStrings.xml><?xml version="1.0" encoding="utf-8"?>
<sst xmlns="http://schemas.openxmlformats.org/spreadsheetml/2006/main" count="34" uniqueCount="27">
  <si>
    <t>MVA ajustada = { [ ( 1 + MVA-ST original ) x ( 1 - ALQ inter ) / ( 1 - ALQ intra ) ] - 1 } x 100</t>
  </si>
  <si>
    <t>MVA-ST original</t>
  </si>
  <si>
    <r>
      <t>ALQ inter</t>
    </r>
    <r>
      <rPr>
        <sz val="10"/>
        <rFont val="Arial"/>
      </rPr>
      <t>: é o coeficiente correspondente à alíquota interestadual aplicável à operação. Exemplo: 0,12.</t>
    </r>
  </si>
  <si>
    <r>
      <t>ALQ intra</t>
    </r>
    <r>
      <rPr>
        <sz val="10"/>
        <rFont val="Arial"/>
      </rPr>
      <t>: é o coeficiente correspondente à alíquota prevista neste Estado para as operações subseqüentes alcançadas pela substituição tributária. Exemplo: 0,18.</t>
    </r>
  </si>
  <si>
    <t>Percentual</t>
  </si>
  <si>
    <t>DECRETO 44.894 - Vigência a partir de 1º de Outubro</t>
  </si>
  <si>
    <t>Planilha para Cálculo da MVA Austada</t>
  </si>
  <si>
    <r>
      <t>MVA-ST original</t>
    </r>
    <r>
      <rPr>
        <sz val="10"/>
        <rFont val="Arial"/>
      </rPr>
      <t xml:space="preserve">: é o coeficiente correspondente à margem de valor agregado originalmente calculada </t>
    </r>
    <r>
      <rPr>
        <b/>
        <sz val="10"/>
        <rFont val="Arial"/>
        <family val="2"/>
      </rPr>
      <t>para as operações internas</t>
    </r>
    <r>
      <rPr>
        <sz val="10"/>
        <rFont val="Arial"/>
      </rPr>
      <t>. Para apuração da MVA Ajustada, a MVA ST original deve ser informada com quatro casas decimais. Exemplo: 0,4000.</t>
    </r>
  </si>
  <si>
    <t>MVA ajustada = [( A x B) - 1] x100</t>
  </si>
  <si>
    <t>A = ( 1 + MVA-ST original )</t>
  </si>
  <si>
    <t>B = ( 1 - ALQ inter ) / ( 1 - ALQ intra )</t>
  </si>
  <si>
    <r>
      <t>MVA ajustada</t>
    </r>
    <r>
      <rPr>
        <sz val="10"/>
        <rFont val="Arial"/>
      </rPr>
      <t>: É o percentual correspondente à margem de valor agregado (MVA) a ser utilizada para apuração da base de cálculo relativa à substituição tributária, decorrente de operação interestadual com as mercadorias constantes dos itens 15, 18 a 24 e 29 a 41, Parte 2 do Anexo XV.</t>
    </r>
  </si>
  <si>
    <t>Calcule</t>
  </si>
  <si>
    <t>Para cálculo da "MVA Ajustada" da mercadoria objeto de retenção do ICMS/ST, informe no quadro abaixo a MVA ST-Original (Parte 2 do Anexo XV) e a alíquota interna.</t>
  </si>
  <si>
    <t>Coeficientes</t>
  </si>
  <si>
    <t>MVA ajustada</t>
  </si>
  <si>
    <t>Item 14</t>
  </si>
  <si>
    <t>Acumulador elétrico - subitem 14.52</t>
  </si>
  <si>
    <t>ALQ interestadual %</t>
  </si>
  <si>
    <t>ALQ interna %</t>
  </si>
  <si>
    <t>Exemplos</t>
  </si>
  <si>
    <t>Item 18</t>
  </si>
  <si>
    <t>Persianas           - subitem 18.26</t>
  </si>
  <si>
    <t>Manta asfáltica   - subitem 18.28</t>
  </si>
  <si>
    <t>Pias                    - subitem 18.34</t>
  </si>
  <si>
    <t>Espelho              - subitem 18.42</t>
  </si>
  <si>
    <t>Outra forma de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</si>
</sst>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sz val="8"/>
      <name val="Arial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2" fontId="7" fillId="2" borderId="2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 applyProtection="1">
      <alignment horizontal="center"/>
    </xf>
    <xf numFmtId="164" fontId="7" fillId="0" borderId="1" xfId="0" applyNumberFormat="1" applyFont="1" applyBorder="1" applyAlignment="1" applyProtection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 xr3:uid="{AEA406A1-0E4B-5B11-9CD5-51D6E497D94C}">
      <selection activeCell="H26" sqref="H26"/>
    </sheetView>
  </sheetViews>
  <sheetFormatPr defaultRowHeight="12.75" x14ac:dyDescent="0.15"/>
  <cols>
    <col min="3" max="3" width="17.39453125" customWidth="1"/>
    <col min="4" max="4" width="21.7109375" customWidth="1"/>
    <col min="5" max="5" width="23.734375" customWidth="1"/>
    <col min="6" max="6" width="21.03515625" customWidth="1"/>
    <col min="7" max="7" width="20.359375" customWidth="1"/>
  </cols>
  <sheetData>
    <row r="1" spans="1:7" ht="7.5" customHeight="1" thickBot="1" x14ac:dyDescent="0.2"/>
    <row r="2" spans="1:7" ht="15" thickBot="1" x14ac:dyDescent="0.2">
      <c r="A2" s="30" t="s">
        <v>5</v>
      </c>
      <c r="B2" s="31"/>
      <c r="C2" s="31"/>
      <c r="D2" s="31"/>
      <c r="E2" s="31"/>
      <c r="F2" s="31"/>
      <c r="G2" s="32"/>
    </row>
    <row r="3" spans="1:7" ht="6.75" customHeight="1" x14ac:dyDescent="0.15">
      <c r="A3" s="5"/>
      <c r="B3" s="5"/>
      <c r="C3" s="5"/>
      <c r="D3" s="5"/>
      <c r="E3" s="5"/>
      <c r="F3" s="5"/>
      <c r="G3" s="5"/>
    </row>
    <row r="4" spans="1:7" ht="17.25" x14ac:dyDescent="0.2">
      <c r="A4" s="2" t="s">
        <v>0</v>
      </c>
      <c r="B4" s="1"/>
      <c r="C4" s="1"/>
      <c r="D4" s="1"/>
      <c r="E4" s="1"/>
      <c r="F4" s="1"/>
      <c r="G4" s="1"/>
    </row>
    <row r="6" spans="1:7" x14ac:dyDescent="0.15">
      <c r="A6" t="s">
        <v>26</v>
      </c>
    </row>
    <row r="8" spans="1:7" x14ac:dyDescent="0.15">
      <c r="B8" s="4" t="s">
        <v>8</v>
      </c>
    </row>
    <row r="10" spans="1:7" x14ac:dyDescent="0.15">
      <c r="B10" s="4" t="s">
        <v>9</v>
      </c>
    </row>
    <row r="12" spans="1:7" x14ac:dyDescent="0.15">
      <c r="B12" s="4" t="s">
        <v>10</v>
      </c>
    </row>
    <row r="15" spans="1:7" ht="47.25" customHeight="1" x14ac:dyDescent="0.15">
      <c r="A15" s="17" t="s">
        <v>11</v>
      </c>
      <c r="B15" s="17"/>
      <c r="C15" s="17"/>
      <c r="D15" s="17"/>
      <c r="E15" s="17"/>
      <c r="F15" s="17"/>
      <c r="G15" s="17"/>
    </row>
    <row r="16" spans="1:7" ht="34.5" customHeight="1" x14ac:dyDescent="0.15">
      <c r="A16" s="17" t="s">
        <v>7</v>
      </c>
      <c r="B16" s="17"/>
      <c r="C16" s="17"/>
      <c r="D16" s="17"/>
      <c r="E16" s="17"/>
      <c r="F16" s="17"/>
      <c r="G16" s="17"/>
    </row>
    <row r="17" spans="1:7" ht="24" customHeight="1" x14ac:dyDescent="0.15">
      <c r="A17" s="17" t="s">
        <v>2</v>
      </c>
      <c r="B17" s="17"/>
      <c r="C17" s="17"/>
      <c r="D17" s="17"/>
      <c r="E17" s="17"/>
      <c r="F17" s="17"/>
      <c r="G17" s="17"/>
    </row>
    <row r="18" spans="1:7" x14ac:dyDescent="0.15">
      <c r="A18" s="17" t="s">
        <v>3</v>
      </c>
      <c r="B18" s="17"/>
      <c r="C18" s="17"/>
      <c r="D18" s="17"/>
      <c r="E18" s="17"/>
      <c r="F18" s="17"/>
      <c r="G18" s="17"/>
    </row>
    <row r="19" spans="1:7" ht="21" customHeight="1" x14ac:dyDescent="0.15">
      <c r="A19" s="3"/>
      <c r="B19" s="3"/>
      <c r="C19" s="3"/>
      <c r="D19" s="3"/>
      <c r="E19" s="3"/>
      <c r="F19" s="3"/>
      <c r="G19" s="3"/>
    </row>
    <row r="20" spans="1:7" ht="17.25" customHeight="1" x14ac:dyDescent="0.15">
      <c r="A20" s="3" t="s">
        <v>12</v>
      </c>
      <c r="B20" s="3"/>
      <c r="C20" s="3"/>
      <c r="D20" s="3"/>
      <c r="E20" s="3"/>
      <c r="F20" s="3"/>
      <c r="G20" s="3"/>
    </row>
    <row r="21" spans="1:7" ht="30.75" customHeight="1" x14ac:dyDescent="0.15">
      <c r="A21" s="17" t="s">
        <v>13</v>
      </c>
      <c r="B21" s="17"/>
      <c r="C21" s="17"/>
      <c r="D21" s="17"/>
      <c r="E21" s="17"/>
      <c r="F21" s="17"/>
      <c r="G21" s="17"/>
    </row>
    <row r="22" spans="1:7" ht="17.25" customHeight="1" x14ac:dyDescent="0.15">
      <c r="A22" s="3"/>
      <c r="B22" s="3"/>
      <c r="C22" s="3"/>
      <c r="D22" s="3"/>
      <c r="E22" s="3"/>
      <c r="F22" s="3"/>
      <c r="G22" s="3"/>
    </row>
    <row r="23" spans="1:7" ht="15.75" customHeight="1" x14ac:dyDescent="0.15">
      <c r="A23" s="3"/>
      <c r="B23" s="3"/>
      <c r="C23" s="3"/>
      <c r="D23" s="3"/>
      <c r="E23" s="3"/>
      <c r="F23" s="3"/>
      <c r="G23" s="3"/>
    </row>
    <row r="24" spans="1:7" ht="13.5" thickBot="1" x14ac:dyDescent="0.2">
      <c r="A24" t="s">
        <v>20</v>
      </c>
    </row>
    <row r="25" spans="1:7" s="9" customFormat="1" ht="22.5" customHeight="1" thickBot="1" x14ac:dyDescent="0.2">
      <c r="A25" s="27" t="s">
        <v>6</v>
      </c>
      <c r="B25" s="28"/>
      <c r="C25" s="28"/>
      <c r="D25" s="28"/>
      <c r="E25" s="28"/>
      <c r="F25" s="28"/>
      <c r="G25" s="29"/>
    </row>
    <row r="26" spans="1:7" ht="13.5" x14ac:dyDescent="0.15">
      <c r="A26" s="18" t="s">
        <v>16</v>
      </c>
      <c r="B26" s="19"/>
      <c r="C26" s="20"/>
      <c r="D26" s="24" t="s">
        <v>14</v>
      </c>
      <c r="E26" s="25"/>
      <c r="F26" s="26"/>
      <c r="G26" s="6" t="s">
        <v>4</v>
      </c>
    </row>
    <row r="27" spans="1:7" ht="13.5" x14ac:dyDescent="0.15">
      <c r="A27" s="21"/>
      <c r="B27" s="22"/>
      <c r="C27" s="23"/>
      <c r="D27" s="7" t="s">
        <v>1</v>
      </c>
      <c r="E27" s="7" t="s">
        <v>18</v>
      </c>
      <c r="F27" s="7" t="s">
        <v>19</v>
      </c>
      <c r="G27" s="8" t="s">
        <v>15</v>
      </c>
    </row>
    <row r="28" spans="1:7" ht="13.5" x14ac:dyDescent="0.15">
      <c r="A28" s="14" t="s">
        <v>17</v>
      </c>
      <c r="B28" s="15"/>
      <c r="C28" s="16"/>
      <c r="D28" s="10">
        <v>40</v>
      </c>
      <c r="E28" s="12">
        <v>12</v>
      </c>
      <c r="F28" s="11">
        <v>18</v>
      </c>
      <c r="G28" s="13">
        <f>(((1+(D28/100))*(1-(E28/100))/(1-(F28/100)))-1)*100</f>
        <v>50.243902439024367</v>
      </c>
    </row>
    <row r="29" spans="1:7" ht="12.75" customHeight="1" x14ac:dyDescent="0.15"/>
    <row r="30" spans="1:7" ht="12.75" customHeight="1" thickBot="1" x14ac:dyDescent="0.2"/>
    <row r="31" spans="1:7" ht="24" customHeight="1" thickBot="1" x14ac:dyDescent="0.2">
      <c r="A31" s="27" t="s">
        <v>6</v>
      </c>
      <c r="B31" s="28"/>
      <c r="C31" s="28"/>
      <c r="D31" s="28"/>
      <c r="E31" s="28"/>
      <c r="F31" s="28"/>
      <c r="G31" s="29"/>
    </row>
    <row r="32" spans="1:7" ht="13.5" x14ac:dyDescent="0.15">
      <c r="A32" s="18" t="s">
        <v>21</v>
      </c>
      <c r="B32" s="19"/>
      <c r="C32" s="20"/>
      <c r="D32" s="24" t="s">
        <v>14</v>
      </c>
      <c r="E32" s="25"/>
      <c r="F32" s="26"/>
      <c r="G32" s="6" t="s">
        <v>4</v>
      </c>
    </row>
    <row r="33" spans="1:7" ht="13.5" x14ac:dyDescent="0.15">
      <c r="A33" s="21"/>
      <c r="B33" s="22"/>
      <c r="C33" s="23"/>
      <c r="D33" s="7" t="s">
        <v>1</v>
      </c>
      <c r="E33" s="7" t="s">
        <v>18</v>
      </c>
      <c r="F33" s="7" t="s">
        <v>19</v>
      </c>
      <c r="G33" s="8" t="s">
        <v>15</v>
      </c>
    </row>
    <row r="34" spans="1:7" ht="13.5" x14ac:dyDescent="0.15">
      <c r="A34" s="14" t="s">
        <v>22</v>
      </c>
      <c r="B34" s="15"/>
      <c r="C34" s="16"/>
      <c r="D34" s="10">
        <v>75</v>
      </c>
      <c r="E34" s="12">
        <v>12</v>
      </c>
      <c r="F34" s="11">
        <v>18</v>
      </c>
      <c r="G34" s="13">
        <f>(((1+(D34/100))*(1-(E34/100))/(1-(F34/100)))-1)*100</f>
        <v>87.804878048780481</v>
      </c>
    </row>
    <row r="35" spans="1:7" ht="13.5" x14ac:dyDescent="0.15">
      <c r="A35" s="14" t="s">
        <v>23</v>
      </c>
      <c r="B35" s="15"/>
      <c r="C35" s="16"/>
      <c r="D35" s="10">
        <v>35</v>
      </c>
      <c r="E35" s="12">
        <v>12</v>
      </c>
      <c r="F35" s="11">
        <v>18</v>
      </c>
      <c r="G35" s="13">
        <f>(((1+(D35/100))*(1-(E35/100))/(1-(F35/100)))-1)*100</f>
        <v>44.878048780487823</v>
      </c>
    </row>
    <row r="36" spans="1:7" ht="13.5" x14ac:dyDescent="0.15">
      <c r="A36" s="14" t="s">
        <v>24</v>
      </c>
      <c r="B36" s="15"/>
      <c r="C36" s="16"/>
      <c r="D36" s="10">
        <v>35</v>
      </c>
      <c r="E36" s="12">
        <v>12</v>
      </c>
      <c r="F36" s="11">
        <v>12</v>
      </c>
      <c r="G36" s="13">
        <f>(((1+(D36/100))*(1-(E36/100))/(1-(F36/100)))-1)*100</f>
        <v>35.000000000000007</v>
      </c>
    </row>
    <row r="37" spans="1:7" ht="13.5" x14ac:dyDescent="0.15">
      <c r="A37" s="14" t="s">
        <v>25</v>
      </c>
      <c r="B37" s="15"/>
      <c r="C37" s="16"/>
      <c r="D37" s="10">
        <v>45</v>
      </c>
      <c r="E37" s="12">
        <v>12</v>
      </c>
      <c r="F37" s="11">
        <v>18</v>
      </c>
      <c r="G37" s="13">
        <f>(((1+(D37/100))*(1-(E37/100))/(1-(F37/100)))-1)*100</f>
        <v>55.609756097560961</v>
      </c>
    </row>
  </sheetData>
  <sheetProtection selectLockedCells="1" selectUnlockedCells="1"/>
  <mergeCells count="17">
    <mergeCell ref="A2:G2"/>
    <mergeCell ref="A16:G16"/>
    <mergeCell ref="A25:G25"/>
    <mergeCell ref="A35:C35"/>
    <mergeCell ref="A36:C36"/>
    <mergeCell ref="A37:C37"/>
    <mergeCell ref="A15:G15"/>
    <mergeCell ref="A17:G17"/>
    <mergeCell ref="A18:G18"/>
    <mergeCell ref="A26:C27"/>
    <mergeCell ref="D26:F26"/>
    <mergeCell ref="A21:G21"/>
    <mergeCell ref="A28:C28"/>
    <mergeCell ref="A34:C34"/>
    <mergeCell ref="A31:G31"/>
    <mergeCell ref="A32:C33"/>
    <mergeCell ref="D32:F32"/>
  </mergeCells>
  <phoneticPr fontId="4" type="noConversion"/>
  <printOptions horizontalCentered="1"/>
  <pageMargins left="0.78740157480314965" right="0.78740157480314965" top="0.98425196850393704" bottom="0.87" header="0.51181102362204722" footer="0.51181102362204722"/>
  <pageSetup paperSize="9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2.75" x14ac:dyDescent="0.15"/>
  <sheetData/>
  <phoneticPr fontId="4" type="noConversion"/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 x14ac:dyDescent="0.15"/>
  <sheetData/>
  <phoneticPr fontId="4" type="noConversion"/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</dc:creator>
  <cp:lastModifiedBy>X</cp:lastModifiedBy>
  <cp:lastPrinted>2008-09-24T13:54:46Z</cp:lastPrinted>
  <dcterms:created xsi:type="dcterms:W3CDTF">2008-08-08T13:37:49Z</dcterms:created>
  <dcterms:modified xsi:type="dcterms:W3CDTF">2018-02-26T02:38:43Z</dcterms:modified>
</cp:coreProperties>
</file>