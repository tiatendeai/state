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lberto\Documents\Gilberto\Curso - Giba a distância\Planilhas enviadas para o Grupo ou outras pessoas\"/>
    </mc:Choice>
  </mc:AlternateContent>
  <bookViews>
    <workbookView xWindow="0" yWindow="0" windowWidth="14370" windowHeight="4410"/>
  </bookViews>
  <sheets>
    <sheet name="Comentários" sheetId="3" r:id="rId1"/>
    <sheet name="RAIS_digitar" sheetId="5" r:id="rId2"/>
    <sheet name="Multa 40%" sheetId="4" r:id="rId3"/>
    <sheet name="Aviso Indenizado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4" l="1"/>
  <c r="G15" i="4"/>
  <c r="P25" i="5" l="1"/>
  <c r="P23" i="5" l="1"/>
  <c r="G13" i="4" l="1"/>
  <c r="P22" i="5"/>
  <c r="O18" i="5" l="1"/>
  <c r="N18" i="5"/>
  <c r="M18" i="5"/>
  <c r="L18" i="5"/>
  <c r="K18" i="5"/>
  <c r="J18" i="5"/>
  <c r="I18" i="5"/>
  <c r="H18" i="5"/>
  <c r="G18" i="5"/>
  <c r="F18" i="5"/>
  <c r="E18" i="5"/>
  <c r="D18" i="5"/>
  <c r="P28" i="5" l="1"/>
  <c r="P35" i="5"/>
  <c r="P34" i="5"/>
  <c r="P33" i="5"/>
  <c r="P32" i="5"/>
  <c r="P31" i="5"/>
  <c r="P30" i="5"/>
  <c r="P27" i="5"/>
  <c r="P26" i="5"/>
  <c r="G10" i="4" l="1"/>
  <c r="G9" i="4"/>
  <c r="F10" i="4"/>
  <c r="E10" i="4"/>
</calcChain>
</file>

<file path=xl/sharedStrings.xml><?xml version="1.0" encoding="utf-8"?>
<sst xmlns="http://schemas.openxmlformats.org/spreadsheetml/2006/main" count="123" uniqueCount="88">
  <si>
    <t>Salário</t>
  </si>
  <si>
    <t>Desc. Salário pago maior</t>
  </si>
  <si>
    <t>Diferença de Salário</t>
  </si>
  <si>
    <t>Desc. Faltas + DSR + Atrasos</t>
  </si>
  <si>
    <t>Folha</t>
  </si>
  <si>
    <t>Prêmios / Comissão</t>
  </si>
  <si>
    <t>Total Remuneração</t>
  </si>
  <si>
    <t>Contribuição Sindical</t>
  </si>
  <si>
    <t>Contribuição Assistencial</t>
  </si>
  <si>
    <t>Contribuição Confederativa</t>
  </si>
  <si>
    <t>Aviso Prévio Indenizado</t>
  </si>
  <si>
    <t>Férias pagas em rescisão + 1/3</t>
  </si>
  <si>
    <t>13º Salário - 1ª parcela</t>
  </si>
  <si>
    <t>13º Salário - 2ª parcela</t>
  </si>
  <si>
    <t>Banco de Horas pago na rescisão</t>
  </si>
  <si>
    <t>Multa FGTS - 40%</t>
  </si>
  <si>
    <t xml:space="preserve">Outros proventos </t>
  </si>
  <si>
    <t>Outros proventos</t>
  </si>
  <si>
    <t>EVENTOS</t>
  </si>
  <si>
    <t xml:space="preserve">Saldo para fins rescisórios </t>
  </si>
  <si>
    <t>Mês Anterior a</t>
  </si>
  <si>
    <t>Mês Rescisão</t>
  </si>
  <si>
    <t>Aviso Prévio</t>
  </si>
  <si>
    <t>Multa Rescisória</t>
  </si>
  <si>
    <t>Rescisão</t>
  </si>
  <si>
    <t>Indenizado</t>
  </si>
  <si>
    <t>Remuneração/Saldo</t>
  </si>
  <si>
    <t>Depósito</t>
  </si>
  <si>
    <t>JAM</t>
  </si>
  <si>
    <t>Encargos</t>
  </si>
  <si>
    <t>Contrib. Social</t>
  </si>
  <si>
    <t>Valor do Trabalhador:</t>
  </si>
  <si>
    <t>Valor Devido pela Empresa</t>
  </si>
  <si>
    <t xml:space="preserve">Digitar somente nos campos que estão na cor: </t>
  </si>
  <si>
    <t>Adicional por Tempo de Serviço</t>
  </si>
  <si>
    <t>* COMENTÁRIOS *</t>
  </si>
  <si>
    <t>Remuneração</t>
  </si>
  <si>
    <t>Sindicais</t>
  </si>
  <si>
    <t>Reajuste Coletivo</t>
  </si>
  <si>
    <t>Gratificações</t>
  </si>
  <si>
    <t>Verbas Rescisão</t>
  </si>
  <si>
    <t>Contribuição Associativa</t>
  </si>
  <si>
    <t>RAIS é regime COMPETÊNCIA, ou seja, O fato gerador, o período da realização,  o mês que se refere a folha de pagamento.</t>
  </si>
  <si>
    <r>
      <t xml:space="preserve">ATENÇÃO </t>
    </r>
    <r>
      <rPr>
        <b/>
        <sz val="11"/>
        <color theme="1"/>
        <rFont val="Calibri"/>
        <family val="2"/>
        <scheme val="minor"/>
      </rPr>
      <t/>
    </r>
  </si>
  <si>
    <t xml:space="preserve">      Para iniciar a digitação é só clicar no botão em frente "RAIS_digitar"</t>
  </si>
  <si>
    <r>
      <t xml:space="preserve"> A partir de </t>
    </r>
    <r>
      <rPr>
        <b/>
        <sz val="11"/>
        <color theme="1"/>
        <rFont val="Calibri"/>
        <family val="2"/>
        <scheme val="minor"/>
      </rPr>
      <t>"13º Salário - 1ª parcela"</t>
    </r>
    <r>
      <rPr>
        <sz val="11"/>
        <color theme="1"/>
        <rFont val="Calibri"/>
        <family val="2"/>
        <scheme val="minor"/>
      </rPr>
      <t xml:space="preserve"> (linha 22) até </t>
    </r>
    <r>
      <rPr>
        <b/>
        <sz val="11"/>
        <color theme="1"/>
        <rFont val="Calibri"/>
        <family val="2"/>
        <scheme val="minor"/>
      </rPr>
      <t>"Grafificações"</t>
    </r>
    <r>
      <rPr>
        <sz val="11"/>
        <color theme="1"/>
        <rFont val="Calibri"/>
        <family val="2"/>
        <scheme val="minor"/>
      </rPr>
      <t xml:space="preserve"> (linha 35), conferir pelo "</t>
    </r>
    <r>
      <rPr>
        <b/>
        <sz val="11"/>
        <color theme="1"/>
        <rFont val="Calibri"/>
        <family val="2"/>
        <scheme val="minor"/>
      </rPr>
      <t>Total Ano"</t>
    </r>
    <r>
      <rPr>
        <sz val="11"/>
        <color theme="1"/>
        <rFont val="Calibri"/>
        <family val="2"/>
        <scheme val="minor"/>
      </rPr>
      <t xml:space="preserve"> (coluna P)</t>
    </r>
  </si>
  <si>
    <t>Férias (gozadas)</t>
  </si>
  <si>
    <t>1/3 Férias (gozadas)</t>
  </si>
  <si>
    <r>
      <t>específicos em "</t>
    </r>
    <r>
      <rPr>
        <b/>
        <sz val="11"/>
        <color theme="1"/>
        <rFont val="Calibri"/>
        <family val="2"/>
        <scheme val="minor"/>
      </rPr>
      <t>Verbas Rescisão</t>
    </r>
    <r>
      <rPr>
        <sz val="11"/>
        <color theme="1"/>
        <rFont val="Calibri"/>
        <family val="2"/>
        <scheme val="minor"/>
      </rPr>
      <t>"</t>
    </r>
  </si>
  <si>
    <t>Quando for horas fracionadas, arredondar os valores, até 30 minutos para baixo, acima de 30 minutos, arredondar para cima.  Exemplo: 1h30min=1h e 2h35min=3hs.</t>
  </si>
  <si>
    <t>Na linha "23"  13º  Salário - 2ª parcela, digitar o total bruto do 13º, ou seja, sem abater a primeira parcela. No campo onde você irá fazer a conferencia (coluna P) já tem fórmula</t>
  </si>
  <si>
    <t>para abater o valor da 1ª parcela.</t>
  </si>
  <si>
    <t>Na linha "20" deverão ser informadas as quantidades de horas extras e não os valores, seguindo a regra abaixo:</t>
  </si>
  <si>
    <t>Para conferência, imprima a ficha financeira de alguns funcionários de 01/2018 a 12/2018. Caso seu sistema tenha a opção, imprimir também o relatório de conferência da RAIS.</t>
  </si>
  <si>
    <t>RESCISÃO_RAIS / AVISO PRÉVIO INDENIZADO</t>
  </si>
  <si>
    <t>Caso 1</t>
  </si>
  <si>
    <t>Demissão</t>
  </si>
  <si>
    <t>Caso 2</t>
  </si>
  <si>
    <t>Projeção do Aviso:</t>
  </si>
  <si>
    <t>Exemplo:</t>
  </si>
  <si>
    <t>Data de demissão:</t>
  </si>
  <si>
    <t>Data da projeção:</t>
  </si>
  <si>
    <t>Informar saldo de salário pago em rescisão ?</t>
  </si>
  <si>
    <r>
      <rPr>
        <b/>
        <sz val="11"/>
        <color theme="8" tint="-0.499984740745262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, no campo "Remuneração"</t>
    </r>
  </si>
  <si>
    <t>Informar valor do aviso prèvio indenizado ?</t>
  </si>
  <si>
    <r>
      <rPr>
        <b/>
        <sz val="11"/>
        <color theme="8" tint="-0.499984740745262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, no campo "Aviso Prévio Indenizado"</t>
    </r>
  </si>
  <si>
    <r>
      <rPr>
        <b/>
        <sz val="11"/>
        <color rgb="FFFF0000"/>
        <rFont val="Calibri"/>
        <family val="2"/>
        <scheme val="minor"/>
      </rPr>
      <t>NÃO</t>
    </r>
    <r>
      <rPr>
        <sz val="11"/>
        <color theme="1"/>
        <rFont val="Calibri"/>
        <family val="2"/>
        <scheme val="minor"/>
      </rPr>
      <t>, somente na RAIS ano calendário  2019</t>
    </r>
  </si>
  <si>
    <t>Informar demais verbas pagas em rescisão ?</t>
  </si>
  <si>
    <r>
      <rPr>
        <b/>
        <sz val="11"/>
        <color theme="8" tint="-0.499984740745262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, nos campos especificos</t>
    </r>
  </si>
  <si>
    <r>
      <t xml:space="preserve">► O </t>
    </r>
    <r>
      <rPr>
        <b/>
        <sz val="11"/>
        <color theme="8" tint="-0.499984740745262"/>
        <rFont val="Calibri"/>
        <family val="2"/>
        <scheme val="minor"/>
      </rPr>
      <t>"Total de Remuneração"</t>
    </r>
    <r>
      <rPr>
        <sz val="11"/>
        <color theme="1"/>
        <rFont val="Calibri"/>
        <family val="2"/>
        <scheme val="minor"/>
      </rPr>
      <t xml:space="preserve">  (Linha 18) e </t>
    </r>
    <r>
      <rPr>
        <b/>
        <sz val="11"/>
        <color theme="1"/>
        <rFont val="Calibri"/>
        <family val="2"/>
        <scheme val="minor"/>
      </rPr>
      <t>"</t>
    </r>
    <r>
      <rPr>
        <b/>
        <sz val="11"/>
        <color theme="8" tint="-0.499984740745262"/>
        <rFont val="Calibri"/>
        <family val="2"/>
        <scheme val="minor"/>
      </rPr>
      <t>H.Extras - Quantidade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  (Linha 20), tem que conferir pelos totais de cada mês, porque a RAIS não totaliza os 12 meses.</t>
    </r>
  </si>
  <si>
    <r>
      <t xml:space="preserve">► </t>
    </r>
    <r>
      <rPr>
        <b/>
        <sz val="11"/>
        <color theme="8" tint="-0.499984740745262"/>
        <rFont val="Calibri"/>
        <family val="2"/>
        <scheme val="minor"/>
      </rPr>
      <t>Aviso Indenizado</t>
    </r>
    <r>
      <rPr>
        <sz val="11"/>
        <color theme="1"/>
        <rFont val="Calibri"/>
        <family val="2"/>
        <scheme val="minor"/>
      </rPr>
      <t xml:space="preserve"> : O valor do aviso prévio indenizado e demais verbas rescisórias, </t>
    </r>
    <r>
      <rPr>
        <b/>
        <u/>
        <sz val="11"/>
        <color theme="1"/>
        <rFont val="Calibri"/>
        <family val="2"/>
        <scheme val="minor"/>
      </rPr>
      <t>SÓ DEVERÃO SER INFORMADOS</t>
    </r>
    <r>
      <rPr>
        <sz val="11"/>
        <color theme="1"/>
        <rFont val="Calibri"/>
        <family val="2"/>
        <scheme val="minor"/>
      </rPr>
      <t xml:space="preserve"> caso a</t>
    </r>
    <r>
      <rPr>
        <b/>
        <u/>
        <sz val="11"/>
        <color theme="1"/>
        <rFont val="Calibri"/>
        <family val="2"/>
        <scheme val="minor"/>
      </rPr>
      <t xml:space="preserve"> projeção do aviso tenha ocorrido em 2018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</si>
  <si>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► </t>
    </r>
    <r>
      <rPr>
        <b/>
        <sz val="11"/>
        <color theme="8" tint="-0.499984740745262"/>
        <rFont val="Calibri"/>
        <family val="2"/>
        <scheme val="minor"/>
      </rPr>
      <t>O valor da multa dos 40% do FGTS</t>
    </r>
    <r>
      <rPr>
        <sz val="11"/>
        <color theme="1"/>
        <rFont val="Calibri"/>
        <family val="2"/>
        <scheme val="minor"/>
      </rPr>
      <t xml:space="preserve"> (linha 32) não é o valor devido ao trabalhador que consta na GRRF, pois nele esta somando o FGTS do mês da rescisão e/ou do</t>
    </r>
  </si>
  <si>
    <r>
      <t xml:space="preserve"> aviso indenizado. </t>
    </r>
    <r>
      <rPr>
        <b/>
        <u/>
        <sz val="11"/>
        <color theme="1"/>
        <rFont val="Calibri"/>
        <family val="2"/>
        <scheme val="minor"/>
      </rPr>
      <t>O que deve ser informado é somente os 40%</t>
    </r>
    <r>
      <rPr>
        <sz val="11"/>
        <color theme="1"/>
        <rFont val="Calibri"/>
        <family val="2"/>
        <scheme val="minor"/>
      </rPr>
      <t xml:space="preserve"> que é o cálculo sobre o saldo da Multa Rescisória que esta na GRRF.</t>
    </r>
  </si>
  <si>
    <r>
      <t>►</t>
    </r>
    <r>
      <rPr>
        <b/>
        <sz val="11"/>
        <color theme="8" tint="-0.499984740745262"/>
        <rFont val="Calibri"/>
        <family val="2"/>
        <scheme val="minor"/>
      </rPr>
      <t>DEMITIDO</t>
    </r>
    <r>
      <rPr>
        <b/>
        <sz val="11"/>
        <color theme="1"/>
        <rFont val="Calibri"/>
        <family val="2"/>
        <scheme val="minor"/>
      </rPr>
      <t xml:space="preserve"> :  </t>
    </r>
    <r>
      <rPr>
        <sz val="11"/>
        <color theme="1"/>
        <rFont val="Calibri"/>
        <family val="2"/>
        <scheme val="minor"/>
      </rPr>
      <t>No mês do desligamento, em</t>
    </r>
    <r>
      <rPr>
        <b/>
        <sz val="11"/>
        <color theme="1"/>
        <rFont val="Calibri"/>
        <family val="2"/>
        <scheme val="minor"/>
      </rPr>
      <t xml:space="preserve"> "Remuneração",  </t>
    </r>
    <r>
      <rPr>
        <sz val="11"/>
        <color theme="1"/>
        <rFont val="Calibri"/>
        <family val="2"/>
        <scheme val="minor"/>
      </rPr>
      <t>deve ser informado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somente o valor referente o saldo de salário</t>
    </r>
    <r>
      <rPr>
        <b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os demais eventos informar nos campos</t>
    </r>
  </si>
  <si>
    <t>Clique no botão  "Multa 40" indicado pela setinha e veja exemplo:</t>
  </si>
  <si>
    <r>
      <rPr>
        <b/>
        <sz val="11"/>
        <color theme="8" tint="-0.499984740745262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Tem alguns campos que terá que digitar a soma dos dois eventos, exemplo, H.Extras + DSR (Fiz assim para a planilha não ficar muito extensa)</t>
    </r>
  </si>
  <si>
    <t>Horas Extras  + DSR</t>
  </si>
  <si>
    <t>Adicional Noturno + DSR</t>
  </si>
  <si>
    <t>Horas Extras - Quantidade</t>
  </si>
  <si>
    <t>RAIS - ANO CALENDÁRIO 2018 - Planilha para Conferência</t>
  </si>
  <si>
    <r>
      <rPr>
        <b/>
        <u/>
        <sz val="11"/>
        <color theme="1"/>
        <rFont val="Calibri"/>
        <family val="2"/>
        <scheme val="minor"/>
      </rPr>
      <t>Se a projeção ocorreu em 2019</t>
    </r>
    <r>
      <rPr>
        <sz val="11"/>
        <color theme="1"/>
        <rFont val="Calibri"/>
        <family val="2"/>
        <scheme val="minor"/>
      </rPr>
      <t xml:space="preserve">, informar somente o </t>
    </r>
    <r>
      <rPr>
        <b/>
        <sz val="11"/>
        <color theme="1"/>
        <rFont val="Calibri"/>
        <family val="2"/>
        <scheme val="minor"/>
      </rPr>
      <t>saldo de salário</t>
    </r>
    <r>
      <rPr>
        <sz val="11"/>
        <color theme="1"/>
        <rFont val="Calibri"/>
        <family val="2"/>
        <scheme val="minor"/>
      </rPr>
      <t>, no campo Remuneração.</t>
    </r>
  </si>
  <si>
    <t>Caso 3</t>
  </si>
  <si>
    <r>
      <rPr>
        <b/>
        <sz val="11"/>
        <color rgb="FFFF0000"/>
        <rFont val="Calibri"/>
        <family val="2"/>
        <scheme val="minor"/>
      </rPr>
      <t>NÃO</t>
    </r>
    <r>
      <rPr>
        <sz val="11"/>
        <color theme="1"/>
        <rFont val="Calibri"/>
        <family val="2"/>
        <scheme val="minor"/>
      </rPr>
      <t>, já foi informado na RAIS ano calendário 2017</t>
    </r>
  </si>
  <si>
    <t>Informar data de desligamento ?</t>
  </si>
  <si>
    <r>
      <rPr>
        <b/>
        <sz val="11"/>
        <color theme="8" tint="-0.499984740745262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, no campo especifico</t>
    </r>
  </si>
  <si>
    <t>Clique no botão  "Aviso Indenizado" indicado pela setinha e veja exemplos:</t>
  </si>
  <si>
    <r>
      <rPr>
        <b/>
        <sz val="11"/>
        <color rgb="FFFF0000"/>
        <rFont val="Calibri"/>
        <family val="2"/>
        <scheme val="minor"/>
      </rPr>
      <t>ATENÇÃO</t>
    </r>
    <r>
      <rPr>
        <b/>
        <sz val="11"/>
        <color theme="1"/>
        <rFont val="Calibri"/>
        <family val="2"/>
        <scheme val="minor"/>
      </rPr>
      <t xml:space="preserve"> : O campo abaixo não tem nesta planilha, é somente para conhecimento e conferência no aplicativo GDRais 2018.</t>
    </r>
  </si>
  <si>
    <t>Depois do término da digitação, confira os valores desta planiha, com os valores que foram importados para o aplicativo da GDRais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</si>
</sst>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" fontId="1" fillId="5" borderId="1" xfId="0" applyNumberFormat="1" applyFont="1" applyFill="1" applyBorder="1" applyAlignment="1" applyProtection="1">
      <alignment vertical="center"/>
      <protection locked="0"/>
    </xf>
    <xf numFmtId="4" fontId="1" fillId="5" borderId="19" xfId="0" applyNumberFormat="1" applyFont="1" applyFill="1" applyBorder="1" applyAlignment="1" applyProtection="1">
      <alignment vertical="center"/>
      <protection locked="0"/>
    </xf>
    <xf numFmtId="4" fontId="1" fillId="5" borderId="20" xfId="0" applyNumberFormat="1" applyFont="1" applyFill="1" applyBorder="1" applyAlignment="1" applyProtection="1">
      <alignment vertical="center"/>
      <protection locked="0"/>
    </xf>
    <xf numFmtId="4" fontId="1" fillId="5" borderId="22" xfId="0" applyNumberFormat="1" applyFont="1" applyFill="1" applyBorder="1" applyAlignment="1" applyProtection="1">
      <alignment vertical="center"/>
      <protection locked="0"/>
    </xf>
    <xf numFmtId="4" fontId="1" fillId="5" borderId="24" xfId="0" applyNumberFormat="1" applyFont="1" applyFill="1" applyBorder="1" applyAlignment="1" applyProtection="1">
      <alignment vertical="center"/>
      <protection locked="0"/>
    </xf>
    <xf numFmtId="4" fontId="1" fillId="5" borderId="25" xfId="0" applyNumberFormat="1" applyFont="1" applyFill="1" applyBorder="1" applyAlignment="1" applyProtection="1">
      <alignment vertical="center"/>
      <protection locked="0"/>
    </xf>
    <xf numFmtId="0" fontId="0" fillId="3" borderId="0" xfId="0" applyFill="1"/>
    <xf numFmtId="0" fontId="0" fillId="10" borderId="10" xfId="0" applyFill="1" applyBorder="1"/>
    <xf numFmtId="0" fontId="0" fillId="10" borderId="11" xfId="0" applyFill="1" applyBorder="1"/>
    <xf numFmtId="0" fontId="0" fillId="10" borderId="14" xfId="0" applyFill="1" applyBorder="1"/>
    <xf numFmtId="0" fontId="0" fillId="10" borderId="8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0" xfId="0" applyFill="1" applyBorder="1"/>
    <xf numFmtId="0" fontId="0" fillId="9" borderId="0" xfId="0" applyFill="1"/>
    <xf numFmtId="0" fontId="0" fillId="9" borderId="0" xfId="0" applyFill="1" applyBorder="1"/>
    <xf numFmtId="0" fontId="0" fillId="10" borderId="32" xfId="0" applyFill="1" applyBorder="1"/>
    <xf numFmtId="0" fontId="0" fillId="10" borderId="33" xfId="0" applyFill="1" applyBorder="1"/>
    <xf numFmtId="0" fontId="0" fillId="10" borderId="34" xfId="0" applyFill="1" applyBorder="1"/>
    <xf numFmtId="0" fontId="0" fillId="10" borderId="35" xfId="0" applyFill="1" applyBorder="1"/>
    <xf numFmtId="0" fontId="0" fillId="10" borderId="36" xfId="0" applyFill="1" applyBorder="1"/>
    <xf numFmtId="0" fontId="0" fillId="10" borderId="37" xfId="0" applyFill="1" applyBorder="1"/>
    <xf numFmtId="0" fontId="0" fillId="10" borderId="38" xfId="0" applyFill="1" applyBorder="1"/>
    <xf numFmtId="0" fontId="0" fillId="10" borderId="39" xfId="0" applyFill="1" applyBorder="1"/>
    <xf numFmtId="0" fontId="0" fillId="10" borderId="40" xfId="0" applyFill="1" applyBorder="1"/>
    <xf numFmtId="0" fontId="0" fillId="10" borderId="41" xfId="0" applyFill="1" applyBorder="1"/>
    <xf numFmtId="0" fontId="0" fillId="5" borderId="42" xfId="0" applyFill="1" applyBorder="1"/>
    <xf numFmtId="4" fontId="1" fillId="5" borderId="43" xfId="0" applyNumberFormat="1" applyFont="1" applyFill="1" applyBorder="1" applyAlignment="1" applyProtection="1">
      <alignment vertical="center"/>
      <protection locked="0"/>
    </xf>
    <xf numFmtId="4" fontId="1" fillId="5" borderId="44" xfId="0" applyNumberFormat="1" applyFont="1" applyFill="1" applyBorder="1" applyAlignment="1" applyProtection="1">
      <alignment vertical="center"/>
      <protection locked="0"/>
    </xf>
    <xf numFmtId="4" fontId="1" fillId="5" borderId="45" xfId="0" applyNumberFormat="1" applyFont="1" applyFill="1" applyBorder="1" applyAlignment="1" applyProtection="1">
      <alignment vertical="center"/>
      <protection locked="0"/>
    </xf>
    <xf numFmtId="0" fontId="0" fillId="3" borderId="0" xfId="0" applyFill="1" applyProtection="1">
      <protection hidden="1"/>
    </xf>
    <xf numFmtId="0" fontId="0" fillId="0" borderId="0" xfId="0" applyProtection="1">
      <protection hidden="1"/>
    </xf>
    <xf numFmtId="0" fontId="8" fillId="3" borderId="7" xfId="0" applyFont="1" applyFill="1" applyBorder="1" applyAlignment="1" applyProtection="1">
      <alignment horizontal="center" vertical="center"/>
      <protection hidden="1"/>
    </xf>
    <xf numFmtId="164" fontId="8" fillId="3" borderId="6" xfId="0" applyNumberFormat="1" applyFont="1" applyFill="1" applyBorder="1" applyAlignment="1" applyProtection="1">
      <alignment horizontal="center" vertical="center"/>
      <protection hidden="1"/>
    </xf>
    <xf numFmtId="0" fontId="4" fillId="6" borderId="30" xfId="0" applyFont="1" applyFill="1" applyBorder="1" applyAlignment="1" applyProtection="1">
      <alignment vertical="center"/>
      <protection hidden="1"/>
    </xf>
    <xf numFmtId="164" fontId="4" fillId="6" borderId="30" xfId="0" applyNumberFormat="1" applyFont="1" applyFill="1" applyBorder="1" applyAlignment="1" applyProtection="1">
      <alignment vertical="center"/>
      <protection hidden="1"/>
    </xf>
    <xf numFmtId="2" fontId="0" fillId="3" borderId="0" xfId="0" applyNumberFormat="1" applyFill="1" applyProtection="1">
      <protection hidden="1"/>
    </xf>
    <xf numFmtId="0" fontId="1" fillId="2" borderId="31" xfId="0" applyFont="1" applyFill="1" applyBorder="1" applyAlignment="1" applyProtection="1">
      <alignment vertical="center"/>
      <protection hidden="1"/>
    </xf>
    <xf numFmtId="4" fontId="1" fillId="2" borderId="24" xfId="0" applyNumberFormat="1" applyFont="1" applyFill="1" applyBorder="1" applyAlignment="1" applyProtection="1">
      <alignment vertical="center"/>
      <protection hidden="1"/>
    </xf>
    <xf numFmtId="0" fontId="1" fillId="2" borderId="30" xfId="0" applyFont="1" applyFill="1" applyBorder="1" applyAlignment="1" applyProtection="1">
      <alignment vertical="center"/>
      <protection hidden="1"/>
    </xf>
    <xf numFmtId="0" fontId="4" fillId="6" borderId="29" xfId="0" applyFont="1" applyFill="1" applyBorder="1" applyAlignment="1" applyProtection="1">
      <alignment vertical="center"/>
      <protection hidden="1"/>
    </xf>
    <xf numFmtId="4" fontId="1" fillId="2" borderId="27" xfId="0" applyNumberFormat="1" applyFont="1" applyFill="1" applyBorder="1" applyAlignment="1" applyProtection="1">
      <alignment vertical="center"/>
      <protection hidden="1"/>
    </xf>
    <xf numFmtId="0" fontId="4" fillId="6" borderId="31" xfId="0" applyFont="1" applyFill="1" applyBorder="1" applyAlignment="1" applyProtection="1">
      <alignment vertical="center"/>
      <protection hidden="1"/>
    </xf>
    <xf numFmtId="4" fontId="1" fillId="2" borderId="28" xfId="0" applyNumberFormat="1" applyFont="1" applyFill="1" applyBorder="1" applyAlignment="1" applyProtection="1">
      <alignment vertical="center"/>
      <protection hidden="1"/>
    </xf>
    <xf numFmtId="0" fontId="1" fillId="3" borderId="0" xfId="0" applyFont="1" applyFill="1" applyBorder="1" applyProtection="1">
      <protection hidden="1"/>
    </xf>
    <xf numFmtId="4" fontId="1" fillId="3" borderId="0" xfId="0" applyNumberFormat="1" applyFont="1" applyFill="1" applyBorder="1" applyProtection="1">
      <protection hidden="1"/>
    </xf>
    <xf numFmtId="0" fontId="4" fillId="6" borderId="18" xfId="0" applyFont="1" applyFill="1" applyBorder="1" applyAlignment="1" applyProtection="1">
      <alignment vertical="center"/>
      <protection hidden="1"/>
    </xf>
    <xf numFmtId="0" fontId="4" fillId="6" borderId="21" xfId="0" applyFont="1" applyFill="1" applyBorder="1" applyAlignment="1" applyProtection="1">
      <alignment vertical="center"/>
      <protection hidden="1"/>
    </xf>
    <xf numFmtId="4" fontId="1" fillId="2" borderId="26" xfId="0" applyNumberFormat="1" applyFont="1" applyFill="1" applyBorder="1" applyAlignment="1" applyProtection="1">
      <alignment vertical="center"/>
      <protection hidden="1"/>
    </xf>
    <xf numFmtId="0" fontId="4" fillId="6" borderId="8" xfId="0" applyFont="1" applyFill="1" applyBorder="1" applyAlignment="1" applyProtection="1">
      <alignment vertical="center"/>
      <protection hidden="1"/>
    </xf>
    <xf numFmtId="4" fontId="1" fillId="2" borderId="6" xfId="0" applyNumberFormat="1" applyFont="1" applyFill="1" applyBorder="1" applyAlignment="1" applyProtection="1">
      <alignment vertical="center"/>
      <protection hidden="1"/>
    </xf>
    <xf numFmtId="4" fontId="1" fillId="2" borderId="46" xfId="0" applyNumberFormat="1" applyFont="1" applyFill="1" applyBorder="1" applyAlignment="1" applyProtection="1">
      <alignment vertical="center"/>
      <protection hidden="1"/>
    </xf>
    <xf numFmtId="0" fontId="4" fillId="6" borderId="23" xfId="0" applyFont="1" applyFill="1" applyBorder="1" applyAlignment="1" applyProtection="1">
      <alignment vertical="center"/>
      <protection hidden="1"/>
    </xf>
    <xf numFmtId="4" fontId="0" fillId="3" borderId="0" xfId="0" applyNumberFormat="1" applyFill="1" applyBorder="1" applyProtection="1">
      <protection hidden="1"/>
    </xf>
    <xf numFmtId="0" fontId="0" fillId="3" borderId="0" xfId="0" applyFill="1" applyBorder="1" applyProtection="1">
      <protection hidden="1"/>
    </xf>
    <xf numFmtId="0" fontId="0" fillId="11" borderId="0" xfId="0" applyFill="1" applyProtection="1">
      <protection hidden="1"/>
    </xf>
    <xf numFmtId="0" fontId="0" fillId="3" borderId="3" xfId="0" applyFill="1" applyBorder="1" applyAlignment="1" applyProtection="1">
      <alignment vertical="center"/>
      <protection hidden="1"/>
    </xf>
    <xf numFmtId="0" fontId="0" fillId="3" borderId="9" xfId="0" applyFill="1" applyBorder="1" applyAlignment="1" applyProtection="1">
      <alignment vertical="center"/>
      <protection hidden="1"/>
    </xf>
    <xf numFmtId="4" fontId="0" fillId="3" borderId="12" xfId="0" applyNumberFormat="1" applyFill="1" applyBorder="1" applyAlignment="1" applyProtection="1">
      <alignment vertical="center"/>
      <protection hidden="1"/>
    </xf>
    <xf numFmtId="0" fontId="0" fillId="7" borderId="13" xfId="0" applyFill="1" applyBorder="1" applyProtection="1">
      <protection hidden="1"/>
    </xf>
    <xf numFmtId="0" fontId="0" fillId="3" borderId="13" xfId="0" applyFill="1" applyBorder="1" applyAlignment="1" applyProtection="1">
      <alignment horizontal="center" vertical="center"/>
      <protection hidden="1"/>
    </xf>
    <xf numFmtId="0" fontId="0" fillId="7" borderId="2" xfId="0" applyFill="1" applyBorder="1" applyProtection="1">
      <protection hidden="1"/>
    </xf>
    <xf numFmtId="0" fontId="0" fillId="3" borderId="2" xfId="0" applyFill="1" applyBorder="1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vertical="center"/>
      <protection hidden="1"/>
    </xf>
    <xf numFmtId="0" fontId="0" fillId="3" borderId="1" xfId="0" applyFill="1" applyBorder="1" applyAlignment="1" applyProtection="1">
      <alignment vertical="center"/>
      <protection hidden="1"/>
    </xf>
    <xf numFmtId="4" fontId="6" fillId="3" borderId="1" xfId="0" applyNumberFormat="1" applyFont="1" applyFill="1" applyBorder="1" applyAlignment="1" applyProtection="1">
      <alignment vertical="center"/>
      <protection hidden="1"/>
    </xf>
    <xf numFmtId="4" fontId="0" fillId="3" borderId="1" xfId="0" applyNumberFormat="1" applyFill="1" applyBorder="1" applyAlignment="1" applyProtection="1">
      <alignment vertical="center"/>
      <protection hidden="1"/>
    </xf>
    <xf numFmtId="4" fontId="0" fillId="3" borderId="1" xfId="0" applyNumberFormat="1" applyFill="1" applyBorder="1" applyAlignment="1" applyProtection="1">
      <alignment horizontal="right" vertical="center"/>
      <protection hidden="1"/>
    </xf>
    <xf numFmtId="0" fontId="1" fillId="3" borderId="1" xfId="0" applyFont="1" applyFill="1" applyBorder="1" applyAlignment="1" applyProtection="1">
      <alignment vertical="center"/>
      <protection hidden="1"/>
    </xf>
    <xf numFmtId="4" fontId="1" fillId="8" borderId="1" xfId="0" applyNumberFormat="1" applyFont="1" applyFill="1" applyBorder="1" applyAlignment="1" applyProtection="1">
      <alignment horizontal="right" vertical="center"/>
      <protection hidden="1"/>
    </xf>
    <xf numFmtId="0" fontId="0" fillId="3" borderId="0" xfId="0" applyFill="1" applyAlignment="1" applyProtection="1">
      <alignment vertical="center"/>
      <protection hidden="1"/>
    </xf>
    <xf numFmtId="4" fontId="0" fillId="3" borderId="0" xfId="0" applyNumberFormat="1" applyFill="1" applyAlignment="1" applyProtection="1">
      <alignment horizontal="center" vertical="center"/>
      <protection hidden="1"/>
    </xf>
    <xf numFmtId="0" fontId="1" fillId="3" borderId="0" xfId="0" applyFont="1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4" xfId="0" applyFill="1" applyBorder="1"/>
    <xf numFmtId="0" fontId="0" fillId="5" borderId="15" xfId="0" applyFill="1" applyBorder="1"/>
    <xf numFmtId="0" fontId="1" fillId="3" borderId="1" xfId="0" applyFont="1" applyFill="1" applyBorder="1" applyAlignment="1">
      <alignment vertical="center"/>
    </xf>
    <xf numFmtId="0" fontId="0" fillId="5" borderId="47" xfId="0" applyFill="1" applyBorder="1"/>
    <xf numFmtId="0" fontId="0" fillId="3" borderId="4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30" xfId="0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0" fillId="3" borderId="0" xfId="0" applyFill="1" applyBorder="1"/>
    <xf numFmtId="0" fontId="0" fillId="3" borderId="49" xfId="0" applyFill="1" applyBorder="1" applyAlignment="1">
      <alignment vertical="center"/>
    </xf>
    <xf numFmtId="0" fontId="0" fillId="3" borderId="52" xfId="0" applyFill="1" applyBorder="1" applyAlignment="1">
      <alignment vertical="center"/>
    </xf>
    <xf numFmtId="0" fontId="0" fillId="3" borderId="53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5" borderId="8" xfId="0" applyFill="1" applyBorder="1"/>
    <xf numFmtId="0" fontId="0" fillId="5" borderId="16" xfId="0" applyFill="1" applyBorder="1"/>
    <xf numFmtId="0" fontId="0" fillId="5" borderId="17" xfId="0" applyFill="1" applyBorder="1"/>
    <xf numFmtId="0" fontId="0" fillId="10" borderId="15" xfId="0" applyFill="1" applyBorder="1"/>
    <xf numFmtId="0" fontId="0" fillId="10" borderId="47" xfId="0" applyFill="1" applyBorder="1"/>
    <xf numFmtId="0" fontId="0" fillId="10" borderId="8" xfId="0" applyFill="1" applyBorder="1" applyAlignment="1">
      <alignment vertical="center"/>
    </xf>
    <xf numFmtId="0" fontId="1" fillId="10" borderId="15" xfId="0" applyFont="1" applyFill="1" applyBorder="1"/>
    <xf numFmtId="0" fontId="0" fillId="10" borderId="16" xfId="0" applyFill="1" applyBorder="1" applyAlignment="1">
      <alignment vertical="center"/>
    </xf>
    <xf numFmtId="0" fontId="4" fillId="6" borderId="0" xfId="0" applyFont="1" applyFill="1" applyAlignment="1" applyProtection="1">
      <alignment vertical="center"/>
      <protection hidden="1"/>
    </xf>
    <xf numFmtId="14" fontId="9" fillId="3" borderId="1" xfId="0" applyNumberFormat="1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vertical="center"/>
    </xf>
    <xf numFmtId="0" fontId="1" fillId="3" borderId="50" xfId="0" applyFont="1" applyFill="1" applyBorder="1" applyAlignment="1">
      <alignment vertical="center"/>
    </xf>
    <xf numFmtId="0" fontId="1" fillId="3" borderId="51" xfId="0" applyFont="1" applyFill="1" applyBorder="1" applyAlignment="1">
      <alignment vertical="center"/>
    </xf>
    <xf numFmtId="0" fontId="0" fillId="12" borderId="10" xfId="0" applyFill="1" applyBorder="1"/>
    <xf numFmtId="0" fontId="0" fillId="12" borderId="11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8" xfId="0" applyFill="1" applyBorder="1"/>
    <xf numFmtId="0" fontId="0" fillId="12" borderId="16" xfId="0" applyFill="1" applyBorder="1"/>
    <xf numFmtId="0" fontId="0" fillId="12" borderId="17" xfId="0" applyFill="1" applyBorder="1"/>
    <xf numFmtId="0" fontId="1" fillId="12" borderId="47" xfId="0" applyFont="1" applyFill="1" applyBorder="1"/>
    <xf numFmtId="0" fontId="0" fillId="12" borderId="47" xfId="0" applyFill="1" applyBorder="1" applyAlignment="1">
      <alignment horizontal="center"/>
    </xf>
    <xf numFmtId="14" fontId="0" fillId="12" borderId="47" xfId="0" applyNumberFormat="1" applyFill="1" applyBorder="1"/>
    <xf numFmtId="0" fontId="0" fillId="12" borderId="47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3" borderId="14" xfId="0" applyFill="1" applyBorder="1"/>
    <xf numFmtId="0" fontId="0" fillId="13" borderId="8" xfId="0" applyFill="1" applyBorder="1"/>
    <xf numFmtId="0" fontId="0" fillId="13" borderId="16" xfId="0" applyFill="1" applyBorder="1"/>
    <xf numFmtId="0" fontId="0" fillId="13" borderId="17" xfId="0" applyFill="1" applyBorder="1"/>
    <xf numFmtId="0" fontId="0" fillId="13" borderId="15" xfId="0" applyFill="1" applyBorder="1"/>
    <xf numFmtId="0" fontId="0" fillId="13" borderId="47" xfId="0" applyFill="1" applyBorder="1"/>
    <xf numFmtId="2" fontId="0" fillId="3" borderId="0" xfId="0" applyNumberFormat="1" applyFill="1" applyProtection="1">
      <protection locked="0"/>
    </xf>
    <xf numFmtId="3" fontId="1" fillId="5" borderId="1" xfId="0" applyNumberFormat="1" applyFont="1" applyFill="1" applyBorder="1" applyAlignment="1" applyProtection="1">
      <alignment vertical="center"/>
      <protection locked="0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textRotation="90"/>
    </xf>
    <xf numFmtId="0" fontId="5" fillId="8" borderId="7" xfId="0" applyFont="1" applyFill="1" applyBorder="1" applyAlignment="1">
      <alignment horizontal="center" vertical="center" textRotation="90"/>
    </xf>
    <xf numFmtId="0" fontId="5" fillId="8" borderId="15" xfId="0" applyFont="1" applyFill="1" applyBorder="1" applyAlignment="1">
      <alignment horizontal="center" vertical="center" textRotation="90"/>
    </xf>
    <xf numFmtId="0" fontId="5" fillId="8" borderId="6" xfId="0" applyFont="1" applyFill="1" applyBorder="1" applyAlignment="1">
      <alignment horizontal="center" vertical="center" textRotation="90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2" fillId="3" borderId="6" xfId="0" applyFont="1" applyFill="1" applyBorder="1" applyAlignment="1" applyProtection="1">
      <alignment horizontal="center" vertical="center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4" borderId="9" xfId="0" applyFont="1" applyFill="1" applyBorder="1" applyAlignment="1" applyProtection="1">
      <alignment horizontal="center" vertical="center"/>
      <protection hidden="1"/>
    </xf>
    <xf numFmtId="0" fontId="1" fillId="3" borderId="5" xfId="0" applyFont="1" applyFill="1" applyBorder="1" applyAlignment="1" applyProtection="1">
      <alignment horizontal="center" vertical="center" textRotation="90"/>
      <protection hidden="1"/>
    </xf>
    <xf numFmtId="0" fontId="1" fillId="3" borderId="7" xfId="0" applyFont="1" applyFill="1" applyBorder="1" applyAlignment="1" applyProtection="1">
      <alignment horizontal="center" vertical="center" textRotation="90"/>
      <protection hidden="1"/>
    </xf>
    <xf numFmtId="0" fontId="1" fillId="3" borderId="6" xfId="0" applyFont="1" applyFill="1" applyBorder="1" applyAlignment="1" applyProtection="1">
      <alignment horizontal="center" vertical="center" textRotation="90"/>
      <protection hidden="1"/>
    </xf>
    <xf numFmtId="0" fontId="1" fillId="3" borderId="10" xfId="0" applyFont="1" applyFill="1" applyBorder="1" applyAlignment="1" applyProtection="1">
      <alignment horizontal="center" vertical="center" textRotation="90"/>
      <protection hidden="1"/>
    </xf>
    <xf numFmtId="0" fontId="1" fillId="3" borderId="15" xfId="0" applyFont="1" applyFill="1" applyBorder="1" applyAlignment="1" applyProtection="1">
      <alignment horizontal="center" vertical="center" textRotation="90"/>
      <protection hidden="1"/>
    </xf>
    <xf numFmtId="0" fontId="1" fillId="3" borderId="8" xfId="0" applyFont="1" applyFill="1" applyBorder="1" applyAlignment="1" applyProtection="1">
      <alignment horizontal="center" vertical="center" textRotation="90"/>
      <protection hidden="1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textRotation="90"/>
    </xf>
    <xf numFmtId="0" fontId="1" fillId="3" borderId="48" xfId="0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4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AIS_digitar!A1"/><Relationship Id="rId2" Type="http://schemas.openxmlformats.org/officeDocument/2006/relationships/hyperlink" Target="#'Aviso Indenizado'!A1"/><Relationship Id="rId1" Type="http://schemas.openxmlformats.org/officeDocument/2006/relationships/hyperlink" Target="#'Multa 40%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ment&#225;rio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viso Indenizado'!A1"/><Relationship Id="rId2" Type="http://schemas.openxmlformats.org/officeDocument/2006/relationships/hyperlink" Target="#RAIS_digitar!A1"/><Relationship Id="rId1" Type="http://schemas.openxmlformats.org/officeDocument/2006/relationships/hyperlink" Target="#Coment&#225;rio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Coment&#225;ri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18</xdr:row>
      <xdr:rowOff>179590</xdr:rowOff>
    </xdr:from>
    <xdr:to>
      <xdr:col>11</xdr:col>
      <xdr:colOff>342900</xdr:colOff>
      <xdr:row>19</xdr:row>
      <xdr:rowOff>210935</xdr:rowOff>
    </xdr:to>
    <xdr:sp macro="" textlink="">
      <xdr:nvSpPr>
        <xdr:cNvPr id="3" name="Bisel 2">
          <a:hlinkClick xmlns:r="http://schemas.openxmlformats.org/officeDocument/2006/relationships" r:id="rId1"/>
        </xdr:cNvPr>
        <xdr:cNvSpPr/>
      </xdr:nvSpPr>
      <xdr:spPr>
        <a:xfrm>
          <a:off x="5495925" y="3199015"/>
          <a:ext cx="933450" cy="221845"/>
        </a:xfrm>
        <a:prstGeom prst="bevel">
          <a:avLst/>
        </a:prstGeom>
        <a:solidFill>
          <a:schemeClr val="accent6">
            <a:lumMod val="5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Multa 40%</a:t>
          </a:r>
        </a:p>
      </xdr:txBody>
    </xdr:sp>
    <xdr:clientData/>
  </xdr:twoCellAnchor>
  <xdr:twoCellAnchor>
    <xdr:from>
      <xdr:col>12</xdr:col>
      <xdr:colOff>114299</xdr:colOff>
      <xdr:row>21</xdr:row>
      <xdr:rowOff>122440</xdr:rowOff>
    </xdr:from>
    <xdr:to>
      <xdr:col>14</xdr:col>
      <xdr:colOff>180974</xdr:colOff>
      <xdr:row>22</xdr:row>
      <xdr:rowOff>153785</xdr:rowOff>
    </xdr:to>
    <xdr:sp macro="" textlink="">
      <xdr:nvSpPr>
        <xdr:cNvPr id="7" name="Bisel 6">
          <a:hlinkClick xmlns:r="http://schemas.openxmlformats.org/officeDocument/2006/relationships" r:id="rId2"/>
        </xdr:cNvPr>
        <xdr:cNvSpPr/>
      </xdr:nvSpPr>
      <xdr:spPr>
        <a:xfrm>
          <a:off x="6810374" y="3170440"/>
          <a:ext cx="1285875" cy="221845"/>
        </a:xfrm>
        <a:prstGeom prst="bevel">
          <a:avLst/>
        </a:prstGeom>
        <a:solidFill>
          <a:schemeClr val="accent6">
            <a:lumMod val="5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Aviso Indenizado</a:t>
          </a:r>
        </a:p>
      </xdr:txBody>
    </xdr:sp>
    <xdr:clientData/>
  </xdr:twoCellAnchor>
  <xdr:twoCellAnchor>
    <xdr:from>
      <xdr:col>9</xdr:col>
      <xdr:colOff>304800</xdr:colOff>
      <xdr:row>19</xdr:row>
      <xdr:rowOff>28575</xdr:rowOff>
    </xdr:from>
    <xdr:to>
      <xdr:col>9</xdr:col>
      <xdr:colOff>549783</xdr:colOff>
      <xdr:row>19</xdr:row>
      <xdr:rowOff>209550</xdr:rowOff>
    </xdr:to>
    <xdr:sp macro="" textlink="">
      <xdr:nvSpPr>
        <xdr:cNvPr id="11" name="Seta para a direita 10"/>
        <xdr:cNvSpPr/>
      </xdr:nvSpPr>
      <xdr:spPr>
        <a:xfrm>
          <a:off x="5172075" y="3238500"/>
          <a:ext cx="244983" cy="180975"/>
        </a:xfrm>
        <a:prstGeom prst="rightArrow">
          <a:avLst/>
        </a:prstGeom>
        <a:solidFill>
          <a:schemeClr val="tx1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352425</xdr:colOff>
      <xdr:row>21</xdr:row>
      <xdr:rowOff>171450</xdr:rowOff>
    </xdr:from>
    <xdr:to>
      <xdr:col>11</xdr:col>
      <xdr:colOff>597408</xdr:colOff>
      <xdr:row>22</xdr:row>
      <xdr:rowOff>161925</xdr:rowOff>
    </xdr:to>
    <xdr:sp macro="" textlink="">
      <xdr:nvSpPr>
        <xdr:cNvPr id="12" name="Seta para a direita 11"/>
        <xdr:cNvSpPr/>
      </xdr:nvSpPr>
      <xdr:spPr>
        <a:xfrm>
          <a:off x="6438900" y="3219450"/>
          <a:ext cx="244983" cy="180975"/>
        </a:xfrm>
        <a:prstGeom prst="rightArrow">
          <a:avLst/>
        </a:prstGeom>
        <a:solidFill>
          <a:schemeClr val="tx1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1123950</xdr:colOff>
      <xdr:row>25</xdr:row>
      <xdr:rowOff>180975</xdr:rowOff>
    </xdr:from>
    <xdr:to>
      <xdr:col>15</xdr:col>
      <xdr:colOff>2114550</xdr:colOff>
      <xdr:row>26</xdr:row>
      <xdr:rowOff>190500</xdr:rowOff>
    </xdr:to>
    <xdr:sp macro="" textlink="">
      <xdr:nvSpPr>
        <xdr:cNvPr id="13" name="Bisel 12">
          <a:hlinkClick xmlns:r="http://schemas.openxmlformats.org/officeDocument/2006/relationships" r:id="rId3"/>
        </xdr:cNvPr>
        <xdr:cNvSpPr/>
      </xdr:nvSpPr>
      <xdr:spPr>
        <a:xfrm>
          <a:off x="9648825" y="1924050"/>
          <a:ext cx="990600" cy="190500"/>
        </a:xfrm>
        <a:prstGeom prst="bevel">
          <a:avLst/>
        </a:prstGeom>
        <a:solidFill>
          <a:schemeClr val="accent6">
            <a:lumMod val="5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RAIS_digitar</a:t>
          </a:r>
        </a:p>
      </xdr:txBody>
    </xdr:sp>
    <xdr:clientData/>
  </xdr:twoCellAnchor>
  <xdr:twoCellAnchor>
    <xdr:from>
      <xdr:col>7</xdr:col>
      <xdr:colOff>133350</xdr:colOff>
      <xdr:row>26</xdr:row>
      <xdr:rowOff>9525</xdr:rowOff>
    </xdr:from>
    <xdr:to>
      <xdr:col>7</xdr:col>
      <xdr:colOff>378333</xdr:colOff>
      <xdr:row>26</xdr:row>
      <xdr:rowOff>190500</xdr:rowOff>
    </xdr:to>
    <xdr:sp macro="" textlink="">
      <xdr:nvSpPr>
        <xdr:cNvPr id="14" name="Seta para a direita 13"/>
        <xdr:cNvSpPr/>
      </xdr:nvSpPr>
      <xdr:spPr>
        <a:xfrm>
          <a:off x="3781425" y="3895725"/>
          <a:ext cx="244983" cy="180975"/>
        </a:xfrm>
        <a:prstGeom prst="rightArrow">
          <a:avLst/>
        </a:prstGeom>
        <a:solidFill>
          <a:schemeClr val="tx1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590550</xdr:colOff>
      <xdr:row>26</xdr:row>
      <xdr:rowOff>9525</xdr:rowOff>
    </xdr:from>
    <xdr:to>
      <xdr:col>15</xdr:col>
      <xdr:colOff>835533</xdr:colOff>
      <xdr:row>26</xdr:row>
      <xdr:rowOff>190501</xdr:rowOff>
    </xdr:to>
    <xdr:sp macro="" textlink="">
      <xdr:nvSpPr>
        <xdr:cNvPr id="15" name="Seta para a direita 14"/>
        <xdr:cNvSpPr/>
      </xdr:nvSpPr>
      <xdr:spPr>
        <a:xfrm>
          <a:off x="9115425" y="1933575"/>
          <a:ext cx="244983" cy="180976"/>
        </a:xfrm>
        <a:prstGeom prst="rightArrow">
          <a:avLst/>
        </a:prstGeom>
        <a:solidFill>
          <a:schemeClr val="tx1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85725</xdr:colOff>
      <xdr:row>13</xdr:row>
      <xdr:rowOff>104774</xdr:rowOff>
    </xdr:from>
    <xdr:to>
      <xdr:col>15</xdr:col>
      <xdr:colOff>570357</xdr:colOff>
      <xdr:row>19</xdr:row>
      <xdr:rowOff>140207</xdr:rowOff>
    </xdr:to>
    <xdr:sp macro="" textlink="">
      <xdr:nvSpPr>
        <xdr:cNvPr id="3" name="Seta para baixo 2"/>
        <xdr:cNvSpPr/>
      </xdr:nvSpPr>
      <xdr:spPr>
        <a:xfrm>
          <a:off x="11010900" y="2495549"/>
          <a:ext cx="484632" cy="911733"/>
        </a:xfrm>
        <a:prstGeom prst="downArrow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Total   Ano</a:t>
          </a:r>
        </a:p>
      </xdr:txBody>
    </xdr:sp>
    <xdr:clientData/>
  </xdr:twoCellAnchor>
  <xdr:twoCellAnchor>
    <xdr:from>
      <xdr:col>15</xdr:col>
      <xdr:colOff>57149</xdr:colOff>
      <xdr:row>1</xdr:row>
      <xdr:rowOff>0</xdr:rowOff>
    </xdr:from>
    <xdr:to>
      <xdr:col>16</xdr:col>
      <xdr:colOff>190499</xdr:colOff>
      <xdr:row>2</xdr:row>
      <xdr:rowOff>133350</xdr:rowOff>
    </xdr:to>
    <xdr:sp macro="" textlink="">
      <xdr:nvSpPr>
        <xdr:cNvPr id="4" name="Bisel 3">
          <a:hlinkClick xmlns:r="http://schemas.openxmlformats.org/officeDocument/2006/relationships" r:id="rId1"/>
        </xdr:cNvPr>
        <xdr:cNvSpPr/>
      </xdr:nvSpPr>
      <xdr:spPr>
        <a:xfrm>
          <a:off x="10848974" y="123825"/>
          <a:ext cx="809625" cy="342900"/>
        </a:xfrm>
        <a:prstGeom prst="bevel">
          <a:avLst/>
        </a:prstGeom>
        <a:solidFill>
          <a:schemeClr val="bg2">
            <a:lumMod val="25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Retornar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8</xdr:row>
      <xdr:rowOff>76200</xdr:rowOff>
    </xdr:from>
    <xdr:to>
      <xdr:col>11</xdr:col>
      <xdr:colOff>390524</xdr:colOff>
      <xdr:row>10</xdr:row>
      <xdr:rowOff>123826</xdr:rowOff>
    </xdr:to>
    <xdr:sp macro="" textlink="">
      <xdr:nvSpPr>
        <xdr:cNvPr id="2" name="Seta para a esquerda 1"/>
        <xdr:cNvSpPr/>
      </xdr:nvSpPr>
      <xdr:spPr>
        <a:xfrm>
          <a:off x="6838949" y="1619250"/>
          <a:ext cx="2638425" cy="428626"/>
        </a:xfrm>
        <a:prstGeom prst="leftArrow">
          <a:avLst/>
        </a:prstGeom>
        <a:solidFill>
          <a:schemeClr val="accent6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Valor</a:t>
          </a:r>
          <a:r>
            <a:rPr lang="pt-BR" sz="1100" b="1" baseline="0">
              <a:solidFill>
                <a:srgbClr val="FFFF00"/>
              </a:solidFill>
            </a:rPr>
            <a:t> que deve ser informado na RAIS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1181099</xdr:colOff>
      <xdr:row>15</xdr:row>
      <xdr:rowOff>161925</xdr:rowOff>
    </xdr:from>
    <xdr:to>
      <xdr:col>3</xdr:col>
      <xdr:colOff>1304925</xdr:colOff>
      <xdr:row>17</xdr:row>
      <xdr:rowOff>142875</xdr:rowOff>
    </xdr:to>
    <xdr:sp macro="" textlink="">
      <xdr:nvSpPr>
        <xdr:cNvPr id="3" name="Seta para cima 2"/>
        <xdr:cNvSpPr/>
      </xdr:nvSpPr>
      <xdr:spPr>
        <a:xfrm>
          <a:off x="2400299" y="3038475"/>
          <a:ext cx="1457326" cy="361950"/>
        </a:xfrm>
        <a:prstGeom prst="upArrow">
          <a:avLst/>
        </a:prstGeom>
        <a:solidFill>
          <a:srgbClr val="FF00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FFFF00"/>
              </a:solidFill>
            </a:rPr>
            <a:t>Este não</a:t>
          </a:r>
        </a:p>
      </xdr:txBody>
    </xdr:sp>
    <xdr:clientData/>
  </xdr:twoCellAnchor>
  <xdr:twoCellAnchor>
    <xdr:from>
      <xdr:col>0</xdr:col>
      <xdr:colOff>561975</xdr:colOff>
      <xdr:row>0</xdr:row>
      <xdr:rowOff>9525</xdr:rowOff>
    </xdr:from>
    <xdr:to>
      <xdr:col>4</xdr:col>
      <xdr:colOff>182925</xdr:colOff>
      <xdr:row>0</xdr:row>
      <xdr:rowOff>647700</xdr:rowOff>
    </xdr:to>
    <xdr:sp macro="" textlink="">
      <xdr:nvSpPr>
        <xdr:cNvPr id="4" name="Arredondar Retângulo no Mesmo Canto Lateral 3">
          <a:hlinkClick xmlns:r="http://schemas.openxmlformats.org/officeDocument/2006/relationships" r:id="rId1"/>
        </xdr:cNvPr>
        <xdr:cNvSpPr/>
      </xdr:nvSpPr>
      <xdr:spPr>
        <a:xfrm>
          <a:off x="561975" y="9525"/>
          <a:ext cx="3488100" cy="638175"/>
        </a:xfrm>
        <a:prstGeom prst="round2SameRect">
          <a:avLst>
            <a:gd name="adj1" fmla="val 50000"/>
            <a:gd name="adj2" fmla="val 0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IR PARA COMENTÁRIOS</a:t>
          </a:r>
        </a:p>
      </xdr:txBody>
    </xdr:sp>
    <xdr:clientData/>
  </xdr:twoCellAnchor>
  <xdr:twoCellAnchor>
    <xdr:from>
      <xdr:col>4</xdr:col>
      <xdr:colOff>57151</xdr:colOff>
      <xdr:row>0</xdr:row>
      <xdr:rowOff>9525</xdr:rowOff>
    </xdr:from>
    <xdr:to>
      <xdr:col>8</xdr:col>
      <xdr:colOff>154651</xdr:colOff>
      <xdr:row>0</xdr:row>
      <xdr:rowOff>647700</xdr:rowOff>
    </xdr:to>
    <xdr:sp macro="" textlink="">
      <xdr:nvSpPr>
        <xdr:cNvPr id="5" name="Arredondar Retângulo no Mesmo Canto Lateral 4">
          <a:hlinkClick xmlns:r="http://schemas.openxmlformats.org/officeDocument/2006/relationships" r:id="rId2"/>
        </xdr:cNvPr>
        <xdr:cNvSpPr/>
      </xdr:nvSpPr>
      <xdr:spPr>
        <a:xfrm>
          <a:off x="3924301" y="9525"/>
          <a:ext cx="3488400" cy="638175"/>
        </a:xfrm>
        <a:prstGeom prst="round2SameRect">
          <a:avLst>
            <a:gd name="adj1" fmla="val 50000"/>
            <a:gd name="adj2" fmla="val 0"/>
          </a:avLst>
        </a:prstGeom>
        <a:solidFill>
          <a:schemeClr val="accent6">
            <a:lumMod val="75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IR PARA RAIS_digitar</a:t>
          </a:r>
        </a:p>
      </xdr:txBody>
    </xdr:sp>
    <xdr:clientData/>
  </xdr:twoCellAnchor>
  <xdr:twoCellAnchor>
    <xdr:from>
      <xdr:col>7</xdr:col>
      <xdr:colOff>561976</xdr:colOff>
      <xdr:row>0</xdr:row>
      <xdr:rowOff>9525</xdr:rowOff>
    </xdr:from>
    <xdr:to>
      <xdr:col>13</xdr:col>
      <xdr:colOff>392776</xdr:colOff>
      <xdr:row>0</xdr:row>
      <xdr:rowOff>647700</xdr:rowOff>
    </xdr:to>
    <xdr:sp macro="" textlink="">
      <xdr:nvSpPr>
        <xdr:cNvPr id="6" name="Arredondar Retângulo no Mesmo Canto Lateral 5">
          <a:hlinkClick xmlns:r="http://schemas.openxmlformats.org/officeDocument/2006/relationships" r:id="rId3"/>
        </xdr:cNvPr>
        <xdr:cNvSpPr/>
      </xdr:nvSpPr>
      <xdr:spPr>
        <a:xfrm>
          <a:off x="7210426" y="9525"/>
          <a:ext cx="3488400" cy="638175"/>
        </a:xfrm>
        <a:prstGeom prst="round2SameRect">
          <a:avLst>
            <a:gd name="adj1" fmla="val 50000"/>
            <a:gd name="adj2" fmla="val 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IR PARA Aviso</a:t>
          </a:r>
          <a:r>
            <a:rPr lang="pt-BR" sz="1100" b="1" baseline="0">
              <a:solidFill>
                <a:schemeClr val="tx1"/>
              </a:solidFill>
            </a:rPr>
            <a:t> Indenizado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295275</xdr:colOff>
      <xdr:row>1</xdr:row>
      <xdr:rowOff>76200</xdr:rowOff>
    </xdr:from>
    <xdr:to>
      <xdr:col>19</xdr:col>
      <xdr:colOff>495300</xdr:colOff>
      <xdr:row>3</xdr:row>
      <xdr:rowOff>104775</xdr:rowOff>
    </xdr:to>
    <xdr:sp macro="" textlink="">
      <xdr:nvSpPr>
        <xdr:cNvPr id="2" name="Bisel 1">
          <a:hlinkClick xmlns:r="http://schemas.openxmlformats.org/officeDocument/2006/relationships" r:id="rId1"/>
        </xdr:cNvPr>
        <xdr:cNvSpPr/>
      </xdr:nvSpPr>
      <xdr:spPr>
        <a:xfrm>
          <a:off x="10201275" y="266700"/>
          <a:ext cx="809625" cy="342900"/>
        </a:xfrm>
        <a:prstGeom prst="bevel">
          <a:avLst/>
        </a:prstGeom>
        <a:solidFill>
          <a:schemeClr val="bg2">
            <a:lumMod val="25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Retornar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workbookViewId="0"/>
  </sheetViews>
  <sheetFormatPr defaultRowHeight="15" x14ac:dyDescent="0.25"/>
  <cols>
    <col min="1" max="1" width="6.7109375" style="7" customWidth="1"/>
    <col min="2" max="2" width="1.7109375" style="7" customWidth="1"/>
    <col min="3" max="3" width="9.7109375" style="7" customWidth="1"/>
    <col min="4" max="7" width="9.140625" style="7" customWidth="1"/>
    <col min="8" max="15" width="9.140625" style="7"/>
    <col min="16" max="16" width="39.42578125" style="7" customWidth="1"/>
    <col min="17" max="17" width="1.7109375" style="7" customWidth="1"/>
    <col min="18" max="16384" width="9.140625" style="7"/>
  </cols>
  <sheetData>
    <row r="1" spans="1:26" ht="2.1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0.95" customHeight="1" thickBo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1" customHeight="1" thickBot="1" x14ac:dyDescent="0.3">
      <c r="A3" s="15"/>
      <c r="B3" s="15"/>
      <c r="C3" s="125" t="s">
        <v>35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7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5.0999999999999996" customHeight="1" thickBo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5"/>
      <c r="B5" s="15"/>
      <c r="C5" s="17" t="s">
        <v>42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thickBot="1" x14ac:dyDescent="0.3">
      <c r="A6" s="15"/>
      <c r="B6" s="15"/>
      <c r="C6" s="20" t="s">
        <v>53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  <c r="Q6" s="16"/>
      <c r="R6" s="16"/>
      <c r="S6" s="16"/>
      <c r="T6" s="15"/>
      <c r="U6" s="15"/>
      <c r="V6" s="15"/>
      <c r="W6" s="15"/>
      <c r="X6" s="15"/>
      <c r="Y6" s="15"/>
      <c r="Z6" s="15"/>
    </row>
    <row r="7" spans="1:26" ht="5.0999999999999996" customHeight="1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thickBot="1" x14ac:dyDescent="0.3">
      <c r="A8" s="15"/>
      <c r="B8" s="15"/>
      <c r="C8" s="23" t="s">
        <v>75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5.0999999999999996" customHeight="1" thickBo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5"/>
      <c r="B10" s="15"/>
      <c r="C10" s="17" t="s">
        <v>52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thickBot="1" x14ac:dyDescent="0.3">
      <c r="A11" s="15"/>
      <c r="B11" s="15"/>
      <c r="C11" s="20" t="s">
        <v>49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5.0999999999999996" customHeight="1" thickBo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" customHeight="1" x14ac:dyDescent="0.25">
      <c r="A13" s="15"/>
      <c r="B13" s="15"/>
      <c r="C13" s="17" t="s">
        <v>50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thickBot="1" x14ac:dyDescent="0.3">
      <c r="A14" s="15"/>
      <c r="B14" s="15"/>
      <c r="C14" s="20" t="s">
        <v>51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5.0999999999999996" customHeight="1" thickBo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25">
      <c r="A16" s="15"/>
      <c r="B16" s="15"/>
      <c r="C16" s="128" t="s">
        <v>43</v>
      </c>
      <c r="D16" s="8" t="s">
        <v>69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thickBot="1" x14ac:dyDescent="0.3">
      <c r="A17" s="15"/>
      <c r="B17" s="15"/>
      <c r="C17" s="129"/>
      <c r="D17" s="93" t="s">
        <v>45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94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15"/>
      <c r="B18" s="15"/>
      <c r="C18" s="130"/>
      <c r="D18" s="8" t="s">
        <v>71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15"/>
      <c r="B19" s="15"/>
      <c r="C19" s="130"/>
      <c r="D19" s="93" t="s">
        <v>72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4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8" customHeight="1" thickBot="1" x14ac:dyDescent="0.3">
      <c r="A20" s="15"/>
      <c r="B20" s="15"/>
      <c r="C20" s="130"/>
      <c r="D20" s="95" t="s">
        <v>74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25">
      <c r="A21" s="15"/>
      <c r="B21" s="15"/>
      <c r="C21" s="130"/>
      <c r="D21" s="8" t="s">
        <v>70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25">
      <c r="A22" s="15"/>
      <c r="B22" s="15"/>
      <c r="C22" s="130"/>
      <c r="D22" s="93" t="s">
        <v>80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94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thickBot="1" x14ac:dyDescent="0.3">
      <c r="A23" s="15"/>
      <c r="B23" s="15"/>
      <c r="C23" s="130"/>
      <c r="D23" s="95" t="s">
        <v>85</v>
      </c>
      <c r="E23" s="97"/>
      <c r="F23" s="97"/>
      <c r="G23" s="97"/>
      <c r="H23" s="97"/>
      <c r="I23" s="97"/>
      <c r="J23" s="12"/>
      <c r="K23" s="12"/>
      <c r="L23" s="12"/>
      <c r="M23" s="12"/>
      <c r="N23" s="12"/>
      <c r="O23" s="12"/>
      <c r="P23" s="13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s="15"/>
      <c r="B24" s="15"/>
      <c r="C24" s="129"/>
      <c r="D24" s="96" t="s">
        <v>73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94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thickBot="1" x14ac:dyDescent="0.3">
      <c r="A25" s="15"/>
      <c r="B25" s="15"/>
      <c r="C25" s="131"/>
      <c r="D25" s="11" t="s">
        <v>48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5.0999999999999996" customHeight="1" thickBo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thickBot="1" x14ac:dyDescent="0.3">
      <c r="A27" s="15"/>
      <c r="B27" s="15"/>
      <c r="C27" s="23" t="s">
        <v>33</v>
      </c>
      <c r="D27" s="24"/>
      <c r="E27" s="24"/>
      <c r="F27" s="24"/>
      <c r="G27" s="24"/>
      <c r="H27" s="26"/>
      <c r="I27" s="27"/>
      <c r="J27" s="24" t="s">
        <v>44</v>
      </c>
      <c r="K27" s="24"/>
      <c r="L27" s="24"/>
      <c r="M27" s="24"/>
      <c r="N27" s="24"/>
      <c r="O27" s="24"/>
      <c r="P27" s="2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5.0999999999999996" customHeight="1" thickBo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thickBot="1" x14ac:dyDescent="0.3">
      <c r="A29" s="15"/>
      <c r="B29" s="15"/>
      <c r="C29" s="23" t="s">
        <v>87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</sheetData>
  <sheetProtection password="CFCD" sheet="1" objects="1" scenarios="1"/>
  <mergeCells count="2">
    <mergeCell ref="C3:P3"/>
    <mergeCell ref="C16:C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workbookViewId="0"/>
  </sheetViews>
  <sheetFormatPr defaultRowHeight="15" x14ac:dyDescent="0.25"/>
  <cols>
    <col min="1" max="1" width="1.7109375" style="32" customWidth="1"/>
    <col min="2" max="2" width="3.7109375" style="32" customWidth="1"/>
    <col min="3" max="3" width="31.28515625" style="32" customWidth="1"/>
    <col min="4" max="15" width="10.42578125" style="32" customWidth="1"/>
    <col min="16" max="16" width="10.140625" style="32" bestFit="1" customWidth="1"/>
    <col min="17" max="16384" width="9.140625" style="32"/>
  </cols>
  <sheetData>
    <row r="1" spans="1:26" s="31" customFormat="1" ht="9.9499999999999993" customHeight="1" thickBot="1" x14ac:dyDescent="0.3"/>
    <row r="2" spans="1:26" ht="16.5" thickBot="1" x14ac:dyDescent="0.3">
      <c r="A2" s="31"/>
      <c r="B2" s="31"/>
      <c r="C2" s="132" t="s">
        <v>18</v>
      </c>
      <c r="D2" s="135" t="s">
        <v>79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1" customHeight="1" x14ac:dyDescent="0.25">
      <c r="A3" s="31"/>
      <c r="B3" s="31"/>
      <c r="C3" s="133"/>
      <c r="D3" s="33" t="s">
        <v>4</v>
      </c>
      <c r="E3" s="33" t="s">
        <v>4</v>
      </c>
      <c r="F3" s="33" t="s">
        <v>4</v>
      </c>
      <c r="G3" s="33" t="s">
        <v>4</v>
      </c>
      <c r="H3" s="33" t="s">
        <v>4</v>
      </c>
      <c r="I3" s="33" t="s">
        <v>4</v>
      </c>
      <c r="J3" s="33" t="s">
        <v>4</v>
      </c>
      <c r="K3" s="33" t="s">
        <v>4</v>
      </c>
      <c r="L3" s="33" t="s">
        <v>4</v>
      </c>
      <c r="M3" s="33" t="s">
        <v>4</v>
      </c>
      <c r="N3" s="33" t="s">
        <v>4</v>
      </c>
      <c r="O3" s="33" t="s">
        <v>4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1" customHeight="1" thickBot="1" x14ac:dyDescent="0.3">
      <c r="A4" s="31"/>
      <c r="B4" s="31"/>
      <c r="C4" s="134"/>
      <c r="D4" s="34">
        <v>43101</v>
      </c>
      <c r="E4" s="34">
        <v>43132</v>
      </c>
      <c r="F4" s="34">
        <v>43160</v>
      </c>
      <c r="G4" s="34">
        <v>43191</v>
      </c>
      <c r="H4" s="34">
        <v>43221</v>
      </c>
      <c r="I4" s="34">
        <v>43252</v>
      </c>
      <c r="J4" s="34">
        <v>43282</v>
      </c>
      <c r="K4" s="34">
        <v>43313</v>
      </c>
      <c r="L4" s="34">
        <v>43344</v>
      </c>
      <c r="M4" s="34">
        <v>43374</v>
      </c>
      <c r="N4" s="34">
        <v>43405</v>
      </c>
      <c r="O4" s="34">
        <v>43435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5" customHeight="1" x14ac:dyDescent="0.25">
      <c r="A5" s="31"/>
      <c r="B5" s="138" t="s">
        <v>36</v>
      </c>
      <c r="C5" s="98" t="s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3">
        <v>0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" customHeight="1" x14ac:dyDescent="0.25">
      <c r="A6" s="31"/>
      <c r="B6" s="139"/>
      <c r="C6" s="35" t="s">
        <v>76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4">
        <v>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5" customHeight="1" x14ac:dyDescent="0.25">
      <c r="A7" s="31"/>
      <c r="B7" s="139"/>
      <c r="C7" s="35" t="s">
        <v>46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4">
        <v>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" customHeight="1" x14ac:dyDescent="0.25">
      <c r="A8" s="31"/>
      <c r="B8" s="139"/>
      <c r="C8" s="35" t="s">
        <v>47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4">
        <v>0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" customHeight="1" x14ac:dyDescent="0.25">
      <c r="A9" s="31"/>
      <c r="B9" s="139"/>
      <c r="C9" s="36" t="s">
        <v>77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4">
        <v>0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" customHeight="1" x14ac:dyDescent="0.25">
      <c r="A10" s="31"/>
      <c r="B10" s="139"/>
      <c r="C10" s="36" t="s">
        <v>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4">
        <v>0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" customHeight="1" x14ac:dyDescent="0.25">
      <c r="A11" s="31"/>
      <c r="B11" s="139"/>
      <c r="C11" s="36" t="s">
        <v>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4">
        <v>0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" customHeight="1" x14ac:dyDescent="0.25">
      <c r="A12" s="31"/>
      <c r="B12" s="139"/>
      <c r="C12" s="35" t="s">
        <v>34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4">
        <v>0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" customHeight="1" x14ac:dyDescent="0.25">
      <c r="A13" s="31"/>
      <c r="B13" s="139"/>
      <c r="C13" s="35" t="s">
        <v>16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4">
        <v>0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" customHeight="1" x14ac:dyDescent="0.25">
      <c r="A14" s="31"/>
      <c r="B14" s="139"/>
      <c r="C14" s="35" t="s">
        <v>17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4">
        <v>0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5.0999999999999996" customHeight="1" x14ac:dyDescent="0.25">
      <c r="A15" s="31"/>
      <c r="B15" s="139"/>
      <c r="C15" s="37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5" customHeight="1" x14ac:dyDescent="0.25">
      <c r="A16" s="31"/>
      <c r="B16" s="139"/>
      <c r="C16" s="35" t="s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4">
        <v>0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7" ht="15" customHeight="1" x14ac:dyDescent="0.25">
      <c r="A17" s="31"/>
      <c r="B17" s="139"/>
      <c r="C17" s="35" t="s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4">
        <v>0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7" ht="15" customHeight="1" thickBot="1" x14ac:dyDescent="0.3">
      <c r="A18" s="31"/>
      <c r="B18" s="139"/>
      <c r="C18" s="38" t="s">
        <v>6</v>
      </c>
      <c r="D18" s="39">
        <f>D5+D6+D7+D8+D9+D10+D11+D12+D13+D14-D16-D17</f>
        <v>0</v>
      </c>
      <c r="E18" s="39">
        <f t="shared" ref="E18:N18" si="0">E5+E6+E7+E8+E9+E10+E11+E12+E13+E14-E16-E17</f>
        <v>0</v>
      </c>
      <c r="F18" s="39">
        <f t="shared" si="0"/>
        <v>0</v>
      </c>
      <c r="G18" s="39">
        <f t="shared" si="0"/>
        <v>0</v>
      </c>
      <c r="H18" s="39">
        <f t="shared" si="0"/>
        <v>0</v>
      </c>
      <c r="I18" s="39">
        <f t="shared" si="0"/>
        <v>0</v>
      </c>
      <c r="J18" s="39">
        <f t="shared" si="0"/>
        <v>0</v>
      </c>
      <c r="K18" s="39">
        <f t="shared" si="0"/>
        <v>0</v>
      </c>
      <c r="L18" s="39">
        <f t="shared" si="0"/>
        <v>0</v>
      </c>
      <c r="M18" s="39">
        <f t="shared" si="0"/>
        <v>0</v>
      </c>
      <c r="N18" s="39">
        <f t="shared" si="0"/>
        <v>0</v>
      </c>
      <c r="O18" s="39">
        <f>O5+O6+O7+O8+O9+O10+O11+O12+O13+O14-O16-O17</f>
        <v>0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7" ht="5.0999999999999996" customHeight="1" x14ac:dyDescent="0.25">
      <c r="A19" s="31"/>
      <c r="B19" s="139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7" ht="15" customHeight="1" x14ac:dyDescent="0.25">
      <c r="A20" s="31"/>
      <c r="B20" s="139"/>
      <c r="C20" s="40" t="s">
        <v>78</v>
      </c>
      <c r="D20" s="124">
        <v>0</v>
      </c>
      <c r="E20" s="124">
        <v>0</v>
      </c>
      <c r="F20" s="124">
        <v>0</v>
      </c>
      <c r="G20" s="124">
        <v>0</v>
      </c>
      <c r="H20" s="124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  <c r="N20" s="124">
        <v>0</v>
      </c>
      <c r="O20" s="124">
        <v>0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7" ht="5.0999999999999996" customHeight="1" thickBot="1" x14ac:dyDescent="0.3">
      <c r="A21" s="31"/>
      <c r="B21" s="139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7" ht="15" customHeight="1" x14ac:dyDescent="0.25">
      <c r="A22" s="31"/>
      <c r="B22" s="139"/>
      <c r="C22" s="41" t="s">
        <v>12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3">
        <v>0</v>
      </c>
      <c r="P22" s="42">
        <f>D22+E22+F22+G22+H22+I22+J22+K22+L22+M22+N22+O22</f>
        <v>0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7" ht="15" customHeight="1" thickBot="1" x14ac:dyDescent="0.3">
      <c r="A23" s="31"/>
      <c r="B23" s="140"/>
      <c r="C23" s="43" t="s">
        <v>13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6">
        <v>0</v>
      </c>
      <c r="P23" s="44">
        <f>(D23+E23+F23+G23+H23+I23+J23+K23+L23+M23+N23+O23)-(D22+E22+F22+G22+H22+I22+J22+K22+L22+M22+N22+O22)</f>
        <v>0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7" ht="6" customHeight="1" thickBot="1" x14ac:dyDescent="0.3">
      <c r="A24" s="31"/>
      <c r="B24" s="31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7" ht="15" customHeight="1" x14ac:dyDescent="0.25">
      <c r="A25" s="31"/>
      <c r="B25" s="138" t="s">
        <v>37</v>
      </c>
      <c r="C25" s="47" t="s">
        <v>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3">
        <v>0</v>
      </c>
      <c r="P25" s="42">
        <f>D25+E25+F25+G25+H25+I25+J25+K25+L25+M25+N25+O25</f>
        <v>0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5" customHeight="1" x14ac:dyDescent="0.25">
      <c r="A26" s="31"/>
      <c r="B26" s="139"/>
      <c r="C26" s="48" t="s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4">
        <v>0</v>
      </c>
      <c r="P26" s="49">
        <f t="shared" ref="P26:P33" si="1">D26+E26+F26+G26+H26+I26+J26+K26+L26+M26+N26+O26</f>
        <v>0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5" customHeight="1" x14ac:dyDescent="0.25">
      <c r="A27" s="31"/>
      <c r="B27" s="139"/>
      <c r="C27" s="48" t="s">
        <v>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4">
        <v>0</v>
      </c>
      <c r="P27" s="49">
        <f t="shared" si="1"/>
        <v>0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5" customHeight="1" thickBot="1" x14ac:dyDescent="0.3">
      <c r="A28" s="31"/>
      <c r="B28" s="140"/>
      <c r="C28" s="50" t="s">
        <v>41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6">
        <v>0</v>
      </c>
      <c r="P28" s="51">
        <f t="shared" ref="P28" si="2">D28+E28+F28+G28+H28+I28+J28+K28+L28+M28+N28+O28</f>
        <v>0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6" customHeight="1" thickBot="1" x14ac:dyDescent="0.3">
      <c r="A29" s="31"/>
      <c r="B29" s="31"/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5" customHeight="1" x14ac:dyDescent="0.25">
      <c r="A30" s="31"/>
      <c r="B30" s="141" t="s">
        <v>40</v>
      </c>
      <c r="C30" s="47" t="s">
        <v>10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8">
        <v>0</v>
      </c>
      <c r="P30" s="42">
        <f t="shared" si="1"/>
        <v>0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" customHeight="1" x14ac:dyDescent="0.25">
      <c r="A31" s="31"/>
      <c r="B31" s="142"/>
      <c r="C31" s="48" t="s">
        <v>11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29">
        <v>0</v>
      </c>
      <c r="P31" s="52">
        <f t="shared" si="1"/>
        <v>0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5" customHeight="1" x14ac:dyDescent="0.25">
      <c r="A32" s="31"/>
      <c r="B32" s="142"/>
      <c r="C32" s="48" t="s">
        <v>15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29">
        <v>0</v>
      </c>
      <c r="P32" s="52">
        <f t="shared" si="1"/>
        <v>0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5" customHeight="1" x14ac:dyDescent="0.25">
      <c r="A33" s="31"/>
      <c r="B33" s="142"/>
      <c r="C33" s="48" t="s">
        <v>14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29">
        <v>0</v>
      </c>
      <c r="P33" s="52">
        <f t="shared" si="1"/>
        <v>0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5" customHeight="1" x14ac:dyDescent="0.25">
      <c r="A34" s="31"/>
      <c r="B34" s="142"/>
      <c r="C34" s="48" t="s">
        <v>38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29">
        <v>0</v>
      </c>
      <c r="P34" s="52">
        <f t="shared" ref="P34:P35" si="3">D34+E34+F34+G34+H34+I34+J34+K34+L34+M34+N34+O34</f>
        <v>0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5" customHeight="1" thickBot="1" x14ac:dyDescent="0.3">
      <c r="A35" s="31"/>
      <c r="B35" s="143"/>
      <c r="C35" s="53" t="s">
        <v>39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30">
        <v>0</v>
      </c>
      <c r="P35" s="44">
        <f t="shared" si="3"/>
        <v>0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9.9499999999999993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54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x14ac:dyDescent="0.25">
      <c r="A41" s="31"/>
      <c r="B41" s="31"/>
      <c r="C41" s="55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31"/>
    </row>
  </sheetData>
  <sheetProtection password="CFCD" sheet="1" objects="1" scenarios="1"/>
  <mergeCells count="5">
    <mergeCell ref="C2:C4"/>
    <mergeCell ref="D2:O2"/>
    <mergeCell ref="B5:B23"/>
    <mergeCell ref="B30:B35"/>
    <mergeCell ref="B25:B2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/>
  </sheetViews>
  <sheetFormatPr defaultRowHeight="15" x14ac:dyDescent="0.25"/>
  <cols>
    <col min="1" max="2" width="9.140625" style="31"/>
    <col min="3" max="3" width="20" style="31" customWidth="1"/>
    <col min="4" max="4" width="19.7109375" style="31" customWidth="1"/>
    <col min="5" max="5" width="14.140625" style="31" customWidth="1"/>
    <col min="6" max="6" width="12" style="31" bestFit="1" customWidth="1"/>
    <col min="7" max="7" width="15.5703125" style="31" bestFit="1" customWidth="1"/>
    <col min="8" max="16384" width="9.140625" style="31"/>
  </cols>
  <sheetData>
    <row r="1" spans="1:26" ht="60.75" customHeight="1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4" spans="1:26" ht="15.75" thickBot="1" x14ac:dyDescent="0.3"/>
    <row r="5" spans="1:26" ht="15.75" thickBot="1" x14ac:dyDescent="0.3">
      <c r="C5" s="57" t="s">
        <v>19</v>
      </c>
      <c r="D5" s="58"/>
      <c r="E5" s="59">
        <v>2000</v>
      </c>
    </row>
    <row r="7" spans="1:26" x14ac:dyDescent="0.25">
      <c r="C7" s="60"/>
      <c r="D7" s="61" t="s">
        <v>20</v>
      </c>
      <c r="E7" s="61" t="s">
        <v>21</v>
      </c>
      <c r="F7" s="61" t="s">
        <v>22</v>
      </c>
      <c r="G7" s="61" t="s">
        <v>23</v>
      </c>
    </row>
    <row r="8" spans="1:26" x14ac:dyDescent="0.25">
      <c r="C8" s="62"/>
      <c r="D8" s="63" t="s">
        <v>24</v>
      </c>
      <c r="E8" s="64"/>
      <c r="F8" s="63" t="s">
        <v>25</v>
      </c>
      <c r="G8" s="64"/>
    </row>
    <row r="9" spans="1:26" x14ac:dyDescent="0.25">
      <c r="C9" s="65" t="s">
        <v>26</v>
      </c>
      <c r="D9" s="66">
        <v>0</v>
      </c>
      <c r="E9" s="67">
        <v>1000</v>
      </c>
      <c r="F9" s="67">
        <v>1000</v>
      </c>
      <c r="G9" s="68">
        <f>E5+E10+F10</f>
        <v>2160</v>
      </c>
    </row>
    <row r="10" spans="1:26" x14ac:dyDescent="0.25">
      <c r="C10" s="69" t="s">
        <v>27</v>
      </c>
      <c r="D10" s="66">
        <v>0</v>
      </c>
      <c r="E10" s="67">
        <f>E9*8%</f>
        <v>80</v>
      </c>
      <c r="F10" s="67">
        <f>F9*8%</f>
        <v>80</v>
      </c>
      <c r="G10" s="70">
        <f>G9*40%</f>
        <v>864</v>
      </c>
    </row>
    <row r="11" spans="1:26" x14ac:dyDescent="0.25">
      <c r="C11" s="65" t="s">
        <v>28</v>
      </c>
      <c r="D11" s="66">
        <v>0</v>
      </c>
      <c r="E11" s="66">
        <v>0</v>
      </c>
      <c r="F11" s="66">
        <v>0</v>
      </c>
      <c r="G11" s="68">
        <v>0</v>
      </c>
    </row>
    <row r="12" spans="1:26" x14ac:dyDescent="0.25">
      <c r="C12" s="65" t="s">
        <v>29</v>
      </c>
      <c r="D12" s="67">
        <v>0</v>
      </c>
      <c r="E12" s="67">
        <v>0</v>
      </c>
      <c r="F12" s="67">
        <v>0</v>
      </c>
      <c r="G12" s="68">
        <v>0</v>
      </c>
    </row>
    <row r="13" spans="1:26" x14ac:dyDescent="0.25">
      <c r="C13" s="65" t="s">
        <v>30</v>
      </c>
      <c r="D13" s="67">
        <v>0</v>
      </c>
      <c r="E13" s="67">
        <v>0</v>
      </c>
      <c r="F13" s="67">
        <v>0</v>
      </c>
      <c r="G13" s="68">
        <f>G9*10%</f>
        <v>216</v>
      </c>
    </row>
    <row r="15" spans="1:26" x14ac:dyDescent="0.25">
      <c r="C15" s="71" t="s">
        <v>31</v>
      </c>
      <c r="D15" s="72">
        <f>E10+F10+G10</f>
        <v>1024</v>
      </c>
      <c r="E15" s="71" t="s">
        <v>32</v>
      </c>
      <c r="F15" s="71"/>
      <c r="G15" s="72">
        <f>E10+F10+G10+G13</f>
        <v>1240</v>
      </c>
    </row>
  </sheetData>
  <sheetProtection password="CFCD"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5"/>
  <sheetViews>
    <sheetView workbookViewId="0"/>
  </sheetViews>
  <sheetFormatPr defaultRowHeight="15" x14ac:dyDescent="0.25"/>
  <cols>
    <col min="1" max="1" width="9.140625" style="7"/>
    <col min="2" max="2" width="1.42578125" style="7" customWidth="1"/>
    <col min="3" max="3" width="3.7109375" style="7" customWidth="1"/>
    <col min="4" max="4" width="25.85546875" style="7" customWidth="1"/>
    <col min="5" max="5" width="12.140625" style="7" customWidth="1"/>
    <col min="6" max="6" width="1.42578125" style="7" customWidth="1"/>
    <col min="7" max="7" width="2.7109375" style="7" customWidth="1"/>
    <col min="8" max="8" width="1.42578125" style="7" customWidth="1"/>
    <col min="9" max="9" width="3.7109375" style="7" customWidth="1"/>
    <col min="10" max="10" width="23.85546875" style="7" customWidth="1"/>
    <col min="11" max="11" width="12.140625" style="7" customWidth="1"/>
    <col min="12" max="12" width="1.42578125" style="7" customWidth="1"/>
    <col min="13" max="13" width="2.7109375" style="7" customWidth="1"/>
    <col min="14" max="14" width="1.42578125" style="7" customWidth="1"/>
    <col min="15" max="15" width="3.7109375" style="7" customWidth="1"/>
    <col min="16" max="16" width="28" style="7" customWidth="1"/>
    <col min="17" max="17" width="13.7109375" style="7" customWidth="1"/>
    <col min="18" max="18" width="1.42578125" style="7" customWidth="1"/>
    <col min="19" max="16384" width="9.140625" style="7"/>
  </cols>
  <sheetData>
    <row r="1" spans="2:18" ht="15" customHeight="1" x14ac:dyDescent="0.25"/>
    <row r="2" spans="2:18" ht="9.9499999999999993" customHeight="1" x14ac:dyDescent="0.25"/>
    <row r="3" spans="2:18" x14ac:dyDescent="0.25">
      <c r="B3" s="150" t="s">
        <v>54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</row>
    <row r="4" spans="2:18" ht="9.9499999999999993" customHeight="1" thickBot="1" x14ac:dyDescent="0.3">
      <c r="C4" s="73"/>
      <c r="D4" s="73"/>
      <c r="E4" s="73"/>
      <c r="F4" s="73"/>
    </row>
    <row r="5" spans="2:18" ht="8.1" customHeight="1" x14ac:dyDescent="0.25">
      <c r="B5" s="104"/>
      <c r="C5" s="105"/>
      <c r="D5" s="105"/>
      <c r="E5" s="105"/>
      <c r="F5" s="106"/>
      <c r="H5" s="115"/>
      <c r="I5" s="116"/>
      <c r="J5" s="116"/>
      <c r="K5" s="116"/>
      <c r="L5" s="117"/>
      <c r="N5" s="74"/>
      <c r="O5" s="75"/>
      <c r="P5" s="75"/>
      <c r="Q5" s="75"/>
      <c r="R5" s="76"/>
    </row>
    <row r="6" spans="2:18" ht="15" customHeight="1" x14ac:dyDescent="0.25">
      <c r="B6" s="107"/>
      <c r="C6" s="147" t="s">
        <v>55</v>
      </c>
      <c r="D6" s="78" t="s">
        <v>56</v>
      </c>
      <c r="E6" s="78">
        <v>2018</v>
      </c>
      <c r="F6" s="111"/>
      <c r="H6" s="121"/>
      <c r="I6" s="147" t="s">
        <v>57</v>
      </c>
      <c r="J6" s="78" t="s">
        <v>56</v>
      </c>
      <c r="K6" s="78">
        <v>2018</v>
      </c>
      <c r="L6" s="122"/>
      <c r="N6" s="77"/>
      <c r="O6" s="147" t="s">
        <v>81</v>
      </c>
      <c r="P6" s="78" t="s">
        <v>56</v>
      </c>
      <c r="Q6" s="78">
        <v>2017</v>
      </c>
      <c r="R6" s="79"/>
    </row>
    <row r="7" spans="2:18" x14ac:dyDescent="0.25">
      <c r="B7" s="107"/>
      <c r="C7" s="148"/>
      <c r="D7" s="78" t="s">
        <v>58</v>
      </c>
      <c r="E7" s="78">
        <v>2018</v>
      </c>
      <c r="F7" s="111"/>
      <c r="H7" s="121"/>
      <c r="I7" s="148"/>
      <c r="J7" s="78" t="s">
        <v>58</v>
      </c>
      <c r="K7" s="78">
        <v>2019</v>
      </c>
      <c r="L7" s="122"/>
      <c r="N7" s="77"/>
      <c r="O7" s="148"/>
      <c r="P7" s="78" t="s">
        <v>58</v>
      </c>
      <c r="Q7" s="78">
        <v>2018</v>
      </c>
      <c r="R7" s="79"/>
    </row>
    <row r="8" spans="2:18" x14ac:dyDescent="0.25">
      <c r="B8" s="107"/>
      <c r="C8" s="148"/>
      <c r="D8" s="80" t="s">
        <v>59</v>
      </c>
      <c r="E8" s="81"/>
      <c r="F8" s="112"/>
      <c r="H8" s="121"/>
      <c r="I8" s="148"/>
      <c r="J8" s="80" t="s">
        <v>59</v>
      </c>
      <c r="K8" s="82"/>
      <c r="L8" s="122"/>
      <c r="N8" s="77"/>
      <c r="O8" s="148"/>
      <c r="P8" s="80" t="s">
        <v>59</v>
      </c>
      <c r="Q8" s="82"/>
      <c r="R8" s="79"/>
    </row>
    <row r="9" spans="2:18" ht="15.75" x14ac:dyDescent="0.25">
      <c r="B9" s="107"/>
      <c r="C9" s="148"/>
      <c r="D9" s="83" t="s">
        <v>60</v>
      </c>
      <c r="E9" s="99">
        <v>43435</v>
      </c>
      <c r="F9" s="113"/>
      <c r="H9" s="121"/>
      <c r="I9" s="148"/>
      <c r="J9" s="83" t="s">
        <v>60</v>
      </c>
      <c r="K9" s="99">
        <v>43437</v>
      </c>
      <c r="L9" s="122"/>
      <c r="N9" s="77"/>
      <c r="O9" s="148"/>
      <c r="P9" s="83" t="s">
        <v>60</v>
      </c>
      <c r="Q9" s="99">
        <v>43073</v>
      </c>
      <c r="R9" s="79"/>
    </row>
    <row r="10" spans="2:18" ht="15.75" x14ac:dyDescent="0.25">
      <c r="B10" s="107"/>
      <c r="C10" s="149"/>
      <c r="D10" s="84" t="s">
        <v>61</v>
      </c>
      <c r="E10" s="100">
        <v>43465</v>
      </c>
      <c r="F10" s="113"/>
      <c r="H10" s="121"/>
      <c r="I10" s="149"/>
      <c r="J10" s="84" t="s">
        <v>61</v>
      </c>
      <c r="K10" s="100">
        <v>43467</v>
      </c>
      <c r="L10" s="122"/>
      <c r="N10" s="77"/>
      <c r="O10" s="149"/>
      <c r="P10" s="84" t="s">
        <v>61</v>
      </c>
      <c r="Q10" s="100">
        <v>43103</v>
      </c>
      <c r="R10" s="79"/>
    </row>
    <row r="11" spans="2:18" ht="5.0999999999999996" customHeight="1" x14ac:dyDescent="0.25">
      <c r="B11" s="107"/>
      <c r="C11" s="85"/>
      <c r="D11" s="85"/>
      <c r="E11" s="85"/>
      <c r="F11" s="114"/>
      <c r="H11" s="121"/>
      <c r="I11" s="85"/>
      <c r="J11" s="85"/>
      <c r="K11" s="85"/>
      <c r="L11" s="122"/>
      <c r="N11" s="77"/>
      <c r="O11" s="85"/>
      <c r="P11" s="85"/>
      <c r="Q11" s="85"/>
      <c r="R11" s="79"/>
    </row>
    <row r="12" spans="2:18" x14ac:dyDescent="0.25">
      <c r="B12" s="107"/>
      <c r="C12" s="101" t="s">
        <v>62</v>
      </c>
      <c r="D12" s="102"/>
      <c r="E12" s="103"/>
      <c r="F12" s="114"/>
      <c r="H12" s="121"/>
      <c r="I12" s="101" t="s">
        <v>62</v>
      </c>
      <c r="J12" s="102"/>
      <c r="K12" s="103"/>
      <c r="L12" s="122"/>
      <c r="N12" s="77"/>
      <c r="O12" s="101" t="s">
        <v>62</v>
      </c>
      <c r="P12" s="102"/>
      <c r="Q12" s="103"/>
      <c r="R12" s="79"/>
    </row>
    <row r="13" spans="2:18" x14ac:dyDescent="0.25">
      <c r="B13" s="107"/>
      <c r="C13" s="87" t="s">
        <v>63</v>
      </c>
      <c r="D13" s="88"/>
      <c r="E13" s="89"/>
      <c r="F13" s="114"/>
      <c r="H13" s="121"/>
      <c r="I13" s="87" t="s">
        <v>63</v>
      </c>
      <c r="J13" s="88"/>
      <c r="K13" s="89"/>
      <c r="L13" s="122"/>
      <c r="N13" s="77"/>
      <c r="O13" s="87" t="s">
        <v>82</v>
      </c>
      <c r="P13" s="88"/>
      <c r="Q13" s="89"/>
      <c r="R13" s="79"/>
    </row>
    <row r="14" spans="2:18" x14ac:dyDescent="0.25">
      <c r="B14" s="107"/>
      <c r="C14" s="101" t="s">
        <v>64</v>
      </c>
      <c r="D14" s="102"/>
      <c r="E14" s="103"/>
      <c r="F14" s="114"/>
      <c r="H14" s="121"/>
      <c r="I14" s="101" t="s">
        <v>64</v>
      </c>
      <c r="J14" s="102"/>
      <c r="K14" s="103"/>
      <c r="L14" s="122"/>
      <c r="N14" s="77"/>
      <c r="O14" s="101" t="s">
        <v>64</v>
      </c>
      <c r="P14" s="102"/>
      <c r="Q14" s="103"/>
      <c r="R14" s="79"/>
    </row>
    <row r="15" spans="2:18" x14ac:dyDescent="0.25">
      <c r="B15" s="107"/>
      <c r="C15" s="87" t="s">
        <v>65</v>
      </c>
      <c r="D15" s="88"/>
      <c r="E15" s="89"/>
      <c r="F15" s="114"/>
      <c r="H15" s="121"/>
      <c r="I15" s="87" t="s">
        <v>66</v>
      </c>
      <c r="J15" s="88"/>
      <c r="K15" s="89"/>
      <c r="L15" s="122"/>
      <c r="N15" s="77"/>
      <c r="O15" s="87" t="s">
        <v>65</v>
      </c>
      <c r="P15" s="88"/>
      <c r="Q15" s="89"/>
      <c r="R15" s="79"/>
    </row>
    <row r="16" spans="2:18" x14ac:dyDescent="0.25">
      <c r="B16" s="107"/>
      <c r="C16" s="86" t="s">
        <v>67</v>
      </c>
      <c r="D16" s="102"/>
      <c r="E16" s="103"/>
      <c r="F16" s="114"/>
      <c r="H16" s="121"/>
      <c r="I16" s="101" t="s">
        <v>67</v>
      </c>
      <c r="J16" s="102"/>
      <c r="K16" s="103"/>
      <c r="L16" s="122"/>
      <c r="N16" s="77"/>
      <c r="O16" s="101" t="s">
        <v>67</v>
      </c>
      <c r="P16" s="102"/>
      <c r="Q16" s="103"/>
      <c r="R16" s="79"/>
    </row>
    <row r="17" spans="2:18" x14ac:dyDescent="0.25">
      <c r="B17" s="107"/>
      <c r="C17" s="87" t="s">
        <v>68</v>
      </c>
      <c r="D17" s="88"/>
      <c r="E17" s="89"/>
      <c r="F17" s="114"/>
      <c r="H17" s="121"/>
      <c r="I17" s="87" t="s">
        <v>66</v>
      </c>
      <c r="J17" s="88"/>
      <c r="K17" s="89"/>
      <c r="L17" s="122"/>
      <c r="N17" s="77"/>
      <c r="O17" s="87" t="s">
        <v>68</v>
      </c>
      <c r="P17" s="88"/>
      <c r="Q17" s="89"/>
      <c r="R17" s="79"/>
    </row>
    <row r="18" spans="2:18" ht="8.1" customHeight="1" thickBot="1" x14ac:dyDescent="0.3">
      <c r="B18" s="108"/>
      <c r="C18" s="109"/>
      <c r="D18" s="109"/>
      <c r="E18" s="109"/>
      <c r="F18" s="110"/>
      <c r="H18" s="118"/>
      <c r="I18" s="119"/>
      <c r="J18" s="119"/>
      <c r="K18" s="119"/>
      <c r="L18" s="120"/>
      <c r="N18" s="90"/>
      <c r="O18" s="91"/>
      <c r="P18" s="91"/>
      <c r="Q18" s="91"/>
      <c r="R18" s="92"/>
    </row>
    <row r="19" spans="2:18" ht="12.6" customHeight="1" thickBot="1" x14ac:dyDescent="0.3"/>
    <row r="20" spans="2:18" ht="15.75" thickBot="1" x14ac:dyDescent="0.3">
      <c r="C20" s="144" t="s">
        <v>86</v>
      </c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/>
    </row>
    <row r="21" spans="2:18" ht="9.9499999999999993" customHeight="1" thickBot="1" x14ac:dyDescent="0.3"/>
    <row r="22" spans="2:18" ht="8.1" customHeight="1" x14ac:dyDescent="0.25">
      <c r="B22" s="104"/>
      <c r="C22" s="105"/>
      <c r="D22" s="105"/>
      <c r="E22" s="105"/>
      <c r="F22" s="106"/>
      <c r="H22" s="115"/>
      <c r="I22" s="116"/>
      <c r="J22" s="116"/>
      <c r="K22" s="116"/>
      <c r="L22" s="117"/>
      <c r="N22" s="74"/>
      <c r="O22" s="75"/>
      <c r="P22" s="75"/>
      <c r="Q22" s="75"/>
      <c r="R22" s="76"/>
    </row>
    <row r="23" spans="2:18" x14ac:dyDescent="0.25">
      <c r="B23" s="107"/>
      <c r="C23" s="101" t="s">
        <v>83</v>
      </c>
      <c r="D23" s="102"/>
      <c r="E23" s="103"/>
      <c r="F23" s="114"/>
      <c r="H23" s="121"/>
      <c r="I23" s="101" t="s">
        <v>83</v>
      </c>
      <c r="J23" s="102"/>
      <c r="K23" s="103"/>
      <c r="L23" s="122"/>
      <c r="N23" s="77"/>
      <c r="O23" s="101" t="s">
        <v>83</v>
      </c>
      <c r="P23" s="102"/>
      <c r="Q23" s="103"/>
      <c r="R23" s="79"/>
    </row>
    <row r="24" spans="2:18" x14ac:dyDescent="0.25">
      <c r="B24" s="107"/>
      <c r="C24" s="87" t="s">
        <v>84</v>
      </c>
      <c r="D24" s="88"/>
      <c r="E24" s="89"/>
      <c r="F24" s="114"/>
      <c r="H24" s="121"/>
      <c r="I24" s="87" t="s">
        <v>66</v>
      </c>
      <c r="J24" s="88"/>
      <c r="K24" s="89"/>
      <c r="L24" s="122"/>
      <c r="N24" s="77"/>
      <c r="O24" s="87" t="s">
        <v>84</v>
      </c>
      <c r="P24" s="88"/>
      <c r="Q24" s="89"/>
      <c r="R24" s="79"/>
    </row>
    <row r="25" spans="2:18" ht="8.1" customHeight="1" thickBot="1" x14ac:dyDescent="0.3">
      <c r="B25" s="108"/>
      <c r="C25" s="109"/>
      <c r="D25" s="109"/>
      <c r="E25" s="109"/>
      <c r="F25" s="110"/>
      <c r="H25" s="118"/>
      <c r="I25" s="119"/>
      <c r="J25" s="119"/>
      <c r="K25" s="119"/>
      <c r="L25" s="120"/>
      <c r="N25" s="90"/>
      <c r="O25" s="91"/>
      <c r="P25" s="91"/>
      <c r="Q25" s="91"/>
      <c r="R25" s="92"/>
    </row>
  </sheetData>
  <sheetProtection password="CFCD" sheet="1" objects="1" scenarios="1"/>
  <mergeCells count="5">
    <mergeCell ref="C20:Q20"/>
    <mergeCell ref="C6:C10"/>
    <mergeCell ref="I6:I10"/>
    <mergeCell ref="O6:O10"/>
    <mergeCell ref="B3:R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Comentários</vt:lpstr>
      <vt:lpstr>RAIS_digitar</vt:lpstr>
      <vt:lpstr>Multa 40%</vt:lpstr>
      <vt:lpstr>Aviso Indenizado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2016-10-03T16:08:19Z</dcterms:created>
  <dcterms:modified xsi:type="dcterms:W3CDTF">2019-02-18T14:58:57Z</dcterms:modified>
</cp:coreProperties>
</file>